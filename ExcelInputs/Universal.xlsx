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951D199C-C427-4C42-A54D-64DAB3084506}" xr6:coauthVersionLast="47" xr6:coauthVersionMax="47" xr10:uidLastSave="{00000000-0000-0000-0000-000000000000}"/>
  <bookViews>
    <workbookView xWindow="810" yWindow="-120" windowWidth="28110" windowHeight="1644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2" i="23" l="1"/>
  <c r="Q51" i="23"/>
  <c r="Q50" i="23"/>
  <c r="Q49" i="23"/>
  <c r="P52" i="23"/>
  <c r="P51" i="23"/>
  <c r="P49" i="23"/>
  <c r="P50" i="23"/>
  <c r="R51" i="23"/>
  <c r="R52" i="23" s="1"/>
  <c r="AI446" i="24"/>
  <c r="AI445" i="24"/>
  <c r="AI444" i="24"/>
  <c r="AH444" i="24"/>
  <c r="AH445" i="24" s="1"/>
  <c r="AH446" i="24" s="1"/>
  <c r="W445" i="24"/>
  <c r="W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V444" i="24"/>
  <c r="V445" i="24" s="1"/>
  <c r="V446" i="24" s="1"/>
  <c r="U444" i="24"/>
  <c r="U445" i="24" s="1"/>
  <c r="U446" i="24" s="1"/>
  <c r="H46" i="17" l="1"/>
  <c r="H49" i="17"/>
  <c r="J45" i="17"/>
  <c r="I45" i="17"/>
  <c r="H48" i="17"/>
  <c r="L37" i="20" l="1"/>
  <c r="L53" i="20"/>
  <c r="N52" i="20"/>
  <c r="M52" i="20"/>
  <c r="G60" i="17"/>
  <c r="H52" i="17"/>
  <c r="H51" i="17"/>
  <c r="H50" i="17"/>
  <c r="H47" i="17"/>
  <c r="H43" i="17"/>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W954" i="24"/>
  <c r="V954" i="24"/>
  <c r="X954" i="24" s="1"/>
  <c r="C954" i="24"/>
  <c r="AA953" i="24"/>
  <c r="AB953" i="24" s="1"/>
  <c r="AC953" i="24" s="1"/>
  <c r="AD953" i="24" s="1"/>
  <c r="W953" i="24"/>
  <c r="V953" i="24"/>
  <c r="Y953" i="24" s="1"/>
  <c r="C953" i="24"/>
  <c r="AA952" i="24"/>
  <c r="AB952" i="24" s="1"/>
  <c r="AC952" i="24" s="1"/>
  <c r="AD952" i="24" s="1"/>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54" i="24" l="1"/>
  <c r="Z952" i="24"/>
  <c r="Z968" i="24"/>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<sst xmlns="http://schemas.openxmlformats.org/spreadsheetml/2006/main" count="6245" uniqueCount="3552">
  <si>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</si>
  <si>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</si>
  <si>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</si>
  <si>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</si>
  <si>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</si>
  <si>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</si>
  <si>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</si>
  <si>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</si>
  <si>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</si>
  <si>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</si>
  <si>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</si>
  <si>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</si>
  <si>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</si>
  <si>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</si>
  <si>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</si>
  <si>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</si>
  <si>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</si>
  <si>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</si>
  <si>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</si>
  <si>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</si>
  <si>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</si>
  <si>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</si>
  <si>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</si>
  <si>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</si>
  <si>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</si>
  <si>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</si>
  <si>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</si>
  <si>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</si>
  <si>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</si>
  <si>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</si>
  <si>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</si>
  <si>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</si>
  <si>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</si>
  <si>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</si>
  <si>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</si>
  <si>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</si>
  <si>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</si>
  <si>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</si>
  <si>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</si>
  <si>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</si>
  <si>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</si>
  <si>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</si>
  <si>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</si>
  <si>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</si>
  <si>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</si>
  <si>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</si>
  <si>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</si>
  <si>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</si>
  <si>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</si>
  <si>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</si>
  <si>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</si>
  <si>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</si>
  <si>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</si>
  <si>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</si>
  <si>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</si>
  <si>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</si>
  <si>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</si>
  <si>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</si>
  <si>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</si>
  <si>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</si>
  <si>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</si>
  <si>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</si>
  <si>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</si>
  <si>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</si>
  <si>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</si>
  <si>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</si>
  <si>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</si>
  <si>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</si>
  <si>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</si>
  <si>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</si>
  <si>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</si>
  <si>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</si>
  <si>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</si>
  <si>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</si>
  <si>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</si>
  <si>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</si>
  <si>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</si>
  <si>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</si>
  <si>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</si>
  <si>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</si>
  <si>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</si>
  <si>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</si>
  <si>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</si>
  <si>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</si>
  <si>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</si>
  <si>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</si>
  <si>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</si>
  <si>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</si>
  <si>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</si>
  <si>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</si>
  <si>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</si>
  <si>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</si>
  <si>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</si>
  <si>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</si>
  <si>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</si>
  <si>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</si>
  <si>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</si>
  <si>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</si>
  <si>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</si>
  <si>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</si>
  <si>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</si>
  <si>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</si>
  <si>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</si>
  <si>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</si>
  <si>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</si>
  <si>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</si>
  <si>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</si>
  <si>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</si>
  <si>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</si>
  <si>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</si>
  <si>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</si>
  <si>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</si>
  <si>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</si>
  <si>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</si>
  <si>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</si>
  <si>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</si>
  <si>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</si>
  <si>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</si>
  <si>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</si>
  <si>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</si>
  <si>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</si>
  <si>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</si>
  <si>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</si>
  <si>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</si>
  <si>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</si>
  <si>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</si>
  <si>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</si>
  <si>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</si>
  <si>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</si>
  <si>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</si>
  <si>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</si>
  <si>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</si>
  <si>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</si>
  <si>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</si>
  <si>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</si>
  <si>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</si>
  <si>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</si>
  <si>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</si>
  <si>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</si>
  <si>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</si>
  <si>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</si>
  <si>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</si>
  <si>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</si>
  <si>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</si>
  <si>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</si>
  <si>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</si>
  <si>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</si>
  <si>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</si>
  <si>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</si>
  <si>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</si>
  <si>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</si>
  <si>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</si>
  <si>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</si>
  <si>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</si>
  <si>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</si>
  <si>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</si>
  <si>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</si>
  <si>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</si>
  <si>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</si>
  <si>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</si>
  <si>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</si>
  <si>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</si>
  <si>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</si>
  <si>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</si>
  <si>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</si>
  <si>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</si>
  <si>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</si>
  <si>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</si>
  <si>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</si>
  <si>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</si>
  <si>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</si>
  <si>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</si>
  <si>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</si>
  <si>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</si>
  <si>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</si>
  <si>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</si>
  <si>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</si>
  <si>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</si>
  <si>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</si>
  <si>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</si>
  <si>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</si>
  <si>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</si>
  <si>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</si>
  <si>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</si>
  <si>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</si>
  <si>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</si>
  <si>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</si>
  <si>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</si>
  <si>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</si>
  <si>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</si>
  <si>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</si>
  <si>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</si>
  <si>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</si>
  <si>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</si>
  <si>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</si>
  <si>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</si>
  <si>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</si>
  <si>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</si>
  <si>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</si>
  <si>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</si>
  <si>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</si>
  <si>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</si>
  <si>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</si>
  <si>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</si>
  <si>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</si>
  <si>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</si>
  <si>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</si>
  <si>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</si>
  <si>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</si>
  <si>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</si>
  <si>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</si>
  <si>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</si>
  <si>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</si>
  <si>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</si>
  <si>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</si>
  <si>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</si>
  <si>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</si>
  <si>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</si>
  <si>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</si>
  <si>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</si>
  <si>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</si>
  <si>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</si>
  <si>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</si>
  <si>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</si>
  <si>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</si>
  <si>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</si>
  <si>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</si>
  <si>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</si>
  <si>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</si>
  <si>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</si>
  <si>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</si>
  <si>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</si>
  <si>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</si>
  <si>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</si>
  <si>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</si>
  <si>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</si>
  <si>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</si>
  <si>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</si>
  <si>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</si>
  <si>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</si>
  <si>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</si>
  <si>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</si>
  <si>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</si>
  <si>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</si>
  <si>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</si>
  <si>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</si>
  <si>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</si>
  <si>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</si>
  <si>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</si>
  <si>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</si>
  <si>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</si>
  <si>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</si>
  <si>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</si>
  <si>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</si>
  <si>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</si>
  <si>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</si>
  <si>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</si>
  <si>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</si>
  <si>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</si>
  <si>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</si>
  <si>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</si>
  <si>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</si>
  <si>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</si>
  <si>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</si>
  <si>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</si>
  <si>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</si>
  <si>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</si>
  <si>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</si>
  <si>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</si>
  <si>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</si>
  <si>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</si>
  <si>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</si>
  <si>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</si>
  <si>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</si>
  <si>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</si>
  <si>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</si>
  <si>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</si>
  <si>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</si>
  <si>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</si>
  <si>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</si>
  <si>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</si>
  <si>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</si>
  <si>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</si>
  <si>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</si>
  <si>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</si>
  <si>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</si>
  <si>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</si>
  <si>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</si>
  <si>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</si>
  <si>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</si>
  <si>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</si>
  <si>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</si>
  <si>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</si>
  <si>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</si>
  <si>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</si>
  <si>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</si>
  <si>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</si>
  <si>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</si>
  <si>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</si>
  <si>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</si>
  <si>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</si>
  <si>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</si>
  <si>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</si>
  <si>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</si>
  <si>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</si>
  <si>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</si>
  <si>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</si>
  <si>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</si>
  <si>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</si>
  <si>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</si>
  <si>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</si>
  <si>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</si>
  <si>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</si>
  <si>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</si>
  <si>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</si>
  <si>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</si>
  <si>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</si>
  <si>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</si>
  <si>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</si>
  <si>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</si>
  <si>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</si>
  <si>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</si>
  <si>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</si>
  <si>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</si>
  <si>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</si>
  <si>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</si>
  <si>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</si>
  <si>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</si>
  <si>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</si>
  <si>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</si>
  <si>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</si>
  <si>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</si>
  <si>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</si>
  <si>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</si>
  <si>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</si>
  <si>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</si>
  <si>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</si>
  <si>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</si>
  <si>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</si>
  <si>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</si>
  <si>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</si>
  <si>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</si>
  <si>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</si>
  <si>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</si>
  <si>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</si>
  <si>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</si>
  <si>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</si>
  <si>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</si>
  <si>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</si>
  <si>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</si>
  <si>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</si>
  <si>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</si>
  <si>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</si>
  <si>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</si>
  <si>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</si>
  <si>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</si>
  <si>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</si>
  <si>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</si>
  <si>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</si>
  <si>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</si>
  <si>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</si>
  <si>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</si>
  <si>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</si>
  <si>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</si>
  <si>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</si>
  <si>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</si>
  <si>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</si>
  <si>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</si>
  <si>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</si>
  <si>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</si>
  <si>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</si>
  <si>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</si>
  <si>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</si>
  <si>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</si>
  <si>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</si>
  <si>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</si>
  <si>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</si>
  <si>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</si>
  <si>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</si>
  <si>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</si>
  <si>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</si>
  <si>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</si>
  <si>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</si>
  <si>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</si>
  <si>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</si>
  <si>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</si>
  <si>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</si>
  <si>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</si>
  <si>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</si>
  <si>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</si>
  <si>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</si>
  <si>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</si>
  <si>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</si>
  <si>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</si>
  <si>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</si>
  <si>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</si>
  <si>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</si>
  <si>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</si>
  <si>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</si>
  <si>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</si>
  <si>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</si>
  <si>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</si>
  <si>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</si>
  <si>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</si>
  <si>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</si>
  <si>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</si>
  <si>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</si>
  <si>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</si>
  <si>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</si>
  <si>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</si>
  <si>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</si>
  <si>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</si>
  <si>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</si>
  <si>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</si>
  <si>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</si>
  <si>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</si>
  <si>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</si>
  <si>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</si>
  <si>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</si>
  <si>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</si>
  <si>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</si>
  <si>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</si>
  <si>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</si>
  <si>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</si>
  <si>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</si>
  <si>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</si>
  <si>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</si>
  <si>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</si>
  <si>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</si>
  <si>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</si>
  <si>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</si>
  <si>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</si>
  <si>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</si>
  <si>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</si>
  <si>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</si>
  <si>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</si>
  <si>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</si>
  <si>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</si>
  <si>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</si>
  <si>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</si>
  <si>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</si>
  <si>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</si>
  <si>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</si>
  <si>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</si>
  <si>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</si>
  <si>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</si>
  <si>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</si>
  <si>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</si>
  <si>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</si>
  <si>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</si>
  <si>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</si>
  <si>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</si>
  <si>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</si>
  <si>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</si>
  <si>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</si>
  <si>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</si>
  <si>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</si>
  <si>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</si>
  <si>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</si>
  <si>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</si>
  <si>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</si>
  <si>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</si>
  <si>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</si>
  <si>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</si>
  <si>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</si>
  <si>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</si>
  <si>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</si>
  <si>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</si>
  <si>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</si>
  <si>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</si>
  <si>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</si>
  <si>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</si>
  <si>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</si>
  <si>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</si>
  <si>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</si>
  <si>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</si>
  <si>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</si>
  <si>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</si>
  <si>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</si>
  <si>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</si>
  <si>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</si>
  <si>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</si>
  <si>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</si>
  <si>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</si>
  <si>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</si>
  <si>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</si>
  <si>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</si>
  <si>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</si>
  <si>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</si>
  <si>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</si>
  <si>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</si>
  <si>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</si>
  <si>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</si>
  <si>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</si>
  <si>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</si>
  <si>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</si>
  <si>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</si>
  <si>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</si>
  <si>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</si>
  <si>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</si>
  <si>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</si>
  <si>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</si>
  <si>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</si>
  <si>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</si>
  <si>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</si>
  <si>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</si>
  <si>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</si>
  <si>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</si>
  <si>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</si>
  <si>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</si>
  <si>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</si>
  <si>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</si>
  <si>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</si>
  <si>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</si>
  <si>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</si>
  <si>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</si>
  <si>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</si>
  <si>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</si>
  <si>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</si>
  <si>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</si>
  <si>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</si>
  <si>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</si>
  <si>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</si>
  <si>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</si>
  <si>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</si>
  <si>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</si>
  <si>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</si>
  <si>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</si>
  <si>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</si>
  <si>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</si>
  <si>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</si>
  <si>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</si>
  <si>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</si>
  <si>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</si>
  <si>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</si>
  <si>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</si>
  <si>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</si>
  <si>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</si>
  <si>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</si>
  <si>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</si>
  <si>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</si>
  <si>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</si>
  <si>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</si>
  <si>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</si>
  <si>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</si>
  <si>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</si>
  <si>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</si>
  <si>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</si>
  <si>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</si>
  <si>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</si>
  <si>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</si>
  <si>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</si>
  <si>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</si>
  <si>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</si>
  <si>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</si>
  <si>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</si>
  <si>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</si>
  <si>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</si>
  <si>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</si>
  <si>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</si>
  <si>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</si>
  <si>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</si>
  <si>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</si>
  <si>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</si>
  <si>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</si>
  <si>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</si>
  <si>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</si>
  <si>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</si>
  <si>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</si>
  <si>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</si>
  <si>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</si>
  <si>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</si>
  <si>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</si>
  <si>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</si>
  <si>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</si>
  <si>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</si>
  <si>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</si>
  <si>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</si>
  <si>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</si>
  <si>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</si>
  <si>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</si>
  <si>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</si>
  <si>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</si>
  <si>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</si>
  <si>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</si>
  <si>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</si>
  <si>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</si>
  <si>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</si>
  <si>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</si>
  <si>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</si>
  <si>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</si>
  <si>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</si>
  <si>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</si>
  <si>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</si>
  <si>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</si>
  <si>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</si>
  <si>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</si>
  <si>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</si>
  <si>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</si>
  <si>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</si>
  <si>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</si>
  <si>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</si>
  <si>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</si>
  <si>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</si>
  <si>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</si>
  <si>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</si>
  <si>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</si>
  <si>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</si>
  <si>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</si>
  <si>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</si>
  <si>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</si>
  <si>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</si>
  <si>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</si>
  <si>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</si>
  <si>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</si>
  <si>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</si>
  <si>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</si>
  <si>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</si>
  <si>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</si>
  <si>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</si>
  <si>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</si>
  <si>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</si>
  <si>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</si>
  <si>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</si>
  <si>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</si>
  <si>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</si>
  <si>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</si>
  <si>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</si>
  <si>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</si>
  <si>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</si>
  <si>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</si>
  <si>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</si>
  <si>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</si>
  <si>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</si>
  <si>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</si>
  <si>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</si>
  <si>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</si>
  <si>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</si>
  <si>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</si>
  <si>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</si>
  <si>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</si>
  <si>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</si>
  <si>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</si>
  <si>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</si>
  <si>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</si>
  <si>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</si>
  <si>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</si>
  <si>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</si>
  <si>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</si>
  <si>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</si>
  <si>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</si>
  <si>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</si>
  <si>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</si>
  <si>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</si>
  <si>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</si>
  <si>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</si>
  <si>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</si>
  <si>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</si>
  <si>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</si>
  <si>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</si>
  <si>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</si>
  <si>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</si>
  <si>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</si>
  <si>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</si>
  <si>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</si>
  <si>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</si>
  <si>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</si>
  <si>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</si>
  <si>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</si>
  <si>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</si>
  <si>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</si>
  <si>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</si>
  <si>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</si>
  <si>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</si>
  <si>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</si>
  <si>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</si>
  <si>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</si>
  <si>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</si>
  <si>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</si>
  <si>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</si>
  <si>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</si>
  <si>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</si>
  <si>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</si>
  <si>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</si>
  <si>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</si>
  <si>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</si>
  <si>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</si>
  <si>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</si>
  <si>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</si>
  <si>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</si>
  <si>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</si>
  <si>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</si>
  <si>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</si>
  <si>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</si>
  <si>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</si>
  <si>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</si>
  <si>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</si>
  <si>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</si>
  <si>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</si>
  <si>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</si>
  <si>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</si>
  <si>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</si>
  <si>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</si>
  <si>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</si>
  <si>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</si>
  <si>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</si>
  <si>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</si>
  <si>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</si>
  <si>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</si>
  <si>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</si>
  <si>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</si>
  <si>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</si>
  <si>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</si>
  <si>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</si>
  <si>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</si>
  <si>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</si>
  <si>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</si>
  <si>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</si>
  <si>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</si>
  <si>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</si>
  <si>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</si>
  <si>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</si>
  <si>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</si>
  <si>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</si>
  <si>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</si>
  <si>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</si>
  <si>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</si>
  <si>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</si>
  <si>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</si>
  <si>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</si>
  <si>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</si>
  <si>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</si>
  <si>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</si>
  <si>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</si>
  <si>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</si>
  <si>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</si>
  <si>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</si>
  <si>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</si>
  <si>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</si>
  <si>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</si>
  <si>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</si>
  <si>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</si>
  <si>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</si>
  <si>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</si>
  <si>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</si>
  <si>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</si>
  <si>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</si>
  <si>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</si>
  <si>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</si>
  <si>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</si>
  <si>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</si>
  <si>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</si>
  <si>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</si>
  <si>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</si>
  <si>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</si>
  <si>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</si>
  <si>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</si>
  <si>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</si>
  <si>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</si>
  <si>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</si>
  <si>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</si>
  <si>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</si>
  <si>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</si>
  <si>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</si>
  <si>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</si>
  <si>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</si>
  <si>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</si>
  <si>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</si>
  <si>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</si>
  <si>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</si>
  <si>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</si>
  <si>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</si>
  <si>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</si>
  <si>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</si>
  <si>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</si>
  <si>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</si>
  <si>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</si>
  <si>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</si>
  <si>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</si>
  <si>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</si>
  <si>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</si>
  <si>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</si>
  <si>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</si>
  <si>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</si>
  <si>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</si>
  <si>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</si>
  <si>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</si>
  <si>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</si>
  <si>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</si>
  <si>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</si>
  <si>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</si>
  <si>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</si>
  <si>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</si>
  <si>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</si>
  <si>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</si>
  <si>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</si>
  <si>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</si>
  <si>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</si>
  <si>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</si>
  <si>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</si>
  <si>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</si>
  <si>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</si>
  <si>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</si>
  <si>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</si>
  <si>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</si>
  <si>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</si>
  <si>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</si>
  <si>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</si>
  <si>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</si>
  <si>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</si>
  <si>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</si>
  <si>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</si>
  <si>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</si>
  <si>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</si>
  <si>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</si>
  <si>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</si>
  <si>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</si>
  <si>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</si>
  <si>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</si>
  <si>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</si>
  <si>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</si>
  <si>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</si>
  <si>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</si>
  <si>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</si>
  <si>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</si>
  <si>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</si>
  <si>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</si>
  <si>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</si>
  <si>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</si>
  <si>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</si>
  <si>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</si>
  <si>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</si>
  <si>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</si>
  <si>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</si>
  <si>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</si>
  <si>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</si>
  <si>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</si>
  <si>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</si>
  <si>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</si>
  <si>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</si>
  <si>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</si>
  <si>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</si>
  <si>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</si>
  <si>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</si>
  <si>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</si>
  <si>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</si>
  <si>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</si>
  <si>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</si>
  <si>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</si>
  <si>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</si>
  <si>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</si>
  <si>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</si>
  <si>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</si>
  <si>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</si>
  <si>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</si>
  <si>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</si>
  <si>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</si>
  <si>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</si>
  <si>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</si>
  <si>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</si>
  <si>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</si>
  <si>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</si>
  <si>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</si>
  <si>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</si>
  <si>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</si>
  <si>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</si>
  <si>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</si>
  <si>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</si>
  <si>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</si>
  <si>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</si>
  <si>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</si>
  <si>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</si>
  <si>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</si>
  <si>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</si>
  <si>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</si>
  <si>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</si>
  <si>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</si>
  <si>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</si>
  <si>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</si>
  <si>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</si>
  <si>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</si>
  <si>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</si>
  <si>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</si>
  <si>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</si>
  <si>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</si>
  <si>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</si>
  <si>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</si>
  <si>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</si>
  <si>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</si>
  <si>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</si>
  <si>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</si>
  <si>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</si>
  <si>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</si>
  <si>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</si>
  <si>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</si>
  <si>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</si>
  <si>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</si>
  <si>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</si>
  <si>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</si>
  <si>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</si>
  <si>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</si>
  <si>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</si>
  <si>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</si>
  <si>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</si>
  <si>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</si>
  <si>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</si>
  <si>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</si>
  <si>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</si>
  <si>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</si>
  <si>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</si>
  <si>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</si>
  <si>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</si>
  <si>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</si>
  <si>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</si>
  <si>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</si>
  <si>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</si>
  <si>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</si>
  <si>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</si>
  <si>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</si>
  <si>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</si>
  <si>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</si>
  <si>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</si>
  <si>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</si>
  <si>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</si>
  <si>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</si>
  <si>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</si>
  <si>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</si>
  <si>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</si>
  <si>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</si>
  <si>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</si>
  <si>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</si>
  <si>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</si>
  <si>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</si>
  <si>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</si>
  <si>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</si>
  <si>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</si>
  <si>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</si>
  <si>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</si>
  <si>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</si>
  <si>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</si>
  <si>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</si>
  <si>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</si>
  <si>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</si>
  <si>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</si>
  <si>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</si>
  <si>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</si>
  <si>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</si>
  <si>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</si>
  <si>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</si>
  <si>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</si>
  <si>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</si>
  <si>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</si>
  <si>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</si>
  <si>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</si>
  <si>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</si>
  <si>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</si>
  <si>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</si>
  <si>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</si>
  <si>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</si>
  <si>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</si>
  <si>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</si>
  <si>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</si>
  <si>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</si>
  <si>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</si>
  <si>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</si>
  <si>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</si>
  <si>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</si>
  <si>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</si>
  <si>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</si>
  <si>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</si>
  <si>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</si>
  <si>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</si>
  <si>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</si>
  <si>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</si>
  <si>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</si>
  <si>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</si>
  <si>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</si>
  <si>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</si>
  <si>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</si>
  <si>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</si>
  <si>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</si>
  <si>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</si>
  <si>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</si>
  <si>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</si>
  <si>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</si>
  <si>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</si>
  <si>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</si>
  <si>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</si>
  <si>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</si>
  <si>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</si>
  <si>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</si>
  <si>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</si>
  <si>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</si>
  <si>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</si>
  <si>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</si>
  <si>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</si>
  <si>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</si>
  <si>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</si>
  <si>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</si>
  <si>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</si>
  <si>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</si>
  <si>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</si>
  <si>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</si>
  <si>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</si>
  <si>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</si>
  <si>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</si>
  <si>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</si>
  <si>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</si>
  <si>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</si>
  <si>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</si>
  <si>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</si>
  <si>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</si>
  <si>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</si>
  <si>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</si>
  <si>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</si>
  <si>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</si>
  <si>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</si>
  <si>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</si>
  <si>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</si>
  <si>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</si>
  <si>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</si>
  <si>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</si>
  <si>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</si>
  <si>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</si>
  <si>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</si>
  <si>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</si>
  <si>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</si>
  <si>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</si>
  <si>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</si>
  <si>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</si>
  <si>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</si>
  <si>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</si>
  <si>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</si>
  <si>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</si>
  <si>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</si>
  <si>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</si>
  <si>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</si>
  <si>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</si>
  <si>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</si>
  <si>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</si>
  <si>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</si>
  <si>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</si>
  <si>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</si>
  <si>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</si>
  <si>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</si>
  <si>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</si>
  <si>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</si>
  <si>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</si>
  <si>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</si>
  <si>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</si>
  <si>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</si>
  <si>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</si>
  <si>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</si>
  <si>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</si>
  <si>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</si>
  <si>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</si>
  <si>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</si>
  <si>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</si>
  <si>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</si>
  <si>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</si>
  <si>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</si>
  <si>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</si>
  <si>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</si>
  <si>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</si>
  <si>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</si>
  <si>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</si>
  <si>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</si>
  <si>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</si>
  <si>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</si>
  <si>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</si>
  <si>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</si>
  <si>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</si>
  <si>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</si>
  <si>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</si>
  <si>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</si>
  <si>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</si>
  <si>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</si>
  <si>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</si>
  <si>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</si>
  <si>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</si>
  <si>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</si>
  <si>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</si>
  <si>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</si>
  <si>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</si>
  <si>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</si>
  <si>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</si>
  <si>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</si>
  <si>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</si>
  <si>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</si>
  <si>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</si>
  <si>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</si>
  <si>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</si>
  <si>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</si>
  <si>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</si>
  <si>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</si>
  <si>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</si>
  <si>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</si>
  <si>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</si>
  <si>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</si>
  <si>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</si>
  <si>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</si>
  <si>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</si>
  <si>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</si>
  <si>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</si>
  <si>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</si>
  <si>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</si>
  <si>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</si>
  <si>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</si>
  <si>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</si>
  <si>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</si>
  <si>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</si>
  <si>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</si>
  <si>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</si>
  <si>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</si>
  <si>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</si>
  <si>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</si>
  <si>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</si>
  <si>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</si>
  <si>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</si>
  <si>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</si>
  <si>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</si>
  <si>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</si>
  <si>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</si>
  <si>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</si>
  <si>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</si>
  <si>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</si>
  <si>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</si>
  <si>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</si>
  <si>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</si>
  <si>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</si>
  <si>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</si>
  <si>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</si>
  <si>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</si>
  <si>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</si>
  <si>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</si>
  <si>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</si>
  <si>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</si>
  <si>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</si>
  <si>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</si>
  <si>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</si>
  <si>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</si>
  <si>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</si>
  <si>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</si>
  <si>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</si>
  <si>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</si>
  <si>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</si>
  <si>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</si>
  <si>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</si>
  <si>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</si>
  <si>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</si>
  <si>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</si>
  <si>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</si>
  <si>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</si>
  <si>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</si>
  <si>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</si>
  <si>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</si>
  <si>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</si>
  <si>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</si>
  <si>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</si>
  <si>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</si>
  <si>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</si>
  <si>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</si>
  <si>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</si>
  <si>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</si>
  <si>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</si>
  <si>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</si>
  <si>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</si>
  <si>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</si>
  <si>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</si>
  <si>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</si>
  <si>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</si>
  <si>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</si>
  <si>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</si>
  <si>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</si>
  <si>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</si>
  <si>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</si>
  <si>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</si>
  <si>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</si>
  <si>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</si>
  <si>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</si>
  <si>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</si>
  <si>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</si>
  <si>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</si>
  <si>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</si>
  <si>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</si>
  <si>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</si>
  <si>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</si>
  <si>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</si>
  <si>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</si>
  <si>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</si>
  <si>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</si>
  <si>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</si>
  <si>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</si>
  <si>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</si>
  <si>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</si>
  <si>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</si>
  <si>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</si>
  <si>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</si>
  <si>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</si>
  <si>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</si>
  <si>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</si>
  <si>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</si>
  <si>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</si>
  <si>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</si>
  <si>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</si>
  <si>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</si>
  <si>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</si>
  <si>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</si>
  <si>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</si>
  <si>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</si>
  <si>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</si>
  <si>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</si>
  <si>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</si>
  <si>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</si>
  <si>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</si>
  <si>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</si>
  <si>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</si>
  <si>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</si>
  <si>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</si>
  <si>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</si>
  <si>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</si>
  <si>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</si>
  <si>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</si>
  <si>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</si>
  <si>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</si>
  <si>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</si>
  <si>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</si>
  <si>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</si>
  <si>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</si>
  <si>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</si>
  <si>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</si>
  <si>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</si>
  <si>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</si>
  <si>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</si>
  <si>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</si>
  <si>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</si>
  <si>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</si>
  <si>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</si>
  <si>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</si>
  <si>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</si>
  <si>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</si>
  <si>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</si>
  <si>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</si>
  <si>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</si>
  <si>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</si>
  <si>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</si>
  <si>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</si>
  <si>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</si>
  <si>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</si>
  <si>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</si>
  <si>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</si>
  <si>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</si>
  <si>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</si>
  <si>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</si>
  <si>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</si>
  <si>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</si>
  <si>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</si>
  <si>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</si>
  <si>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</si>
  <si>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</si>
  <si>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</si>
  <si>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</si>
  <si>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</si>
  <si>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</si>
  <si>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</si>
  <si>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</si>
  <si>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</si>
  <si>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</si>
  <si>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</si>
  <si>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</si>
  <si>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</si>
  <si>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</si>
  <si>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</si>
  <si>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</si>
  <si>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</si>
  <si>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</si>
  <si>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</si>
  <si>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</si>
  <si>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</si>
  <si>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</si>
  <si>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</si>
  <si>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</si>
  <si>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</si>
  <si>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</si>
  <si>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</si>
  <si>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</si>
  <si>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</si>
  <si>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</si>
  <si>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</si>
  <si>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</si>
  <si>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</si>
  <si>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</si>
  <si>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</si>
  <si>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</si>
  <si>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</si>
  <si>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</si>
  <si>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</si>
  <si>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</si>
  <si>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</si>
  <si>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</si>
  <si>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</si>
  <si>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</si>
  <si>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</si>
  <si>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</si>
  <si>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</si>
  <si>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</si>
  <si>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</si>
  <si>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</si>
  <si>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</si>
  <si>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</si>
  <si>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</si>
  <si>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</si>
  <si>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</si>
  <si>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</si>
  <si>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</si>
  <si>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</si>
  <si>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</si>
  <si>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</si>
  <si>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</si>
  <si>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</si>
  <si>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</si>
  <si>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</si>
  <si>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</si>
  <si>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</si>
  <si>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</si>
  <si>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</si>
  <si>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</si>
  <si>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</si>
  <si>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</si>
  <si>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</si>
  <si>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</si>
  <si>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</si>
  <si>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</si>
  <si>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</si>
  <si>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</si>
  <si>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</si>
  <si>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</si>
  <si>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</si>
  <si>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</si>
  <si>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</si>
  <si>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</si>
  <si>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</si>
  <si>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</si>
  <si>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</si>
  <si>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</si>
  <si>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</si>
  <si>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</si>
  <si>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</si>
  <si>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</si>
  <si>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</si>
  <si>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</si>
  <si>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</si>
  <si>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</si>
  <si>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</si>
  <si>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</si>
  <si>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</si>
  <si>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</si>
  <si>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</si>
  <si>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</si>
  <si>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</si>
  <si>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</si>
  <si>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</si>
  <si>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</si>
  <si>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</si>
  <si>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</si>
  <si>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</si>
  <si>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</si>
  <si>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</si>
  <si>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</si>
  <si>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</si>
  <si>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</si>
  <si>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</si>
  <si>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</si>
  <si>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</si>
  <si>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</si>
  <si>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</si>
  <si>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</si>
  <si>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</si>
  <si>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</si>
  <si>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</si>
  <si>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</si>
  <si>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</si>
  <si>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</si>
  <si>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</si>
  <si>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</si>
  <si>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</si>
  <si>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</si>
  <si>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</si>
  <si>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</si>
  <si>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</si>
  <si>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</si>
  <si>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</si>
  <si>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</si>
  <si>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</si>
  <si>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</si>
  <si>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</si>
  <si>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</si>
  <si>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</si>
  <si>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</si>
  <si>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</si>
  <si>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</si>
  <si>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</si>
  <si>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</si>
  <si>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</si>
  <si>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</si>
  <si>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</si>
  <si>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</si>
  <si>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</si>
  <si>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</si>
  <si>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</si>
  <si>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</si>
  <si>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</si>
  <si>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</si>
  <si>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</si>
  <si>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</si>
  <si>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</si>
  <si>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</si>
  <si>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</si>
  <si>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</si>
  <si>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</si>
  <si>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</si>
  <si>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</si>
  <si>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</si>
  <si>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</si>
  <si>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</si>
  <si>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</si>
  <si>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</si>
  <si>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</si>
  <si>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</si>
  <si>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</si>
  <si>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</si>
  <si>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</si>
  <si>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</si>
  <si>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</si>
  <si>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</si>
  <si>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</si>
  <si>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</si>
  <si>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</si>
  <si>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</si>
  <si>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</si>
  <si>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</si>
  <si>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</si>
  <si>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</si>
  <si>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</si>
  <si>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</si>
  <si>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</si>
  <si>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</si>
  <si>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</si>
  <si>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</si>
  <si>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</si>
  <si>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</si>
  <si>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</si>
  <si>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</si>
  <si>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</si>
  <si>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</si>
  <si>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</si>
  <si>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</si>
  <si>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</si>
  <si>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</si>
  <si>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</si>
  <si>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</si>
  <si>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</si>
  <si>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</si>
  <si>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</si>
  <si>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</si>
  <si>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</si>
  <si>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</si>
  <si>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</si>
  <si>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</si>
  <si>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</si>
  <si>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</si>
  <si>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</si>
  <si>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</si>
  <si>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</si>
  <si>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</si>
  <si>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</si>
  <si>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</si>
  <si>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</si>
  <si>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</si>
  <si>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</si>
  <si>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</si>
  <si>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</si>
  <si>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</si>
  <si>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</si>
  <si>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</si>
  <si>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</si>
  <si>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</si>
  <si>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</si>
  <si>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</si>
  <si>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</si>
  <si>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</si>
  <si>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</si>
  <si>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</si>
  <si>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</si>
  <si>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</si>
  <si>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</si>
  <si>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</si>
  <si>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</si>
  <si>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</si>
  <si>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</si>
  <si>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</si>
  <si>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</si>
  <si>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</si>
  <si>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</si>
  <si>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</si>
  <si>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</si>
  <si>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</si>
  <si>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</si>
  <si>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</si>
  <si>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</si>
  <si>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</si>
  <si>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</si>
  <si>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</si>
  <si>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</si>
  <si>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</si>
  <si>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</si>
  <si>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</si>
  <si>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</si>
  <si>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</si>
  <si>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</si>
  <si>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</si>
  <si>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</si>
  <si>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</si>
  <si>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</si>
  <si>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</si>
  <si>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</si>
  <si>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</si>
  <si>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</si>
  <si>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</si>
  <si>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</si>
  <si>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</si>
  <si>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</si>
  <si>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</si>
  <si>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</si>
  <si>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</si>
  <si>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</si>
  <si>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</si>
  <si>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</si>
  <si>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</si>
  <si>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</si>
  <si>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</si>
  <si>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</si>
  <si>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</si>
  <si>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</si>
  <si>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</si>
  <si>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</si>
  <si>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</si>
  <si>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</si>
  <si>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</si>
  <si>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</si>
  <si>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</si>
  <si>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</si>
  <si>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</si>
  <si>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</si>
  <si>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</si>
  <si>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</si>
  <si>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</si>
  <si>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</si>
  <si>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</si>
  <si>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</si>
  <si>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</si>
  <si>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</si>
  <si>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</si>
  <si>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</si>
  <si>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</si>
  <si>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</si>
  <si>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</si>
  <si>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</si>
  <si>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</si>
  <si>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</si>
  <si>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</si>
  <si>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</si>
  <si>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</si>
  <si>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</si>
  <si>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</si>
  <si>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</si>
  <si>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</si>
  <si>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</si>
  <si>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</si>
  <si>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</si>
  <si>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</si>
  <si>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</si>
  <si>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</si>
  <si>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</si>
  <si>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</si>
  <si>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</si>
  <si>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</si>
  <si>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</si>
  <si>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</si>
  <si>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</si>
  <si>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</si>
  <si>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</si>
  <si>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</si>
  <si>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</si>
  <si>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</si>
  <si>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</si>
  <si>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</si>
  <si>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</si>
  <si>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</si>
  <si>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</si>
  <si>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</si>
  <si>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</si>
  <si>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</si>
  <si>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</si>
  <si>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</si>
  <si>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</si>
  <si>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</si>
  <si>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</si>
  <si>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</si>
  <si>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</si>
  <si>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</si>
  <si>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</si>
  <si>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</si>
  <si>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</si>
  <si>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</si>
  <si>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</si>
  <si>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</si>
  <si>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</si>
  <si>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</si>
  <si>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</si>
  <si>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</si>
  <si>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</si>
  <si>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</si>
  <si>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</si>
  <si>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</si>
  <si>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</si>
  <si>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</si>
  <si>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</si>
  <si>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</si>
  <si>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</si>
  <si>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</si>
  <si>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</si>
  <si>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</si>
  <si>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</si>
  <si>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</si>
  <si>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</si>
  <si>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</si>
  <si>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</si>
  <si>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</si>
  <si>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</si>
  <si>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</si>
  <si>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</si>
  <si>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</si>
  <si>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</si>
  <si>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</si>
  <si>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</si>
  <si>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</si>
  <si>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</si>
  <si>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</si>
  <si>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</si>
  <si>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</si>
  <si>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</si>
  <si>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</si>
  <si>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</si>
  <si>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</si>
  <si>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</si>
  <si>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</si>
  <si>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</si>
  <si>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</si>
  <si>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</si>
  <si>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</si>
  <si>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</si>
  <si>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</si>
  <si>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</si>
  <si>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</si>
  <si>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</si>
  <si>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</si>
  <si>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</si>
  <si>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</si>
  <si>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</si>
  <si>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</si>
  <si>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</si>
  <si>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</si>
  <si>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</si>
  <si>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</si>
  <si>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</si>
  <si>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</si>
  <si>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</si>
  <si>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</si>
  <si>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</si>
  <si>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</si>
  <si>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</si>
  <si>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</si>
  <si>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</si>
  <si>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</si>
  <si>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</si>
  <si>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</si>
  <si>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</si>
  <si>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</si>
  <si>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</si>
  <si>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</si>
  <si>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</si>
  <si>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</si>
  <si>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</si>
  <si>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</si>
  <si>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</si>
  <si>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</si>
  <si>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</si>
  <si>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</si>
  <si>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</si>
  <si>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</si>
  <si>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</si>
  <si>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</si>
  <si>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</si>
  <si>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</si>
  <si>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</si>
  <si>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</si>
  <si>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</si>
  <si>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</si>
  <si>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</si>
  <si>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</si>
  <si>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</si>
  <si>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</si>
  <si>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</si>
  <si>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</si>
  <si>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</si>
  <si>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</si>
  <si>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</si>
  <si>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</si>
  <si>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</si>
  <si>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</si>
  <si>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</si>
  <si>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</si>
  <si>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</si>
  <si>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</si>
  <si>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</si>
  <si>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</si>
  <si>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</si>
  <si>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</si>
  <si>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</si>
  <si>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</si>
  <si>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</si>
  <si>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</si>
  <si>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</si>
  <si>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</si>
  <si>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</si>
  <si>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</si>
  <si>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</si>
  <si>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</si>
  <si>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</si>
  <si>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</si>
  <si>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</si>
  <si>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</si>
  <si>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</si>
  <si>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</si>
  <si>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</si>
  <si>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</si>
  <si>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</si>
  <si>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</si>
  <si>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</si>
  <si>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</si>
  <si>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</si>
  <si>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</si>
  <si>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</si>
  <si>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</si>
  <si>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</si>
  <si>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</si>
  <si>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</si>
  <si>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</si>
  <si>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</si>
  <si>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</si>
  <si>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</si>
  <si>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</si>
  <si>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</si>
  <si>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</si>
  <si>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</si>
  <si>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</si>
  <si>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</si>
  <si>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</si>
  <si>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</si>
  <si>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</si>
  <si>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</si>
  <si>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</si>
  <si>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</si>
  <si>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</si>
  <si>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</si>
  <si>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</si>
  <si>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</si>
  <si>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</si>
  <si>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</si>
  <si>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</si>
  <si>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</si>
  <si>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</si>
  <si>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</si>
  <si>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</si>
  <si>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</si>
  <si>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</si>
  <si>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</si>
  <si>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</si>
  <si>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</si>
  <si>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</si>
  <si>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</si>
  <si>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</si>
  <si>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</si>
  <si>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</si>
  <si>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</si>
  <si>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</si>
  <si>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</si>
  <si>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</si>
  <si>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</si>
  <si>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</si>
  <si>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</si>
  <si>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</si>
  <si>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</si>
  <si>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</si>
  <si>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</si>
  <si>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</si>
  <si>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</si>
  <si>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</si>
  <si>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</si>
  <si>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</si>
  <si>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</si>
  <si>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</si>
  <si>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</si>
  <si>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</si>
  <si>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</si>
  <si>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</si>
  <si>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</si>
  <si>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</si>
  <si>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</si>
  <si>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</si>
  <si>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</si>
  <si>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</si>
  <si>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</si>
  <si>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</si>
  <si>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</si>
  <si>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</si>
  <si>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</si>
  <si>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</si>
  <si>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</si>
  <si>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</si>
  <si>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</si>
  <si>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</si>
  <si>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</si>
  <si>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</si>
  <si>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</si>
  <si>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</si>
  <si>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</si>
  <si>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</si>
  <si>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</si>
  <si>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</si>
  <si>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</si>
  <si>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</si>
  <si>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</si>
  <si>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</si>
  <si>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</si>
  <si>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</si>
  <si>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</si>
  <si>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</si>
  <si>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</si>
  <si>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</si>
  <si>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</si>
  <si>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</si>
  <si>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</si>
  <si>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</si>
  <si>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</si>
  <si>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</si>
  <si>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</si>
  <si>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</si>
  <si>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</si>
  <si>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</si>
  <si>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</si>
  <si>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</si>
  <si>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</si>
  <si>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</si>
  <si>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</si>
  <si>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</si>
  <si>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</si>
  <si>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</si>
  <si>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</si>
  <si>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</si>
  <si>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</si>
  <si>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</si>
  <si>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</si>
  <si>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</si>
  <si>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</si>
  <si>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</si>
  <si>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</si>
  <si>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</si>
  <si>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</si>
  <si>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</si>
  <si>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</si>
  <si>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</si>
  <si>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</si>
  <si>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</si>
  <si>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</si>
  <si>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</si>
  <si>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</si>
  <si>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</si>
  <si>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</si>
  <si>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</si>
  <si>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</si>
  <si>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</si>
  <si>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</si>
  <si>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</si>
  <si>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</si>
  <si>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</si>
  <si>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</si>
  <si>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</si>
  <si>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</si>
  <si>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</si>
  <si>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</si>
  <si>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</si>
  <si>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</si>
  <si>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</si>
  <si>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</si>
  <si>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</si>
  <si>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</si>
  <si>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</si>
  <si>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</si>
  <si>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</si>
  <si>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</si>
  <si>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</si>
  <si>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</si>
  <si>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</si>
  <si>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</si>
  <si>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</si>
  <si>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</si>
  <si>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</si>
  <si>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</si>
  <si>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</si>
  <si>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</si>
  <si>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</si>
  <si>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</si>
  <si>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</si>
  <si>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</si>
  <si>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</si>
  <si>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</si>
  <si>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</si>
  <si>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</si>
  <si>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</si>
  <si>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</si>
  <si>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</si>
  <si>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</si>
  <si>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</si>
  <si>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</si>
  <si>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</si>
  <si>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</si>
  <si>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</si>
  <si>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</si>
  <si>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</si>
  <si>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</si>
  <si>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</si>
  <si>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</si>
  <si>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</si>
  <si>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</si>
  <si>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</si>
  <si>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</si>
  <si>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</si>
  <si>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</si>
  <si>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</si>
  <si>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</si>
  <si>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</si>
  <si>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</si>
  <si>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</si>
  <si>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</si>
  <si>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</si>
  <si>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</si>
  <si>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</si>
  <si>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</si>
  <si>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</si>
  <si>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</si>
  <si>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</si>
  <si>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</si>
  <si>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</si>
  <si>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</si>
  <si>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</si>
  <si>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</si>
  <si>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</si>
  <si>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</si>
  <si>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</si>
  <si>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</si>
  <si>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</si>
  <si>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</si>
  <si>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</si>
  <si>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</si>
  <si>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</si>
  <si>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</si>
  <si>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</si>
  <si>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</si>
  <si>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</si>
  <si>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</si>
  <si>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</si>
  <si>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</si>
  <si>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</si>
  <si>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</si>
  <si>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</si>
  <si>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</si>
  <si>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</si>
  <si>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</si>
  <si>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</si>
  <si>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</si>
  <si>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</si>
  <si>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</si>
  <si>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</si>
  <si>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</si>
  <si>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</si>
  <si>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</si>
  <si>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</si>
  <si>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</si>
  <si>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</si>
  <si>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</si>
  <si>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</si>
  <si>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</si>
  <si>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</si>
  <si>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</si>
  <si>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</si>
  <si>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</si>
  <si>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</si>
  <si>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</si>
  <si>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</si>
  <si>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</si>
  <si>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</si>
  <si>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</si>
  <si>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</si>
  <si>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</si>
  <si>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</si>
  <si>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</si>
  <si>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</si>
  <si>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</si>
  <si>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</si>
  <si>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</si>
  <si>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</si>
  <si>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</si>
  <si>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</si>
  <si>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</si>
  <si>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</si>
  <si>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</si>
  <si>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</si>
  <si>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</si>
  <si>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</si>
  <si>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</si>
  <si>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</si>
  <si>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</si>
  <si>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</si>
  <si>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</si>
  <si>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</si>
  <si>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</si>
  <si>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</si>
  <si>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</si>
  <si>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</si>
  <si>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</si>
  <si>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</si>
  <si>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</si>
  <si>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</si>
  <si>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</si>
  <si>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</si>
  <si>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</si>
  <si>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</si>
  <si>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</si>
  <si>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</si>
  <si>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</si>
  <si>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</si>
  <si>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</si>
  <si>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</si>
  <si>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</si>
  <si>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</si>
  <si>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</si>
  <si>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</si>
  <si>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</si>
  <si>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</si>
  <si>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</si>
  <si>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</si>
  <si>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</si>
  <si>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</si>
  <si>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</si>
  <si>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</si>
  <si>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</si>
  <si>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</si>
  <si>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</si>
  <si>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</si>
  <si>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</si>
  <si>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</si>
  <si>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</si>
  <si>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</si>
  <si>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</si>
  <si>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</si>
  <si>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</si>
  <si>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</si>
  <si>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</si>
  <si>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</si>
  <si>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</si>
  <si>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</si>
  <si>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</si>
  <si>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</si>
  <si>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</si>
  <si>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</si>
  <si>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</si>
  <si>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</si>
  <si>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</si>
  <si>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</si>
  <si>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</si>
  <si>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</si>
  <si>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</si>
  <si>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</si>
  <si>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</si>
  <si>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</si>
  <si>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</si>
  <si>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</si>
  <si>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</si>
  <si>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</si>
  <si>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</si>
  <si>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</si>
  <si>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</si>
  <si>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</si>
  <si>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</si>
  <si>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</si>
  <si>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</si>
  <si>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</si>
  <si>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</si>
  <si>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</si>
  <si>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</si>
  <si>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</si>
  <si>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</si>
  <si>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</si>
  <si>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</si>
  <si>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</si>
  <si>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</si>
  <si>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</si>
  <si>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</si>
  <si>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</si>
  <si>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</si>
  <si>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</si>
  <si>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</si>
  <si>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</si>
  <si>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</si>
  <si>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</si>
  <si>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</si>
  <si>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</si>
  <si>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</si>
  <si>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</si>
  <si>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</si>
  <si>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</si>
  <si>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</si>
  <si>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</si>
  <si>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</si>
  <si>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</si>
  <si>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</si>
  <si>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</si>
  <si>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</si>
  <si>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</si>
  <si>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</si>
  <si>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</si>
  <si>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</si>
  <si>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</si>
  <si>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</si>
  <si>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</si>
  <si>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</si>
  <si>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</si>
  <si>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</si>
  <si>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</si>
  <si>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</si>
  <si>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</si>
  <si>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</si>
  <si>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</si>
  <si>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</si>
  <si>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</si>
  <si>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</si>
  <si>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</si>
  <si>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</si>
  <si>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</si>
  <si>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</si>
  <si>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</si>
  <si>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</si>
  <si>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</si>
  <si>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</si>
  <si>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</si>
  <si>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</si>
  <si>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</si>
  <si>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</si>
  <si>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</si>
  <si>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</si>
  <si>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</si>
  <si>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</si>
  <si>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</si>
  <si>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</si>
  <si>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</si>
  <si>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</si>
  <si>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</si>
  <si>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</si>
  <si>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</si>
  <si>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</si>
  <si>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</si>
  <si>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</si>
  <si>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</si>
  <si>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</si>
  <si>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</si>
  <si>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</si>
  <si>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</si>
  <si>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</si>
  <si>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</si>
  <si>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</si>
  <si>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</si>
  <si>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</si>
  <si>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</si>
  <si>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</si>
  <si>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</si>
  <si>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</si>
  <si>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</si>
  <si>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</si>
  <si>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</si>
  <si>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</si>
  <si>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</si>
  <si>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</si>
  <si>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</si>
  <si>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</si>
  <si>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</si>
  <si>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</si>
  <si>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</si>
  <si>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</si>
  <si>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</si>
  <si>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</si>
  <si>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</si>
  <si>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</si>
  <si>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</si>
  <si>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</si>
  <si>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</si>
  <si>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</si>
  <si>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</si>
  <si>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</si>
  <si>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</si>
  <si>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</si>
  <si>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</si>
  <si>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</si>
  <si>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</si>
  <si>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</si>
  <si>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</si>
  <si>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</si>
  <si>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</si>
  <si>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</si>
  <si>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</si>
  <si>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</si>
  <si>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</si>
  <si>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</si>
  <si>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</si>
  <si>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</si>
  <si>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</si>
  <si>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</si>
  <si>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</si>
  <si>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</si>
  <si>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</si>
  <si>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</si>
  <si>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</si>
  <si>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</si>
  <si>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</si>
  <si>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</si>
  <si>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</si>
  <si>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</si>
  <si>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</si>
  <si>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</si>
  <si>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</si>
  <si>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</si>
  <si>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</si>
  <si>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</si>
  <si>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</si>
  <si>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</si>
  <si>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</si>
  <si>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</si>
  <si>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</si>
  <si>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</si>
  <si>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</si>
  <si>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</si>
  <si>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</si>
  <si>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</si>
  <si>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</si>
  <si>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</si>
  <si>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</si>
  <si>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</si>
  <si>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</si>
  <si>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</si>
  <si>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</si>
  <si>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</si>
  <si>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</si>
  <si>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</si>
  <si>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</si>
  <si>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</si>
  <si>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</si>
  <si>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</si>
  <si>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</si>
  <si>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</si>
  <si>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</si>
  <si>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</si>
  <si>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</si>
  <si>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</si>
  <si>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</si>
  <si>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</si>
  <si>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</si>
  <si>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</si>
  <si>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</si>
  <si>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</si>
  <si>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</si>
  <si>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</si>
  <si>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</si>
  <si>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</si>
  <si>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</si>
  <si>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</si>
  <si>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</si>
  <si>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</si>
  <si>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</si>
  <si>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</si>
  <si>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</si>
  <si>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</si>
  <si>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</si>
  <si>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</si>
  <si>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</si>
  <si>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</si>
  <si>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</si>
  <si>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</si>
  <si>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</si>
  <si>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</si>
  <si>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</si>
  <si>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</si>
  <si>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</si>
  <si>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</si>
  <si>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</si>
  <si>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</si>
  <si>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</si>
  <si>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</si>
  <si>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</si>
  <si>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</si>
  <si>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</si>
  <si>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</si>
  <si>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</si>
  <si>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</si>
  <si>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</si>
  <si>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</si>
  <si>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</si>
  <si>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</si>
  <si>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</si>
  <si>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</si>
  <si>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</si>
  <si>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</si>
  <si>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</si>
  <si>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</si>
  <si>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</si>
  <si>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</si>
  <si>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</si>
  <si>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</si>
  <si>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</si>
  <si>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</si>
  <si>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</si>
  <si>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</si>
  <si>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</si>
  <si>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</si>
  <si>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</si>
  <si>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</si>
  <si>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</si>
  <si>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</si>
  <si>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</si>
  <si>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</si>
  <si>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</si>
  <si>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</si>
  <si>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</si>
  <si>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</si>
  <si>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</si>
  <si>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</si>
  <si>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</si>
  <si>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</si>
  <si>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</si>
  <si>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</si>
  <si>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</si>
  <si>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</si>
  <si>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</si>
  <si>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</si>
  <si>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</si>
  <si>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</si>
  <si>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</si>
  <si>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</si>
  <si>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</si>
  <si>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</si>
  <si>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</si>
  <si>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</si>
  <si>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</si>
  <si>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</si>
  <si>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</si>
  <si>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</si>
  <si>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</si>
  <si>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</si>
  <si>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</si>
  <si>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</si>
  <si>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</si>
  <si>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</si>
  <si>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</si>
  <si>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</si>
  <si>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</si>
  <si>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</si>
  <si>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</si>
  <si>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</si>
  <si>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</si>
  <si>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</si>
  <si>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</si>
  <si>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</si>
  <si>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</si>
  <si>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</si>
  <si>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</si>
  <si>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</si>
  <si>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</si>
  <si>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</si>
  <si>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</si>
  <si>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</si>
  <si>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</si>
  <si>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</si>
  <si>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</si>
  <si>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</si>
  <si>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</si>
  <si>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</si>
  <si>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</si>
  <si>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</si>
  <si>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</si>
  <si>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</si>
  <si>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</si>
  <si>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</si>
  <si>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</si>
  <si>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</si>
  <si>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</si>
  <si>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</si>
  <si>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</si>
  <si>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</si>
  <si>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</si>
  <si>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</si>
  <si>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</si>
  <si>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</si>
  <si>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</si>
  <si>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</si>
  <si>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</si>
  <si>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</si>
  <si>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</si>
  <si>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</si>
  <si>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</si>
  <si>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</si>
  <si>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</si>
  <si>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</si>
  <si>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</si>
  <si>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</si>
  <si>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</si>
  <si>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</si>
  <si>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</si>
  <si>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</si>
  <si>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</si>
  <si>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</si>
  <si>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</si>
  <si>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</si>
  <si>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</si>
  <si>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</si>
  <si>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</si>
  <si>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</si>
  <si>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</si>
  <si>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</si>
  <si>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</si>
  <si>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</si>
  <si>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</si>
  <si>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</si>
  <si>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</si>
  <si>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</si>
  <si>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</si>
  <si>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</si>
  <si>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</si>
  <si>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</si>
  <si>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</si>
  <si>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</si>
  <si>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</si>
  <si>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</si>
  <si>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</si>
  <si>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</si>
  <si>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</si>
  <si>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</si>
  <si>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</si>
  <si>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</si>
  <si>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</si>
  <si>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</si>
  <si>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</si>
  <si>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</si>
  <si>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</si>
  <si>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</si>
  <si>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</si>
  <si>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</si>
  <si>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</si>
  <si>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</si>
  <si>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</si>
  <si>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</si>
  <si>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</si>
  <si>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</si>
  <si>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</si>
  <si>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</si>
  <si>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</si>
  <si>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</si>
  <si>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</si>
  <si>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</si>
  <si>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</si>
  <si>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</si>
  <si>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</si>
  <si>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</si>
  <si>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</si>
  <si>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</si>
  <si>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</si>
  <si>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</si>
  <si>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</si>
  <si>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</si>
  <si>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</si>
  <si>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</si>
  <si>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</si>
  <si>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</si>
  <si>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</si>
  <si>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</si>
  <si>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</si>
  <si>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</si>
  <si>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</si>
  <si>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</si>
  <si>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</si>
  <si>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</si>
  <si>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</si>
  <si>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</si>
  <si>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</si>
  <si>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</si>
  <si>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</si>
  <si>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</si>
  <si>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</si>
  <si>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</si>
  <si>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</si>
  <si>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</si>
  <si>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</si>
  <si>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</si>
  <si>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</si>
  <si>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</si>
  <si>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</si>
  <si>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</si>
  <si>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</si>
  <si>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</si>
  <si>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</si>
  <si>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</si>
  <si>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</si>
  <si>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</si>
  <si>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</si>
  <si>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</si>
  <si>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</si>
  <si>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</si>
  <si>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</si>
  <si>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</si>
  <si>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</si>
  <si>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</si>
  <si>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</si>
  <si>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</si>
  <si>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</si>
  <si>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</si>
  <si>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</si>
  <si>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</si>
  <si>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</si>
  <si>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</si>
  <si>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</si>
  <si>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</si>
  <si>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</si>
  <si>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</si>
  <si>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</si>
  <si>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</si>
  <si>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</si>
  <si>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</si>
  <si>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</si>
  <si>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</si>
  <si>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</si>
  <si>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</si>
  <si>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</si>
  <si>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</si>
  <si>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</si>
  <si>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</si>
  <si>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</si>
  <si>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</si>
  <si>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</si>
  <si>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</si>
  <si>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</si>
  <si>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</si>
  <si>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</si>
  <si>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</si>
  <si>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</si>
  <si>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</si>
  <si>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</si>
  <si>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</si>
  <si>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</si>
  <si>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</si>
  <si>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</si>
  <si>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</si>
  <si>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</si>
  <si>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</si>
  <si>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</si>
  <si>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</si>
  <si>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</si>
  <si>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</si>
  <si>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</si>
  <si>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</si>
  <si>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</si>
  <si>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</si>
  <si>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</si>
  <si>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</si>
  <si>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</si>
  <si>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</si>
  <si>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</si>
  <si>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</si>
  <si>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</si>
  <si>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</si>
  <si>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</si>
  <si>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</si>
  <si>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</si>
  <si>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</si>
  <si>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</si>
  <si>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</si>
  <si>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</si>
  <si>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</si>
  <si>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</si>
  <si>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</si>
  <si>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</si>
  <si>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</si>
  <si>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</si>
  <si>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</si>
  <si>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</si>
  <si>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</si>
  <si>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</si>
  <si>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</si>
  <si>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</si>
  <si>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</si>
  <si>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</si>
  <si>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</si>
  <si>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</si>
  <si>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</si>
  <si>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</si>
  <si>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</si>
  <si>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</si>
  <si>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</si>
  <si>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</si>
  <si>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</si>
  <si>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</si>
  <si>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</si>
  <si>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</si>
  <si>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</si>
  <si>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</si>
  <si>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</si>
  <si>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</si>
  <si>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</si>
  <si>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</si>
  <si>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</si>
  <si>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</si>
  <si>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</si>
  <si>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</si>
  <si>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</si>
  <si>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</si>
  <si>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</si>
  <si>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</si>
  <si>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</si>
  <si>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</si>
  <si>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</si>
  <si>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</si>
  <si>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</si>
  <si>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</si>
  <si>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</si>
  <si>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</si>
  <si>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</si>
  <si>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</si>
  <si>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</si>
  <si>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</si>
  <si>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</si>
  <si>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</si>
  <si>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</si>
  <si>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</si>
  <si>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</si>
  <si>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</si>
  <si>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</si>
  <si>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</si>
  <si>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</si>
  <si>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</si>
  <si>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</si>
  <si>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</si>
  <si>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</si>
  <si>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</si>
  <si>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</si>
  <si>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</si>
  <si>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</si>
  <si>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</si>
  <si>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</si>
  <si>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</si>
  <si>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</si>
  <si>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</si>
  <si>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</si>
  <si>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</si>
  <si>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</si>
  <si>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</si>
  <si>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</si>
  <si>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</si>
  <si>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</si>
  <si>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</si>
  <si>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</si>
  <si>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</si>
  <si>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</si>
  <si>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</si>
  <si>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</si>
  <si>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</si>
  <si>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</si>
  <si>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</si>
  <si>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</si>
  <si>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</si>
  <si>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</si>
  <si>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</si>
  <si>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</si>
  <si>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</si>
  <si>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</si>
  <si>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</si>
  <si>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</si>
  <si>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</si>
  <si>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</si>
  <si>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</si>
  <si>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</si>
  <si>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</si>
  <si>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</si>
  <si>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</si>
  <si>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</si>
  <si>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</si>
  <si>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</si>
  <si>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</si>
  <si>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</si>
  <si>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</si>
  <si>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</si>
  <si>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</si>
  <si>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</si>
  <si>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</si>
  <si>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</si>
  <si>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</si>
  <si>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</si>
  <si>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</si>
  <si>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</si>
  <si>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</si>
  <si>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</si>
  <si>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</si>
  <si>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</si>
  <si>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</si>
  <si>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</si>
  <si>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</si>
  <si>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</si>
  <si>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</si>
  <si>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</si>
  <si>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</si>
  <si>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</si>
  <si>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</si>
  <si>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</si>
  <si>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</si>
  <si>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</si>
  <si>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</si>
  <si>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</si>
  <si>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</si>
  <si>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</si>
  <si>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</si>
  <si>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</si>
  <si>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</si>
  <si>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</si>
  <si>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</si>
  <si>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</si>
  <si>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</si>
  <si>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</si>
  <si>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</si>
  <si>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</si>
  <si>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</si>
  <si>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</si>
  <si>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</si>
  <si>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</si>
  <si>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</si>
  <si>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</si>
  <si>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</si>
  <si>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</si>
  <si>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</si>
  <si>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</si>
  <si>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</si>
  <si>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</si>
  <si>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</si>
  <si>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</si>
  <si>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</si>
  <si>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</si>
  <si>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</si>
  <si>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</si>
  <si>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</si>
  <si>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</si>
  <si>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</si>
  <si>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</si>
  <si>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</si>
  <si>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</si>
  <si>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</si>
  <si>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</si>
  <si>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</si>
  <si>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</si>
  <si>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</si>
  <si>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</si>
  <si>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</si>
  <si>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</si>
  <si>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</si>
  <si>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</si>
  <si>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</si>
  <si>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</si>
  <si>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</si>
  <si>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</si>
  <si>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</si>
  <si>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</si>
  <si>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</si>
  <si>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</si>
  <si>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</si>
  <si>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</si>
  <si>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</si>
  <si>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</si>
  <si>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</si>
  <si>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</si>
  <si>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</si>
  <si>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</si>
  <si>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</si>
  <si>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</si>
  <si>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</si>
  <si>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</si>
  <si>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</si>
  <si>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</si>
  <si>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</si>
  <si>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</si>
  <si>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</si>
  <si>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</si>
  <si>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</si>
  <si>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</si>
  <si>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</si>
  <si>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</si>
  <si>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</si>
  <si>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</si>
  <si>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</si>
  <si>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</si>
  <si>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</si>
  <si>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</si>
  <si>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</si>
  <si>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</si>
  <si>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</si>
  <si>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</si>
  <si>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</si>
  <si>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</si>
  <si>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</si>
  <si>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</si>
  <si>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</si>
  <si>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</si>
  <si>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</si>
  <si>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</si>
  <si>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</si>
  <si>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</si>
  <si>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</si>
  <si>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</si>
  <si>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</si>
  <si>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</si>
  <si>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</si>
  <si>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</si>
  <si>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</si>
  <si>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</si>
  <si>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</si>
  <si>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</si>
  <si>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</si>
  <si>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</si>
  <si>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</si>
  <si>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</si>
  <si>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</si>
  <si>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</si>
  <si>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</si>
  <si>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</si>
  <si>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</si>
  <si>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</si>
  <si>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</si>
  <si>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</si>
  <si>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</si>
  <si>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</si>
  <si>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</si>
  <si>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</si>
  <si>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</si>
  <si>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</si>
  <si>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</si>
  <si>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</si>
  <si>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</si>
  <si>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</si>
  <si>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</si>
  <si>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</si>
  <si>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</si>
  <si>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</si>
  <si>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</si>
  <si>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</si>
  <si>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</si>
  <si>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</si>
  <si>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</si>
  <si>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</si>
  <si>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</si>
  <si>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</si>
  <si>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</si>
  <si>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</si>
  <si>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</si>
  <si>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</si>
  <si>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</si>
  <si>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</si>
  <si>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</si>
  <si>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</si>
  <si>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</si>
  <si>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</si>
  <si>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</si>
  <si>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</si>
  <si>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</si>
  <si>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</si>
  <si>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</si>
  <si>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</si>
  <si>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</si>
  <si>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</si>
  <si>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</si>
  <si>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</si>
  <si>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</si>
  <si>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</si>
  <si>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</si>
  <si>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</si>
  <si>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</si>
  <si>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</si>
  <si>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</si>
  <si>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</si>
  <si>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</si>
  <si>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</si>
  <si>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</si>
  <si>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</si>
  <si>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</si>
  <si>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</si>
  <si>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</si>
  <si>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</si>
  <si>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</si>
  <si>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</si>
  <si>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</si>
  <si>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</si>
  <si>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</si>
  <si>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</si>
  <si>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</si>
  <si>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</si>
  <si>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</si>
  <si>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</si>
  <si>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</si>
  <si>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</si>
  <si>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</si>
  <si>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</si>
  <si>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</si>
  <si>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</si>
  <si>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</si>
  <si>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</si>
  <si>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</si>
  <si>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</si>
  <si>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</si>
  <si>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</si>
  <si>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</si>
  <si>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</si>
  <si>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</si>
  <si>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</si>
  <si>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</si>
  <si>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</si>
  <si>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</si>
  <si>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</si>
  <si>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</si>
  <si>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</si>
  <si>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</si>
  <si>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</si>
  <si>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</si>
  <si>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</si>
  <si>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</si>
  <si>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</si>
  <si>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</si>
  <si>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</si>
  <si>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</si>
  <si>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</si>
  <si>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</si>
  <si>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</si>
  <si>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</si>
  <si>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</si>
  <si>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</si>
  <si>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</si>
  <si>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</si>
  <si>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</si>
  <si>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</si>
  <si>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</si>
  <si>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</si>
  <si>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</si>
  <si>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</si>
  <si>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</si>
  <si>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</si>
  <si>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</si>
  <si>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</si>
  <si>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</si>
  <si>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</si>
  <si>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</si>
  <si>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</si>
  <si>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</si>
  <si>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</si>
  <si>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</si>
  <si>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</si>
  <si>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</si>
  <si>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</si>
  <si>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</si>
  <si>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</si>
  <si>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</si>
  <si>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</si>
  <si>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</si>
  <si>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</si>
  <si>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</si>
  <si>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</si>
  <si>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</si>
  <si>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</si>
  <si>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</si>
  <si>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</si>
  <si>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</si>
  <si>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</si>
  <si>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</si>
  <si>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</si>
  <si>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</si>
  <si>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</si>
  <si>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</si>
  <si>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</si>
  <si>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</si>
  <si>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</si>
  <si>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</si>
  <si>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</si>
  <si>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</si>
  <si>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</si>
  <si>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</si>
  <si>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</si>
  <si>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</si>
  <si>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</si>
  <si>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</si>
  <si>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</si>
  <si>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</si>
  <si>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</si>
  <si>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</si>
  <si>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</si>
  <si>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</si>
  <si>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</si>
  <si>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</si>
  <si>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</si>
  <si>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</si>
  <si>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</si>
  <si>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</si>
  <si>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</si>
  <si>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</si>
  <si>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</si>
  <si>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</si>
  <si>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</si>
  <si>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</si>
  <si>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</si>
  <si>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</si>
  <si>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</si>
  <si>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</si>
  <si>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</si>
  <si>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</si>
  <si>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</si>
  <si>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</si>
  <si>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</si>
  <si>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</si>
  <si>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</si>
  <si>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</si>
  <si>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</si>
  <si>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</si>
  <si>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</si>
  <si>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</si>
  <si>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</si>
  <si>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</si>
  <si>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</si>
  <si>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</si>
  <si>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</si>
  <si>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</si>
  <si>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</si>
  <si>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</si>
  <si>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</si>
  <si>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</si>
  <si>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</si>
  <si>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</si>
  <si>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</si>
  <si>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</si>
  <si>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</si>
  <si>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</si>
  <si>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</si>
  <si>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</si>
  <si>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</si>
  <si>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</si>
  <si>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</si>
  <si>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</si>
  <si>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</si>
  <si>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</si>
  <si>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</si>
  <si>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</si>
  <si>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</si>
  <si>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</si>
  <si>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</si>
  <si>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</si>
  <si>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</si>
  <si>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</si>
  <si>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</si>
  <si>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</si>
  <si>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</si>
  <si>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</si>
  <si>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</si>
  <si>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</si>
  <si>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</si>
  <si>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</si>
  <si>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</si>
  <si>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</si>
  <si>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</si>
  <si>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</si>
  <si>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</si>
  <si>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</si>
  <si>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</si>
  <si>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</si>
  <si>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</si>
  <si>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</si>
  <si>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</si>
  <si>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</si>
  <si>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</si>
  <si>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</si>
  <si>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</si>
  <si>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</si>
  <si>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</si>
  <si>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</si>
  <si>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</si>
  <si>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</si>
  <si>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</si>
  <si>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</si>
  <si>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</si>
  <si>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</si>
  <si>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</si>
  <si>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</si>
  <si>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</si>
  <si>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</si>
  <si>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</si>
  <si>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</si>
  <si>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</si>
  <si>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</si>
  <si>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</si>
  <si>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</si>
  <si>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</si>
  <si>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</si>
  <si>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</si>
  <si>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</si>
  <si>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</si>
  <si>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</si>
  <si>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</si>
  <si>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</si>
  <si>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</si>
  <si>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</si>
  <si>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</si>
  <si>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</si>
  <si>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</si>
  <si>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</si>
  <si>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</si>
  <si>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</si>
  <si>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</si>
  <si>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</si>
  <si>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</si>
  <si>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</si>
  <si>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</si>
  <si>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</si>
  <si>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</si>
  <si>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</si>
  <si>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</si>
  <si>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</si>
  <si>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</si>
  <si>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</si>
  <si>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</si>
  <si>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</si>
  <si>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</si>
  <si>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</si>
  <si>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</si>
  <si>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</si>
  <si>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</si>
  <si>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</si>
  <si>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</si>
  <si>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</si>
  <si>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</si>
  <si>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</si>
  <si>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</si>
  <si>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</si>
  <si>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</si>
  <si>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</si>
  <si>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</si>
  <si>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</si>
  <si>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</si>
  <si>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</si>
  <si>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</si>
  <si>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</si>
  <si>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</si>
  <si>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</si>
  <si>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</si>
  <si>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</si>
  <si>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</si>
  <si>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</si>
  <si>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</si>
  <si>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</si>
  <si>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</si>
  <si>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</si>
  <si>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</si>
  <si>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</si>
  <si>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</si>
  <si>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</si>
  <si>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</si>
  <si>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</si>
  <si>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</si>
  <si>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</si>
  <si>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</si>
  <si>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</si>
  <si>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</si>
  <si>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</si>
  <si>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</si>
  <si>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</si>
  <si>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</si>
  <si>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</si>
  <si>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</si>
  <si>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</si>
  <si>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</si>
  <si>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</si>
  <si>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</si>
  <si>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</si>
  <si>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</si>
  <si>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</si>
  <si>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</si>
  <si>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</si>
  <si>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</si>
  <si>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</si>
  <si>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</si>
  <si>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</si>
  <si>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</si>
  <si>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</si>
  <si>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</si>
  <si>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</si>
  <si>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</si>
  <si>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</si>
  <si>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</si>
  <si>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</si>
  <si>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</si>
  <si>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</si>
  <si>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</si>
  <si>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</si>
  <si>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</si>
  <si>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</si>
  <si>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</si>
  <si>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</si>
  <si>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</si>
  <si>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</si>
  <si>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</si>
  <si>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</si>
  <si>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</si>
  <si>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</si>
  <si>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</si>
  <si>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</si>
  <si>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</si>
  <si>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</si>
  <si>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</si>
  <si>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</si>
  <si>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</si>
  <si>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</si>
  <si>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</si>
  <si>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</si>
  <si>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</si>
  <si>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</si>
  <si>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</si>
  <si>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</si>
  <si>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</si>
  <si>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</si>
  <si>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</si>
  <si>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</si>
  <si>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</si>
  <si>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</si>
  <si>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</si>
  <si>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</si>
  <si>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</si>
  <si>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</si>
  <si>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</si>
  <si>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</si>
  <si>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</si>
  <si>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</si>
  <si>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</si>
  <si>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</si>
  <si>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</si>
  <si>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</si>
  <si>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</si>
  <si>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</si>
  <si>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</si>
  <si>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</si>
  <si>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</si>
  <si>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</si>
  <si>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</si>
  <si>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</si>
  <si>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</si>
  <si>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</si>
  <si>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</si>
  <si>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</si>
  <si>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</si>
  <si>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</si>
  <si>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</si>
  <si>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</si>
  <si>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</si>
  <si>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</si>
  <si>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</si>
  <si>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</si>
  <si>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</si>
  <si>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</si>
  <si>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</si>
  <si>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</si>
  <si>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</si>
  <si>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</si>
  <si>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</si>
  <si>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</si>
  <si>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</si>
  <si>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</si>
  <si>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</si>
  <si>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</si>
  <si>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</si>
  <si>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</si>
  <si>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</si>
  <si>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</si>
  <si>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</si>
  <si>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</si>
  <si>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</si>
  <si>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</si>
  <si>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</si>
  <si>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</si>
  <si>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</si>
  <si>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</si>
  <si>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</si>
  <si>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</si>
  <si>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</si>
  <si>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</si>
  <si>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</si>
  <si>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</si>
  <si>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</si>
  <si>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</si>
  <si>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</si>
  <si>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</si>
  <si>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</si>
  <si>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</si>
  <si>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</si>
  <si>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</si>
  <si>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</si>
  <si>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</si>
  <si>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</si>
  <si>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</si>
  <si>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</si>
  <si>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</si>
  <si>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</si>
  <si>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</si>
  <si>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</si>
  <si>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</si>
  <si>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</si>
  <si>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</si>
  <si>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</si>
  <si>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</si>
  <si>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</si>
  <si>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</si>
  <si>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</si>
  <si>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</si>
  <si>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</si>
  <si>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</si>
  <si>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</si>
  <si>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</si>
  <si>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</si>
  <si>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</si>
  <si>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</si>
  <si>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</si>
  <si>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</si>
  <si>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</si>
  <si>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</si>
  <si>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</si>
  <si>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</si>
  <si>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</si>
  <si>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</si>
  <si>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</si>
  <si>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</si>
  <si>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</si>
  <si>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</si>
  <si>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</si>
  <si>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</si>
  <si>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</si>
  <si>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</si>
  <si>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</si>
  <si>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</si>
  <si>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</si>
  <si>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</si>
  <si>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</si>
  <si>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</si>
  <si>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</si>
  <si>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</si>
  <si>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</si>
  <si>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</si>
  <si>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</si>
  <si>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</si>
  <si>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</si>
  <si>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</si>
  <si>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</si>
  <si>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</si>
  <si>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</si>
  <si>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</si>
  <si>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</si>
  <si>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</si>
  <si>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</si>
  <si>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</si>
  <si>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</si>
  <si>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</si>
  <si>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</si>
  <si>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</si>
  <si>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</si>
  <si>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</si>
  <si>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</si>
  <si>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</si>
  <si>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</si>
  <si>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</si>
  <si>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</si>
  <si>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</si>
  <si>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</si>
  <si>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</si>
  <si>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</si>
  <si>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</si>
  <si>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</si>
  <si>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</si>
  <si>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</si>
  <si>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</si>
  <si>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</si>
  <si>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</si>
  <si>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</si>
  <si>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</si>
  <si>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</si>
  <si>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</si>
  <si>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</si>
  <si>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</si>
  <si>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</si>
  <si>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</si>
  <si>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</si>
  <si>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</si>
  <si>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</si>
  <si>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</si>
  <si>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</si>
  <si>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</si>
  <si>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</si>
  <si>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</si>
  <si>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</si>
  <si>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</si>
  <si>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</si>
  <si>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</si>
  <si>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</si>
  <si>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</si>
  <si>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</si>
  <si>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</si>
  <si>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</si>
  <si>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</si>
  <si>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</si>
  <si>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</si>
  <si>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</si>
  <si>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</si>
  <si>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</si>
  <si>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</si>
  <si>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</si>
  <si>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</si>
  <si>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</si>
  <si>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</si>
  <si>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</si>
  <si>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</si>
  <si>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</si>
  <si>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</si>
  <si>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</si>
  <si>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</si>
  <si>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</si>
  <si>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</si>
  <si>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</si>
  <si>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</si>
  <si>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</si>
  <si>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</si>
  <si>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</si>
  <si>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</si>
  <si>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</si>
  <si>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</si>
  <si>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</si>
  <si>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</si>
  <si>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</si>
  <si>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</si>
  <si>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</si>
  <si>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</si>
  <si>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</si>
  <si>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</si>
  <si>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</si>
  <si>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</si>
  <si>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</si>
  <si>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</si>
  <si>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</si>
  <si>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</si>
  <si>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</si>
  <si>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</si>
  <si>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</si>
  <si>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</si>
  <si>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</si>
  <si>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</si>
  <si>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</si>
  <si>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</si>
  <si>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</si>
  <si>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</si>
  <si>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</si>
  <si>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</si>
  <si>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</si>
  <si>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</si>
  <si>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</si>
  <si>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</si>
  <si>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</si>
  <si>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</si>
  <si>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</si>
  <si>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</si>
  <si>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</si>
  <si>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</si>
  <si>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</si>
  <si>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</si>
  <si>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</si>
  <si>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</si>
  <si>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</si>
  <si>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</si>
  <si>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</si>
  <si>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</si>
  <si>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</si>
  <si>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</si>
  <si>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</si>
  <si>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</si>
  <si>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</si>
  <si>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</si>
  <si>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</si>
  <si>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</si>
  <si>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</si>
  <si>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</si>
  <si>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</si>
  <si>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</si>
  <si>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</si>
  <si>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</si>
  <si>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</si>
  <si>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</si>
  <si>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</si>
  <si>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</si>
  <si>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</si>
  <si>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</si>
  <si>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</si>
  <si>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</si>
  <si>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</si>
  <si>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</si>
  <si>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</si>
  <si>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</si>
  <si>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</si>
  <si>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</si>
  <si>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</si>
  <si>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</si>
  <si>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</si>
  <si>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</si>
  <si>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</si>
  <si>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</si>
  <si>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</si>
  <si>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</si>
  <si>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</si>
  <si>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</si>
  <si>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</si>
  <si>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2 tooths</t>
  </si>
  <si>
    <t>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</si>
</sst>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60" outlineLevel="3" x14ac:dyDescent="0.2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2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3525</v>
      </c>
      <c r="H37" s="14"/>
      <c r="I37" s="14" t="s">
        <v>3526</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3527</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3528</v>
      </c>
      <c r="H42" s="18" t="s">
        <v>3529</v>
      </c>
      <c r="I42" s="18" t="s">
        <v>3530</v>
      </c>
      <c r="J42" s="18" t="s">
        <v>3531</v>
      </c>
      <c r="K42" s="18" t="s">
        <v>3532</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3537</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3538</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3541</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3539</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3540</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2935</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2569</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2318</v>
      </c>
      <c r="I64" t="s">
        <v>2319</v>
      </c>
      <c r="K64" t="s">
        <v>2727</v>
      </c>
      <c r="M64" t="s">
        <v>2728</v>
      </c>
    </row>
    <row r="65" spans="7:13" x14ac:dyDescent="0.25">
      <c r="G65" s="338" t="s">
        <v>4</v>
      </c>
      <c r="I65" s="338" t="s">
        <v>2320</v>
      </c>
      <c r="K65" s="338" t="s">
        <v>45</v>
      </c>
      <c r="M65" s="432" t="s">
        <v>2729</v>
      </c>
    </row>
    <row r="66" spans="7:13" x14ac:dyDescent="0.25">
      <c r="G66" s="339" t="s">
        <v>2312</v>
      </c>
      <c r="I66" s="339" t="s">
        <v>2586</v>
      </c>
      <c r="K66" s="339" t="s">
        <v>2936</v>
      </c>
      <c r="M66" s="433" t="s">
        <v>2730</v>
      </c>
    </row>
    <row r="67" spans="7:13" ht="45" x14ac:dyDescent="0.25">
      <c r="G67" s="339" t="s">
        <v>10</v>
      </c>
      <c r="I67" s="339" t="s">
        <v>4</v>
      </c>
      <c r="K67" s="339" t="s">
        <v>2719</v>
      </c>
      <c r="M67" s="433" t="s">
        <v>2731</v>
      </c>
    </row>
    <row r="68" spans="7:13" ht="30" x14ac:dyDescent="0.25">
      <c r="G68" t="s">
        <v>60</v>
      </c>
      <c r="H68" s="343"/>
      <c r="I68" s="339" t="s">
        <v>2312</v>
      </c>
      <c r="K68" s="339" t="s">
        <v>2720</v>
      </c>
      <c r="M68" s="434" t="s">
        <v>2732</v>
      </c>
    </row>
    <row r="69" spans="7:13" x14ac:dyDescent="0.25">
      <c r="G69" s="339" t="s">
        <v>61</v>
      </c>
      <c r="I69" s="339" t="s">
        <v>10</v>
      </c>
      <c r="K69" s="340" t="s">
        <v>2937</v>
      </c>
    </row>
    <row r="70" spans="7:13" x14ac:dyDescent="0.25">
      <c r="G70" s="339" t="s">
        <v>62</v>
      </c>
      <c r="I70" s="339" t="s">
        <v>60</v>
      </c>
    </row>
    <row r="71" spans="7:13" x14ac:dyDescent="0.25">
      <c r="G71" s="339" t="s">
        <v>7</v>
      </c>
      <c r="I71" s="339" t="s">
        <v>61</v>
      </c>
    </row>
    <row r="72" spans="7:13" x14ac:dyDescent="0.25">
      <c r="G72" s="339" t="s">
        <v>3311</v>
      </c>
      <c r="I72" s="339" t="s">
        <v>2321</v>
      </c>
    </row>
    <row r="73" spans="7:13" x14ac:dyDescent="0.25">
      <c r="G73" s="339" t="s">
        <v>3236</v>
      </c>
      <c r="I73" s="339" t="s">
        <v>107</v>
      </c>
    </row>
    <row r="74" spans="7:13" x14ac:dyDescent="0.25">
      <c r="G74" s="339" t="s">
        <v>6</v>
      </c>
      <c r="I74" s="339" t="s">
        <v>62</v>
      </c>
    </row>
    <row r="75" spans="7:13" x14ac:dyDescent="0.25">
      <c r="G75" s="339" t="s">
        <v>2316</v>
      </c>
      <c r="I75" s="339" t="s">
        <v>7</v>
      </c>
    </row>
    <row r="76" spans="7:13" x14ac:dyDescent="0.25">
      <c r="G76" s="339" t="s">
        <v>72</v>
      </c>
      <c r="I76" s="339" t="s">
        <v>3311</v>
      </c>
    </row>
    <row r="77" spans="7:13" x14ac:dyDescent="0.25">
      <c r="G77" s="339" t="s">
        <v>9</v>
      </c>
      <c r="I77" s="339" t="s">
        <v>113</v>
      </c>
    </row>
    <row r="78" spans="7:13" x14ac:dyDescent="0.25">
      <c r="G78" s="339" t="s">
        <v>2315</v>
      </c>
      <c r="I78" s="339" t="s">
        <v>3236</v>
      </c>
    </row>
    <row r="79" spans="7:13" x14ac:dyDescent="0.25">
      <c r="G79" s="339" t="s">
        <v>63</v>
      </c>
      <c r="I79" s="339" t="s">
        <v>6</v>
      </c>
    </row>
    <row r="80" spans="7:13" x14ac:dyDescent="0.25">
      <c r="G80" s="339" t="s">
        <v>5</v>
      </c>
      <c r="I80" s="339" t="s">
        <v>2316</v>
      </c>
    </row>
    <row r="81" spans="7:9" x14ac:dyDescent="0.25">
      <c r="G81" s="339" t="s">
        <v>2314</v>
      </c>
      <c r="I81" s="339" t="s">
        <v>72</v>
      </c>
    </row>
    <row r="82" spans="7:9" x14ac:dyDescent="0.25">
      <c r="G82" s="339" t="s">
        <v>8</v>
      </c>
      <c r="I82" s="339" t="s">
        <v>9</v>
      </c>
    </row>
    <row r="83" spans="7:9" x14ac:dyDescent="0.25">
      <c r="G83" s="340" t="s">
        <v>2313</v>
      </c>
      <c r="I83" s="339" t="s">
        <v>2315</v>
      </c>
    </row>
    <row r="84" spans="7:9" x14ac:dyDescent="0.25">
      <c r="I84" s="339" t="s">
        <v>2322</v>
      </c>
    </row>
    <row r="85" spans="7:9" x14ac:dyDescent="0.25">
      <c r="I85" s="339" t="s">
        <v>2572</v>
      </c>
    </row>
    <row r="86" spans="7:9" x14ac:dyDescent="0.25">
      <c r="I86" s="339" t="s">
        <v>2323</v>
      </c>
    </row>
    <row r="87" spans="7:9" x14ac:dyDescent="0.25">
      <c r="I87" s="339" t="s">
        <v>106</v>
      </c>
    </row>
    <row r="88" spans="7:9" x14ac:dyDescent="0.25">
      <c r="I88" s="339" t="s">
        <v>2324</v>
      </c>
    </row>
    <row r="89" spans="7:9" x14ac:dyDescent="0.25">
      <c r="I89" s="339" t="s">
        <v>108</v>
      </c>
    </row>
    <row r="90" spans="7:9" x14ac:dyDescent="0.25">
      <c r="I90" s="339" t="s">
        <v>63</v>
      </c>
    </row>
    <row r="91" spans="7:9" x14ac:dyDescent="0.25">
      <c r="I91" s="339" t="s">
        <v>5</v>
      </c>
    </row>
    <row r="92" spans="7:9" x14ac:dyDescent="0.25">
      <c r="I92" s="339" t="s">
        <v>2314</v>
      </c>
    </row>
    <row r="93" spans="7:9" x14ac:dyDescent="0.25">
      <c r="I93" s="339" t="s">
        <v>2325</v>
      </c>
    </row>
    <row r="94" spans="7:9" x14ac:dyDescent="0.25">
      <c r="I94" s="339" t="s">
        <v>109</v>
      </c>
    </row>
    <row r="95" spans="7:9" x14ac:dyDescent="0.25">
      <c r="I95" s="339" t="s">
        <v>8</v>
      </c>
    </row>
    <row r="96" spans="7:9" x14ac:dyDescent="0.25">
      <c r="I96"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3042</v>
      </c>
    </row>
    <row r="9" spans="1:3" x14ac:dyDescent="0.25">
      <c r="A9" s="341" t="str">
        <f>General!G65</f>
        <v>b</v>
      </c>
      <c r="B9">
        <v>680</v>
      </c>
      <c r="C9" s="1" t="s">
        <v>2914</v>
      </c>
    </row>
    <row r="10" spans="1:3" x14ac:dyDescent="0.25">
      <c r="A10" s="341" t="str">
        <f>General!G66</f>
        <v>bd</v>
      </c>
      <c r="B10">
        <v>680</v>
      </c>
      <c r="C10" s="1" t="s">
        <v>2914</v>
      </c>
    </row>
    <row r="11" spans="1:3" x14ac:dyDescent="0.25">
      <c r="A11" s="341" t="str">
        <f>General!G67</f>
        <v>f</v>
      </c>
      <c r="B11">
        <v>680</v>
      </c>
      <c r="C11" s="1" t="s">
        <v>2914</v>
      </c>
    </row>
    <row r="12" spans="1:3" x14ac:dyDescent="0.25">
      <c r="A12" s="341" t="str">
        <f>General!G68</f>
        <v>h</v>
      </c>
      <c r="B12">
        <v>680</v>
      </c>
      <c r="C12" s="1" t="s">
        <v>2914</v>
      </c>
    </row>
    <row r="13" spans="1:3" x14ac:dyDescent="0.25">
      <c r="A13" s="341" t="str">
        <f>General!G69</f>
        <v>i</v>
      </c>
      <c r="B13">
        <v>680</v>
      </c>
      <c r="C13" s="1" t="s">
        <v>2914</v>
      </c>
    </row>
    <row r="14" spans="1:3" x14ac:dyDescent="0.25">
      <c r="A14" s="341" t="str">
        <f>General!G70</f>
        <v>k</v>
      </c>
      <c r="B14">
        <v>680</v>
      </c>
      <c r="C14" s="1" t="s">
        <v>2914</v>
      </c>
    </row>
    <row r="15" spans="1:3" x14ac:dyDescent="0.25">
      <c r="A15" s="341" t="str">
        <f>General!G71</f>
        <v>l</v>
      </c>
      <c r="B15">
        <v>680</v>
      </c>
      <c r="C15" s="1" t="s">
        <v>2914</v>
      </c>
    </row>
    <row r="16" spans="1:3" x14ac:dyDescent="0.25">
      <c r="A16" s="341" t="str">
        <f>General!G72</f>
        <v>lf</v>
      </c>
      <c r="B16">
        <v>680</v>
      </c>
      <c r="C16" s="1" t="s">
        <v>2914</v>
      </c>
    </row>
    <row r="17" spans="1:3" x14ac:dyDescent="0.25">
      <c r="A17" s="341" t="str">
        <f>General!G73</f>
        <v>ms</v>
      </c>
      <c r="B17">
        <v>680</v>
      </c>
      <c r="C17" s="1" t="s">
        <v>2914</v>
      </c>
    </row>
    <row r="18" spans="1:3" x14ac:dyDescent="0.25">
      <c r="A18" s="341" t="str">
        <f>General!G74</f>
        <v>o</v>
      </c>
      <c r="B18">
        <v>680</v>
      </c>
      <c r="C18" s="1" t="s">
        <v>2914</v>
      </c>
    </row>
    <row r="19" spans="1:3" x14ac:dyDescent="0.25">
      <c r="A19" s="341" t="str">
        <f>General!G75</f>
        <v>od</v>
      </c>
      <c r="B19">
        <v>680</v>
      </c>
      <c r="C19" s="1" t="s">
        <v>2914</v>
      </c>
    </row>
    <row r="20" spans="1:3" x14ac:dyDescent="0.25">
      <c r="A20" s="341" t="str">
        <f>General!G76</f>
        <v>of</v>
      </c>
      <c r="B20">
        <v>680</v>
      </c>
      <c r="C20" s="1" t="s">
        <v>2914</v>
      </c>
    </row>
    <row r="21" spans="1:3" x14ac:dyDescent="0.25">
      <c r="A21" s="341" t="str">
        <f>General!G77</f>
        <v>r</v>
      </c>
      <c r="B21">
        <v>680</v>
      </c>
      <c r="C21" s="1" t="s">
        <v>2914</v>
      </c>
    </row>
    <row r="22" spans="1:3" x14ac:dyDescent="0.25">
      <c r="A22" s="341" t="str">
        <f>General!G78</f>
        <v>rd</v>
      </c>
      <c r="B22">
        <v>680</v>
      </c>
      <c r="C22" s="1" t="s">
        <v>2914</v>
      </c>
    </row>
    <row r="23" spans="1:3" x14ac:dyDescent="0.25">
      <c r="A23" s="341" t="str">
        <f>General!G79</f>
        <v>v</v>
      </c>
      <c r="B23">
        <v>680</v>
      </c>
      <c r="C23" s="1" t="s">
        <v>2914</v>
      </c>
    </row>
    <row r="24" spans="1:3" x14ac:dyDescent="0.25">
      <c r="A24" s="341" t="str">
        <f>General!G80</f>
        <v>w</v>
      </c>
      <c r="B24">
        <v>680</v>
      </c>
      <c r="C24" s="1" t="s">
        <v>2914</v>
      </c>
    </row>
    <row r="25" spans="1:3" x14ac:dyDescent="0.25">
      <c r="A25" s="341" t="str">
        <f>General!G81</f>
        <v>wd</v>
      </c>
      <c r="B25">
        <v>680</v>
      </c>
      <c r="C25" s="1" t="s">
        <v>2914</v>
      </c>
    </row>
    <row r="26" spans="1:3" x14ac:dyDescent="0.25">
      <c r="A26" s="341" t="str">
        <f>General!G82</f>
        <v>z</v>
      </c>
      <c r="B26">
        <v>680</v>
      </c>
      <c r="C26" s="1" t="s">
        <v>2914</v>
      </c>
    </row>
    <row r="27" spans="1:3" x14ac:dyDescent="0.25">
      <c r="A27" s="341" t="str">
        <f>General!G83</f>
        <v>zd</v>
      </c>
      <c r="B27">
        <v>680</v>
      </c>
      <c r="C27" s="1" t="s">
        <v>2914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2275</v>
      </c>
      <c r="B48">
        <v>50</v>
      </c>
      <c r="K48" s="1" t="s">
        <v>2276</v>
      </c>
    </row>
    <row r="49" spans="1:27" x14ac:dyDescent="0.2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2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25">
      <c r="A51" t="s">
        <v>59</v>
      </c>
      <c r="B51" t="s">
        <v>3302</v>
      </c>
      <c r="C51" t="s">
        <v>3304</v>
      </c>
      <c r="D51" t="s">
        <v>2277</v>
      </c>
      <c r="E51" t="s">
        <v>64</v>
      </c>
      <c r="F51" t="s">
        <v>65</v>
      </c>
      <c r="G51" t="s">
        <v>3275</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3272</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2223</v>
      </c>
      <c r="B9" s="42">
        <v>0</v>
      </c>
    </row>
    <row r="10" spans="1:2" x14ac:dyDescent="0.25">
      <c r="A10" t="s">
        <v>2224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3051</v>
      </c>
    </row>
    <row r="19" spans="1:2" ht="30" x14ac:dyDescent="0.25">
      <c r="A19" s="5" t="s">
        <v>3050</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3306</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3303</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3238</v>
      </c>
      <c r="H54" s="28"/>
      <c r="I54" s="41" t="s">
        <v>3237</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3239</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3240</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3241</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3242</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2327</v>
      </c>
      <c r="K88" t="s">
        <v>2329</v>
      </c>
      <c r="L88" t="s">
        <v>2328</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3274</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3273</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3053</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3054</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3055</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3056</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3057</v>
      </c>
      <c r="J35" s="28"/>
      <c r="K35" s="14" t="s">
        <v>3058</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3059</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3060</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3061</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3062</v>
      </c>
      <c r="J54" s="513" t="s">
        <v>3063</v>
      </c>
      <c r="K54" s="513" t="s">
        <v>3064</v>
      </c>
      <c r="L54" s="513" t="s">
        <v>3065</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3066</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3054</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3067</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3068</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3069</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3070</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3071</v>
      </c>
      <c r="I161" s="28" t="s">
        <v>3072</v>
      </c>
      <c r="J161" s="28" t="s">
        <v>3073</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3074</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2320</v>
      </c>
      <c r="I186" s="538" t="s">
        <v>4</v>
      </c>
      <c r="J186" s="538" t="s">
        <v>3075</v>
      </c>
      <c r="K186" s="538" t="s">
        <v>531</v>
      </c>
      <c r="L186" s="539" t="s">
        <v>3076</v>
      </c>
      <c r="M186" s="540" t="s">
        <v>10</v>
      </c>
      <c r="N186" s="540" t="s">
        <v>3077</v>
      </c>
      <c r="O186" s="540" t="s">
        <v>60</v>
      </c>
      <c r="P186" s="541" t="s">
        <v>61</v>
      </c>
      <c r="Q186" s="542" t="s">
        <v>2321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3078</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3079</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3080</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3081</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3082</v>
      </c>
      <c r="K205" s="21" t="s">
        <v>3083</v>
      </c>
      <c r="L205" s="21" t="s">
        <v>3084</v>
      </c>
      <c r="M205" s="21" t="s">
        <v>3085</v>
      </c>
      <c r="N205" s="21" t="s">
        <v>3086</v>
      </c>
      <c r="O205" s="21" t="s">
        <v>3087</v>
      </c>
      <c r="P205" s="21" t="s">
        <v>3088</v>
      </c>
      <c r="Q205" s="21" t="s">
        <v>3089</v>
      </c>
      <c r="R205" s="21" t="s">
        <v>3090</v>
      </c>
      <c r="S205" s="21" t="s">
        <v>3091</v>
      </c>
      <c r="T205" s="21" t="s">
        <v>3092</v>
      </c>
      <c r="U205" s="21" t="s">
        <v>3093</v>
      </c>
      <c r="V205" s="21" t="s">
        <v>3094</v>
      </c>
      <c r="W205" s="21" t="s">
        <v>3095</v>
      </c>
      <c r="X205" s="21" t="s">
        <v>3096</v>
      </c>
      <c r="Y205" s="21" t="s">
        <v>3097</v>
      </c>
      <c r="Z205" s="21" t="s">
        <v>3098</v>
      </c>
      <c r="AA205" s="21" t="s">
        <v>3099</v>
      </c>
      <c r="AB205" s="21" t="s">
        <v>3100</v>
      </c>
      <c r="AC205" s="21" t="s">
        <v>3101</v>
      </c>
      <c r="AD205" s="21" t="s">
        <v>3102</v>
      </c>
      <c r="AE205" s="21" t="s">
        <v>3103</v>
      </c>
      <c r="AF205" s="21" t="s">
        <v>3104</v>
      </c>
      <c r="AG205" s="21" t="s">
        <v>3105</v>
      </c>
      <c r="AH205" s="21" t="s">
        <v>3106</v>
      </c>
      <c r="AI205" s="21" t="s">
        <v>3107</v>
      </c>
      <c r="AJ205" s="21" t="s">
        <v>3108</v>
      </c>
      <c r="AK205" s="21" t="s">
        <v>3109</v>
      </c>
      <c r="AL205" s="21" t="s">
        <v>3110</v>
      </c>
      <c r="AM205" s="21" t="s">
        <v>3111</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3112</v>
      </c>
      <c r="S206" s="548"/>
      <c r="T206" s="548"/>
      <c r="U206" s="548"/>
      <c r="V206" s="548"/>
      <c r="W206" s="548"/>
      <c r="X206" s="548"/>
      <c r="Y206" s="548"/>
      <c r="Z206" s="548"/>
      <c r="AA206" s="548"/>
      <c r="AB206" s="548"/>
      <c r="AC206" s="548"/>
      <c r="AD206" s="548" t="s">
        <v>400</v>
      </c>
      <c r="AE206" s="548"/>
      <c r="AF206" s="548"/>
      <c r="AG206" s="548"/>
      <c r="AH206" s="548"/>
      <c r="AI206" s="548"/>
      <c r="AJ206" s="548" t="s">
        <v>3113</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3114</v>
      </c>
      <c r="K207" s="550" t="s">
        <v>3115</v>
      </c>
      <c r="L207" s="550" t="s">
        <v>3116</v>
      </c>
      <c r="M207" s="550" t="s">
        <v>3116</v>
      </c>
      <c r="N207" s="550" t="s">
        <v>3116</v>
      </c>
      <c r="O207" s="550" t="s">
        <v>3116</v>
      </c>
      <c r="P207" s="550" t="s">
        <v>3116</v>
      </c>
      <c r="Q207" s="550" t="s">
        <v>3117</v>
      </c>
      <c r="R207" s="550" t="s">
        <v>3118</v>
      </c>
      <c r="S207" s="550" t="s">
        <v>3118</v>
      </c>
      <c r="T207" s="550" t="s">
        <v>3119</v>
      </c>
      <c r="U207" s="550" t="s">
        <v>3119</v>
      </c>
      <c r="V207" s="550" t="s">
        <v>3120</v>
      </c>
      <c r="W207" s="550" t="s">
        <v>3120</v>
      </c>
      <c r="X207" s="550" t="s">
        <v>3121</v>
      </c>
      <c r="Y207" s="550" t="s">
        <v>3121</v>
      </c>
      <c r="Z207" s="550" t="s">
        <v>3122</v>
      </c>
      <c r="AA207" s="550" t="s">
        <v>3122</v>
      </c>
      <c r="AB207" s="550" t="s">
        <v>3123</v>
      </c>
      <c r="AC207" s="550" t="s">
        <v>3123</v>
      </c>
      <c r="AD207" s="550" t="s">
        <v>3124</v>
      </c>
      <c r="AE207" s="550" t="s">
        <v>3125</v>
      </c>
      <c r="AF207" s="550" t="s">
        <v>3126</v>
      </c>
      <c r="AG207" s="550" t="s">
        <v>3127</v>
      </c>
      <c r="AH207" s="550" t="s">
        <v>3127</v>
      </c>
      <c r="AI207" s="550" t="s">
        <v>3128</v>
      </c>
      <c r="AJ207" s="549" t="s">
        <v>3129</v>
      </c>
      <c r="AK207" s="549" t="s">
        <v>3129</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3130</v>
      </c>
      <c r="K208" s="550" t="s">
        <v>3130</v>
      </c>
      <c r="L208" s="550" t="s">
        <v>3130</v>
      </c>
      <c r="M208" s="550" t="s">
        <v>3130</v>
      </c>
      <c r="N208" s="550" t="s">
        <v>3130</v>
      </c>
      <c r="O208" s="550" t="s">
        <v>3130</v>
      </c>
      <c r="P208" s="550" t="s">
        <v>3130</v>
      </c>
      <c r="Q208" s="550" t="s">
        <v>3130</v>
      </c>
      <c r="R208" s="550" t="s">
        <v>3131</v>
      </c>
      <c r="S208" s="550" t="s">
        <v>3132</v>
      </c>
      <c r="T208" s="550" t="s">
        <v>3133</v>
      </c>
      <c r="U208" s="550" t="s">
        <v>3134</v>
      </c>
      <c r="V208" s="550" t="s">
        <v>3135</v>
      </c>
      <c r="W208" s="550" t="s">
        <v>3136</v>
      </c>
      <c r="X208" s="550" t="s">
        <v>3137</v>
      </c>
      <c r="Y208" s="550" t="s">
        <v>3138</v>
      </c>
      <c r="Z208" s="550" t="s">
        <v>3139</v>
      </c>
      <c r="AA208" s="550" t="s">
        <v>3130</v>
      </c>
      <c r="AB208" s="550" t="s">
        <v>3139</v>
      </c>
      <c r="AC208" s="550" t="s">
        <v>3130</v>
      </c>
      <c r="AD208" s="550" t="s">
        <v>3140</v>
      </c>
      <c r="AE208" s="550" t="s">
        <v>3140</v>
      </c>
      <c r="AF208" s="550" t="s">
        <v>3140</v>
      </c>
      <c r="AG208" s="550" t="s">
        <v>3140</v>
      </c>
      <c r="AH208" s="550" t="s">
        <v>3141</v>
      </c>
      <c r="AI208" s="550" t="s">
        <v>3140</v>
      </c>
      <c r="AJ208" s="550" t="s">
        <v>3142</v>
      </c>
      <c r="AK208" s="550" t="s">
        <v>3141</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3143</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3144</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3145</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3145</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3146</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3147</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3148</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3149</v>
      </c>
      <c r="I221" s="25"/>
      <c r="J221" s="558" t="s">
        <v>2327</v>
      </c>
      <c r="K221" s="558" t="s">
        <v>2327</v>
      </c>
      <c r="L221" s="558" t="s">
        <v>2327</v>
      </c>
      <c r="M221" s="558" t="s">
        <v>2327</v>
      </c>
      <c r="N221" s="558" t="s">
        <v>2327</v>
      </c>
      <c r="O221" s="558" t="s">
        <v>2327</v>
      </c>
      <c r="P221" s="558" t="s">
        <v>2327</v>
      </c>
      <c r="Q221" s="558" t="s">
        <v>2327</v>
      </c>
      <c r="R221" s="558" t="s">
        <v>3150</v>
      </c>
      <c r="S221" s="558" t="s">
        <v>2327</v>
      </c>
      <c r="T221" s="558" t="s">
        <v>3150</v>
      </c>
      <c r="U221" s="558" t="s">
        <v>2327</v>
      </c>
      <c r="V221" s="558" t="s">
        <v>3150</v>
      </c>
      <c r="W221" s="558" t="s">
        <v>2327</v>
      </c>
      <c r="X221" s="558" t="s">
        <v>3150</v>
      </c>
      <c r="Y221" s="558" t="s">
        <v>2327</v>
      </c>
      <c r="Z221" s="558" t="s">
        <v>3150</v>
      </c>
      <c r="AA221" s="558" t="s">
        <v>2327</v>
      </c>
      <c r="AB221" s="558" t="s">
        <v>3150</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25">
      <c r="A222" s="7"/>
      <c r="B222" s="8"/>
      <c r="C222" s="18"/>
      <c r="D222" s="18"/>
      <c r="E222" s="18"/>
      <c r="F222" s="24"/>
      <c r="G222" s="25"/>
      <c r="H222" s="25" t="s">
        <v>3151</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3152</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3153</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3154</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3155</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3156</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3157</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3158</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3159</v>
      </c>
      <c r="I230" s="634" t="s">
        <v>3160</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3161</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3162</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3163</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3164</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3165</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3166</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3167</v>
      </c>
      <c r="I239" s="16" t="s">
        <v>3168</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3169</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3170</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3171</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3172</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3173</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3174</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3175</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3176</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3177</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3178</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3179</v>
      </c>
      <c r="I251" s="570" t="s">
        <v>3170</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3171</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3172</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3173</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3174</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3175</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3180</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3181</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3156</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3157</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3182</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3159</v>
      </c>
      <c r="I263" s="634" t="s">
        <v>3160</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3161</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3162</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3183</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3184</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3185</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3186</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3187</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3188</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3189</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3190</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3191</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3192</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3193</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3194</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3195</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3196</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3197</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3198</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3199</v>
      </c>
      <c r="AR296" s="9"/>
    </row>
    <row r="297" spans="1:44" customFormat="1" ht="12" customHeight="1" outlineLevel="1" x14ac:dyDescent="0.25">
      <c r="A297" s="7"/>
      <c r="B297" s="8"/>
      <c r="C297" s="18"/>
      <c r="D297" s="18"/>
      <c r="E297" s="18"/>
      <c r="F297" s="24"/>
      <c r="G297" s="25"/>
      <c r="H297" s="41" t="s">
        <v>3200</v>
      </c>
      <c r="I297" s="580" t="s">
        <v>3201</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3202</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3203</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3204</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3205</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3206</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3207</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3208</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3209</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3210</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3211</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3212</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3213</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3214</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3215</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3216</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3217</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3218</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3219</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3220</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3221</v>
      </c>
      <c r="H320" s="28"/>
      <c r="I320" s="583" t="s">
        <v>3222</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3075</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3223</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2327</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2329</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2328</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2201</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2200</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38" activePane="bottomLeft" state="frozen"/>
      <selection pane="bottomLeft" activeCell="Q49" sqref="Q49:Q5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collapsed="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hidden="1"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45922.925981250002</v>
      </c>
      <c r="J11" s="645" t="s">
        <v>3551</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45843.562885416701</v>
      </c>
      <c r="J12" s="642" t="s">
        <v>3524</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x14ac:dyDescent="0.2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2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2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25">
      <c r="A47" s="45"/>
      <c r="B47" s="54"/>
      <c r="C47" s="87">
        <f>INT($C$29)+2</f>
        <v>3</v>
      </c>
      <c r="D47" s="73"/>
      <c r="E47" s="70"/>
      <c r="F47" s="70"/>
      <c r="G47" s="73"/>
      <c r="H47" s="76"/>
      <c r="I47" s="76"/>
      <c r="J47" s="95" t="s">
        <v>2741</v>
      </c>
      <c r="K47" s="95"/>
      <c r="L47" s="95"/>
      <c r="M47" s="95"/>
      <c r="N47" s="95"/>
      <c r="O47" s="76"/>
      <c r="P47" s="95" t="s">
        <v>2742</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3542</v>
      </c>
      <c r="Q48" s="96" t="s">
        <v>3550</v>
      </c>
      <c r="R48" s="96" t="s">
        <v>3543</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2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2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25">
      <c r="A94" s="45"/>
      <c r="B94" s="54"/>
      <c r="C94" s="87">
        <f>INT($C$81)+2</f>
        <v>3</v>
      </c>
      <c r="D94" s="73"/>
      <c r="E94" s="70"/>
      <c r="F94" s="70"/>
      <c r="G94" s="73"/>
      <c r="H94" s="76"/>
      <c r="I94" s="95" t="s">
        <v>3307</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3265</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25">
      <c r="A95" s="45"/>
      <c r="B95" s="54"/>
      <c r="C95" s="87">
        <f t="shared" ref="C95:C112" si="3">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5" t="s">
        <v>3264</v>
      </c>
      <c r="J114" s="119"/>
      <c r="K114" s="119"/>
      <c r="L114" s="119"/>
      <c r="M114" s="119"/>
      <c r="N114" s="119" t="s">
        <v>197</v>
      </c>
      <c r="O114" s="119"/>
      <c r="P114" s="119"/>
      <c r="Q114" s="602" t="s">
        <v>3263</v>
      </c>
      <c r="R114" s="602"/>
      <c r="S114" s="602"/>
      <c r="T114" s="602"/>
      <c r="U114" s="602"/>
      <c r="V114" s="602"/>
      <c r="W114" s="602"/>
      <c r="X114" s="602"/>
      <c r="Y114" s="119" t="s">
        <v>2205</v>
      </c>
      <c r="Z114" s="119"/>
      <c r="AA114" s="119"/>
      <c r="AB114" s="119"/>
      <c r="AC114" s="119"/>
      <c r="AD114" s="119"/>
      <c r="AE114" s="76"/>
      <c r="AF114" s="119" t="s">
        <v>3262</v>
      </c>
      <c r="AG114" s="119"/>
      <c r="AH114" s="119"/>
      <c r="AI114" s="119"/>
      <c r="AJ114" s="119"/>
      <c r="AK114" s="76"/>
      <c r="AL114" s="76"/>
      <c r="AM114" s="76"/>
      <c r="AN114" s="73"/>
      <c r="AO114" s="57"/>
      <c r="AP114" s="45"/>
      <c r="AQ114" s="45"/>
      <c r="AR114" s="45"/>
      <c r="AS114" s="441"/>
      <c r="AT114" s="441"/>
    </row>
    <row r="115" spans="1:59" ht="16.5"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75"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2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2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25">
      <c r="A123" s="45"/>
      <c r="B123" s="54"/>
      <c r="C123" s="87">
        <f>INT($C$81)+2</f>
        <v>3</v>
      </c>
      <c r="D123" s="73"/>
      <c r="E123" s="70"/>
      <c r="F123" s="70"/>
      <c r="G123" s="73"/>
      <c r="H123" s="76" t="s">
        <v>2206</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2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25">
      <c r="A125" s="45"/>
      <c r="B125" s="54"/>
      <c r="C125" s="87">
        <f>INT($C$81+3)</f>
        <v>4</v>
      </c>
      <c r="D125" s="73"/>
      <c r="E125" s="70"/>
      <c r="F125" s="70"/>
      <c r="G125" s="73"/>
      <c r="H125" s="76"/>
      <c r="I125" s="78" t="s">
        <v>2210</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2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2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2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25">
      <c r="A129" s="45"/>
      <c r="B129" s="54"/>
      <c r="C129" s="87">
        <f>INT($C$81)+2</f>
        <v>3</v>
      </c>
      <c r="D129" s="73"/>
      <c r="E129" s="70"/>
      <c r="F129" s="70"/>
      <c r="G129" s="73"/>
      <c r="H129" s="76" t="s">
        <v>2216</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25">
      <c r="A130" s="45"/>
      <c r="B130" s="54"/>
      <c r="C130" s="87">
        <f>INT($C$81+3)</f>
        <v>4</v>
      </c>
      <c r="D130" s="73"/>
      <c r="E130" s="70"/>
      <c r="F130" s="70"/>
      <c r="G130" s="73"/>
      <c r="H130" s="76"/>
      <c r="I130" s="78" t="s">
        <v>2210</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2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2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2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25">
      <c r="A135" s="45"/>
      <c r="B135" s="54"/>
      <c r="C135" s="87">
        <f>INT($C$81)+1</f>
        <v>2</v>
      </c>
      <c r="D135" s="73"/>
      <c r="E135" s="70"/>
      <c r="F135" s="70"/>
      <c r="G135" s="73"/>
      <c r="H135" s="90" t="s">
        <v>3261</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25">
      <c r="A137" s="45"/>
      <c r="B137" s="54"/>
      <c r="C137" s="87">
        <f t="shared" ref="C137:C146" si="32">INT($C$81+3)</f>
        <v>4</v>
      </c>
      <c r="D137" s="73"/>
      <c r="E137" s="70"/>
      <c r="F137" s="70"/>
      <c r="G137" s="73"/>
      <c r="H137" s="246" t="s">
        <v>3260</v>
      </c>
      <c r="I137" s="76" t="s">
        <v>2805</v>
      </c>
      <c r="J137" s="76" t="s">
        <v>2806</v>
      </c>
      <c r="K137" s="76" t="s">
        <v>3259</v>
      </c>
      <c r="L137" s="76"/>
      <c r="M137" s="76"/>
      <c r="N137" s="76"/>
      <c r="O137" s="76"/>
      <c r="P137" s="246" t="s">
        <v>3258</v>
      </c>
      <c r="Q137" s="76"/>
      <c r="R137" s="76" t="s">
        <v>3257</v>
      </c>
      <c r="S137" s="76" t="s">
        <v>3256</v>
      </c>
      <c r="T137" s="76" t="s">
        <v>3255</v>
      </c>
      <c r="U137" s="76" t="s">
        <v>3254</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25">
      <c r="A138" s="45"/>
      <c r="B138" s="54"/>
      <c r="C138" s="87">
        <f t="shared" si="32"/>
        <v>4</v>
      </c>
      <c r="D138" s="73"/>
      <c r="E138" s="70"/>
      <c r="F138" s="70"/>
      <c r="G138" s="73"/>
      <c r="H138" s="76" t="s">
        <v>3253</v>
      </c>
      <c r="I138" s="599">
        <v>-0.10100000000000001</v>
      </c>
      <c r="J138" s="599">
        <v>0</v>
      </c>
      <c r="K138" s="598">
        <v>0</v>
      </c>
      <c r="L138" s="76"/>
      <c r="M138" s="76"/>
      <c r="N138" s="76"/>
      <c r="O138" s="76"/>
      <c r="P138" s="76" t="s">
        <v>3253</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25">
      <c r="A139" s="45"/>
      <c r="B139" s="54"/>
      <c r="C139" s="87">
        <f t="shared" si="32"/>
        <v>4</v>
      </c>
      <c r="D139" s="73"/>
      <c r="E139" s="70"/>
      <c r="F139" s="70"/>
      <c r="G139" s="73"/>
      <c r="H139" s="76" t="s">
        <v>3252</v>
      </c>
      <c r="I139" s="599">
        <v>0</v>
      </c>
      <c r="J139" s="599">
        <v>0.113</v>
      </c>
      <c r="K139" s="598">
        <v>5.9005989731888203E-3</v>
      </c>
      <c r="L139" s="76"/>
      <c r="M139" s="76"/>
      <c r="N139" s="76"/>
      <c r="O139" s="76"/>
      <c r="P139" s="76" t="s">
        <v>3252</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25">
      <c r="A140" s="45"/>
      <c r="B140" s="54"/>
      <c r="C140" s="87">
        <f t="shared" si="32"/>
        <v>4</v>
      </c>
      <c r="D140" s="73"/>
      <c r="E140" s="70"/>
      <c r="F140" s="70"/>
      <c r="G140" s="73"/>
      <c r="H140" s="76" t="s">
        <v>3251</v>
      </c>
      <c r="I140" s="599">
        <v>-6.0999999999999999E-2</v>
      </c>
      <c r="J140" s="599">
        <v>5.1999999999999998E-2</v>
      </c>
      <c r="K140" s="598">
        <v>3.5107296137339059E-3</v>
      </c>
      <c r="L140" s="76"/>
      <c r="M140" s="76"/>
      <c r="N140" s="76"/>
      <c r="O140" s="76"/>
      <c r="P140" s="76" t="s">
        <v>3251</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25">
      <c r="A141" s="45"/>
      <c r="B141" s="54"/>
      <c r="C141" s="87">
        <f t="shared" si="32"/>
        <v>4</v>
      </c>
      <c r="D141" s="73"/>
      <c r="E141" s="70"/>
      <c r="F141" s="70"/>
      <c r="G141" s="73"/>
      <c r="H141" s="76" t="s">
        <v>3250</v>
      </c>
      <c r="I141" s="356">
        <v>47.809731093905945</v>
      </c>
      <c r="J141" s="365">
        <v>4566.4973039173738</v>
      </c>
      <c r="K141" s="356">
        <v>45.892351332455597</v>
      </c>
      <c r="L141" s="76"/>
      <c r="M141" s="76"/>
      <c r="N141" s="76"/>
      <c r="O141" s="76"/>
      <c r="P141" s="76" t="s">
        <v>3250</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25">
      <c r="A142" s="45"/>
      <c r="B142" s="54"/>
      <c r="C142" s="87">
        <f t="shared" si="32"/>
        <v>4</v>
      </c>
      <c r="D142" s="73"/>
      <c r="E142" s="70"/>
      <c r="F142" s="70"/>
      <c r="G142" s="73"/>
      <c r="H142" s="76" t="s">
        <v>3249</v>
      </c>
      <c r="I142" s="442">
        <v>-0.22538711253423788</v>
      </c>
      <c r="J142" s="596">
        <v>-0.50483440440253269</v>
      </c>
      <c r="K142" s="596">
        <v>-0.22213692403040283</v>
      </c>
      <c r="L142" s="76"/>
      <c r="M142" s="76"/>
      <c r="N142" s="76"/>
      <c r="O142" s="76"/>
      <c r="P142" s="76" t="s">
        <v>3249</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25">
      <c r="A144" s="45"/>
      <c r="B144" s="54"/>
      <c r="C144" s="87">
        <f t="shared" si="32"/>
        <v>4</v>
      </c>
      <c r="D144" s="73"/>
      <c r="E144" s="70"/>
      <c r="F144" s="70"/>
      <c r="G144" s="73"/>
      <c r="H144" s="76" t="s">
        <v>3248</v>
      </c>
      <c r="I144" s="76">
        <v>35</v>
      </c>
      <c r="J144" s="76"/>
      <c r="K144" s="76"/>
      <c r="L144" s="76"/>
      <c r="M144" s="76"/>
      <c r="N144" s="76"/>
      <c r="O144" s="76"/>
      <c r="P144" s="76" t="s">
        <v>3247</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25">
      <c r="A145" s="45"/>
      <c r="B145" s="54"/>
      <c r="C145" s="87">
        <f t="shared" si="32"/>
        <v>4</v>
      </c>
      <c r="D145" s="73"/>
      <c r="E145" s="70"/>
      <c r="F145" s="70"/>
      <c r="G145" s="73"/>
      <c r="H145" s="76"/>
      <c r="I145" s="76"/>
      <c r="J145" s="76"/>
      <c r="K145" s="76"/>
      <c r="L145" s="76"/>
      <c r="M145" s="76"/>
      <c r="N145" s="76"/>
      <c r="O145" s="76"/>
      <c r="P145" s="76" t="s">
        <v>3246</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25">
      <c r="A146" s="45"/>
      <c r="B146" s="54"/>
      <c r="C146" s="87">
        <f t="shared" si="32"/>
        <v>4</v>
      </c>
      <c r="D146" s="73"/>
      <c r="E146" s="70"/>
      <c r="F146" s="70"/>
      <c r="G146" s="73"/>
      <c r="H146" s="76" t="s">
        <v>196</v>
      </c>
      <c r="I146" s="595" t="s">
        <v>3245</v>
      </c>
      <c r="J146" s="119"/>
      <c r="K146" s="119"/>
      <c r="L146" s="119"/>
      <c r="M146" s="119"/>
      <c r="N146" s="119"/>
      <c r="O146" s="76"/>
      <c r="P146" s="76" t="s">
        <v>196</v>
      </c>
      <c r="Q146" s="76"/>
      <c r="R146" s="595" t="s">
        <v>3244</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25">
      <c r="A152" s="45"/>
      <c r="B152" s="54"/>
      <c r="C152" s="87">
        <f t="shared" si="33"/>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25">
      <c r="A153" s="45"/>
      <c r="B153" s="54"/>
      <c r="C153" s="87">
        <f t="shared" si="33"/>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25">
      <c r="A155" s="45"/>
      <c r="B155" s="54"/>
      <c r="C155" s="87">
        <f t="shared" si="33"/>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25">
      <c r="A156" s="45"/>
      <c r="B156" s="54"/>
      <c r="C156" s="87">
        <f t="shared" si="33"/>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25">
      <c r="A157" s="45"/>
      <c r="B157" s="54"/>
      <c r="C157" s="87">
        <f t="shared" si="33"/>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2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2309</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2310</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2798</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3243</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25">
      <c r="A200" s="45"/>
      <c r="B200" s="54"/>
      <c r="C200" s="87">
        <f t="shared" si="41"/>
        <v>4</v>
      </c>
      <c r="D200" s="73"/>
      <c r="E200" s="70">
        <f t="shared" si="42"/>
        <v>0</v>
      </c>
      <c r="F200" s="70">
        <f t="shared" si="42"/>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25">
      <c r="A208" s="45"/>
      <c r="B208" s="54"/>
      <c r="C208" s="87">
        <f t="shared" si="46"/>
        <v>4</v>
      </c>
      <c r="D208" s="73"/>
      <c r="E208" s="70"/>
      <c r="F208" s="70">
        <f t="shared" si="47"/>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8"/>
        <v>4</v>
      </c>
      <c r="D216" s="73"/>
      <c r="E216" s="70"/>
      <c r="F216" s="70">
        <f t="shared" si="49"/>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25">
      <c r="A233" s="45"/>
      <c r="B233" s="54"/>
      <c r="C233" s="87">
        <f t="shared" si="54"/>
        <v>4</v>
      </c>
      <c r="D233" s="73"/>
      <c r="E233" s="70"/>
      <c r="F233" s="70">
        <f t="shared" si="55"/>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25">
      <c r="A241" s="45"/>
      <c r="B241" s="54"/>
      <c r="C241" s="87">
        <f t="shared" si="56"/>
        <v>4</v>
      </c>
      <c r="D241" s="73"/>
      <c r="E241" s="70"/>
      <c r="F241" s="70">
        <f t="shared" si="57"/>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2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outlineLevel="3" x14ac:dyDescent="0.25">
      <c r="A317" s="45"/>
      <c r="B317" s="54"/>
      <c r="C317" s="87">
        <f t="shared" ref="C317:C322" si="65">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25">
      <c r="A318" s="45"/>
      <c r="B318" s="54"/>
      <c r="C318" s="87">
        <f t="shared" si="65"/>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25">
      <c r="A319" s="45"/>
      <c r="B319" s="54"/>
      <c r="C319" s="87">
        <f t="shared" si="65"/>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25">
      <c r="A320" s="45"/>
      <c r="B320" s="54"/>
      <c r="C320" s="87">
        <f t="shared" si="65"/>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outlineLevel="2" x14ac:dyDescent="0.2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2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25">
      <c r="A369" s="45"/>
      <c r="B369" s="54"/>
      <c r="C369" s="87">
        <f t="shared" si="71"/>
        <v>4</v>
      </c>
      <c r="D369" s="73"/>
      <c r="E369" s="70"/>
      <c r="F369" s="70"/>
      <c r="G369" s="73"/>
      <c r="H369" s="76" t="s">
        <v>2352</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25">
      <c r="A370" s="45"/>
      <c r="B370" s="54"/>
      <c r="C370" s="87">
        <f t="shared" si="71"/>
        <v>4</v>
      </c>
      <c r="D370" s="73"/>
      <c r="E370" s="70"/>
      <c r="F370" s="70"/>
      <c r="G370" s="73"/>
      <c r="H370" s="76" t="s">
        <v>2353</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2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2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3278</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2911</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3006</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3020</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3533</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3534</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3535</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3536</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3043</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3044</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3045</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3028</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3033</v>
      </c>
      <c r="X68" s="21"/>
      <c r="Y68" s="18" t="s">
        <v>3033</v>
      </c>
      <c r="Z68" s="18"/>
      <c r="AA68" s="18"/>
      <c r="AB68" s="21"/>
      <c r="AC68" s="21"/>
      <c r="AD68" s="21"/>
      <c r="AE68" s="17"/>
      <c r="AF68" s="9"/>
      <c r="AG68" s="9"/>
      <c r="AH68" s="9"/>
    </row>
    <row r="69" spans="1:34" ht="12" customHeight="1" x14ac:dyDescent="0.25">
      <c r="A69" s="7"/>
      <c r="B69" s="8"/>
      <c r="C69" s="18"/>
      <c r="D69" s="18"/>
      <c r="E69" s="18"/>
      <c r="F69" s="18"/>
      <c r="G69" s="18" t="s">
        <v>3025</v>
      </c>
      <c r="H69" s="18"/>
      <c r="I69" s="18" t="s">
        <v>3027</v>
      </c>
      <c r="J69" s="18"/>
      <c r="K69" s="18"/>
      <c r="L69" s="18" t="s">
        <v>3026</v>
      </c>
      <c r="M69" s="18"/>
      <c r="N69" s="18" t="s">
        <v>3023</v>
      </c>
      <c r="O69" s="18"/>
      <c r="P69" s="18" t="s">
        <v>3024</v>
      </c>
      <c r="Q69" s="18"/>
      <c r="R69" s="18"/>
      <c r="S69" s="18"/>
      <c r="T69" s="18"/>
      <c r="U69" s="18" t="s">
        <v>3030</v>
      </c>
      <c r="V69" s="21"/>
      <c r="W69" s="18" t="s">
        <v>3031</v>
      </c>
      <c r="X69" s="21"/>
      <c r="Y69" s="18" t="s">
        <v>3032</v>
      </c>
      <c r="Z69" s="18"/>
      <c r="AA69" s="18" t="s">
        <v>3029</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3034</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3035</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3036</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3037</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3008</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3015</v>
      </c>
      <c r="M101" s="18"/>
      <c r="N101" s="18" t="s">
        <v>3014</v>
      </c>
      <c r="O101" s="18"/>
      <c r="P101" s="18" t="s">
        <v>3016</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3010</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3011</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3009</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3012</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3013</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3046</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3047</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3048</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3049</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460" activePane="bottomRight" state="frozen"/>
      <selection activeCell="A3" sqref="A3"/>
      <selection pane="topRight" activeCell="J3" sqref="J3"/>
      <selection pane="bottomLeft" activeCell="A39" sqref="A39"/>
      <selection pane="bottomRight" activeCell="J11" sqref="J11:AA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45922.487446759304</v>
      </c>
      <c r="J11" s="635" t="s">
        <v>3549</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45836.919191088004</v>
      </c>
      <c r="J12" s="646" t="s">
        <v>3523</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3335</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3317</v>
      </c>
      <c r="X35" s="617" t="s">
        <v>3318</v>
      </c>
      <c r="Y35" s="72" t="s">
        <v>3316</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3328</v>
      </c>
      <c r="G44" s="73"/>
      <c r="H44" s="129" t="s">
        <v>2994</v>
      </c>
      <c r="I44" s="96" t="s">
        <v>692</v>
      </c>
      <c r="J44" s="96"/>
      <c r="K44" s="76"/>
      <c r="L44" s="76"/>
      <c r="M44" s="76"/>
      <c r="N44" s="76"/>
      <c r="O44" s="76"/>
      <c r="P44" s="76"/>
      <c r="Q44" s="76"/>
      <c r="R44" s="76"/>
      <c r="S44" s="76"/>
      <c r="T44" s="76" t="s">
        <v>3325</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3327</v>
      </c>
      <c r="G50" s="73"/>
      <c r="H50" s="129" t="s">
        <v>464</v>
      </c>
      <c r="I50" s="96" t="s">
        <v>465</v>
      </c>
      <c r="J50" s="96"/>
      <c r="K50" s="76"/>
      <c r="L50" s="76"/>
      <c r="M50" s="76"/>
      <c r="N50" s="76"/>
      <c r="O50" s="76"/>
      <c r="P50" s="76"/>
      <c r="Q50" s="76"/>
      <c r="R50" s="76"/>
      <c r="S50" s="76"/>
      <c r="T50" s="76" t="s">
        <v>3325</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3326</v>
      </c>
      <c r="G51" s="73"/>
      <c r="H51" s="129" t="s">
        <v>466</v>
      </c>
      <c r="I51" s="96" t="s">
        <v>1419</v>
      </c>
      <c r="J51" s="96"/>
      <c r="K51" s="76"/>
      <c r="L51" s="76"/>
      <c r="M51" s="76"/>
      <c r="N51" s="76"/>
      <c r="O51" s="76"/>
      <c r="P51" s="76"/>
      <c r="Q51" s="76"/>
      <c r="R51" s="76"/>
      <c r="S51" s="76"/>
      <c r="T51" s="76" t="s">
        <v>3325</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outlineLevel="2" x14ac:dyDescent="0.2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outlineLevel="2" x14ac:dyDescent="0.2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outlineLevel="2" x14ac:dyDescent="0.2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outlineLevel="2" x14ac:dyDescent="0.2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outlineLevel="2" x14ac:dyDescent="0.2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outlineLevel="2" x14ac:dyDescent="0.2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outlineLevel="2" x14ac:dyDescent="0.2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outlineLevel="2" x14ac:dyDescent="0.2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outlineLevel="2" x14ac:dyDescent="0.2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3325</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3279</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2844</v>
      </c>
      <c r="G192" s="73"/>
      <c r="H192" s="76" t="s">
        <v>3227</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3224</v>
      </c>
      <c r="S192" s="76" t="s">
        <v>3224</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2845</v>
      </c>
      <c r="G193" s="73"/>
      <c r="H193" s="76" t="s">
        <v>3228</v>
      </c>
      <c r="I193" s="96" t="s">
        <v>2856</v>
      </c>
      <c r="J193" s="96"/>
      <c r="K193" s="97">
        <v>7.6536</v>
      </c>
      <c r="L193" s="97">
        <v>7.6536</v>
      </c>
      <c r="M193" s="97">
        <v>7.6536</v>
      </c>
      <c r="N193" s="97">
        <v>7.6536</v>
      </c>
      <c r="O193" s="97">
        <v>7.6536</v>
      </c>
      <c r="P193" s="97">
        <v>7.6536</v>
      </c>
      <c r="Q193" s="76"/>
      <c r="R193" s="76" t="s">
        <v>3224</v>
      </c>
      <c r="S193" s="76" t="s">
        <v>3224</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2848</v>
      </c>
      <c r="G198" s="73"/>
      <c r="H198" s="76" t="s">
        <v>3225</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3224</v>
      </c>
      <c r="S198" s="76" t="s">
        <v>3224</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2851</v>
      </c>
      <c r="G199" s="73"/>
      <c r="H199" s="76" t="s">
        <v>3226</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3224</v>
      </c>
      <c r="S199" s="76" t="s">
        <v>3224</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3280</v>
      </c>
      <c r="G203" s="73"/>
      <c r="H203" s="76" t="s">
        <v>3288</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3281</v>
      </c>
      <c r="G204" s="73"/>
      <c r="H204" s="76" t="s">
        <v>3289</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3282</v>
      </c>
      <c r="G205" s="73"/>
      <c r="H205" s="76" t="s">
        <v>3290</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3283</v>
      </c>
      <c r="G206" s="73"/>
      <c r="H206" s="76" t="s">
        <v>3291</v>
      </c>
      <c r="I206" s="96" t="s">
        <v>626</v>
      </c>
      <c r="J206" s="96"/>
      <c r="K206" s="281">
        <f>1/(1+K$194)</f>
        <v>0.69930069930069938</v>
      </c>
      <c r="L206" s="281">
        <f t="shared" si="35"/>
        <v>0.69930069930069938</v>
      </c>
      <c r="M206" s="76"/>
      <c r="N206" s="76"/>
      <c r="O206" s="76"/>
      <c r="P206" s="76"/>
      <c r="Q206" s="76"/>
      <c r="R206" s="76" t="s">
        <v>3295</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3285</v>
      </c>
      <c r="G207" s="73"/>
      <c r="H207" s="76" t="s">
        <v>3292</v>
      </c>
      <c r="I207" s="96" t="s">
        <v>626</v>
      </c>
      <c r="J207" s="96"/>
      <c r="K207" s="258">
        <v>1</v>
      </c>
      <c r="L207" s="258">
        <f t="shared" si="35"/>
        <v>1</v>
      </c>
      <c r="M207" s="76"/>
      <c r="N207" s="76"/>
      <c r="O207" s="76"/>
      <c r="P207" s="76"/>
      <c r="Q207" s="76"/>
      <c r="R207" s="76" t="s">
        <v>3295</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3284</v>
      </c>
      <c r="G208" s="73"/>
      <c r="H208" s="76" t="s">
        <v>3293</v>
      </c>
      <c r="I208" s="96" t="s">
        <v>626</v>
      </c>
      <c r="J208" s="96"/>
      <c r="K208" s="281">
        <f>1/(1+K$195)</f>
        <v>0.4</v>
      </c>
      <c r="L208" s="281">
        <f t="shared" si="35"/>
        <v>0.4</v>
      </c>
      <c r="M208" s="76"/>
      <c r="N208" s="76"/>
      <c r="O208" s="76"/>
      <c r="P208" s="76"/>
      <c r="Q208" s="76"/>
      <c r="R208" s="76" t="s">
        <v>3295</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3286</v>
      </c>
      <c r="G209" s="73"/>
      <c r="H209" s="76" t="s">
        <v>3294</v>
      </c>
      <c r="I209" s="96" t="s">
        <v>626</v>
      </c>
      <c r="J209" s="96"/>
      <c r="K209" s="258">
        <v>1</v>
      </c>
      <c r="L209" s="258">
        <f t="shared" si="35"/>
        <v>1</v>
      </c>
      <c r="M209" s="76"/>
      <c r="N209" s="76"/>
      <c r="O209" s="76"/>
      <c r="P209" s="76"/>
      <c r="Q209" s="76"/>
      <c r="R209" s="76" t="s">
        <v>3295</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3287</v>
      </c>
      <c r="G210" s="73"/>
      <c r="H210" s="76" t="s">
        <v>3297</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3296</v>
      </c>
      <c r="G211" s="73"/>
      <c r="H211" s="76" t="s">
        <v>3313</v>
      </c>
      <c r="I211" s="96" t="s">
        <v>626</v>
      </c>
      <c r="J211" s="96"/>
      <c r="K211" s="281">
        <f>0.448*K$175</f>
        <v>0.224</v>
      </c>
      <c r="L211" s="281">
        <f>K211</f>
        <v>0.224</v>
      </c>
      <c r="M211" s="76"/>
      <c r="N211" s="76"/>
      <c r="O211" s="76"/>
      <c r="P211" s="76"/>
      <c r="Q211" s="76"/>
      <c r="R211" s="76" t="s">
        <v>3315</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3312</v>
      </c>
      <c r="G212" s="73"/>
      <c r="H212" s="76" t="s">
        <v>3314</v>
      </c>
      <c r="I212" s="96" t="s">
        <v>626</v>
      </c>
      <c r="J212" s="96"/>
      <c r="K212" s="281">
        <f>0.448*K$176</f>
        <v>8.9600000000000009E-3</v>
      </c>
      <c r="L212" s="281">
        <f>K212</f>
        <v>8.9600000000000009E-3</v>
      </c>
      <c r="M212" s="76"/>
      <c r="N212" s="76"/>
      <c r="O212" s="76"/>
      <c r="P212" s="76"/>
      <c r="Q212" s="76"/>
      <c r="R212" s="76" t="s">
        <v>3315</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2862</v>
      </c>
      <c r="G234" s="73"/>
      <c r="H234" s="76" t="s">
        <v>3229</v>
      </c>
      <c r="I234" s="96" t="s">
        <v>2865</v>
      </c>
      <c r="J234" s="96"/>
      <c r="K234" s="97">
        <v>0</v>
      </c>
      <c r="L234" s="97">
        <v>0</v>
      </c>
      <c r="M234" s="97">
        <v>0</v>
      </c>
      <c r="N234" s="97">
        <v>0</v>
      </c>
      <c r="O234" s="97">
        <v>0</v>
      </c>
      <c r="P234" s="97">
        <v>0</v>
      </c>
      <c r="Q234" s="76"/>
      <c r="R234" s="76" t="s">
        <v>3235</v>
      </c>
      <c r="S234" s="76" t="s">
        <v>3235</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3235</v>
      </c>
      <c r="S235" s="76" t="s">
        <v>3235</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3235</v>
      </c>
      <c r="S236" s="76" t="s">
        <v>3235</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3230</v>
      </c>
      <c r="G237" s="73"/>
      <c r="H237" s="76" t="s">
        <v>662</v>
      </c>
      <c r="I237" s="96" t="s">
        <v>502</v>
      </c>
      <c r="J237" s="96"/>
      <c r="K237" s="97">
        <v>0.106</v>
      </c>
      <c r="L237" s="97">
        <v>0.106</v>
      </c>
      <c r="M237" s="97">
        <v>0.106</v>
      </c>
      <c r="N237" s="97">
        <v>0.106</v>
      </c>
      <c r="O237" s="97">
        <v>0.106</v>
      </c>
      <c r="P237" s="97">
        <v>0.106</v>
      </c>
      <c r="Q237" s="76"/>
      <c r="R237" s="76" t="s">
        <v>3234</v>
      </c>
      <c r="S237" s="76" t="s">
        <v>3234</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3231</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3234</v>
      </c>
      <c r="S238" s="76" t="s">
        <v>3234</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3233</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3234</v>
      </c>
      <c r="S239" s="76" t="s">
        <v>3234</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3232</v>
      </c>
      <c r="G240" s="73"/>
      <c r="H240" s="76" t="s">
        <v>671</v>
      </c>
      <c r="I240" s="96" t="s">
        <v>502</v>
      </c>
      <c r="J240" s="96"/>
      <c r="K240" s="97">
        <v>0.39</v>
      </c>
      <c r="L240" s="97">
        <v>0.39</v>
      </c>
      <c r="M240" s="97">
        <v>0.39</v>
      </c>
      <c r="N240" s="97">
        <v>0.39</v>
      </c>
      <c r="O240" s="97">
        <v>0.39</v>
      </c>
      <c r="P240" s="97">
        <v>0.39</v>
      </c>
      <c r="Q240" s="76"/>
      <c r="R240" s="76" t="s">
        <v>3234</v>
      </c>
      <c r="S240" s="76" t="s">
        <v>3234</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3308</v>
      </c>
      <c r="G277" s="73"/>
      <c r="H277" s="76" t="s">
        <v>3309</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3310</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3325</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3266</v>
      </c>
      <c r="I310" s="96" t="s">
        <v>3268</v>
      </c>
      <c r="J310" s="96"/>
      <c r="K310" s="97">
        <v>31.7</v>
      </c>
      <c r="L310" s="97">
        <v>31.7</v>
      </c>
      <c r="M310" s="76"/>
      <c r="N310" s="76"/>
      <c r="O310" s="76"/>
      <c r="P310" s="76"/>
      <c r="Q310" s="76"/>
      <c r="R310" s="76" t="s">
        <v>3267</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3325</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3325</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3269</v>
      </c>
      <c r="G332" s="73"/>
      <c r="H332" s="76" t="s">
        <v>3270</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3271</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3329</v>
      </c>
      <c r="G333" s="73"/>
      <c r="H333" s="76" t="s">
        <v>3332</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3331</v>
      </c>
      <c r="G334" s="73"/>
      <c r="H334" s="76" t="s">
        <v>3334</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3333</v>
      </c>
      <c r="G335" s="73"/>
      <c r="H335" s="76" t="s">
        <v>3337</v>
      </c>
      <c r="I335" s="96"/>
      <c r="J335" s="96"/>
      <c r="K335" s="76"/>
      <c r="L335" s="76"/>
      <c r="M335" s="76"/>
      <c r="N335" s="76"/>
      <c r="O335" s="76"/>
      <c r="P335" s="76"/>
      <c r="Q335" s="76"/>
      <c r="R335" s="76"/>
      <c r="S335" s="76"/>
      <c r="T335" s="76" t="s">
        <v>3325</v>
      </c>
      <c r="U335" s="97">
        <v>0.85</v>
      </c>
      <c r="V335" s="97">
        <v>0.85</v>
      </c>
      <c r="W335" s="97">
        <v>0.85</v>
      </c>
      <c r="X335" s="97">
        <v>0.85</v>
      </c>
      <c r="Y335" s="97">
        <v>0.85</v>
      </c>
      <c r="Z335" s="97">
        <v>0.85</v>
      </c>
      <c r="AA335" s="97">
        <v>0.85</v>
      </c>
      <c r="AB335" s="97">
        <v>0.85</v>
      </c>
      <c r="AC335" s="97">
        <v>0.85</v>
      </c>
      <c r="AD335" s="97">
        <v>0.85</v>
      </c>
      <c r="AE335" s="76"/>
      <c r="AF335" s="97" t="s">
        <v>3330</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3336</v>
      </c>
      <c r="G336" s="73"/>
      <c r="H336" s="76" t="s">
        <v>3338</v>
      </c>
      <c r="I336" s="96"/>
      <c r="J336" s="96"/>
      <c r="K336" s="76"/>
      <c r="L336" s="76"/>
      <c r="M336" s="76"/>
      <c r="N336" s="76"/>
      <c r="O336" s="76"/>
      <c r="P336" s="76"/>
      <c r="Q336" s="76"/>
      <c r="R336" s="76"/>
      <c r="S336" s="76"/>
      <c r="T336" s="76" t="s">
        <v>3325</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3325</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3325</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3276</v>
      </c>
      <c r="G394" s="73"/>
      <c r="H394" s="76" t="s">
        <v>3299</v>
      </c>
      <c r="I394" s="96" t="s">
        <v>502</v>
      </c>
      <c r="J394" s="96"/>
      <c r="K394" s="281">
        <v>0.1</v>
      </c>
      <c r="L394" s="281">
        <v>0.1</v>
      </c>
      <c r="M394" s="281">
        <v>0.1</v>
      </c>
      <c r="N394" s="281">
        <v>0.1</v>
      </c>
      <c r="O394" s="281">
        <v>0.1</v>
      </c>
      <c r="P394" s="281">
        <v>0.1</v>
      </c>
      <c r="Q394" s="76"/>
      <c r="R394" s="76" t="s">
        <v>3277</v>
      </c>
      <c r="S394" s="76" t="s">
        <v>3277</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3301</v>
      </c>
      <c r="G395" s="73"/>
      <c r="H395" s="76" t="s">
        <v>3298</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3300</v>
      </c>
      <c r="S395" s="76" t="s">
        <v>3277</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x14ac:dyDescent="0.2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3325</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outlineLevel="3" x14ac:dyDescent="0.25">
      <c r="A439" s="45"/>
      <c r="B439" s="54"/>
      <c r="C439" s="47">
        <f t="shared" ref="C439:C470" si="89">INT($C$29)+2</f>
        <v>3</v>
      </c>
      <c r="D439" s="73"/>
      <c r="E439" s="70"/>
      <c r="F439" s="70" t="s">
        <v>1046</v>
      </c>
      <c r="G439" s="73"/>
      <c r="H439" s="76" t="s">
        <v>2266</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outlineLevel="3" x14ac:dyDescent="0.25">
      <c r="A440" s="45"/>
      <c r="B440" s="54"/>
      <c r="C440" s="47">
        <f t="shared" si="89"/>
        <v>3</v>
      </c>
      <c r="D440" s="73"/>
      <c r="E440" s="70"/>
      <c r="F440" s="70" t="s">
        <v>1047</v>
      </c>
      <c r="G440" s="73"/>
      <c r="H440" s="76" t="s">
        <v>2594</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2273</v>
      </c>
      <c r="AG440" s="76"/>
      <c r="AH440" s="97">
        <v>1</v>
      </c>
      <c r="AI440" s="97">
        <v>1</v>
      </c>
      <c r="AJ440" s="73"/>
      <c r="AK440" s="57"/>
      <c r="AL440" s="45"/>
      <c r="AM440" s="45"/>
      <c r="AN440" s="45"/>
    </row>
    <row r="441" spans="1:40" outlineLevel="3" x14ac:dyDescent="0.25">
      <c r="A441" s="45"/>
      <c r="B441" s="54"/>
      <c r="C441" s="47">
        <f t="shared" si="89"/>
        <v>3</v>
      </c>
      <c r="D441" s="73"/>
      <c r="E441" s="70"/>
      <c r="F441" s="70" t="s">
        <v>1048</v>
      </c>
      <c r="G441" s="73"/>
      <c r="H441" s="76" t="s">
        <v>2267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outlineLevel="3" x14ac:dyDescent="0.25">
      <c r="A442" s="45"/>
      <c r="B442" s="54"/>
      <c r="C442" s="47">
        <f t="shared" si="89"/>
        <v>3</v>
      </c>
      <c r="D442" s="73"/>
      <c r="E442" s="70"/>
      <c r="F442" s="70" t="s">
        <v>1049</v>
      </c>
      <c r="G442" s="73"/>
      <c r="H442" s="76" t="s">
        <v>2268</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outlineLevel="3" x14ac:dyDescent="0.25">
      <c r="A443" s="45"/>
      <c r="B443" s="54"/>
      <c r="C443" s="47">
        <f t="shared" si="89"/>
        <v>3</v>
      </c>
      <c r="D443" s="73"/>
      <c r="E443" s="70"/>
      <c r="F443" s="70" t="s">
        <v>1050</v>
      </c>
      <c r="G443" s="73"/>
      <c r="H443" s="76" t="s">
        <v>2269</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outlineLevel="3" x14ac:dyDescent="0.25">
      <c r="A444" s="45"/>
      <c r="B444" s="54"/>
      <c r="C444" s="47">
        <f t="shared" si="89"/>
        <v>3</v>
      </c>
      <c r="D444" s="73"/>
      <c r="E444" s="70"/>
      <c r="F444" s="70" t="s">
        <v>1051</v>
      </c>
      <c r="G444" s="73"/>
      <c r="H444" s="76" t="s">
        <v>2270</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outlineLevel="3" x14ac:dyDescent="0.25">
      <c r="A445" s="45"/>
      <c r="B445" s="54"/>
      <c r="C445" s="47">
        <f t="shared" si="89"/>
        <v>3</v>
      </c>
      <c r="D445" s="73"/>
      <c r="E445" s="70"/>
      <c r="F445" s="70" t="s">
        <v>1052</v>
      </c>
      <c r="G445" s="73"/>
      <c r="H445" s="76" t="s">
        <v>2271</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outlineLevel="3" x14ac:dyDescent="0.25">
      <c r="A446" s="45"/>
      <c r="B446" s="54"/>
      <c r="C446" s="47">
        <f t="shared" si="89"/>
        <v>3</v>
      </c>
      <c r="D446" s="73"/>
      <c r="E446" s="70"/>
      <c r="F446" s="70" t="s">
        <v>1053</v>
      </c>
      <c r="G446" s="73"/>
      <c r="H446" s="76" t="s">
        <v>2272</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outlineLevel="3" x14ac:dyDescent="0.25">
      <c r="A447" s="45"/>
      <c r="B447" s="54"/>
      <c r="C447" s="47">
        <f t="shared" si="89"/>
        <v>3</v>
      </c>
      <c r="D447" s="73"/>
      <c r="E447" s="70"/>
      <c r="F447" s="70" t="s">
        <v>1054</v>
      </c>
      <c r="G447" s="73"/>
      <c r="H447" s="76" t="s">
        <v>3544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outlineLevel="3" x14ac:dyDescent="0.25">
      <c r="A448" s="45"/>
      <c r="B448" s="54"/>
      <c r="C448" s="47">
        <f t="shared" si="89"/>
        <v>3</v>
      </c>
      <c r="D448" s="73"/>
      <c r="E448" s="70"/>
      <c r="F448" s="70" t="s">
        <v>1055</v>
      </c>
      <c r="G448" s="73"/>
      <c r="H448" s="76" t="s">
        <v>2594</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outlineLevel="3" x14ac:dyDescent="0.25">
      <c r="A449" s="45"/>
      <c r="B449" s="54"/>
      <c r="C449" s="47">
        <f t="shared" si="89"/>
        <v>3</v>
      </c>
      <c r="D449" s="73"/>
      <c r="E449" s="70"/>
      <c r="F449" s="70" t="s">
        <v>1056</v>
      </c>
      <c r="G449" s="73"/>
      <c r="H449" s="76" t="s">
        <v>2267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outlineLevel="3" x14ac:dyDescent="0.25">
      <c r="A450" s="45"/>
      <c r="B450" s="54"/>
      <c r="C450" s="47">
        <f t="shared" si="89"/>
        <v>3</v>
      </c>
      <c r="D450" s="73"/>
      <c r="E450" s="70"/>
      <c r="F450" s="70" t="s">
        <v>1057</v>
      </c>
      <c r="G450" s="73"/>
      <c r="H450" s="76" t="s">
        <v>2268</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outlineLevel="3" x14ac:dyDescent="0.25">
      <c r="A451" s="45"/>
      <c r="B451" s="54"/>
      <c r="C451" s="47">
        <f t="shared" si="89"/>
        <v>3</v>
      </c>
      <c r="D451" s="73"/>
      <c r="E451" s="70"/>
      <c r="F451" s="70" t="s">
        <v>1058</v>
      </c>
      <c r="G451" s="73"/>
      <c r="H451" s="76" t="s">
        <v>2269</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outlineLevel="3" x14ac:dyDescent="0.25">
      <c r="A452" s="45"/>
      <c r="B452" s="54"/>
      <c r="C452" s="47">
        <f t="shared" si="89"/>
        <v>3</v>
      </c>
      <c r="D452" s="73"/>
      <c r="E452" s="70"/>
      <c r="F452" s="70" t="s">
        <v>1059</v>
      </c>
      <c r="G452" s="73"/>
      <c r="H452" s="76" t="s">
        <v>2270</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outlineLevel="3" x14ac:dyDescent="0.25">
      <c r="A453" s="45"/>
      <c r="B453" s="54"/>
      <c r="C453" s="47">
        <f t="shared" si="89"/>
        <v>3</v>
      </c>
      <c r="D453" s="73"/>
      <c r="E453" s="70"/>
      <c r="F453" s="70" t="s">
        <v>1060</v>
      </c>
      <c r="G453" s="73"/>
      <c r="H453" s="76" t="s">
        <v>2271</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outlineLevel="3" x14ac:dyDescent="0.25">
      <c r="A454" s="45"/>
      <c r="B454" s="54"/>
      <c r="C454" s="47">
        <f t="shared" si="89"/>
        <v>3</v>
      </c>
      <c r="D454" s="73"/>
      <c r="E454" s="70"/>
      <c r="F454" s="70" t="s">
        <v>1061</v>
      </c>
      <c r="G454" s="73"/>
      <c r="H454" s="76" t="s">
        <v>2272</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outlineLevel="2" x14ac:dyDescent="0.25">
      <c r="A455" s="45"/>
      <c r="B455" s="54"/>
      <c r="C455" s="47">
        <f t="shared" si="89"/>
        <v>3</v>
      </c>
      <c r="D455" s="73"/>
      <c r="E455" s="70"/>
      <c r="F455" s="70" t="s">
        <v>1062</v>
      </c>
      <c r="G455" s="73"/>
      <c r="H455" s="76" t="s">
        <v>3548</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outlineLevel="2" x14ac:dyDescent="0.2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outlineLevel="2" x14ac:dyDescent="0.2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outlineLevel="2" x14ac:dyDescent="0.2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outlineLevel="2" x14ac:dyDescent="0.2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outlineLevel="2" x14ac:dyDescent="0.2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outlineLevel="2" x14ac:dyDescent="0.2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outlineLevel="2" x14ac:dyDescent="0.2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outlineLevel="3" x14ac:dyDescent="0.25">
      <c r="A463" s="45"/>
      <c r="B463" s="54"/>
      <c r="C463" s="47">
        <f t="shared" si="89"/>
        <v>3</v>
      </c>
      <c r="D463" s="73"/>
      <c r="E463" s="70"/>
      <c r="F463" s="70" t="s">
        <v>1070</v>
      </c>
      <c r="G463" s="73"/>
      <c r="H463" s="76" t="s">
        <v>3545</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outlineLevel="3" x14ac:dyDescent="0.25">
      <c r="A464" s="45"/>
      <c r="B464" s="54"/>
      <c r="C464" s="47">
        <f t="shared" si="89"/>
        <v>3</v>
      </c>
      <c r="D464" s="73"/>
      <c r="E464" s="70"/>
      <c r="F464" s="70" t="s">
        <v>1071</v>
      </c>
      <c r="G464" s="73"/>
      <c r="H464" s="76" t="s">
        <v>2594</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outlineLevel="3" x14ac:dyDescent="0.25">
      <c r="A465" s="45"/>
      <c r="B465" s="54"/>
      <c r="C465" s="47">
        <f t="shared" si="89"/>
        <v>3</v>
      </c>
      <c r="D465" s="73"/>
      <c r="E465" s="70"/>
      <c r="F465" s="70" t="s">
        <v>1072</v>
      </c>
      <c r="G465" s="73"/>
      <c r="H465" s="76" t="s">
        <v>2267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outlineLevel="3" x14ac:dyDescent="0.25">
      <c r="A466" s="45"/>
      <c r="B466" s="54"/>
      <c r="C466" s="47">
        <f t="shared" si="89"/>
        <v>3</v>
      </c>
      <c r="D466" s="73"/>
      <c r="E466" s="70"/>
      <c r="F466" s="70" t="s">
        <v>1073</v>
      </c>
      <c r="G466" s="73"/>
      <c r="H466" s="76" t="s">
        <v>2268</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outlineLevel="3" x14ac:dyDescent="0.25">
      <c r="A467" s="45"/>
      <c r="B467" s="54"/>
      <c r="C467" s="47">
        <f t="shared" si="89"/>
        <v>3</v>
      </c>
      <c r="D467" s="73"/>
      <c r="E467" s="70"/>
      <c r="F467" s="70" t="s">
        <v>1074</v>
      </c>
      <c r="G467" s="73"/>
      <c r="H467" s="76" t="s">
        <v>2269</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outlineLevel="3" x14ac:dyDescent="0.25">
      <c r="A468" s="45"/>
      <c r="B468" s="54"/>
      <c r="C468" s="47">
        <f t="shared" si="89"/>
        <v>3</v>
      </c>
      <c r="D468" s="73"/>
      <c r="E468" s="70"/>
      <c r="F468" s="70" t="s">
        <v>1075</v>
      </c>
      <c r="G468" s="73"/>
      <c r="H468" s="76" t="s">
        <v>2270</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outlineLevel="3" x14ac:dyDescent="0.25">
      <c r="A469" s="45"/>
      <c r="B469" s="54"/>
      <c r="C469" s="47">
        <f t="shared" si="89"/>
        <v>3</v>
      </c>
      <c r="D469" s="73"/>
      <c r="E469" s="70"/>
      <c r="F469" s="70" t="s">
        <v>1076</v>
      </c>
      <c r="G469" s="73"/>
      <c r="H469" s="76" t="s">
        <v>2271</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outlineLevel="3" x14ac:dyDescent="0.25">
      <c r="A470" s="45"/>
      <c r="B470" s="54"/>
      <c r="C470" s="47">
        <f t="shared" si="89"/>
        <v>3</v>
      </c>
      <c r="D470" s="73"/>
      <c r="E470" s="70"/>
      <c r="F470" s="70" t="s">
        <v>1077</v>
      </c>
      <c r="G470" s="73"/>
      <c r="H470" s="76" t="s">
        <v>2272</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outlineLevel="3" x14ac:dyDescent="0.25">
      <c r="A471" s="45"/>
      <c r="B471" s="54"/>
      <c r="C471" s="47">
        <f t="shared" ref="C471:C502" si="96">INT($C$29)+2</f>
        <v>3</v>
      </c>
      <c r="D471" s="73"/>
      <c r="E471" s="70"/>
      <c r="F471" s="70" t="s">
        <v>1078</v>
      </c>
      <c r="G471" s="73"/>
      <c r="H471" s="76" t="s">
        <v>3546</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outlineLevel="3" x14ac:dyDescent="0.25">
      <c r="A472" s="45"/>
      <c r="B472" s="54"/>
      <c r="C472" s="47">
        <f t="shared" si="96"/>
        <v>3</v>
      </c>
      <c r="D472" s="73"/>
      <c r="E472" s="70"/>
      <c r="F472" s="70" t="s">
        <v>1079</v>
      </c>
      <c r="G472" s="73"/>
      <c r="H472" s="76" t="s">
        <v>2594</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outlineLevel="3" x14ac:dyDescent="0.25">
      <c r="A473" s="45"/>
      <c r="B473" s="54"/>
      <c r="C473" s="47">
        <f t="shared" si="96"/>
        <v>3</v>
      </c>
      <c r="D473" s="73"/>
      <c r="E473" s="70"/>
      <c r="F473" s="70" t="s">
        <v>1080</v>
      </c>
      <c r="G473" s="73"/>
      <c r="H473" s="76" t="s">
        <v>2267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outlineLevel="3" x14ac:dyDescent="0.25">
      <c r="A474" s="45"/>
      <c r="B474" s="54"/>
      <c r="C474" s="47">
        <f t="shared" si="96"/>
        <v>3</v>
      </c>
      <c r="D474" s="73"/>
      <c r="E474" s="70"/>
      <c r="F474" s="70" t="s">
        <v>1081</v>
      </c>
      <c r="G474" s="73"/>
      <c r="H474" s="76" t="s">
        <v>2268</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outlineLevel="3" x14ac:dyDescent="0.25">
      <c r="A475" s="45"/>
      <c r="B475" s="54"/>
      <c r="C475" s="47">
        <f t="shared" si="96"/>
        <v>3</v>
      </c>
      <c r="D475" s="73"/>
      <c r="E475" s="70"/>
      <c r="F475" s="70" t="s">
        <v>1082</v>
      </c>
      <c r="G475" s="73"/>
      <c r="H475" s="76" t="s">
        <v>2269</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outlineLevel="3" x14ac:dyDescent="0.25">
      <c r="A476" s="45"/>
      <c r="B476" s="54"/>
      <c r="C476" s="47">
        <f t="shared" si="96"/>
        <v>3</v>
      </c>
      <c r="D476" s="73"/>
      <c r="E476" s="70"/>
      <c r="F476" s="70" t="s">
        <v>1083</v>
      </c>
      <c r="G476" s="73"/>
      <c r="H476" s="76" t="s">
        <v>2270</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outlineLevel="3" x14ac:dyDescent="0.25">
      <c r="A477" s="45"/>
      <c r="B477" s="54"/>
      <c r="C477" s="47">
        <f t="shared" si="96"/>
        <v>3</v>
      </c>
      <c r="D477" s="73"/>
      <c r="E477" s="70"/>
      <c r="F477" s="70" t="s">
        <v>1084</v>
      </c>
      <c r="G477" s="73"/>
      <c r="H477" s="76" t="s">
        <v>2271</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outlineLevel="3" x14ac:dyDescent="0.25">
      <c r="A478" s="45"/>
      <c r="B478" s="54"/>
      <c r="C478" s="47">
        <f t="shared" si="96"/>
        <v>3</v>
      </c>
      <c r="D478" s="73"/>
      <c r="E478" s="70"/>
      <c r="F478" s="70" t="s">
        <v>1085</v>
      </c>
      <c r="G478" s="73"/>
      <c r="H478" s="76" t="s">
        <v>2272</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outlineLevel="3" x14ac:dyDescent="0.25">
      <c r="A479" s="45"/>
      <c r="B479" s="54"/>
      <c r="C479" s="47">
        <f t="shared" si="96"/>
        <v>3</v>
      </c>
      <c r="D479" s="73"/>
      <c r="E479" s="70"/>
      <c r="F479" s="70" t="s">
        <v>1086</v>
      </c>
      <c r="G479" s="73"/>
      <c r="H479" s="76" t="s">
        <v>3547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outlineLevel="3" x14ac:dyDescent="0.25">
      <c r="A480" s="45"/>
      <c r="B480" s="54"/>
      <c r="C480" s="47">
        <f t="shared" si="96"/>
        <v>3</v>
      </c>
      <c r="D480" s="73"/>
      <c r="E480" s="70"/>
      <c r="F480" s="70" t="s">
        <v>1087</v>
      </c>
      <c r="G480" s="73"/>
      <c r="H480" s="76" t="s">
        <v>2594</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outlineLevel="3" x14ac:dyDescent="0.25">
      <c r="A481" s="45"/>
      <c r="B481" s="54"/>
      <c r="C481" s="47">
        <f t="shared" si="96"/>
        <v>3</v>
      </c>
      <c r="D481" s="73"/>
      <c r="E481" s="70"/>
      <c r="F481" s="70" t="s">
        <v>1088</v>
      </c>
      <c r="G481" s="73"/>
      <c r="H481" s="76" t="s">
        <v>2267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outlineLevel="3" x14ac:dyDescent="0.25">
      <c r="A482" s="45"/>
      <c r="B482" s="54"/>
      <c r="C482" s="47">
        <f t="shared" si="96"/>
        <v>3</v>
      </c>
      <c r="D482" s="73"/>
      <c r="E482" s="70"/>
      <c r="F482" s="70" t="s">
        <v>1089</v>
      </c>
      <c r="G482" s="73"/>
      <c r="H482" s="76" t="s">
        <v>2268</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outlineLevel="3" x14ac:dyDescent="0.25">
      <c r="A483" s="45"/>
      <c r="B483" s="54"/>
      <c r="C483" s="47">
        <f t="shared" si="96"/>
        <v>3</v>
      </c>
      <c r="D483" s="73"/>
      <c r="E483" s="70"/>
      <c r="F483" s="70" t="s">
        <v>1090</v>
      </c>
      <c r="G483" s="73"/>
      <c r="H483" s="76" t="s">
        <v>2269</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outlineLevel="3" x14ac:dyDescent="0.25">
      <c r="A484" s="45"/>
      <c r="B484" s="54"/>
      <c r="C484" s="47">
        <f t="shared" si="96"/>
        <v>3</v>
      </c>
      <c r="D484" s="73"/>
      <c r="E484" s="70"/>
      <c r="F484" s="70" t="s">
        <v>1091</v>
      </c>
      <c r="G484" s="73"/>
      <c r="H484" s="76" t="s">
        <v>2270</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outlineLevel="3" x14ac:dyDescent="0.25">
      <c r="A485" s="45"/>
      <c r="B485" s="54"/>
      <c r="C485" s="47">
        <f t="shared" si="96"/>
        <v>3</v>
      </c>
      <c r="D485" s="73"/>
      <c r="E485" s="70"/>
      <c r="F485" s="70" t="s">
        <v>1092</v>
      </c>
      <c r="G485" s="73"/>
      <c r="H485" s="76" t="s">
        <v>2271</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outlineLevel="3" x14ac:dyDescent="0.25">
      <c r="A486" s="45"/>
      <c r="B486" s="54"/>
      <c r="C486" s="47">
        <f t="shared" si="96"/>
        <v>3</v>
      </c>
      <c r="D486" s="73"/>
      <c r="E486" s="70"/>
      <c r="F486" s="70" t="s">
        <v>1093</v>
      </c>
      <c r="G486" s="73"/>
      <c r="H486" s="76" t="s">
        <v>2272</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outlineLevel="2" x14ac:dyDescent="0.25">
      <c r="A503" s="45"/>
      <c r="B503" s="54"/>
      <c r="C503" s="47">
        <f t="shared" ref="C503:C534" si="97">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outlineLevel="2" x14ac:dyDescent="0.25">
      <c r="A504" s="45"/>
      <c r="B504" s="54"/>
      <c r="C504" s="47">
        <f t="shared" si="97"/>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outlineLevel="2" collapsed="1" x14ac:dyDescent="0.25">
      <c r="A505" s="45"/>
      <c r="B505" s="54"/>
      <c r="C505" s="47">
        <f t="shared" si="97"/>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outlineLevel="2" x14ac:dyDescent="0.25">
      <c r="A536" s="45"/>
      <c r="B536" s="54"/>
      <c r="C536" s="47">
        <f t="shared" si="98"/>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2595</v>
      </c>
      <c r="AG536" s="76"/>
      <c r="AH536" s="97">
        <v>1</v>
      </c>
      <c r="AI536" s="97">
        <v>1</v>
      </c>
      <c r="AJ536" s="73"/>
      <c r="AK536" s="57"/>
      <c r="AL536" s="45"/>
      <c r="AM536" s="45"/>
      <c r="AN536" s="45"/>
    </row>
    <row r="537" spans="1:40" outlineLevel="2" x14ac:dyDescent="0.25">
      <c r="A537" s="45"/>
      <c r="B537" s="54"/>
      <c r="C537" s="47">
        <f t="shared" si="98"/>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outlineLevel="2" x14ac:dyDescent="0.25">
      <c r="A538" s="45"/>
      <c r="B538" s="54"/>
      <c r="C538" s="47">
        <f t="shared" si="98"/>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outlineLevel="2" collapsed="1" x14ac:dyDescent="0.25">
      <c r="A539" s="45"/>
      <c r="B539" s="54"/>
      <c r="C539" s="47">
        <f t="shared" si="98"/>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outlineLevel="2" x14ac:dyDescent="0.25">
      <c r="A544" s="45"/>
      <c r="B544" s="54"/>
      <c r="C544" s="47">
        <f t="shared" si="98"/>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outlineLevel="2" x14ac:dyDescent="0.25">
      <c r="A545" s="45"/>
      <c r="B545" s="54"/>
      <c r="C545" s="47">
        <f t="shared" si="98"/>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outlineLevel="2" x14ac:dyDescent="0.25">
      <c r="A546" s="45"/>
      <c r="B546" s="54"/>
      <c r="C546" s="47">
        <f t="shared" si="98"/>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outlineLevel="2" collapsed="1" x14ac:dyDescent="0.25">
      <c r="A547" s="45"/>
      <c r="B547" s="54"/>
      <c r="C547" s="47">
        <f t="shared" si="98"/>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outlineLevel="2" x14ac:dyDescent="0.25">
      <c r="A560" s="45"/>
      <c r="B560" s="54"/>
      <c r="C560" s="47">
        <f t="shared" si="98"/>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outlineLevel="2" x14ac:dyDescent="0.25">
      <c r="A561" s="45"/>
      <c r="B561" s="54"/>
      <c r="C561" s="47">
        <f t="shared" si="98"/>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outlineLevel="2" x14ac:dyDescent="0.25">
      <c r="A562" s="45"/>
      <c r="B562" s="54"/>
      <c r="C562" s="47">
        <f t="shared" si="98"/>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outlineLevel="2" x14ac:dyDescent="0.25">
      <c r="A563" s="45"/>
      <c r="B563" s="54"/>
      <c r="C563" s="47">
        <f t="shared" si="98"/>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outlineLevel="2" x14ac:dyDescent="0.25">
      <c r="A564" s="45"/>
      <c r="B564" s="54"/>
      <c r="C564" s="47">
        <f t="shared" si="98"/>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outlineLevel="2" x14ac:dyDescent="0.25">
      <c r="A565" s="45"/>
      <c r="B565" s="54"/>
      <c r="C565" s="47">
        <f t="shared" si="98"/>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outlineLevel="2" x14ac:dyDescent="0.25">
      <c r="A566" s="45"/>
      <c r="B566" s="54"/>
      <c r="C566" s="47">
        <f t="shared" si="98"/>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outlineLevel="2" x14ac:dyDescent="0.25">
      <c r="A567" s="45"/>
      <c r="B567" s="54"/>
      <c r="C567" s="47">
        <f t="shared" ref="C567:C598" si="103">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2699</v>
      </c>
      <c r="AG567" s="76"/>
      <c r="AH567" s="97">
        <v>1</v>
      </c>
      <c r="AI567" s="97">
        <v>1</v>
      </c>
      <c r="AJ567" s="73"/>
      <c r="AK567" s="57"/>
      <c r="AL567" s="45"/>
      <c r="AM567" s="45"/>
      <c r="AN567" s="45"/>
    </row>
    <row r="568" spans="1:40" outlineLevel="2" x14ac:dyDescent="0.25">
      <c r="A568" s="45"/>
      <c r="B568" s="54"/>
      <c r="C568" s="47">
        <f t="shared" si="103"/>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2726</v>
      </c>
      <c r="AG568" s="76"/>
      <c r="AH568" s="97">
        <v>1</v>
      </c>
      <c r="AI568" s="97">
        <v>1</v>
      </c>
      <c r="AJ568" s="73"/>
      <c r="AK568" s="57"/>
      <c r="AL568" s="45"/>
      <c r="AM568" s="45"/>
      <c r="AN568" s="45"/>
    </row>
    <row r="569" spans="1:40" outlineLevel="2" x14ac:dyDescent="0.25">
      <c r="A569" s="45"/>
      <c r="B569" s="54"/>
      <c r="C569" s="47">
        <f t="shared" si="103"/>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outlineLevel="2" x14ac:dyDescent="0.25">
      <c r="A570" s="45"/>
      <c r="B570" s="54"/>
      <c r="C570" s="47">
        <f t="shared" si="103"/>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outlineLevel="2" x14ac:dyDescent="0.25">
      <c r="A571" s="45"/>
      <c r="B571" s="54"/>
      <c r="C571" s="47">
        <f t="shared" si="103"/>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outlineLevel="2" x14ac:dyDescent="0.25">
      <c r="A572" s="45"/>
      <c r="B572" s="54"/>
      <c r="C572" s="47">
        <f t="shared" si="103"/>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outlineLevel="2" x14ac:dyDescent="0.25">
      <c r="A573" s="45"/>
      <c r="B573" s="54"/>
      <c r="C573" s="47">
        <f t="shared" si="103"/>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outlineLevel="2" x14ac:dyDescent="0.25">
      <c r="A574" s="45"/>
      <c r="B574" s="54"/>
      <c r="C574" s="47">
        <f t="shared" si="103"/>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outlineLevel="2" x14ac:dyDescent="0.25">
      <c r="A576" s="45"/>
      <c r="B576" s="54"/>
      <c r="C576" s="47">
        <f t="shared" si="103"/>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outlineLevel="2" collapsed="1" x14ac:dyDescent="0.25">
      <c r="A577" s="45"/>
      <c r="B577" s="54"/>
      <c r="C577" s="47">
        <f t="shared" si="103"/>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outlineLevel="2" x14ac:dyDescent="0.25">
      <c r="A584" s="45"/>
      <c r="B584" s="54"/>
      <c r="C584" s="47">
        <f t="shared" si="103"/>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outlineLevel="2" collapsed="1" x14ac:dyDescent="0.25">
      <c r="A585" s="45"/>
      <c r="B585" s="54"/>
      <c r="C585" s="47">
        <f t="shared" si="103"/>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outlineLevel="2" x14ac:dyDescent="0.25">
      <c r="A599" s="45"/>
      <c r="B599" s="54"/>
      <c r="C599" s="47">
        <f t="shared" ref="C599:C630" si="107">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outlineLevel="2" collapsed="1" x14ac:dyDescent="0.25">
      <c r="A600" s="45"/>
      <c r="B600" s="54"/>
      <c r="C600" s="47">
        <f t="shared" si="107"/>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outlineLevel="2" x14ac:dyDescent="0.25">
      <c r="A615" s="45"/>
      <c r="B615" s="54"/>
      <c r="C615" s="47">
        <f t="shared" si="107"/>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outlineLevel="2" collapsed="1" x14ac:dyDescent="0.25">
      <c r="A616" s="45"/>
      <c r="B616" s="54"/>
      <c r="C616" s="47">
        <f t="shared" si="107"/>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outlineLevel="2" x14ac:dyDescent="0.25">
      <c r="A623" s="45"/>
      <c r="B623" s="54"/>
      <c r="C623" s="47">
        <f t="shared" si="107"/>
        <v>3</v>
      </c>
      <c r="D623" s="73"/>
      <c r="E623" s="70"/>
      <c r="F623" s="70" t="s">
        <v>2778</v>
      </c>
      <c r="G623" s="73"/>
      <c r="H623" s="76" t="s">
        <v>2777</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2767</v>
      </c>
      <c r="AG623" s="76"/>
      <c r="AH623" s="97">
        <v>1</v>
      </c>
      <c r="AI623" s="97">
        <v>1</v>
      </c>
      <c r="AJ623" s="73"/>
      <c r="AK623" s="57"/>
      <c r="AL623" s="45"/>
      <c r="AM623" s="45"/>
      <c r="AN623" s="45"/>
    </row>
    <row r="624" spans="1:40" outlineLevel="2" x14ac:dyDescent="0.25">
      <c r="A624" s="45"/>
      <c r="B624" s="54"/>
      <c r="C624" s="47">
        <f t="shared" si="107"/>
        <v>3</v>
      </c>
      <c r="D624" s="73"/>
      <c r="E624" s="70"/>
      <c r="F624" s="70" t="s">
        <v>2779</v>
      </c>
      <c r="G624" s="73"/>
      <c r="H624" s="76" t="s">
        <v>2691</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76"/>
      <c r="AG624" s="76"/>
      <c r="AH624" s="97">
        <v>1</v>
      </c>
      <c r="AI624" s="97">
        <v>1</v>
      </c>
      <c r="AJ624" s="73"/>
      <c r="AK624" s="57"/>
      <c r="AL624" s="45"/>
      <c r="AM624" s="45"/>
      <c r="AN624" s="45"/>
    </row>
    <row r="625" spans="1:40" outlineLevel="2" x14ac:dyDescent="0.25">
      <c r="A625" s="45"/>
      <c r="B625" s="54"/>
      <c r="C625" s="47">
        <f t="shared" si="107"/>
        <v>3</v>
      </c>
      <c r="D625" s="73"/>
      <c r="E625" s="70"/>
      <c r="F625" s="70" t="s">
        <v>2780</v>
      </c>
      <c r="G625" s="73"/>
      <c r="H625" s="76" t="s">
        <v>2692</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outlineLevel="2" x14ac:dyDescent="0.25">
      <c r="A626" s="45"/>
      <c r="B626" s="54"/>
      <c r="C626" s="47">
        <f t="shared" si="107"/>
        <v>3</v>
      </c>
      <c r="D626" s="73"/>
      <c r="E626" s="70"/>
      <c r="F626" s="70" t="s">
        <v>2781</v>
      </c>
      <c r="G626" s="73"/>
      <c r="H626" s="76" t="s">
        <v>2693</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outlineLevel="2" x14ac:dyDescent="0.25">
      <c r="A627" s="45"/>
      <c r="B627" s="54"/>
      <c r="C627" s="47">
        <f t="shared" si="107"/>
        <v>3</v>
      </c>
      <c r="D627" s="73"/>
      <c r="E627" s="70"/>
      <c r="F627" s="70" t="s">
        <v>2782</v>
      </c>
      <c r="G627" s="73"/>
      <c r="H627" s="76" t="s">
        <v>2694</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outlineLevel="2" x14ac:dyDescent="0.25">
      <c r="A628" s="45"/>
      <c r="B628" s="54"/>
      <c r="C628" s="47">
        <f t="shared" si="107"/>
        <v>3</v>
      </c>
      <c r="D628" s="73"/>
      <c r="E628" s="70"/>
      <c r="F628" s="70" t="s">
        <v>2783</v>
      </c>
      <c r="G628" s="73"/>
      <c r="H628" s="76" t="s">
        <v>2695</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outlineLevel="2" x14ac:dyDescent="0.25">
      <c r="A629" s="45"/>
      <c r="B629" s="54"/>
      <c r="C629" s="47">
        <f t="shared" si="107"/>
        <v>3</v>
      </c>
      <c r="D629" s="73"/>
      <c r="E629" s="70"/>
      <c r="F629" s="70" t="s">
        <v>2784</v>
      </c>
      <c r="G629" s="73"/>
      <c r="H629" s="76" t="s">
        <v>2696</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outlineLevel="2" x14ac:dyDescent="0.25">
      <c r="A630" s="45"/>
      <c r="B630" s="54"/>
      <c r="C630" s="47">
        <f t="shared" si="107"/>
        <v>3</v>
      </c>
      <c r="D630" s="73"/>
      <c r="E630" s="70"/>
      <c r="F630" s="70" t="s">
        <v>2785</v>
      </c>
      <c r="G630" s="73"/>
      <c r="H630" s="76" t="s">
        <v>2697</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2587</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1260</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1272</v>
      </c>
      <c r="G679" s="73"/>
      <c r="H679" s="76" t="s">
        <v>2351</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2182</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2182</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1283</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1290</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30">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1372</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1373</v>
      </c>
      <c r="G754" s="73"/>
      <c r="H754" s="76" t="s">
        <v>1374</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1375</v>
      </c>
      <c r="G755" s="73"/>
      <c r="H755" s="76" t="s">
        <v>1376</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1377</v>
      </c>
      <c r="G756" s="73"/>
      <c r="H756" s="76" t="s">
        <v>1378</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1379</v>
      </c>
      <c r="G757" s="73"/>
      <c r="H757" s="76" t="s">
        <v>1380</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1381</v>
      </c>
      <c r="G758" s="73"/>
      <c r="H758" s="76" t="s">
        <v>1382</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2739</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1403</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1406</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1409</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1412</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1403</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1406</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1409</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1426</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1372</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1447</v>
      </c>
      <c r="G800" s="73"/>
      <c r="H800" s="76" t="s">
        <v>1448</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1372</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2302</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2303</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2304</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1467</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3" x14ac:dyDescent="0.2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outlineLevel="3" x14ac:dyDescent="0.2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outlineLevel="3" x14ac:dyDescent="0.2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outlineLevel="3" x14ac:dyDescent="0.2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outlineLevel="2" x14ac:dyDescent="0.25">
      <c r="A825" s="45"/>
      <c r="B825" s="54"/>
      <c r="C825" s="47">
        <f t="shared" si="160"/>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2592</v>
      </c>
      <c r="AG825" s="76"/>
      <c r="AH825" s="97">
        <v>1</v>
      </c>
      <c r="AI825" s="97">
        <v>1</v>
      </c>
      <c r="AJ825" s="73"/>
      <c r="AK825" s="57"/>
      <c r="AL825" s="45"/>
      <c r="AM825" s="45"/>
      <c r="AN825" s="45"/>
    </row>
    <row r="826" spans="1:40" outlineLevel="2" x14ac:dyDescent="0.25">
      <c r="A826" s="45"/>
      <c r="B826" s="54"/>
      <c r="C826" s="47">
        <f t="shared" si="160"/>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1502</v>
      </c>
      <c r="AG826" s="76"/>
      <c r="AH826" s="97">
        <v>1</v>
      </c>
      <c r="AI826" s="97">
        <v>1</v>
      </c>
      <c r="AJ826" s="73"/>
      <c r="AK826" s="57"/>
      <c r="AL826" s="45"/>
      <c r="AM826" s="45"/>
      <c r="AN826" s="45"/>
    </row>
    <row r="827" spans="1:40" outlineLevel="2" x14ac:dyDescent="0.25">
      <c r="A827" s="45"/>
      <c r="B827" s="54"/>
      <c r="C827" s="47">
        <f t="shared" si="160"/>
        <v>3</v>
      </c>
      <c r="D827" s="73"/>
      <c r="E827" s="70"/>
      <c r="F827" s="70" t="s">
        <v>1505</v>
      </c>
      <c r="G827" s="73"/>
      <c r="H827" s="76" t="s">
        <v>1506</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outlineLevel="2" x14ac:dyDescent="0.25">
      <c r="A829" s="45"/>
      <c r="B829" s="54"/>
      <c r="C829" s="47">
        <f t="shared" si="160"/>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outlineLevel="2" x14ac:dyDescent="0.25">
      <c r="A830" s="45"/>
      <c r="B830" s="54"/>
      <c r="C830" s="47">
        <f t="shared" si="160"/>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outlineLevel="2" x14ac:dyDescent="0.25">
      <c r="A831" s="45"/>
      <c r="B831" s="54"/>
      <c r="C831" s="47">
        <f t="shared" si="160"/>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outlineLevel="2" x14ac:dyDescent="0.25">
      <c r="A832" s="45"/>
      <c r="B832" s="54"/>
      <c r="C832" s="47">
        <f t="shared" si="160"/>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outlineLevel="2" x14ac:dyDescent="0.25">
      <c r="A833" s="45"/>
      <c r="B833" s="54"/>
      <c r="C833" s="47">
        <f t="shared" si="160"/>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outlineLevel="2" x14ac:dyDescent="0.25">
      <c r="A834" s="45"/>
      <c r="B834" s="54"/>
      <c r="C834" s="47">
        <f t="shared" si="160"/>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outlineLevel="2" x14ac:dyDescent="0.25">
      <c r="A835" s="45"/>
      <c r="B835" s="54"/>
      <c r="C835" s="47">
        <f t="shared" si="160"/>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outlineLevel="2" x14ac:dyDescent="0.25">
      <c r="A836" s="45"/>
      <c r="B836" s="54"/>
      <c r="C836" s="47">
        <f t="shared" si="160"/>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outlineLevel="2" x14ac:dyDescent="0.25">
      <c r="A837" s="45"/>
      <c r="B837" s="54"/>
      <c r="C837" s="47">
        <f t="shared" si="160"/>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outlineLevel="2" x14ac:dyDescent="0.25">
      <c r="A838" s="45"/>
      <c r="B838" s="54"/>
      <c r="C838" s="47">
        <f t="shared" si="160"/>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1533</v>
      </c>
      <c r="AG838" s="76"/>
      <c r="AH838" s="97">
        <v>1</v>
      </c>
      <c r="AI838" s="97">
        <v>1</v>
      </c>
      <c r="AJ838" s="73"/>
      <c r="AK838" s="57"/>
      <c r="AL838" s="45"/>
      <c r="AM838" s="45"/>
      <c r="AN838" s="45"/>
    </row>
    <row r="839" spans="1:40" outlineLevel="2" x14ac:dyDescent="0.25">
      <c r="A839" s="45"/>
      <c r="B839" s="54"/>
      <c r="C839" s="47">
        <f t="shared" si="160"/>
        <v>3</v>
      </c>
      <c r="D839" s="73"/>
      <c r="E839" s="70"/>
      <c r="F839" s="70" t="s">
        <v>1534</v>
      </c>
      <c r="G839" s="73"/>
      <c r="H839" s="76" t="s">
        <v>1535</v>
      </c>
      <c r="I839" s="96" t="s">
        <v>1532</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1536</v>
      </c>
      <c r="AG839" s="76"/>
      <c r="AH839" s="97">
        <v>1</v>
      </c>
      <c r="AI839" s="97">
        <v>1</v>
      </c>
      <c r="AJ839" s="73"/>
      <c r="AK839" s="57"/>
      <c r="AL839" s="45"/>
      <c r="AM839" s="45"/>
      <c r="AN839" s="45"/>
    </row>
    <row r="840" spans="1:40" outlineLevel="2" x14ac:dyDescent="0.25">
      <c r="A840" s="45"/>
      <c r="B840" s="54"/>
      <c r="C840" s="47">
        <f t="shared" si="160"/>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outlineLevel="2" x14ac:dyDescent="0.25">
      <c r="A841" s="45"/>
      <c r="B841" s="54"/>
      <c r="C841" s="47">
        <f t="shared" si="160"/>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outlineLevel="2" x14ac:dyDescent="0.25">
      <c r="A842" s="45"/>
      <c r="B842" s="54"/>
      <c r="C842" s="47">
        <f t="shared" si="160"/>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2284</v>
      </c>
      <c r="AG842" s="76"/>
      <c r="AH842" s="97">
        <v>1</v>
      </c>
      <c r="AI842" s="97">
        <v>1</v>
      </c>
      <c r="AJ842" s="73"/>
      <c r="AK842" s="57"/>
      <c r="AL842" s="45"/>
      <c r="AM842" s="45"/>
      <c r="AN842" s="45"/>
    </row>
    <row r="843" spans="1:40" outlineLevel="2" x14ac:dyDescent="0.25">
      <c r="A843" s="45"/>
      <c r="B843" s="54"/>
      <c r="C843" s="47">
        <f t="shared" si="160"/>
        <v>3</v>
      </c>
      <c r="D843" s="73"/>
      <c r="E843" s="70"/>
      <c r="F843" s="70" t="s">
        <v>1542</v>
      </c>
      <c r="G843" s="73"/>
      <c r="H843" s="76" t="s">
        <v>1535</v>
      </c>
      <c r="I843" s="96" t="s">
        <v>1532</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2285</v>
      </c>
      <c r="AG843" s="76"/>
      <c r="AH843" s="97">
        <v>1</v>
      </c>
      <c r="AI843" s="97">
        <v>1</v>
      </c>
      <c r="AJ843" s="73"/>
      <c r="AK843" s="57"/>
      <c r="AL843" s="45"/>
      <c r="AM843" s="45"/>
      <c r="AN843" s="45"/>
    </row>
    <row r="844" spans="1:40" outlineLevel="2" x14ac:dyDescent="0.25">
      <c r="A844" s="45"/>
      <c r="B844" s="54"/>
      <c r="C844" s="47">
        <f t="shared" si="160"/>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outlineLevel="2" x14ac:dyDescent="0.25">
      <c r="A845" s="45"/>
      <c r="B845" s="54"/>
      <c r="C845" s="47">
        <f t="shared" si="160"/>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outlineLevel="2" x14ac:dyDescent="0.25">
      <c r="A846" s="45"/>
      <c r="B846" s="54"/>
      <c r="C846" s="47">
        <f t="shared" si="160"/>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outlineLevel="2" x14ac:dyDescent="0.25">
      <c r="A847" s="45"/>
      <c r="B847" s="54"/>
      <c r="C847" s="47">
        <f t="shared" si="160"/>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outlineLevel="2" x14ac:dyDescent="0.25">
      <c r="A848" s="45"/>
      <c r="B848" s="54"/>
      <c r="C848" s="47">
        <f t="shared" si="160"/>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outlineLevel="2" x14ac:dyDescent="0.25">
      <c r="A849" s="45"/>
      <c r="B849" s="54"/>
      <c r="C849" s="47">
        <f t="shared" si="160"/>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outlineLevel="2" x14ac:dyDescent="0.25">
      <c r="A850" s="45"/>
      <c r="B850" s="54"/>
      <c r="C850" s="47">
        <f t="shared" si="160"/>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outlineLevel="2" x14ac:dyDescent="0.25">
      <c r="A851" s="45"/>
      <c r="B851" s="54"/>
      <c r="C851" s="47">
        <f t="shared" si="160"/>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outlineLevel="2" x14ac:dyDescent="0.25">
      <c r="A852" s="45"/>
      <c r="B852" s="54"/>
      <c r="C852" s="47">
        <f t="shared" si="160"/>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2588</v>
      </c>
      <c r="AG853" s="76"/>
      <c r="AH853" s="97">
        <v>1</v>
      </c>
      <c r="AI853" s="97">
        <v>1</v>
      </c>
      <c r="AJ853" s="73"/>
      <c r="AK853" s="57"/>
      <c r="AL853" s="45"/>
      <c r="AM853" s="45"/>
      <c r="AN853" s="45"/>
    </row>
    <row r="854" spans="1:40" outlineLevel="2" x14ac:dyDescent="0.25">
      <c r="A854" s="45"/>
      <c r="B854" s="54"/>
      <c r="C854" s="47">
        <f t="shared" si="160"/>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2740</v>
      </c>
      <c r="AG857" s="76"/>
      <c r="AH857" s="76">
        <v>1</v>
      </c>
      <c r="AI857" s="76">
        <v>1</v>
      </c>
      <c r="AJ857" s="73"/>
      <c r="AK857" s="57"/>
      <c r="AL857" s="45"/>
      <c r="AM857" s="45"/>
      <c r="AN857" s="45"/>
    </row>
    <row r="858" spans="1:40" outlineLevel="2" x14ac:dyDescent="0.25">
      <c r="A858" s="45"/>
      <c r="B858" s="54"/>
      <c r="C858" s="47">
        <f t="shared" si="160"/>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outlineLevel="2" x14ac:dyDescent="0.2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2725</v>
      </c>
      <c r="AG863" s="76"/>
      <c r="AH863" s="97">
        <v>1</v>
      </c>
      <c r="AI863" s="97">
        <v>1</v>
      </c>
      <c r="AJ863" s="73"/>
      <c r="AK863" s="57"/>
      <c r="AL863" s="45"/>
      <c r="AM863" s="45"/>
      <c r="AN863" s="45"/>
    </row>
    <row r="864" spans="1:40" hidden="1" outlineLevel="3" x14ac:dyDescent="0.2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0" si="171">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2181</v>
      </c>
      <c r="AG885" s="76"/>
      <c r="AH885" s="97">
        <v>1</v>
      </c>
      <c r="AI885" s="97">
        <v>1</v>
      </c>
      <c r="AJ885" s="73"/>
      <c r="AK885" s="57"/>
      <c r="AL885" s="45"/>
      <c r="AM885" s="45"/>
      <c r="AN885" s="45"/>
    </row>
    <row r="886" spans="1:40" outlineLevel="2" x14ac:dyDescent="0.25">
      <c r="A886" s="45"/>
      <c r="B886" s="54"/>
      <c r="C886" s="47">
        <f t="shared" si="171"/>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outlineLevel="2" x14ac:dyDescent="0.25">
      <c r="A913" s="45"/>
      <c r="B913" s="54"/>
      <c r="C913" s="47">
        <f t="shared" si="171"/>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2826</v>
      </c>
      <c r="AG913" s="76"/>
      <c r="AH913" s="97">
        <v>1</v>
      </c>
      <c r="AI913" s="97">
        <v>1</v>
      </c>
      <c r="AJ913" s="73"/>
      <c r="AK913" s="57"/>
      <c r="AL913" s="45"/>
      <c r="AM913" s="45"/>
      <c r="AN913" s="45"/>
    </row>
    <row r="914" spans="1:40" outlineLevel="2" x14ac:dyDescent="0.25">
      <c r="A914" s="45"/>
      <c r="B914" s="54"/>
      <c r="C914" s="47">
        <f t="shared" si="171"/>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outlineLevel="2" x14ac:dyDescent="0.25">
      <c r="A917" s="45"/>
      <c r="B917" s="54"/>
      <c r="C917" s="47">
        <f t="shared" si="171"/>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2539</v>
      </c>
      <c r="AG917" s="76"/>
      <c r="AH917" s="97">
        <v>1</v>
      </c>
      <c r="AI917" s="97">
        <v>1</v>
      </c>
      <c r="AJ917" s="73"/>
      <c r="AK917" s="57"/>
      <c r="AL917" s="45"/>
      <c r="AM917" s="45"/>
      <c r="AN917" s="45"/>
    </row>
    <row r="918" spans="1:40" outlineLevel="2" x14ac:dyDescent="0.25">
      <c r="A918" s="45"/>
      <c r="B918" s="54"/>
      <c r="C918" s="47">
        <f t="shared" si="171"/>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9"/>
        <v>6</v>
      </c>
      <c r="W918" s="255">
        <f t="shared" si="180"/>
        <v>6</v>
      </c>
      <c r="X918" s="255">
        <f t="shared" si="180"/>
        <v>6</v>
      </c>
      <c r="Y918" s="255">
        <f>V918</f>
        <v>6</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2542</v>
      </c>
      <c r="AG919" s="76"/>
      <c r="AH919" s="76">
        <v>1</v>
      </c>
      <c r="AI919" s="76">
        <v>1</v>
      </c>
      <c r="AJ919" s="73"/>
      <c r="AK919" s="57"/>
      <c r="AL919" s="45"/>
      <c r="AM919" s="45"/>
      <c r="AN919" s="45"/>
    </row>
    <row r="920" spans="1:40" outlineLevel="2" x14ac:dyDescent="0.25">
      <c r="A920" s="45"/>
      <c r="B920" s="54"/>
      <c r="C920" s="47">
        <f t="shared" si="171"/>
        <v>3</v>
      </c>
      <c r="D920" s="73"/>
      <c r="E920" s="70"/>
      <c r="F920" s="70" t="s">
        <v>2531</v>
      </c>
      <c r="G920" s="73"/>
      <c r="H920" s="76" t="s">
        <v>3352</v>
      </c>
      <c r="I920" s="96" t="s">
        <v>502</v>
      </c>
      <c r="J920" s="96"/>
      <c r="K920" s="76"/>
      <c r="L920" s="76"/>
      <c r="M920" s="76"/>
      <c r="N920" s="76"/>
      <c r="O920" s="76"/>
      <c r="P920" s="76"/>
      <c r="Q920" s="76"/>
      <c r="R920" s="76"/>
      <c r="S920" s="76"/>
      <c r="T920" s="76" t="s">
        <v>3325</v>
      </c>
      <c r="U920" s="97">
        <v>1.302</v>
      </c>
      <c r="V920" s="255">
        <f>U920</f>
        <v>1.302</v>
      </c>
      <c r="W920" s="97">
        <v>1.80097</v>
      </c>
      <c r="X920" s="97">
        <v>1.9570099999999999</v>
      </c>
      <c r="Y920" s="97">
        <v>1.7747839999999999</v>
      </c>
      <c r="Z920" s="255">
        <f t="shared" ref="Z920:Z923" si="183">AA920</f>
        <v>0.64400000000000002</v>
      </c>
      <c r="AA920" s="97">
        <v>0.64400000000000002</v>
      </c>
      <c r="AB920" s="255">
        <f t="shared" ref="AB920:AB923" si="184">AA920</f>
        <v>0.64400000000000002</v>
      </c>
      <c r="AC920" s="255">
        <f t="shared" ref="AC920:AC923" si="185">AB920</f>
        <v>0.64400000000000002</v>
      </c>
      <c r="AD920" s="255">
        <f t="shared" ref="AD920:AD923" si="186">AC920</f>
        <v>0.64400000000000002</v>
      </c>
      <c r="AE920" s="76"/>
      <c r="AF920" s="97" t="s">
        <v>2756</v>
      </c>
      <c r="AG920" s="76"/>
      <c r="AH920" s="76">
        <v>1</v>
      </c>
      <c r="AI920" s="76">
        <v>1</v>
      </c>
      <c r="AJ920" s="73"/>
      <c r="AK920" s="57"/>
      <c r="AL920" s="45"/>
      <c r="AM920" s="45"/>
      <c r="AN920" s="45"/>
    </row>
    <row r="921" spans="1:40" outlineLevel="2" x14ac:dyDescent="0.25">
      <c r="A921" s="45"/>
      <c r="B921" s="54"/>
      <c r="C921" s="47">
        <f t="shared" si="171"/>
        <v>3</v>
      </c>
      <c r="D921" s="73"/>
      <c r="E921" s="70"/>
      <c r="F921" s="70" t="s">
        <v>2532</v>
      </c>
      <c r="G921" s="73"/>
      <c r="H921" s="76" t="s">
        <v>2536</v>
      </c>
      <c r="I921" s="96" t="s">
        <v>502</v>
      </c>
      <c r="J921" s="96"/>
      <c r="K921" s="76"/>
      <c r="L921" s="76"/>
      <c r="M921" s="76"/>
      <c r="N921" s="76"/>
      <c r="O921" s="76"/>
      <c r="P921" s="76"/>
      <c r="Q921" s="76"/>
      <c r="R921" s="76"/>
      <c r="S921" s="76"/>
      <c r="T921" s="76" t="s">
        <v>3325</v>
      </c>
      <c r="U921" s="97">
        <v>4.9800000000000004</v>
      </c>
      <c r="V921" s="255">
        <f>U921</f>
        <v>4.9800000000000004</v>
      </c>
      <c r="W921" s="97">
        <v>5.2321099999999996</v>
      </c>
      <c r="X921" s="97">
        <v>5.3830999999999998</v>
      </c>
      <c r="Y921" s="97">
        <v>5.2835130000000001</v>
      </c>
      <c r="Z921" s="255">
        <f t="shared" si="183"/>
        <v>3.1459999999999999</v>
      </c>
      <c r="AA921" s="97">
        <v>3.1459999999999999</v>
      </c>
      <c r="AB921" s="255">
        <f t="shared" si="184"/>
        <v>3.1459999999999999</v>
      </c>
      <c r="AC921" s="255">
        <f t="shared" si="185"/>
        <v>3.1459999999999999</v>
      </c>
      <c r="AD921" s="255">
        <f t="shared" si="186"/>
        <v>3.1459999999999999</v>
      </c>
      <c r="AE921" s="76"/>
      <c r="AF921" s="76"/>
      <c r="AG921" s="76"/>
      <c r="AH921" s="97">
        <v>1</v>
      </c>
      <c r="AI921" s="97">
        <v>1</v>
      </c>
      <c r="AJ921" s="73"/>
      <c r="AK921" s="57"/>
      <c r="AL921" s="45"/>
      <c r="AM921" s="45"/>
      <c r="AN921" s="45"/>
    </row>
    <row r="922" spans="1:40" outlineLevel="2" x14ac:dyDescent="0.25">
      <c r="A922" s="45"/>
      <c r="B922" s="54"/>
      <c r="C922" s="47">
        <f t="shared" si="171"/>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83"/>
        <v>6.0309999999999997</v>
      </c>
      <c r="AA922" s="97">
        <v>6.0309999999999997</v>
      </c>
      <c r="AB922" s="255">
        <f t="shared" si="184"/>
        <v>6.0309999999999997</v>
      </c>
      <c r="AC922" s="255">
        <f t="shared" si="185"/>
        <v>6.0309999999999997</v>
      </c>
      <c r="AD922" s="255">
        <f t="shared" si="186"/>
        <v>6.0309999999999997</v>
      </c>
      <c r="AE922" s="76"/>
      <c r="AF922" s="97" t="s">
        <v>2789</v>
      </c>
      <c r="AG922" s="76"/>
      <c r="AH922" s="97">
        <v>1</v>
      </c>
      <c r="AI922" s="97">
        <v>1</v>
      </c>
      <c r="AJ922" s="73"/>
      <c r="AK922" s="57"/>
      <c r="AL922" s="45"/>
      <c r="AM922" s="45"/>
      <c r="AN922" s="45"/>
    </row>
    <row r="923" spans="1:40" outlineLevel="2" x14ac:dyDescent="0.25">
      <c r="A923" s="45"/>
      <c r="B923" s="54"/>
      <c r="C923" s="47">
        <f t="shared" si="171"/>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9"/>
        <v>100</v>
      </c>
      <c r="W923" s="76">
        <f>U923</f>
        <v>100</v>
      </c>
      <c r="X923" s="76">
        <f>V923</f>
        <v>100</v>
      </c>
      <c r="Y923" s="76">
        <f>V923</f>
        <v>100</v>
      </c>
      <c r="Z923" s="76">
        <f t="shared" si="183"/>
        <v>100</v>
      </c>
      <c r="AA923" s="76">
        <v>100</v>
      </c>
      <c r="AB923" s="76">
        <f t="shared" si="184"/>
        <v>100</v>
      </c>
      <c r="AC923" s="76">
        <f t="shared" si="185"/>
        <v>100</v>
      </c>
      <c r="AD923" s="76">
        <f t="shared" si="186"/>
        <v>100</v>
      </c>
      <c r="AE923" s="76"/>
      <c r="AF923" s="264" t="s">
        <v>2542</v>
      </c>
      <c r="AG923" s="76"/>
      <c r="AH923" s="76">
        <v>1</v>
      </c>
      <c r="AI923" s="76">
        <v>1</v>
      </c>
      <c r="AJ923" s="73"/>
      <c r="AK923" s="57"/>
      <c r="AL923" s="45"/>
      <c r="AM923" s="45"/>
      <c r="AN923" s="45"/>
    </row>
    <row r="924" spans="1:40" outlineLevel="2" x14ac:dyDescent="0.25">
      <c r="A924" s="45"/>
      <c r="B924" s="54"/>
      <c r="C924" s="47">
        <f t="shared" si="171"/>
        <v>3</v>
      </c>
      <c r="D924" s="73"/>
      <c r="E924" s="70"/>
      <c r="F924" s="70" t="s">
        <v>3357</v>
      </c>
      <c r="G924" s="73"/>
      <c r="H924" s="76" t="s">
        <v>2596</v>
      </c>
      <c r="I924" s="96" t="s">
        <v>502</v>
      </c>
      <c r="J924" s="96"/>
      <c r="K924" s="76"/>
      <c r="L924" s="76"/>
      <c r="M924" s="76"/>
      <c r="N924" s="76"/>
      <c r="O924" s="76"/>
      <c r="P924" s="76"/>
      <c r="Q924" s="76"/>
      <c r="R924" s="76"/>
      <c r="S924" s="76"/>
      <c r="T924" s="76" t="s">
        <v>3325</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2756</v>
      </c>
      <c r="AG924" s="76"/>
      <c r="AH924" s="76">
        <v>1</v>
      </c>
      <c r="AI924" s="76">
        <v>1</v>
      </c>
      <c r="AJ924" s="73"/>
      <c r="AK924" s="57"/>
      <c r="AL924" s="45"/>
      <c r="AM924" s="45"/>
      <c r="AN924" s="45"/>
    </row>
    <row r="925" spans="1:40" outlineLevel="2" x14ac:dyDescent="0.25">
      <c r="A925" s="45"/>
      <c r="B925" s="54"/>
      <c r="C925" s="47">
        <f t="shared" si="171"/>
        <v>3</v>
      </c>
      <c r="D925" s="73"/>
      <c r="E925" s="70"/>
      <c r="F925" s="70" t="s">
        <v>3358</v>
      </c>
      <c r="G925" s="73"/>
      <c r="H925" s="76" t="s">
        <v>2536</v>
      </c>
      <c r="I925" s="96" t="s">
        <v>502</v>
      </c>
      <c r="J925" s="96"/>
      <c r="K925" s="76"/>
      <c r="L925" s="76"/>
      <c r="M925" s="76"/>
      <c r="N925" s="76"/>
      <c r="O925" s="76"/>
      <c r="P925" s="76"/>
      <c r="Q925" s="76"/>
      <c r="R925" s="76"/>
      <c r="S925" s="76"/>
      <c r="T925" s="76" t="s">
        <v>3325</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3359</v>
      </c>
      <c r="G926" s="73"/>
      <c r="H926" s="76" t="s">
        <v>2537</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2789</v>
      </c>
      <c r="AG926" s="76"/>
      <c r="AH926" s="97">
        <v>1</v>
      </c>
      <c r="AI926" s="97">
        <v>1</v>
      </c>
      <c r="AJ926" s="73"/>
      <c r="AK926" s="57"/>
      <c r="AL926" s="45"/>
      <c r="AM926" s="45"/>
      <c r="AN926" s="45"/>
    </row>
    <row r="927" spans="1:40" outlineLevel="2" x14ac:dyDescent="0.25">
      <c r="A927" s="45"/>
      <c r="B927" s="54"/>
      <c r="C927" s="47">
        <f t="shared" si="171"/>
        <v>3</v>
      </c>
      <c r="D927" s="73"/>
      <c r="E927" s="70"/>
      <c r="F927" s="70" t="s">
        <v>3360</v>
      </c>
      <c r="G927" s="73"/>
      <c r="H927" s="76" t="s">
        <v>2538</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2542</v>
      </c>
      <c r="AG927" s="76"/>
      <c r="AH927" s="76">
        <v>1</v>
      </c>
      <c r="AI927" s="76">
        <v>1</v>
      </c>
      <c r="AJ927" s="73"/>
      <c r="AK927" s="57"/>
      <c r="AL927" s="45"/>
      <c r="AM927" s="45"/>
      <c r="AN927" s="45"/>
    </row>
    <row r="928" spans="1:40" outlineLevel="2" x14ac:dyDescent="0.25">
      <c r="A928" s="45"/>
      <c r="B928" s="54"/>
      <c r="C928" s="47">
        <f t="shared" si="171"/>
        <v>3</v>
      </c>
      <c r="D928" s="73"/>
      <c r="E928" s="70"/>
      <c r="F928" s="70" t="s">
        <v>3425</v>
      </c>
      <c r="G928" s="73"/>
      <c r="H928" s="76" t="s">
        <v>3418</v>
      </c>
      <c r="I928" s="96" t="s">
        <v>502</v>
      </c>
      <c r="J928" s="96"/>
      <c r="K928" s="76"/>
      <c r="L928" s="76"/>
      <c r="M928" s="76"/>
      <c r="N928" s="76"/>
      <c r="O928" s="76"/>
      <c r="P928" s="76"/>
      <c r="Q928" s="76"/>
      <c r="R928" s="76"/>
      <c r="S928" s="76"/>
      <c r="T928" s="76"/>
      <c r="U928" s="97">
        <v>0</v>
      </c>
      <c r="V928" s="255">
        <f t="shared" ref="V928:V931" si="187">U928</f>
        <v>0</v>
      </c>
      <c r="W928" s="255">
        <f t="shared" ref="W928:W929" si="188">U928</f>
        <v>0</v>
      </c>
      <c r="X928" s="255">
        <f t="shared" ref="X928:X929" si="189">V928</f>
        <v>0</v>
      </c>
      <c r="Y928" s="255">
        <f t="shared" ref="Y928:Y929" si="190">V928</f>
        <v>0</v>
      </c>
      <c r="Z928" s="255">
        <f t="shared" ref="Z928:Z931" si="191">AA928</f>
        <v>0</v>
      </c>
      <c r="AA928" s="97">
        <f>U928</f>
        <v>0</v>
      </c>
      <c r="AB928" s="255">
        <f t="shared" ref="AB928:AB931" si="192">AA928</f>
        <v>0</v>
      </c>
      <c r="AC928" s="255">
        <f t="shared" ref="AC928:AC931" si="193">AB928</f>
        <v>0</v>
      </c>
      <c r="AD928" s="255">
        <f t="shared" ref="AD928:AD931" si="194">AC928</f>
        <v>0</v>
      </c>
      <c r="AE928" s="76"/>
      <c r="AF928" s="97" t="s">
        <v>3420</v>
      </c>
      <c r="AG928" s="76"/>
      <c r="AH928" s="76">
        <v>1</v>
      </c>
      <c r="AI928" s="76">
        <v>1</v>
      </c>
      <c r="AJ928" s="73"/>
      <c r="AK928" s="57"/>
      <c r="AL928" s="45"/>
      <c r="AM928" s="45"/>
      <c r="AN928" s="45"/>
    </row>
    <row r="929" spans="1:40" outlineLevel="2" x14ac:dyDescent="0.25">
      <c r="A929" s="45"/>
      <c r="B929" s="54"/>
      <c r="C929" s="47">
        <f t="shared" si="171"/>
        <v>3</v>
      </c>
      <c r="D929" s="73"/>
      <c r="E929" s="70"/>
      <c r="F929" s="70" t="s">
        <v>3426</v>
      </c>
      <c r="G929" s="73"/>
      <c r="H929" s="76" t="s">
        <v>2536</v>
      </c>
      <c r="I929" s="96" t="s">
        <v>502</v>
      </c>
      <c r="J929" s="96"/>
      <c r="K929" s="76"/>
      <c r="L929" s="76"/>
      <c r="M929" s="76"/>
      <c r="N929" s="76"/>
      <c r="O929" s="76"/>
      <c r="P929" s="76"/>
      <c r="Q929" s="76"/>
      <c r="R929" s="76"/>
      <c r="S929" s="76"/>
      <c r="T929" s="76"/>
      <c r="U929" s="97">
        <v>0</v>
      </c>
      <c r="V929" s="255">
        <f t="shared" si="187"/>
        <v>0</v>
      </c>
      <c r="W929" s="255">
        <f t="shared" si="188"/>
        <v>0</v>
      </c>
      <c r="X929" s="255">
        <f t="shared" si="189"/>
        <v>0</v>
      </c>
      <c r="Y929" s="255">
        <f t="shared" si="190"/>
        <v>0</v>
      </c>
      <c r="Z929" s="255">
        <f t="shared" si="191"/>
        <v>0</v>
      </c>
      <c r="AA929" s="97">
        <f t="shared" ref="AA929:AA930" si="195">U929</f>
        <v>0</v>
      </c>
      <c r="AB929" s="255">
        <f t="shared" si="192"/>
        <v>0</v>
      </c>
      <c r="AC929" s="255">
        <f t="shared" si="193"/>
        <v>0</v>
      </c>
      <c r="AD929" s="255">
        <f t="shared" si="194"/>
        <v>0</v>
      </c>
      <c r="AE929" s="76"/>
      <c r="AF929" s="97" t="s">
        <v>3424</v>
      </c>
      <c r="AG929" s="76"/>
      <c r="AH929" s="97">
        <v>1</v>
      </c>
      <c r="AI929" s="97">
        <v>1</v>
      </c>
      <c r="AJ929" s="73"/>
      <c r="AK929" s="57"/>
      <c r="AL929" s="45"/>
      <c r="AM929" s="45"/>
      <c r="AN929" s="45"/>
    </row>
    <row r="930" spans="1:40" outlineLevel="2" x14ac:dyDescent="0.25">
      <c r="A930" s="45"/>
      <c r="B930" s="54"/>
      <c r="C930" s="47">
        <f t="shared" si="171"/>
        <v>3</v>
      </c>
      <c r="D930" s="73"/>
      <c r="E930" s="70"/>
      <c r="F930" s="70" t="s">
        <v>3427</v>
      </c>
      <c r="G930" s="73"/>
      <c r="H930" s="76" t="s">
        <v>2537</v>
      </c>
      <c r="I930" s="96" t="s">
        <v>502</v>
      </c>
      <c r="J930" s="96"/>
      <c r="K930" s="76"/>
      <c r="L930" s="76"/>
      <c r="M930" s="76"/>
      <c r="N930" s="76"/>
      <c r="O930" s="76"/>
      <c r="P930" s="76"/>
      <c r="Q930" s="76"/>
      <c r="R930" s="76"/>
      <c r="S930" s="76"/>
      <c r="T930" s="76"/>
      <c r="U930" s="97">
        <v>8.6999999999999994E-2</v>
      </c>
      <c r="V930" s="255">
        <f t="shared" si="187"/>
        <v>8.6999999999999994E-2</v>
      </c>
      <c r="W930" s="255">
        <f>U930</f>
        <v>8.6999999999999994E-2</v>
      </c>
      <c r="X930" s="255">
        <f>V930</f>
        <v>8.6999999999999994E-2</v>
      </c>
      <c r="Y930" s="255">
        <f>V930</f>
        <v>8.6999999999999994E-2</v>
      </c>
      <c r="Z930" s="255">
        <f t="shared" si="191"/>
        <v>8.6999999999999994E-2</v>
      </c>
      <c r="AA930" s="97">
        <f t="shared" si="195"/>
        <v>8.6999999999999994E-2</v>
      </c>
      <c r="AB930" s="255">
        <f t="shared" si="192"/>
        <v>8.6999999999999994E-2</v>
      </c>
      <c r="AC930" s="255">
        <f t="shared" si="193"/>
        <v>8.6999999999999994E-2</v>
      </c>
      <c r="AD930" s="255">
        <f t="shared" si="194"/>
        <v>8.6999999999999994E-2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3428</v>
      </c>
      <c r="G931" s="73"/>
      <c r="H931" s="76" t="s">
        <v>2538</v>
      </c>
      <c r="I931" s="96" t="s">
        <v>502</v>
      </c>
      <c r="J931" s="96"/>
      <c r="K931" s="76"/>
      <c r="L931" s="76"/>
      <c r="M931" s="76"/>
      <c r="N931" s="76"/>
      <c r="O931" s="76"/>
      <c r="P931" s="76"/>
      <c r="Q931" s="76"/>
      <c r="R931" s="76"/>
      <c r="S931" s="76"/>
      <c r="T931" s="76"/>
      <c r="U931" s="253">
        <f>U930</f>
        <v>8.6999999999999994E-2</v>
      </c>
      <c r="V931" s="76">
        <f t="shared" si="187"/>
        <v>8.6999999999999994E-2</v>
      </c>
      <c r="W931" s="76">
        <f>U931</f>
        <v>8.6999999999999994E-2</v>
      </c>
      <c r="X931" s="76">
        <f>V931</f>
        <v>8.6999999999999994E-2</v>
      </c>
      <c r="Y931" s="76">
        <f>V931</f>
        <v>8.6999999999999994E-2</v>
      </c>
      <c r="Z931" s="76">
        <f t="shared" si="191"/>
        <v>8.6999999999999994E-2</v>
      </c>
      <c r="AA931" s="253">
        <f>AA930</f>
        <v>8.6999999999999994E-2</v>
      </c>
      <c r="AB931" s="76">
        <f t="shared" si="192"/>
        <v>8.6999999999999994E-2</v>
      </c>
      <c r="AC931" s="76">
        <f t="shared" si="193"/>
        <v>8.6999999999999994E-2</v>
      </c>
      <c r="AD931" s="76">
        <f t="shared" si="194"/>
        <v>8.6999999999999994E-2</v>
      </c>
      <c r="AE931" s="76"/>
      <c r="AF931" s="264" t="s">
        <v>3419</v>
      </c>
      <c r="AG931" s="76"/>
      <c r="AH931" s="76">
        <v>1</v>
      </c>
      <c r="AI931" s="76">
        <v>1</v>
      </c>
      <c r="AJ931" s="73"/>
      <c r="AK931" s="57"/>
      <c r="AL931" s="45"/>
      <c r="AM931" s="45"/>
      <c r="AN931" s="45"/>
    </row>
    <row r="932" spans="1:40" outlineLevel="2" x14ac:dyDescent="0.25">
      <c r="A932" s="45"/>
      <c r="B932" s="54"/>
      <c r="C932" s="47">
        <f t="shared" si="171"/>
        <v>3</v>
      </c>
      <c r="D932" s="73"/>
      <c r="E932" s="70"/>
      <c r="F932" s="70" t="s">
        <v>3429</v>
      </c>
      <c r="G932" s="73"/>
      <c r="H932" s="76" t="s">
        <v>3421</v>
      </c>
      <c r="I932" s="96" t="s">
        <v>502</v>
      </c>
      <c r="J932" s="96"/>
      <c r="K932" s="76"/>
      <c r="L932" s="76"/>
      <c r="M932" s="76"/>
      <c r="N932" s="76"/>
      <c r="O932" s="76"/>
      <c r="P932" s="76"/>
      <c r="Q932" s="76"/>
      <c r="R932" s="76"/>
      <c r="S932" s="76"/>
      <c r="T932" s="76"/>
      <c r="U932" s="97">
        <v>0</v>
      </c>
      <c r="V932" s="255">
        <f t="shared" ref="V932:V935" si="196">U932</f>
        <v>0</v>
      </c>
      <c r="W932" s="255">
        <f t="shared" ref="W932:W933" si="197">U932</f>
        <v>0</v>
      </c>
      <c r="X932" s="255">
        <f t="shared" ref="X932:X933" si="198">V932</f>
        <v>0</v>
      </c>
      <c r="Y932" s="255">
        <f t="shared" ref="Y932:Y933" si="199">V932</f>
        <v>0</v>
      </c>
      <c r="Z932" s="255">
        <f t="shared" ref="Z932:Z935" si="200">AA932</f>
        <v>0</v>
      </c>
      <c r="AA932" s="97">
        <f>U932</f>
        <v>0</v>
      </c>
      <c r="AB932" s="255">
        <f t="shared" ref="AB932:AB935" si="201">AA932</f>
        <v>0</v>
      </c>
      <c r="AC932" s="255">
        <f t="shared" ref="AC932:AC935" si="202">AB932</f>
        <v>0</v>
      </c>
      <c r="AD932" s="255">
        <f t="shared" ref="AD932:AD935" si="203">AC932</f>
        <v>0</v>
      </c>
      <c r="AE932" s="76"/>
      <c r="AF932" s="97" t="s">
        <v>3420</v>
      </c>
      <c r="AG932" s="76"/>
      <c r="AH932" s="76">
        <v>1</v>
      </c>
      <c r="AI932" s="76">
        <v>1</v>
      </c>
      <c r="AJ932" s="73"/>
      <c r="AK932" s="57"/>
      <c r="AL932" s="45"/>
      <c r="AM932" s="45"/>
      <c r="AN932" s="45"/>
    </row>
    <row r="933" spans="1:40" outlineLevel="2" x14ac:dyDescent="0.25">
      <c r="A933" s="45"/>
      <c r="B933" s="54"/>
      <c r="C933" s="47">
        <f t="shared" si="171"/>
        <v>3</v>
      </c>
      <c r="D933" s="73"/>
      <c r="E933" s="70"/>
      <c r="F933" s="70" t="s">
        <v>3430</v>
      </c>
      <c r="G933" s="73"/>
      <c r="H933" s="76" t="s">
        <v>2536</v>
      </c>
      <c r="I933" s="96" t="s">
        <v>502</v>
      </c>
      <c r="J933" s="96"/>
      <c r="K933" s="76"/>
      <c r="L933" s="76"/>
      <c r="M933" s="76"/>
      <c r="N933" s="76"/>
      <c r="O933" s="76"/>
      <c r="P933" s="76"/>
      <c r="Q933" s="76"/>
      <c r="R933" s="76"/>
      <c r="S933" s="76"/>
      <c r="T933" s="76"/>
      <c r="U933" s="97">
        <v>0</v>
      </c>
      <c r="V933" s="255">
        <f t="shared" si="196"/>
        <v>0</v>
      </c>
      <c r="W933" s="255">
        <f t="shared" si="197"/>
        <v>0</v>
      </c>
      <c r="X933" s="255">
        <f t="shared" si="198"/>
        <v>0</v>
      </c>
      <c r="Y933" s="255">
        <f t="shared" si="199"/>
        <v>0</v>
      </c>
      <c r="Z933" s="255">
        <f t="shared" si="200"/>
        <v>0</v>
      </c>
      <c r="AA933" s="97">
        <f t="shared" ref="AA933:AA934" si="204">U933</f>
        <v>0</v>
      </c>
      <c r="AB933" s="255">
        <f t="shared" si="201"/>
        <v>0</v>
      </c>
      <c r="AC933" s="255">
        <f t="shared" si="202"/>
        <v>0</v>
      </c>
      <c r="AD933" s="255">
        <f t="shared" si="203"/>
        <v>0</v>
      </c>
      <c r="AE933" s="76"/>
      <c r="AF933" s="97" t="s">
        <v>3424</v>
      </c>
      <c r="AG933" s="76"/>
      <c r="AH933" s="97">
        <v>1</v>
      </c>
      <c r="AI933" s="97">
        <v>1</v>
      </c>
      <c r="AJ933" s="73"/>
      <c r="AK933" s="57"/>
      <c r="AL933" s="45"/>
      <c r="AM933" s="45"/>
      <c r="AN933" s="45"/>
    </row>
    <row r="934" spans="1:40" outlineLevel="2" x14ac:dyDescent="0.25">
      <c r="A934" s="45"/>
      <c r="B934" s="54"/>
      <c r="C934" s="47">
        <f t="shared" si="171"/>
        <v>3</v>
      </c>
      <c r="D934" s="73"/>
      <c r="E934" s="70"/>
      <c r="F934" s="70" t="s">
        <v>3431</v>
      </c>
      <c r="G934" s="73"/>
      <c r="H934" s="76" t="s">
        <v>2537</v>
      </c>
      <c r="I934" s="96" t="s">
        <v>502</v>
      </c>
      <c r="J934" s="96"/>
      <c r="K934" s="76"/>
      <c r="L934" s="76"/>
      <c r="M934" s="76"/>
      <c r="N934" s="76"/>
      <c r="O934" s="76"/>
      <c r="P934" s="76"/>
      <c r="Q934" s="76"/>
      <c r="R934" s="76"/>
      <c r="S934" s="76"/>
      <c r="T934" s="76"/>
      <c r="U934" s="97">
        <v>-1.56E-3</v>
      </c>
      <c r="V934" s="255">
        <f t="shared" si="196"/>
        <v>-1.56E-3</v>
      </c>
      <c r="W934" s="255">
        <f>U934</f>
        <v>-1.56E-3</v>
      </c>
      <c r="X934" s="255">
        <f>V934</f>
        <v>-1.56E-3</v>
      </c>
      <c r="Y934" s="255">
        <f>V934</f>
        <v>-1.56E-3</v>
      </c>
      <c r="Z934" s="255">
        <f t="shared" si="200"/>
        <v>-1.56E-3</v>
      </c>
      <c r="AA934" s="97">
        <f t="shared" si="204"/>
        <v>-1.56E-3</v>
      </c>
      <c r="AB934" s="255">
        <f t="shared" si="201"/>
        <v>-1.56E-3</v>
      </c>
      <c r="AC934" s="255">
        <f t="shared" si="202"/>
        <v>-1.56E-3</v>
      </c>
      <c r="AD934" s="255">
        <f t="shared" si="203"/>
        <v>-1.56E-3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3432</v>
      </c>
      <c r="G935" s="73"/>
      <c r="H935" s="76" t="s">
        <v>2538</v>
      </c>
      <c r="I935" s="96" t="s">
        <v>502</v>
      </c>
      <c r="J935" s="96"/>
      <c r="K935" s="76"/>
      <c r="L935" s="76"/>
      <c r="M935" s="76"/>
      <c r="N935" s="76"/>
      <c r="O935" s="76"/>
      <c r="P935" s="76"/>
      <c r="Q935" s="76"/>
      <c r="R935" s="76"/>
      <c r="S935" s="76"/>
      <c r="T935" s="76"/>
      <c r="U935" s="253">
        <f>U934</f>
        <v>-1.56E-3</v>
      </c>
      <c r="V935" s="76">
        <f t="shared" si="196"/>
        <v>-1.56E-3</v>
      </c>
      <c r="W935" s="76">
        <f>U935</f>
        <v>-1.56E-3</v>
      </c>
      <c r="X935" s="76">
        <f>V935</f>
        <v>-1.56E-3</v>
      </c>
      <c r="Y935" s="76">
        <f>V935</f>
        <v>-1.56E-3</v>
      </c>
      <c r="Z935" s="76">
        <f t="shared" si="200"/>
        <v>-1.56E-3</v>
      </c>
      <c r="AA935" s="253">
        <f>AA934</f>
        <v>-1.56E-3</v>
      </c>
      <c r="AB935" s="76">
        <f t="shared" si="201"/>
        <v>-1.56E-3</v>
      </c>
      <c r="AC935" s="76">
        <f t="shared" si="202"/>
        <v>-1.56E-3</v>
      </c>
      <c r="AD935" s="76">
        <f t="shared" si="203"/>
        <v>-1.56E-3</v>
      </c>
      <c r="AE935" s="76"/>
      <c r="AF935" s="264" t="s">
        <v>3419</v>
      </c>
      <c r="AG935" s="76"/>
      <c r="AH935" s="76">
        <v>1</v>
      </c>
      <c r="AI935" s="76">
        <v>1</v>
      </c>
      <c r="AJ935" s="73"/>
      <c r="AK935" s="57"/>
      <c r="AL935" s="45"/>
      <c r="AM935" s="45"/>
      <c r="AN935" s="45"/>
    </row>
    <row r="936" spans="1:40" outlineLevel="2" x14ac:dyDescent="0.25">
      <c r="A936" s="45"/>
      <c r="B936" s="54"/>
      <c r="C936" s="47">
        <f t="shared" si="171"/>
        <v>3</v>
      </c>
      <c r="D936" s="73"/>
      <c r="E936" s="70"/>
      <c r="F936" s="70" t="s">
        <v>3433</v>
      </c>
      <c r="G936" s="73"/>
      <c r="H936" s="76" t="s">
        <v>3423</v>
      </c>
      <c r="I936" s="96" t="s">
        <v>502</v>
      </c>
      <c r="J936" s="96"/>
      <c r="K936" s="76"/>
      <c r="L936" s="76"/>
      <c r="M936" s="76"/>
      <c r="N936" s="76"/>
      <c r="O936" s="76"/>
      <c r="P936" s="76"/>
      <c r="Q936" s="76"/>
      <c r="R936" s="76"/>
      <c r="S936" s="76"/>
      <c r="T936" s="76"/>
      <c r="U936" s="97">
        <v>0</v>
      </c>
      <c r="V936" s="255">
        <f t="shared" ref="V936:V939" si="205">U936</f>
        <v>0</v>
      </c>
      <c r="W936" s="255">
        <f t="shared" ref="W936:W937" si="206">U936</f>
        <v>0</v>
      </c>
      <c r="X936" s="255">
        <f t="shared" ref="X936:X937" si="207">V936</f>
        <v>0</v>
      </c>
      <c r="Y936" s="255">
        <f t="shared" ref="Y936:Y937" si="208">V936</f>
        <v>0</v>
      </c>
      <c r="Z936" s="255">
        <f t="shared" ref="Z936:Z939" si="209">AA936</f>
        <v>0</v>
      </c>
      <c r="AA936" s="97">
        <f>U936</f>
        <v>0</v>
      </c>
      <c r="AB936" s="255">
        <f t="shared" ref="AB936:AB939" si="210">AA936</f>
        <v>0</v>
      </c>
      <c r="AC936" s="255">
        <f t="shared" ref="AC936:AC939" si="211">AB936</f>
        <v>0</v>
      </c>
      <c r="AD936" s="255">
        <f t="shared" ref="AD936:AD939" si="212">AC936</f>
        <v>0</v>
      </c>
      <c r="AE936" s="76"/>
      <c r="AF936" s="97" t="s">
        <v>3420</v>
      </c>
      <c r="AG936" s="76"/>
      <c r="AH936" s="76">
        <v>1</v>
      </c>
      <c r="AI936" s="76">
        <v>1</v>
      </c>
      <c r="AJ936" s="73"/>
      <c r="AK936" s="57"/>
      <c r="AL936" s="45"/>
      <c r="AM936" s="45"/>
      <c r="AN936" s="45"/>
    </row>
    <row r="937" spans="1:40" outlineLevel="2" x14ac:dyDescent="0.25">
      <c r="A937" s="45"/>
      <c r="B937" s="54"/>
      <c r="C937" s="47">
        <f t="shared" si="171"/>
        <v>3</v>
      </c>
      <c r="D937" s="73"/>
      <c r="E937" s="70"/>
      <c r="F937" s="70" t="s">
        <v>3434</v>
      </c>
      <c r="G937" s="73"/>
      <c r="H937" s="76" t="s">
        <v>2536</v>
      </c>
      <c r="I937" s="96" t="s">
        <v>502</v>
      </c>
      <c r="J937" s="96"/>
      <c r="K937" s="76"/>
      <c r="L937" s="76"/>
      <c r="M937" s="76"/>
      <c r="N937" s="76"/>
      <c r="O937" s="76"/>
      <c r="P937" s="76"/>
      <c r="Q937" s="76"/>
      <c r="R937" s="76"/>
      <c r="S937" s="76"/>
      <c r="T937" s="76"/>
      <c r="U937" s="97">
        <v>0</v>
      </c>
      <c r="V937" s="255">
        <f t="shared" si="205"/>
        <v>0</v>
      </c>
      <c r="W937" s="255">
        <f t="shared" si="206"/>
        <v>0</v>
      </c>
      <c r="X937" s="255">
        <f t="shared" si="207"/>
        <v>0</v>
      </c>
      <c r="Y937" s="255">
        <f t="shared" si="208"/>
        <v>0</v>
      </c>
      <c r="Z937" s="255">
        <f t="shared" si="209"/>
        <v>0</v>
      </c>
      <c r="AA937" s="97">
        <f t="shared" ref="AA937:AA938" si="213">U937</f>
        <v>0</v>
      </c>
      <c r="AB937" s="255">
        <f t="shared" si="210"/>
        <v>0</v>
      </c>
      <c r="AC937" s="255">
        <f t="shared" si="211"/>
        <v>0</v>
      </c>
      <c r="AD937" s="255">
        <f t="shared" si="212"/>
        <v>0</v>
      </c>
      <c r="AE937" s="76"/>
      <c r="AF937" s="97" t="s">
        <v>3424</v>
      </c>
      <c r="AG937" s="76"/>
      <c r="AH937" s="97">
        <v>1</v>
      </c>
      <c r="AI937" s="97">
        <v>1</v>
      </c>
      <c r="AJ937" s="73"/>
      <c r="AK937" s="57"/>
      <c r="AL937" s="45"/>
      <c r="AM937" s="45"/>
      <c r="AN937" s="45"/>
    </row>
    <row r="938" spans="1:40" outlineLevel="2" x14ac:dyDescent="0.25">
      <c r="A938" s="45"/>
      <c r="B938" s="54"/>
      <c r="C938" s="47">
        <f t="shared" si="171"/>
        <v>3</v>
      </c>
      <c r="D938" s="73"/>
      <c r="E938" s="70"/>
      <c r="F938" s="70" t="s">
        <v>3435</v>
      </c>
      <c r="G938" s="73"/>
      <c r="H938" s="76" t="s">
        <v>2537</v>
      </c>
      <c r="I938" s="96" t="s">
        <v>502</v>
      </c>
      <c r="J938" s="96"/>
      <c r="K938" s="76"/>
      <c r="L938" s="76"/>
      <c r="M938" s="76"/>
      <c r="N938" s="76"/>
      <c r="O938" s="76"/>
      <c r="P938" s="76"/>
      <c r="Q938" s="76"/>
      <c r="R938" s="76"/>
      <c r="S938" s="76"/>
      <c r="T938" s="76"/>
      <c r="U938" s="97">
        <v>-5.0599999999999999E-2</v>
      </c>
      <c r="V938" s="255">
        <f t="shared" si="205"/>
        <v>-5.0599999999999999E-2</v>
      </c>
      <c r="W938" s="255">
        <f>U938</f>
        <v>-5.0599999999999999E-2</v>
      </c>
      <c r="X938" s="255">
        <f>V938</f>
        <v>-5.0599999999999999E-2</v>
      </c>
      <c r="Y938" s="255">
        <f>V938</f>
        <v>-5.0599999999999999E-2</v>
      </c>
      <c r="Z938" s="255">
        <f t="shared" si="209"/>
        <v>-5.0599999999999999E-2</v>
      </c>
      <c r="AA938" s="97">
        <f t="shared" si="213"/>
        <v>-5.0599999999999999E-2</v>
      </c>
      <c r="AB938" s="255">
        <f t="shared" si="210"/>
        <v>-5.0599999999999999E-2</v>
      </c>
      <c r="AC938" s="255">
        <f t="shared" si="211"/>
        <v>-5.0599999999999999E-2</v>
      </c>
      <c r="AD938" s="255">
        <f t="shared" si="212"/>
        <v>-5.0599999999999999E-2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3436</v>
      </c>
      <c r="G939" s="73"/>
      <c r="H939" s="76" t="s">
        <v>2538</v>
      </c>
      <c r="I939" s="96" t="s">
        <v>502</v>
      </c>
      <c r="J939" s="96"/>
      <c r="K939" s="76"/>
      <c r="L939" s="76"/>
      <c r="M939" s="76"/>
      <c r="N939" s="76"/>
      <c r="O939" s="76"/>
      <c r="P939" s="76"/>
      <c r="Q939" s="76"/>
      <c r="R939" s="76"/>
      <c r="S939" s="76"/>
      <c r="T939" s="76"/>
      <c r="U939" s="253">
        <f>U938</f>
        <v>-5.0599999999999999E-2</v>
      </c>
      <c r="V939" s="76">
        <f t="shared" si="205"/>
        <v>-5.0599999999999999E-2</v>
      </c>
      <c r="W939" s="76">
        <f>U939</f>
        <v>-5.0599999999999999E-2</v>
      </c>
      <c r="X939" s="76">
        <f>V939</f>
        <v>-5.0599999999999999E-2</v>
      </c>
      <c r="Y939" s="76">
        <f>V939</f>
        <v>-5.0599999999999999E-2</v>
      </c>
      <c r="Z939" s="76">
        <f t="shared" si="209"/>
        <v>-5.0599999999999999E-2</v>
      </c>
      <c r="AA939" s="253">
        <f>AA938</f>
        <v>-5.0599999999999999E-2</v>
      </c>
      <c r="AB939" s="76">
        <f t="shared" si="210"/>
        <v>-5.0599999999999999E-2</v>
      </c>
      <c r="AC939" s="76">
        <f t="shared" si="211"/>
        <v>-5.0599999999999999E-2</v>
      </c>
      <c r="AD939" s="76">
        <f t="shared" si="212"/>
        <v>-5.0599999999999999E-2</v>
      </c>
      <c r="AE939" s="76"/>
      <c r="AF939" s="264" t="s">
        <v>3419</v>
      </c>
      <c r="AG939" s="76"/>
      <c r="AH939" s="76">
        <v>1</v>
      </c>
      <c r="AI939" s="76">
        <v>1</v>
      </c>
      <c r="AJ939" s="73"/>
      <c r="AK939" s="57"/>
      <c r="AL939" s="45"/>
      <c r="AM939" s="45"/>
      <c r="AN939" s="45"/>
    </row>
    <row r="940" spans="1:40" outlineLevel="2" x14ac:dyDescent="0.25">
      <c r="A940" s="45"/>
      <c r="B940" s="54"/>
      <c r="C940" s="47">
        <f t="shared" si="171"/>
        <v>3</v>
      </c>
      <c r="D940" s="73"/>
      <c r="E940" s="70"/>
      <c r="F940" s="70" t="s">
        <v>3437</v>
      </c>
      <c r="G940" s="73"/>
      <c r="H940" s="76" t="s">
        <v>3422</v>
      </c>
      <c r="I940" s="96" t="s">
        <v>502</v>
      </c>
      <c r="J940" s="96"/>
      <c r="K940" s="76"/>
      <c r="L940" s="76"/>
      <c r="M940" s="76"/>
      <c r="N940" s="76"/>
      <c r="O940" s="76"/>
      <c r="P940" s="76"/>
      <c r="Q940" s="76"/>
      <c r="R940" s="76"/>
      <c r="S940" s="76"/>
      <c r="T940" s="76"/>
      <c r="U940" s="97">
        <v>0</v>
      </c>
      <c r="V940" s="255">
        <f t="shared" ref="V940:V943" si="214">U940</f>
        <v>0</v>
      </c>
      <c r="W940" s="255">
        <f t="shared" ref="W940:W941" si="215">U940</f>
        <v>0</v>
      </c>
      <c r="X940" s="255">
        <f t="shared" ref="X940:X941" si="216">V940</f>
        <v>0</v>
      </c>
      <c r="Y940" s="255">
        <f t="shared" ref="Y940:Y941" si="217">V940</f>
        <v>0</v>
      </c>
      <c r="Z940" s="255">
        <f t="shared" ref="Z940:Z943" si="218">AA940</f>
        <v>0</v>
      </c>
      <c r="AA940" s="97">
        <f>U940</f>
        <v>0</v>
      </c>
      <c r="AB940" s="255">
        <f t="shared" ref="AB940:AB943" si="219">AA940</f>
        <v>0</v>
      </c>
      <c r="AC940" s="255">
        <f t="shared" ref="AC940:AC943" si="220">AB940</f>
        <v>0</v>
      </c>
      <c r="AD940" s="255">
        <f t="shared" ref="AD940:AD943" si="221">AC940</f>
        <v>0</v>
      </c>
      <c r="AE940" s="76"/>
      <c r="AF940" s="97" t="s">
        <v>3420</v>
      </c>
      <c r="AG940" s="76"/>
      <c r="AH940" s="76">
        <v>1</v>
      </c>
      <c r="AI940" s="76">
        <v>1</v>
      </c>
      <c r="AJ940" s="73"/>
      <c r="AK940" s="57"/>
      <c r="AL940" s="45"/>
      <c r="AM940" s="45"/>
      <c r="AN940" s="45"/>
    </row>
    <row r="941" spans="1:40" outlineLevel="2" x14ac:dyDescent="0.25">
      <c r="A941" s="45"/>
      <c r="B941" s="54"/>
      <c r="C941" s="47">
        <f t="shared" ref="C941:C971" si="222">INT($C$29)+2</f>
        <v>3</v>
      </c>
      <c r="D941" s="73"/>
      <c r="E941" s="70"/>
      <c r="F941" s="70" t="s">
        <v>3438</v>
      </c>
      <c r="G941" s="73"/>
      <c r="H941" s="76" t="s">
        <v>2536</v>
      </c>
      <c r="I941" s="96" t="s">
        <v>502</v>
      </c>
      <c r="J941" s="96"/>
      <c r="K941" s="76"/>
      <c r="L941" s="76"/>
      <c r="M941" s="76"/>
      <c r="N941" s="76"/>
      <c r="O941" s="76"/>
      <c r="P941" s="76"/>
      <c r="Q941" s="76"/>
      <c r="R941" s="76"/>
      <c r="S941" s="76"/>
      <c r="T941" s="76"/>
      <c r="U941" s="97">
        <v>0</v>
      </c>
      <c r="V941" s="255">
        <f t="shared" si="214"/>
        <v>0</v>
      </c>
      <c r="W941" s="255">
        <f t="shared" si="215"/>
        <v>0</v>
      </c>
      <c r="X941" s="255">
        <f t="shared" si="216"/>
        <v>0</v>
      </c>
      <c r="Y941" s="255">
        <f t="shared" si="217"/>
        <v>0</v>
      </c>
      <c r="Z941" s="255">
        <f t="shared" si="218"/>
        <v>0</v>
      </c>
      <c r="AA941" s="97">
        <f t="shared" ref="AA941:AA942" si="223">U941</f>
        <v>0</v>
      </c>
      <c r="AB941" s="255">
        <f t="shared" si="219"/>
        <v>0</v>
      </c>
      <c r="AC941" s="255">
        <f t="shared" si="220"/>
        <v>0</v>
      </c>
      <c r="AD941" s="255">
        <f t="shared" si="221"/>
        <v>0</v>
      </c>
      <c r="AE941" s="76"/>
      <c r="AF941" s="97" t="s">
        <v>3424</v>
      </c>
      <c r="AG941" s="76"/>
      <c r="AH941" s="97">
        <v>1</v>
      </c>
      <c r="AI941" s="97">
        <v>1</v>
      </c>
      <c r="AJ941" s="73"/>
      <c r="AK941" s="57"/>
      <c r="AL941" s="45"/>
      <c r="AM941" s="45"/>
      <c r="AN941" s="45"/>
    </row>
    <row r="942" spans="1:40" outlineLevel="2" x14ac:dyDescent="0.25">
      <c r="A942" s="45"/>
      <c r="B942" s="54"/>
      <c r="C942" s="47">
        <f t="shared" si="222"/>
        <v>3</v>
      </c>
      <c r="D942" s="73"/>
      <c r="E942" s="70"/>
      <c r="F942" s="70" t="s">
        <v>3439</v>
      </c>
      <c r="G942" s="73"/>
      <c r="H942" s="76" t="s">
        <v>2537</v>
      </c>
      <c r="I942" s="96" t="s">
        <v>502</v>
      </c>
      <c r="J942" s="96"/>
      <c r="K942" s="76"/>
      <c r="L942" s="76"/>
      <c r="M942" s="76"/>
      <c r="N942" s="76"/>
      <c r="O942" s="76"/>
      <c r="P942" s="76"/>
      <c r="Q942" s="76"/>
      <c r="R942" s="76"/>
      <c r="S942" s="76"/>
      <c r="T942" s="76"/>
      <c r="U942" s="97">
        <v>-2.14</v>
      </c>
      <c r="V942" s="255">
        <f t="shared" si="214"/>
        <v>-2.14</v>
      </c>
      <c r="W942" s="255">
        <f>U942</f>
        <v>-2.14</v>
      </c>
      <c r="X942" s="255">
        <f>V942</f>
        <v>-2.14</v>
      </c>
      <c r="Y942" s="255">
        <f>V942</f>
        <v>-2.14</v>
      </c>
      <c r="Z942" s="255">
        <f t="shared" si="218"/>
        <v>-2.14</v>
      </c>
      <c r="AA942" s="97">
        <f t="shared" si="223"/>
        <v>-2.14</v>
      </c>
      <c r="AB942" s="255">
        <f t="shared" si="219"/>
        <v>-2.14</v>
      </c>
      <c r="AC942" s="255">
        <f t="shared" si="220"/>
        <v>-2.14</v>
      </c>
      <c r="AD942" s="255">
        <f t="shared" si="221"/>
        <v>-2.14</v>
      </c>
      <c r="AE942" s="76"/>
      <c r="AF942" s="97"/>
      <c r="AG942" s="76"/>
      <c r="AH942" s="97">
        <v>1</v>
      </c>
      <c r="AI942" s="97">
        <v>1</v>
      </c>
      <c r="AJ942" s="73"/>
      <c r="AK942" s="57"/>
      <c r="AL942" s="45"/>
      <c r="AM942" s="45"/>
      <c r="AN942" s="45"/>
    </row>
    <row r="943" spans="1:40" outlineLevel="2" x14ac:dyDescent="0.25">
      <c r="A943" s="45"/>
      <c r="B943" s="54"/>
      <c r="C943" s="47">
        <f t="shared" si="222"/>
        <v>3</v>
      </c>
      <c r="D943" s="73"/>
      <c r="E943" s="70"/>
      <c r="F943" s="70" t="s">
        <v>3440</v>
      </c>
      <c r="G943" s="73"/>
      <c r="H943" s="76" t="s">
        <v>2538</v>
      </c>
      <c r="I943" s="96" t="s">
        <v>502</v>
      </c>
      <c r="J943" s="96"/>
      <c r="K943" s="76"/>
      <c r="L943" s="76"/>
      <c r="M943" s="76"/>
      <c r="N943" s="76"/>
      <c r="O943" s="76"/>
      <c r="P943" s="76"/>
      <c r="Q943" s="76"/>
      <c r="R943" s="76"/>
      <c r="S943" s="76"/>
      <c r="T943" s="76"/>
      <c r="U943" s="253">
        <f>U942</f>
        <v>-2.14</v>
      </c>
      <c r="V943" s="76">
        <f t="shared" si="214"/>
        <v>-2.14</v>
      </c>
      <c r="W943" s="76">
        <f>U943</f>
        <v>-2.14</v>
      </c>
      <c r="X943" s="76">
        <f>V943</f>
        <v>-2.14</v>
      </c>
      <c r="Y943" s="76">
        <f>V943</f>
        <v>-2.14</v>
      </c>
      <c r="Z943" s="76">
        <f t="shared" si="218"/>
        <v>-2.14</v>
      </c>
      <c r="AA943" s="253">
        <f>AA942</f>
        <v>-2.14</v>
      </c>
      <c r="AB943" s="76">
        <f t="shared" si="219"/>
        <v>-2.14</v>
      </c>
      <c r="AC943" s="76">
        <f t="shared" si="220"/>
        <v>-2.14</v>
      </c>
      <c r="AD943" s="76">
        <f t="shared" si="221"/>
        <v>-2.14</v>
      </c>
      <c r="AE943" s="76"/>
      <c r="AF943" s="264" t="s">
        <v>3419</v>
      </c>
      <c r="AG943" s="76"/>
      <c r="AH943" s="76">
        <v>1</v>
      </c>
      <c r="AI943" s="76">
        <v>1</v>
      </c>
      <c r="AJ943" s="73"/>
      <c r="AK943" s="57"/>
      <c r="AL943" s="45"/>
      <c r="AM943" s="45"/>
      <c r="AN943" s="45"/>
    </row>
    <row r="944" spans="1:40" outlineLevel="2" x14ac:dyDescent="0.25">
      <c r="A944" s="45"/>
      <c r="B944" s="54"/>
      <c r="C944" s="47">
        <f t="shared" si="222"/>
        <v>3</v>
      </c>
      <c r="D944" s="73"/>
      <c r="E944" s="70"/>
      <c r="F944" s="70" t="s">
        <v>3442</v>
      </c>
      <c r="G944" s="73"/>
      <c r="H944" s="76" t="s">
        <v>3467</v>
      </c>
      <c r="I944" s="96" t="s">
        <v>502</v>
      </c>
      <c r="J944" s="96"/>
      <c r="K944" s="76"/>
      <c r="L944" s="76"/>
      <c r="M944" s="76"/>
      <c r="N944" s="76"/>
      <c r="O944" s="76"/>
      <c r="P944" s="76"/>
      <c r="Q944" s="76"/>
      <c r="R944" s="76"/>
      <c r="S944" s="76"/>
      <c r="T944" s="76"/>
      <c r="U944" s="97">
        <v>0</v>
      </c>
      <c r="V944" s="255">
        <f t="shared" ref="V944:V947" si="224">U944</f>
        <v>0</v>
      </c>
      <c r="W944" s="255">
        <f t="shared" ref="W944:W945" si="225">U944</f>
        <v>0</v>
      </c>
      <c r="X944" s="255">
        <f t="shared" ref="X944:X945" si="226">V944</f>
        <v>0</v>
      </c>
      <c r="Y944" s="255">
        <f t="shared" ref="Y944:Y945" si="227">V944</f>
        <v>0</v>
      </c>
      <c r="Z944" s="255">
        <f t="shared" ref="Z944:Z947" si="228">AA944</f>
        <v>0</v>
      </c>
      <c r="AA944" s="97">
        <f>U944</f>
        <v>0</v>
      </c>
      <c r="AB944" s="255">
        <f t="shared" ref="AB944:AB947" si="229">AA944</f>
        <v>0</v>
      </c>
      <c r="AC944" s="255">
        <f t="shared" ref="AC944:AC947" si="230">AB944</f>
        <v>0</v>
      </c>
      <c r="AD944" s="255">
        <f t="shared" ref="AD944:AD947" si="231">AC944</f>
        <v>0</v>
      </c>
      <c r="AE944" s="76"/>
      <c r="AF944" s="97" t="s">
        <v>3420</v>
      </c>
      <c r="AG944" s="76"/>
      <c r="AH944" s="76">
        <v>1</v>
      </c>
      <c r="AI944" s="76">
        <v>1</v>
      </c>
      <c r="AJ944" s="73"/>
      <c r="AK944" s="57"/>
      <c r="AL944" s="45"/>
      <c r="AM944" s="45"/>
      <c r="AN944" s="45"/>
    </row>
    <row r="945" spans="1:40" outlineLevel="2" x14ac:dyDescent="0.25">
      <c r="A945" s="45"/>
      <c r="B945" s="54"/>
      <c r="C945" s="47">
        <f t="shared" si="222"/>
        <v>3</v>
      </c>
      <c r="D945" s="73"/>
      <c r="E945" s="70"/>
      <c r="F945" s="70" t="s">
        <v>3443</v>
      </c>
      <c r="G945" s="73"/>
      <c r="H945" s="76" t="s">
        <v>2536</v>
      </c>
      <c r="I945" s="96" t="s">
        <v>502</v>
      </c>
      <c r="J945" s="96"/>
      <c r="K945" s="76"/>
      <c r="L945" s="76"/>
      <c r="M945" s="76"/>
      <c r="N945" s="76"/>
      <c r="O945" s="76"/>
      <c r="P945" s="76"/>
      <c r="Q945" s="76"/>
      <c r="R945" s="76"/>
      <c r="S945" s="76"/>
      <c r="T945" s="76"/>
      <c r="U945" s="97">
        <v>0</v>
      </c>
      <c r="V945" s="255">
        <f t="shared" si="224"/>
        <v>0</v>
      </c>
      <c r="W945" s="255">
        <f t="shared" si="225"/>
        <v>0</v>
      </c>
      <c r="X945" s="255">
        <f t="shared" si="226"/>
        <v>0</v>
      </c>
      <c r="Y945" s="255">
        <f t="shared" si="227"/>
        <v>0</v>
      </c>
      <c r="Z945" s="255">
        <f t="shared" si="228"/>
        <v>0</v>
      </c>
      <c r="AA945" s="97">
        <f t="shared" ref="AA945:AA946" si="232">U945</f>
        <v>0</v>
      </c>
      <c r="AB945" s="255">
        <f t="shared" si="229"/>
        <v>0</v>
      </c>
      <c r="AC945" s="255">
        <f t="shared" si="230"/>
        <v>0</v>
      </c>
      <c r="AD945" s="255">
        <f t="shared" si="231"/>
        <v>0</v>
      </c>
      <c r="AE945" s="76"/>
      <c r="AF945" s="97" t="s">
        <v>3441</v>
      </c>
      <c r="AG945" s="76"/>
      <c r="AH945" s="97">
        <v>1</v>
      </c>
      <c r="AI945" s="97">
        <v>1</v>
      </c>
      <c r="AJ945" s="73"/>
      <c r="AK945" s="57"/>
      <c r="AL945" s="45"/>
      <c r="AM945" s="45"/>
      <c r="AN945" s="45"/>
    </row>
    <row r="946" spans="1:40" outlineLevel="2" x14ac:dyDescent="0.25">
      <c r="A946" s="45"/>
      <c r="B946" s="54"/>
      <c r="C946" s="47">
        <f t="shared" si="222"/>
        <v>3</v>
      </c>
      <c r="D946" s="73"/>
      <c r="E946" s="70"/>
      <c r="F946" s="70" t="s">
        <v>3444</v>
      </c>
      <c r="G946" s="73"/>
      <c r="H946" s="76" t="s">
        <v>2537</v>
      </c>
      <c r="I946" s="96" t="s">
        <v>502</v>
      </c>
      <c r="J946" s="96"/>
      <c r="K946" s="76"/>
      <c r="L946" s="76"/>
      <c r="M946" s="76"/>
      <c r="N946" s="76"/>
      <c r="O946" s="76"/>
      <c r="P946" s="76"/>
      <c r="Q946" s="76"/>
      <c r="R946" s="76"/>
      <c r="S946" s="76"/>
      <c r="T946" s="76"/>
      <c r="U946" s="97">
        <v>0.1779</v>
      </c>
      <c r="V946" s="255">
        <f t="shared" si="224"/>
        <v>0.1779</v>
      </c>
      <c r="W946" s="255">
        <f>U946</f>
        <v>0.1779</v>
      </c>
      <c r="X946" s="255">
        <f>V946</f>
        <v>0.1779</v>
      </c>
      <c r="Y946" s="255">
        <f>V946</f>
        <v>0.1779</v>
      </c>
      <c r="Z946" s="255">
        <f t="shared" si="228"/>
        <v>0.1779</v>
      </c>
      <c r="AA946" s="97">
        <f t="shared" si="232"/>
        <v>0.1779</v>
      </c>
      <c r="AB946" s="255">
        <f t="shared" si="229"/>
        <v>0.1779</v>
      </c>
      <c r="AC946" s="255">
        <f t="shared" si="230"/>
        <v>0.1779</v>
      </c>
      <c r="AD946" s="255">
        <f t="shared" si="231"/>
        <v>0.1779</v>
      </c>
      <c r="AE946" s="76"/>
      <c r="AF946" s="97"/>
      <c r="AG946" s="76"/>
      <c r="AH946" s="97">
        <v>1</v>
      </c>
      <c r="AI946" s="97">
        <v>1</v>
      </c>
      <c r="AJ946" s="73"/>
      <c r="AK946" s="57"/>
      <c r="AL946" s="45"/>
      <c r="AM946" s="45"/>
      <c r="AN946" s="45"/>
    </row>
    <row r="947" spans="1:40" outlineLevel="2" x14ac:dyDescent="0.25">
      <c r="A947" s="45"/>
      <c r="B947" s="54"/>
      <c r="C947" s="47">
        <f t="shared" si="222"/>
        <v>3</v>
      </c>
      <c r="D947" s="73"/>
      <c r="E947" s="70"/>
      <c r="F947" s="70" t="s">
        <v>3445</v>
      </c>
      <c r="G947" s="73"/>
      <c r="H947" s="76" t="s">
        <v>2538</v>
      </c>
      <c r="I947" s="96" t="s">
        <v>502</v>
      </c>
      <c r="J947" s="96"/>
      <c r="K947" s="76"/>
      <c r="L947" s="76"/>
      <c r="M947" s="76"/>
      <c r="N947" s="76"/>
      <c r="O947" s="76"/>
      <c r="P947" s="76"/>
      <c r="Q947" s="76"/>
      <c r="R947" s="76"/>
      <c r="S947" s="76"/>
      <c r="T947" s="76"/>
      <c r="U947" s="253">
        <f>U946</f>
        <v>0.1779</v>
      </c>
      <c r="V947" s="76">
        <f t="shared" si="224"/>
        <v>0.1779</v>
      </c>
      <c r="W947" s="76">
        <f>U947</f>
        <v>0.1779</v>
      </c>
      <c r="X947" s="76">
        <f>V947</f>
        <v>0.1779</v>
      </c>
      <c r="Y947" s="76">
        <f>V947</f>
        <v>0.1779</v>
      </c>
      <c r="Z947" s="76">
        <f t="shared" si="228"/>
        <v>0.1779</v>
      </c>
      <c r="AA947" s="253">
        <f>AA946</f>
        <v>0.1779</v>
      </c>
      <c r="AB947" s="76">
        <f t="shared" si="229"/>
        <v>0.1779</v>
      </c>
      <c r="AC947" s="76">
        <f t="shared" si="230"/>
        <v>0.1779</v>
      </c>
      <c r="AD947" s="76">
        <f t="shared" si="231"/>
        <v>0.1779</v>
      </c>
      <c r="AE947" s="76"/>
      <c r="AF947" s="264" t="s">
        <v>3419</v>
      </c>
      <c r="AG947" s="76"/>
      <c r="AH947" s="76">
        <v>1</v>
      </c>
      <c r="AI947" s="76">
        <v>1</v>
      </c>
      <c r="AJ947" s="73"/>
      <c r="AK947" s="57"/>
      <c r="AL947" s="45"/>
      <c r="AM947" s="45"/>
      <c r="AN947" s="45"/>
    </row>
    <row r="948" spans="1:40" outlineLevel="2" x14ac:dyDescent="0.25">
      <c r="A948" s="45"/>
      <c r="B948" s="54"/>
      <c r="C948" s="47">
        <f t="shared" si="222"/>
        <v>3</v>
      </c>
      <c r="D948" s="73"/>
      <c r="E948" s="70"/>
      <c r="F948" s="70" t="s">
        <v>3446</v>
      </c>
      <c r="G948" s="73"/>
      <c r="H948" s="76" t="s">
        <v>3468</v>
      </c>
      <c r="I948" s="96" t="s">
        <v>502</v>
      </c>
      <c r="J948" s="96"/>
      <c r="K948" s="76"/>
      <c r="L948" s="76"/>
      <c r="M948" s="76"/>
      <c r="N948" s="76"/>
      <c r="O948" s="76"/>
      <c r="P948" s="76"/>
      <c r="Q948" s="76"/>
      <c r="R948" s="76"/>
      <c r="S948" s="76"/>
      <c r="T948" s="76"/>
      <c r="U948" s="97">
        <v>0</v>
      </c>
      <c r="V948" s="255">
        <f t="shared" ref="V948:V963" si="233">U948</f>
        <v>0</v>
      </c>
      <c r="W948" s="255">
        <f t="shared" ref="W948:W949" si="234">U948</f>
        <v>0</v>
      </c>
      <c r="X948" s="255">
        <f t="shared" ref="X948:X949" si="235">V948</f>
        <v>0</v>
      </c>
      <c r="Y948" s="255">
        <f t="shared" ref="Y948:Y949" si="236">V948</f>
        <v>0</v>
      </c>
      <c r="Z948" s="255">
        <f t="shared" ref="Z948:Z963" si="237">AA948</f>
        <v>0</v>
      </c>
      <c r="AA948" s="97">
        <f>U948</f>
        <v>0</v>
      </c>
      <c r="AB948" s="255">
        <f t="shared" ref="AB948:AB963" si="238">AA948</f>
        <v>0</v>
      </c>
      <c r="AC948" s="255">
        <f t="shared" ref="AC948:AC963" si="239">AB948</f>
        <v>0</v>
      </c>
      <c r="AD948" s="255">
        <f t="shared" ref="AD948:AD963" si="240">AC948</f>
        <v>0</v>
      </c>
      <c r="AE948" s="76"/>
      <c r="AF948" s="97" t="s">
        <v>3420</v>
      </c>
      <c r="AG948" s="76"/>
      <c r="AH948" s="76">
        <v>1</v>
      </c>
      <c r="AI948" s="76">
        <v>1</v>
      </c>
      <c r="AJ948" s="73"/>
      <c r="AK948" s="57"/>
      <c r="AL948" s="45"/>
      <c r="AM948" s="45"/>
      <c r="AN948" s="45"/>
    </row>
    <row r="949" spans="1:40" outlineLevel="2" x14ac:dyDescent="0.25">
      <c r="A949" s="45"/>
      <c r="B949" s="54"/>
      <c r="C949" s="47">
        <f t="shared" si="222"/>
        <v>3</v>
      </c>
      <c r="D949" s="73"/>
      <c r="E949" s="70"/>
      <c r="F949" s="70" t="s">
        <v>3447</v>
      </c>
      <c r="G949" s="73"/>
      <c r="H949" s="76" t="s">
        <v>2536</v>
      </c>
      <c r="I949" s="96" t="s">
        <v>502</v>
      </c>
      <c r="J949" s="96"/>
      <c r="K949" s="76"/>
      <c r="L949" s="76"/>
      <c r="M949" s="76"/>
      <c r="N949" s="76"/>
      <c r="O949" s="76"/>
      <c r="P949" s="76"/>
      <c r="Q949" s="76"/>
      <c r="R949" s="76"/>
      <c r="S949" s="76"/>
      <c r="T949" s="76"/>
      <c r="U949" s="97">
        <v>0</v>
      </c>
      <c r="V949" s="255">
        <f t="shared" si="233"/>
        <v>0</v>
      </c>
      <c r="W949" s="255">
        <f t="shared" si="234"/>
        <v>0</v>
      </c>
      <c r="X949" s="255">
        <f t="shared" si="235"/>
        <v>0</v>
      </c>
      <c r="Y949" s="255">
        <f t="shared" si="236"/>
        <v>0</v>
      </c>
      <c r="Z949" s="255">
        <f t="shared" si="237"/>
        <v>0</v>
      </c>
      <c r="AA949" s="97">
        <f t="shared" ref="AA949:AA950" si="241">U949</f>
        <v>0</v>
      </c>
      <c r="AB949" s="255">
        <f t="shared" si="238"/>
        <v>0</v>
      </c>
      <c r="AC949" s="255">
        <f t="shared" si="239"/>
        <v>0</v>
      </c>
      <c r="AD949" s="255">
        <f t="shared" si="240"/>
        <v>0</v>
      </c>
      <c r="AE949" s="76"/>
      <c r="AF949" s="97" t="s">
        <v>3441</v>
      </c>
      <c r="AG949" s="76"/>
      <c r="AH949" s="97">
        <v>1</v>
      </c>
      <c r="AI949" s="97">
        <v>1</v>
      </c>
      <c r="AJ949" s="73"/>
      <c r="AK949" s="57"/>
      <c r="AL949" s="45"/>
      <c r="AM949" s="45"/>
      <c r="AN949" s="45"/>
    </row>
    <row r="950" spans="1:40" outlineLevel="2" x14ac:dyDescent="0.25">
      <c r="A950" s="45"/>
      <c r="B950" s="54"/>
      <c r="C950" s="47">
        <f t="shared" si="222"/>
        <v>3</v>
      </c>
      <c r="D950" s="73"/>
      <c r="E950" s="70"/>
      <c r="F950" s="70" t="s">
        <v>3448</v>
      </c>
      <c r="G950" s="73"/>
      <c r="H950" s="76" t="s">
        <v>2537</v>
      </c>
      <c r="I950" s="96" t="s">
        <v>502</v>
      </c>
      <c r="J950" s="96"/>
      <c r="K950" s="76"/>
      <c r="L950" s="76"/>
      <c r="M950" s="76"/>
      <c r="N950" s="76"/>
      <c r="O950" s="76"/>
      <c r="P950" s="76"/>
      <c r="Q950" s="76"/>
      <c r="R950" s="76"/>
      <c r="S950" s="76"/>
      <c r="T950" s="76"/>
      <c r="U950" s="97">
        <v>-1.31E-3</v>
      </c>
      <c r="V950" s="255">
        <f t="shared" si="233"/>
        <v>-1.31E-3</v>
      </c>
      <c r="W950" s="255">
        <f>U950</f>
        <v>-1.31E-3</v>
      </c>
      <c r="X950" s="255">
        <f>V950</f>
        <v>-1.31E-3</v>
      </c>
      <c r="Y950" s="255">
        <f>V950</f>
        <v>-1.31E-3</v>
      </c>
      <c r="Z950" s="255">
        <f t="shared" si="237"/>
        <v>-1.31E-3</v>
      </c>
      <c r="AA950" s="97">
        <f t="shared" si="241"/>
        <v>-1.31E-3</v>
      </c>
      <c r="AB950" s="255">
        <f t="shared" si="238"/>
        <v>-1.31E-3</v>
      </c>
      <c r="AC950" s="255">
        <f t="shared" si="239"/>
        <v>-1.31E-3</v>
      </c>
      <c r="AD950" s="255">
        <f t="shared" si="240"/>
        <v>-1.31E-3</v>
      </c>
      <c r="AE950" s="76"/>
      <c r="AF950" s="97"/>
      <c r="AG950" s="76"/>
      <c r="AH950" s="97">
        <v>1</v>
      </c>
      <c r="AI950" s="97">
        <v>1</v>
      </c>
      <c r="AJ950" s="73"/>
      <c r="AK950" s="57"/>
      <c r="AL950" s="45"/>
      <c r="AM950" s="45"/>
      <c r="AN950" s="45"/>
    </row>
    <row r="951" spans="1:40" outlineLevel="2" x14ac:dyDescent="0.25">
      <c r="A951" s="45"/>
      <c r="B951" s="54"/>
      <c r="C951" s="47">
        <f t="shared" si="222"/>
        <v>3</v>
      </c>
      <c r="D951" s="73"/>
      <c r="E951" s="70"/>
      <c r="F951" s="70" t="s">
        <v>3449</v>
      </c>
      <c r="G951" s="73"/>
      <c r="H951" s="76" t="s">
        <v>2538</v>
      </c>
      <c r="I951" s="96" t="s">
        <v>502</v>
      </c>
      <c r="J951" s="96"/>
      <c r="K951" s="76"/>
      <c r="L951" s="76"/>
      <c r="M951" s="76"/>
      <c r="N951" s="76"/>
      <c r="O951" s="76"/>
      <c r="P951" s="76"/>
      <c r="Q951" s="76"/>
      <c r="R951" s="76"/>
      <c r="S951" s="76"/>
      <c r="T951" s="76"/>
      <c r="U951" s="253">
        <f>U950</f>
        <v>-1.31E-3</v>
      </c>
      <c r="V951" s="76">
        <f t="shared" si="233"/>
        <v>-1.31E-3</v>
      </c>
      <c r="W951" s="76">
        <f>U951</f>
        <v>-1.31E-3</v>
      </c>
      <c r="X951" s="76">
        <f>V951</f>
        <v>-1.31E-3</v>
      </c>
      <c r="Y951" s="76">
        <f>V951</f>
        <v>-1.31E-3</v>
      </c>
      <c r="Z951" s="76">
        <f t="shared" si="237"/>
        <v>-1.31E-3</v>
      </c>
      <c r="AA951" s="253">
        <f>AA950</f>
        <v>-1.31E-3</v>
      </c>
      <c r="AB951" s="76">
        <f t="shared" si="238"/>
        <v>-1.31E-3</v>
      </c>
      <c r="AC951" s="76">
        <f t="shared" si="239"/>
        <v>-1.31E-3</v>
      </c>
      <c r="AD951" s="76">
        <f t="shared" si="240"/>
        <v>-1.31E-3</v>
      </c>
      <c r="AE951" s="76"/>
      <c r="AF951" s="264" t="s">
        <v>3419</v>
      </c>
      <c r="AG951" s="76"/>
      <c r="AH951" s="76">
        <v>1</v>
      </c>
      <c r="AI951" s="76">
        <v>1</v>
      </c>
      <c r="AJ951" s="73"/>
      <c r="AK951" s="57"/>
      <c r="AL951" s="45"/>
      <c r="AM951" s="45"/>
      <c r="AN951" s="45"/>
    </row>
    <row r="952" spans="1:40" outlineLevel="2" x14ac:dyDescent="0.25">
      <c r="A952" s="45"/>
      <c r="B952" s="54"/>
      <c r="C952" s="47">
        <f t="shared" si="222"/>
        <v>3</v>
      </c>
      <c r="D952" s="73"/>
      <c r="E952" s="70"/>
      <c r="F952" s="70" t="s">
        <v>3450</v>
      </c>
      <c r="G952" s="73"/>
      <c r="H952" s="76" t="s">
        <v>3469</v>
      </c>
      <c r="I952" s="96" t="s">
        <v>502</v>
      </c>
      <c r="J952" s="96"/>
      <c r="K952" s="76"/>
      <c r="L952" s="76"/>
      <c r="M952" s="76"/>
      <c r="N952" s="76"/>
      <c r="O952" s="76"/>
      <c r="P952" s="76"/>
      <c r="Q952" s="76"/>
      <c r="R952" s="76"/>
      <c r="S952" s="76"/>
      <c r="T952" s="76"/>
      <c r="U952" s="97">
        <v>0</v>
      </c>
      <c r="V952" s="255">
        <f t="shared" si="233"/>
        <v>0</v>
      </c>
      <c r="W952" s="255">
        <f t="shared" ref="W952:W953" si="242">U952</f>
        <v>0</v>
      </c>
      <c r="X952" s="255">
        <f t="shared" ref="X952:X953" si="243">V952</f>
        <v>0</v>
      </c>
      <c r="Y952" s="255">
        <f t="shared" ref="Y952:Y953" si="244">V952</f>
        <v>0</v>
      </c>
      <c r="Z952" s="255">
        <f t="shared" si="237"/>
        <v>0</v>
      </c>
      <c r="AA952" s="97">
        <f>U952</f>
        <v>0</v>
      </c>
      <c r="AB952" s="255">
        <f t="shared" si="238"/>
        <v>0</v>
      </c>
      <c r="AC952" s="255">
        <f t="shared" si="239"/>
        <v>0</v>
      </c>
      <c r="AD952" s="255">
        <f t="shared" si="240"/>
        <v>0</v>
      </c>
      <c r="AE952" s="76"/>
      <c r="AF952" s="97" t="s">
        <v>3420</v>
      </c>
      <c r="AG952" s="76"/>
      <c r="AH952" s="76">
        <v>1</v>
      </c>
      <c r="AI952" s="76">
        <v>1</v>
      </c>
      <c r="AJ952" s="73"/>
      <c r="AK952" s="57"/>
      <c r="AL952" s="45"/>
      <c r="AM952" s="45"/>
      <c r="AN952" s="45"/>
    </row>
    <row r="953" spans="1:40" outlineLevel="2" x14ac:dyDescent="0.25">
      <c r="A953" s="45"/>
      <c r="B953" s="54"/>
      <c r="C953" s="47">
        <f t="shared" si="222"/>
        <v>3</v>
      </c>
      <c r="D953" s="73"/>
      <c r="E953" s="70"/>
      <c r="F953" s="70" t="s">
        <v>3451</v>
      </c>
      <c r="G953" s="73"/>
      <c r="H953" s="76" t="s">
        <v>2536</v>
      </c>
      <c r="I953" s="96" t="s">
        <v>502</v>
      </c>
      <c r="J953" s="96"/>
      <c r="K953" s="76"/>
      <c r="L953" s="76"/>
      <c r="M953" s="76"/>
      <c r="N953" s="76"/>
      <c r="O953" s="76"/>
      <c r="P953" s="76"/>
      <c r="Q953" s="76"/>
      <c r="R953" s="76"/>
      <c r="S953" s="76"/>
      <c r="T953" s="76"/>
      <c r="U953" s="97">
        <v>0</v>
      </c>
      <c r="V953" s="255">
        <f t="shared" si="233"/>
        <v>0</v>
      </c>
      <c r="W953" s="255">
        <f t="shared" si="242"/>
        <v>0</v>
      </c>
      <c r="X953" s="255">
        <f t="shared" si="243"/>
        <v>0</v>
      </c>
      <c r="Y953" s="255">
        <f t="shared" si="244"/>
        <v>0</v>
      </c>
      <c r="Z953" s="255">
        <f t="shared" si="237"/>
        <v>0</v>
      </c>
      <c r="AA953" s="97">
        <f t="shared" ref="AA953:AA954" si="245">U953</f>
        <v>0</v>
      </c>
      <c r="AB953" s="255">
        <f t="shared" si="238"/>
        <v>0</v>
      </c>
      <c r="AC953" s="255">
        <f t="shared" si="239"/>
        <v>0</v>
      </c>
      <c r="AD953" s="255">
        <f t="shared" si="240"/>
        <v>0</v>
      </c>
      <c r="AE953" s="76"/>
      <c r="AF953" s="97" t="s">
        <v>3441</v>
      </c>
      <c r="AG953" s="76"/>
      <c r="AH953" s="97">
        <v>1</v>
      </c>
      <c r="AI953" s="97">
        <v>1</v>
      </c>
      <c r="AJ953" s="73"/>
      <c r="AK953" s="57"/>
      <c r="AL953" s="45"/>
      <c r="AM953" s="45"/>
      <c r="AN953" s="45"/>
    </row>
    <row r="954" spans="1:40" outlineLevel="2" x14ac:dyDescent="0.25">
      <c r="A954" s="45"/>
      <c r="B954" s="54"/>
      <c r="C954" s="47">
        <f t="shared" si="222"/>
        <v>3</v>
      </c>
      <c r="D954" s="73"/>
      <c r="E954" s="70"/>
      <c r="F954" s="70" t="s">
        <v>3452</v>
      </c>
      <c r="G954" s="73"/>
      <c r="H954" s="76" t="s">
        <v>2537</v>
      </c>
      <c r="I954" s="96" t="s">
        <v>502</v>
      </c>
      <c r="J954" s="96"/>
      <c r="K954" s="76"/>
      <c r="L954" s="76"/>
      <c r="M954" s="76"/>
      <c r="N954" s="76"/>
      <c r="O954" s="76"/>
      <c r="P954" s="76"/>
      <c r="Q954" s="76"/>
      <c r="R954" s="76"/>
      <c r="S954" s="76"/>
      <c r="T954" s="76"/>
      <c r="U954" s="97">
        <v>-5.5010000000000003E-2</v>
      </c>
      <c r="V954" s="255">
        <f t="shared" si="233"/>
        <v>-5.5010000000000003E-2</v>
      </c>
      <c r="W954" s="255">
        <f>U954</f>
        <v>-5.5010000000000003E-2</v>
      </c>
      <c r="X954" s="255">
        <f>V954</f>
        <v>-5.5010000000000003E-2</v>
      </c>
      <c r="Y954" s="255">
        <f>V954</f>
        <v>-5.5010000000000003E-2</v>
      </c>
      <c r="Z954" s="255">
        <f t="shared" si="237"/>
        <v>-5.5010000000000003E-2</v>
      </c>
      <c r="AA954" s="97">
        <f t="shared" si="245"/>
        <v>-5.5010000000000003E-2</v>
      </c>
      <c r="AB954" s="255">
        <f t="shared" si="238"/>
        <v>-5.5010000000000003E-2</v>
      </c>
      <c r="AC954" s="255">
        <f t="shared" si="239"/>
        <v>-5.5010000000000003E-2</v>
      </c>
      <c r="AD954" s="255">
        <f t="shared" si="240"/>
        <v>-5.5010000000000003E-2</v>
      </c>
      <c r="AE954" s="76"/>
      <c r="AF954" s="97"/>
      <c r="AG954" s="76"/>
      <c r="AH954" s="97">
        <v>1</v>
      </c>
      <c r="AI954" s="97">
        <v>1</v>
      </c>
      <c r="AJ954" s="73"/>
      <c r="AK954" s="57"/>
      <c r="AL954" s="45"/>
      <c r="AM954" s="45"/>
      <c r="AN954" s="45"/>
    </row>
    <row r="955" spans="1:40" outlineLevel="2" x14ac:dyDescent="0.25">
      <c r="A955" s="45"/>
      <c r="B955" s="54"/>
      <c r="C955" s="47">
        <f t="shared" si="222"/>
        <v>3</v>
      </c>
      <c r="D955" s="73"/>
      <c r="E955" s="70"/>
      <c r="F955" s="70" t="s">
        <v>3453</v>
      </c>
      <c r="G955" s="73"/>
      <c r="H955" s="76" t="s">
        <v>2538</v>
      </c>
      <c r="I955" s="96" t="s">
        <v>502</v>
      </c>
      <c r="J955" s="96"/>
      <c r="K955" s="76"/>
      <c r="L955" s="76"/>
      <c r="M955" s="76"/>
      <c r="N955" s="76"/>
      <c r="O955" s="76"/>
      <c r="P955" s="76"/>
      <c r="Q955" s="76"/>
      <c r="R955" s="76"/>
      <c r="S955" s="76"/>
      <c r="T955" s="76"/>
      <c r="U955" s="253">
        <f>U954</f>
        <v>-5.5010000000000003E-2</v>
      </c>
      <c r="V955" s="76">
        <f t="shared" si="233"/>
        <v>-5.5010000000000003E-2</v>
      </c>
      <c r="W955" s="76">
        <f>U955</f>
        <v>-5.5010000000000003E-2</v>
      </c>
      <c r="X955" s="76">
        <f>V955</f>
        <v>-5.5010000000000003E-2</v>
      </c>
      <c r="Y955" s="76">
        <f>V955</f>
        <v>-5.5010000000000003E-2</v>
      </c>
      <c r="Z955" s="76">
        <f t="shared" si="237"/>
        <v>-5.5010000000000003E-2</v>
      </c>
      <c r="AA955" s="253">
        <f>AA954</f>
        <v>-5.5010000000000003E-2</v>
      </c>
      <c r="AB955" s="76">
        <f t="shared" si="238"/>
        <v>-5.5010000000000003E-2</v>
      </c>
      <c r="AC955" s="76">
        <f t="shared" si="239"/>
        <v>-5.5010000000000003E-2</v>
      </c>
      <c r="AD955" s="76">
        <f t="shared" si="240"/>
        <v>-5.5010000000000003E-2</v>
      </c>
      <c r="AE955" s="76"/>
      <c r="AF955" s="264" t="s">
        <v>3419</v>
      </c>
      <c r="AG955" s="76"/>
      <c r="AH955" s="76">
        <v>1</v>
      </c>
      <c r="AI955" s="76">
        <v>1</v>
      </c>
      <c r="AJ955" s="73"/>
      <c r="AK955" s="57"/>
      <c r="AL955" s="45"/>
      <c r="AM955" s="45"/>
      <c r="AN955" s="45"/>
    </row>
    <row r="956" spans="1:40" outlineLevel="2" x14ac:dyDescent="0.25">
      <c r="A956" s="45"/>
      <c r="B956" s="54"/>
      <c r="C956" s="47">
        <f t="shared" si="222"/>
        <v>3</v>
      </c>
      <c r="D956" s="73"/>
      <c r="E956" s="70"/>
      <c r="F956" s="70" t="s">
        <v>3454</v>
      </c>
      <c r="G956" s="73"/>
      <c r="H956" s="76" t="s">
        <v>3470</v>
      </c>
      <c r="I956" s="96" t="s">
        <v>502</v>
      </c>
      <c r="J956" s="96"/>
      <c r="K956" s="76"/>
      <c r="L956" s="76"/>
      <c r="M956" s="76"/>
      <c r="N956" s="76"/>
      <c r="O956" s="76"/>
      <c r="P956" s="76"/>
      <c r="Q956" s="76"/>
      <c r="R956" s="76"/>
      <c r="S956" s="76"/>
      <c r="T956" s="76"/>
      <c r="U956" s="97">
        <v>0</v>
      </c>
      <c r="V956" s="255">
        <f t="shared" ref="V956:V959" si="246">U956</f>
        <v>0</v>
      </c>
      <c r="W956" s="255">
        <f t="shared" ref="W956:W957" si="247">U956</f>
        <v>0</v>
      </c>
      <c r="X956" s="255">
        <f t="shared" ref="X956:X957" si="248">V956</f>
        <v>0</v>
      </c>
      <c r="Y956" s="255">
        <f t="shared" ref="Y956:Y957" si="249">V956</f>
        <v>0</v>
      </c>
      <c r="Z956" s="255">
        <f t="shared" ref="Z956:Z959" si="250">AA956</f>
        <v>0</v>
      </c>
      <c r="AA956" s="97">
        <f>U956</f>
        <v>0</v>
      </c>
      <c r="AB956" s="255">
        <f t="shared" ref="AB956:AB959" si="251">AA956</f>
        <v>0</v>
      </c>
      <c r="AC956" s="255">
        <f t="shared" ref="AC956:AC959" si="252">AB956</f>
        <v>0</v>
      </c>
      <c r="AD956" s="255">
        <f t="shared" ref="AD956:AD959" si="253">AC956</f>
        <v>0</v>
      </c>
      <c r="AE956" s="76"/>
      <c r="AF956" s="97" t="s">
        <v>3420</v>
      </c>
      <c r="AG956" s="76"/>
      <c r="AH956" s="76">
        <v>1</v>
      </c>
      <c r="AI956" s="76">
        <v>1</v>
      </c>
      <c r="AJ956" s="73"/>
      <c r="AK956" s="57"/>
      <c r="AL956" s="45"/>
      <c r="AM956" s="45"/>
      <c r="AN956" s="45"/>
    </row>
    <row r="957" spans="1:40" outlineLevel="2" x14ac:dyDescent="0.25">
      <c r="A957" s="45"/>
      <c r="B957" s="54"/>
      <c r="C957" s="47">
        <f t="shared" si="222"/>
        <v>3</v>
      </c>
      <c r="D957" s="73"/>
      <c r="E957" s="70"/>
      <c r="F957" s="70" t="s">
        <v>3455</v>
      </c>
      <c r="G957" s="73"/>
      <c r="H957" s="76" t="s">
        <v>2536</v>
      </c>
      <c r="I957" s="96" t="s">
        <v>502</v>
      </c>
      <c r="J957" s="96"/>
      <c r="K957" s="76"/>
      <c r="L957" s="76"/>
      <c r="M957" s="76"/>
      <c r="N957" s="76"/>
      <c r="O957" s="76"/>
      <c r="P957" s="76"/>
      <c r="Q957" s="76"/>
      <c r="R957" s="76"/>
      <c r="S957" s="76"/>
      <c r="T957" s="76"/>
      <c r="U957" s="97">
        <v>0</v>
      </c>
      <c r="V957" s="255">
        <f t="shared" si="246"/>
        <v>0</v>
      </c>
      <c r="W957" s="255">
        <f t="shared" si="247"/>
        <v>0</v>
      </c>
      <c r="X957" s="255">
        <f t="shared" si="248"/>
        <v>0</v>
      </c>
      <c r="Y957" s="255">
        <f t="shared" si="249"/>
        <v>0</v>
      </c>
      <c r="Z957" s="255">
        <f t="shared" si="250"/>
        <v>0</v>
      </c>
      <c r="AA957" s="97">
        <f t="shared" ref="AA957:AA958" si="254">U957</f>
        <v>0</v>
      </c>
      <c r="AB957" s="255">
        <f t="shared" si="251"/>
        <v>0</v>
      </c>
      <c r="AC957" s="255">
        <f t="shared" si="252"/>
        <v>0</v>
      </c>
      <c r="AD957" s="255">
        <f t="shared" si="253"/>
        <v>0</v>
      </c>
      <c r="AE957" s="76"/>
      <c r="AF957" s="97" t="s">
        <v>3441</v>
      </c>
      <c r="AG957" s="76"/>
      <c r="AH957" s="97">
        <v>1</v>
      </c>
      <c r="AI957" s="97">
        <v>1</v>
      </c>
      <c r="AJ957" s="73"/>
      <c r="AK957" s="57"/>
      <c r="AL957" s="45"/>
      <c r="AM957" s="45"/>
      <c r="AN957" s="45"/>
    </row>
    <row r="958" spans="1:40" outlineLevel="2" x14ac:dyDescent="0.25">
      <c r="A958" s="45"/>
      <c r="B958" s="54"/>
      <c r="C958" s="47">
        <f t="shared" si="222"/>
        <v>3</v>
      </c>
      <c r="D958" s="73"/>
      <c r="E958" s="70"/>
      <c r="F958" s="70" t="s">
        <v>3456</v>
      </c>
      <c r="G958" s="73"/>
      <c r="H958" s="76" t="s">
        <v>2537</v>
      </c>
      <c r="I958" s="96" t="s">
        <v>502</v>
      </c>
      <c r="J958" s="96"/>
      <c r="K958" s="76"/>
      <c r="L958" s="76"/>
      <c r="M958" s="76"/>
      <c r="N958" s="76"/>
      <c r="O958" s="76"/>
      <c r="P958" s="76"/>
      <c r="Q958" s="76"/>
      <c r="R958" s="76"/>
      <c r="S958" s="76"/>
      <c r="T958" s="76"/>
      <c r="U958" s="97">
        <v>0</v>
      </c>
      <c r="V958" s="255">
        <f t="shared" si="246"/>
        <v>0</v>
      </c>
      <c r="W958" s="255">
        <f>U958</f>
        <v>0</v>
      </c>
      <c r="X958" s="255">
        <f>V958</f>
        <v>0</v>
      </c>
      <c r="Y958" s="255">
        <f>V958</f>
        <v>0</v>
      </c>
      <c r="Z958" s="255">
        <f t="shared" si="250"/>
        <v>0</v>
      </c>
      <c r="AA958" s="97">
        <f t="shared" si="254"/>
        <v>0</v>
      </c>
      <c r="AB958" s="255">
        <f t="shared" si="251"/>
        <v>0</v>
      </c>
      <c r="AC958" s="255">
        <f t="shared" si="252"/>
        <v>0</v>
      </c>
      <c r="AD958" s="255">
        <f t="shared" si="253"/>
        <v>0</v>
      </c>
      <c r="AE958" s="76"/>
      <c r="AF958" s="97"/>
      <c r="AG958" s="76"/>
      <c r="AH958" s="97">
        <v>1</v>
      </c>
      <c r="AI958" s="97">
        <v>1</v>
      </c>
      <c r="AJ958" s="73"/>
      <c r="AK958" s="57"/>
      <c r="AL958" s="45"/>
      <c r="AM958" s="45"/>
      <c r="AN958" s="45"/>
    </row>
    <row r="959" spans="1:40" outlineLevel="2" x14ac:dyDescent="0.25">
      <c r="A959" s="45"/>
      <c r="B959" s="54"/>
      <c r="C959" s="47">
        <f t="shared" si="222"/>
        <v>3</v>
      </c>
      <c r="D959" s="73"/>
      <c r="E959" s="70"/>
      <c r="F959" s="70" t="s">
        <v>3457</v>
      </c>
      <c r="G959" s="73"/>
      <c r="H959" s="76" t="s">
        <v>2538</v>
      </c>
      <c r="I959" s="96" t="s">
        <v>502</v>
      </c>
      <c r="J959" s="96"/>
      <c r="K959" s="76"/>
      <c r="L959" s="76"/>
      <c r="M959" s="76"/>
      <c r="N959" s="76"/>
      <c r="O959" s="76"/>
      <c r="P959" s="76"/>
      <c r="Q959" s="76"/>
      <c r="R959" s="76"/>
      <c r="S959" s="76"/>
      <c r="T959" s="76"/>
      <c r="U959" s="253">
        <f>U958</f>
        <v>0</v>
      </c>
      <c r="V959" s="76">
        <f t="shared" si="246"/>
        <v>0</v>
      </c>
      <c r="W959" s="76">
        <f>U959</f>
        <v>0</v>
      </c>
      <c r="X959" s="76">
        <f>V959</f>
        <v>0</v>
      </c>
      <c r="Y959" s="76">
        <f>V959</f>
        <v>0</v>
      </c>
      <c r="Z959" s="76">
        <f t="shared" si="250"/>
        <v>0</v>
      </c>
      <c r="AA959" s="253">
        <f>AA958</f>
        <v>0</v>
      </c>
      <c r="AB959" s="76">
        <f t="shared" si="251"/>
        <v>0</v>
      </c>
      <c r="AC959" s="76">
        <f t="shared" si="252"/>
        <v>0</v>
      </c>
      <c r="AD959" s="76">
        <f t="shared" si="253"/>
        <v>0</v>
      </c>
      <c r="AE959" s="76"/>
      <c r="AF959" s="264" t="s">
        <v>3419</v>
      </c>
      <c r="AG959" s="76"/>
      <c r="AH959" s="76">
        <v>1</v>
      </c>
      <c r="AI959" s="76">
        <v>1</v>
      </c>
      <c r="AJ959" s="73"/>
      <c r="AK959" s="57"/>
      <c r="AL959" s="45"/>
      <c r="AM959" s="45"/>
      <c r="AN959" s="45"/>
    </row>
    <row r="960" spans="1:40" outlineLevel="2" x14ac:dyDescent="0.25">
      <c r="A960" s="45"/>
      <c r="B960" s="54"/>
      <c r="C960" s="47">
        <f t="shared" si="222"/>
        <v>3</v>
      </c>
      <c r="D960" s="73"/>
      <c r="E960" s="70"/>
      <c r="F960" s="70" t="s">
        <v>3458</v>
      </c>
      <c r="G960" s="73"/>
      <c r="H960" s="76" t="s">
        <v>3475</v>
      </c>
      <c r="I960" s="96" t="s">
        <v>502</v>
      </c>
      <c r="J960" s="96"/>
      <c r="K960" s="76"/>
      <c r="L960" s="76"/>
      <c r="M960" s="76"/>
      <c r="N960" s="76"/>
      <c r="O960" s="76"/>
      <c r="P960" s="76"/>
      <c r="Q960" s="76"/>
      <c r="R960" s="76"/>
      <c r="S960" s="76"/>
      <c r="T960" s="76"/>
      <c r="U960" s="97">
        <v>0</v>
      </c>
      <c r="V960" s="255">
        <f t="shared" si="233"/>
        <v>0</v>
      </c>
      <c r="W960" s="255">
        <f t="shared" ref="W960:W961" si="255">U960</f>
        <v>0</v>
      </c>
      <c r="X960" s="255">
        <f t="shared" ref="X960:X961" si="256">V960</f>
        <v>0</v>
      </c>
      <c r="Y960" s="255">
        <f t="shared" ref="Y960:Y961" si="257">V960</f>
        <v>0</v>
      </c>
      <c r="Z960" s="255">
        <f t="shared" si="237"/>
        <v>0</v>
      </c>
      <c r="AA960" s="97">
        <f>U960</f>
        <v>0</v>
      </c>
      <c r="AB960" s="255">
        <f t="shared" si="238"/>
        <v>0</v>
      </c>
      <c r="AC960" s="255">
        <f t="shared" si="239"/>
        <v>0</v>
      </c>
      <c r="AD960" s="255">
        <f t="shared" si="240"/>
        <v>0</v>
      </c>
      <c r="AE960" s="76"/>
      <c r="AF960" s="97" t="s">
        <v>3420</v>
      </c>
      <c r="AG960" s="76"/>
      <c r="AH960" s="76">
        <v>1</v>
      </c>
      <c r="AI960" s="76">
        <v>1</v>
      </c>
      <c r="AJ960" s="73"/>
      <c r="AK960" s="57"/>
      <c r="AL960" s="45"/>
      <c r="AM960" s="45"/>
      <c r="AN960" s="45"/>
    </row>
    <row r="961" spans="1:40" outlineLevel="2" x14ac:dyDescent="0.25">
      <c r="A961" s="45"/>
      <c r="B961" s="54"/>
      <c r="C961" s="47">
        <f t="shared" si="222"/>
        <v>3</v>
      </c>
      <c r="D961" s="73"/>
      <c r="E961" s="70"/>
      <c r="F961" s="70" t="s">
        <v>3459</v>
      </c>
      <c r="G961" s="73"/>
      <c r="H961" s="76" t="s">
        <v>2536</v>
      </c>
      <c r="I961" s="96" t="s">
        <v>502</v>
      </c>
      <c r="J961" s="96"/>
      <c r="K961" s="76"/>
      <c r="L961" s="76"/>
      <c r="M961" s="76"/>
      <c r="N961" s="76"/>
      <c r="O961" s="76"/>
      <c r="P961" s="76"/>
      <c r="Q961" s="76"/>
      <c r="R961" s="76"/>
      <c r="S961" s="76"/>
      <c r="T961" s="76"/>
      <c r="U961" s="97">
        <v>0</v>
      </c>
      <c r="V961" s="255">
        <f t="shared" si="233"/>
        <v>0</v>
      </c>
      <c r="W961" s="255">
        <f t="shared" si="255"/>
        <v>0</v>
      </c>
      <c r="X961" s="255">
        <f t="shared" si="256"/>
        <v>0</v>
      </c>
      <c r="Y961" s="255">
        <f t="shared" si="257"/>
        <v>0</v>
      </c>
      <c r="Z961" s="255">
        <f t="shared" si="237"/>
        <v>0</v>
      </c>
      <c r="AA961" s="97">
        <f t="shared" ref="AA961:AA962" si="258">U961</f>
        <v>0</v>
      </c>
      <c r="AB961" s="255">
        <f t="shared" si="238"/>
        <v>0</v>
      </c>
      <c r="AC961" s="255">
        <f t="shared" si="239"/>
        <v>0</v>
      </c>
      <c r="AD961" s="255">
        <f t="shared" si="240"/>
        <v>0</v>
      </c>
      <c r="AE961" s="76"/>
      <c r="AF961" s="97" t="s">
        <v>3441</v>
      </c>
      <c r="AG961" s="76"/>
      <c r="AH961" s="97">
        <v>1</v>
      </c>
      <c r="AI961" s="97">
        <v>1</v>
      </c>
      <c r="AJ961" s="73"/>
      <c r="AK961" s="57"/>
      <c r="AL961" s="45"/>
      <c r="AM961" s="45"/>
      <c r="AN961" s="45"/>
    </row>
    <row r="962" spans="1:40" outlineLevel="2" x14ac:dyDescent="0.25">
      <c r="A962" s="45"/>
      <c r="B962" s="54"/>
      <c r="C962" s="47">
        <f t="shared" si="222"/>
        <v>3</v>
      </c>
      <c r="D962" s="73"/>
      <c r="E962" s="70"/>
      <c r="F962" s="70" t="s">
        <v>3460</v>
      </c>
      <c r="G962" s="73"/>
      <c r="H962" s="76" t="s">
        <v>2537</v>
      </c>
      <c r="I962" s="96" t="s">
        <v>502</v>
      </c>
      <c r="J962" s="96"/>
      <c r="K962" s="76"/>
      <c r="L962" s="76"/>
      <c r="M962" s="76"/>
      <c r="N962" s="76"/>
      <c r="O962" s="76"/>
      <c r="P962" s="76"/>
      <c r="Q962" s="76"/>
      <c r="R962" s="76"/>
      <c r="S962" s="76"/>
      <c r="T962" s="76"/>
      <c r="U962" s="97">
        <v>9.2600000000000002E-2</v>
      </c>
      <c r="V962" s="255">
        <f t="shared" si="233"/>
        <v>9.2600000000000002E-2</v>
      </c>
      <c r="W962" s="255">
        <f>U962</f>
        <v>9.2600000000000002E-2</v>
      </c>
      <c r="X962" s="255">
        <f>V962</f>
        <v>9.2600000000000002E-2</v>
      </c>
      <c r="Y962" s="255">
        <f>V962</f>
        <v>9.2600000000000002E-2</v>
      </c>
      <c r="Z962" s="255">
        <f t="shared" si="237"/>
        <v>9.2600000000000002E-2</v>
      </c>
      <c r="AA962" s="97">
        <f t="shared" si="258"/>
        <v>9.2600000000000002E-2</v>
      </c>
      <c r="AB962" s="255">
        <f t="shared" si="238"/>
        <v>9.2600000000000002E-2</v>
      </c>
      <c r="AC962" s="255">
        <f t="shared" si="239"/>
        <v>9.2600000000000002E-2</v>
      </c>
      <c r="AD962" s="255">
        <f t="shared" si="240"/>
        <v>9.2600000000000002E-2</v>
      </c>
      <c r="AE962" s="76"/>
      <c r="AF962" s="97"/>
      <c r="AG962" s="76"/>
      <c r="AH962" s="97">
        <v>1</v>
      </c>
      <c r="AI962" s="97">
        <v>1</v>
      </c>
      <c r="AJ962" s="73"/>
      <c r="AK962" s="57"/>
      <c r="AL962" s="45"/>
      <c r="AM962" s="45"/>
      <c r="AN962" s="45"/>
    </row>
    <row r="963" spans="1:40" outlineLevel="2" x14ac:dyDescent="0.25">
      <c r="A963" s="45"/>
      <c r="B963" s="54"/>
      <c r="C963" s="47">
        <f t="shared" si="222"/>
        <v>3</v>
      </c>
      <c r="D963" s="73"/>
      <c r="E963" s="70"/>
      <c r="F963" s="70" t="s">
        <v>3461</v>
      </c>
      <c r="G963" s="73"/>
      <c r="H963" s="76" t="s">
        <v>2538</v>
      </c>
      <c r="I963" s="96" t="s">
        <v>502</v>
      </c>
      <c r="J963" s="96"/>
      <c r="K963" s="76"/>
      <c r="L963" s="76"/>
      <c r="M963" s="76"/>
      <c r="N963" s="76"/>
      <c r="O963" s="76"/>
      <c r="P963" s="76"/>
      <c r="Q963" s="76"/>
      <c r="R963" s="76"/>
      <c r="S963" s="76"/>
      <c r="T963" s="76"/>
      <c r="U963" s="253">
        <f>U962</f>
        <v>9.2600000000000002E-2</v>
      </c>
      <c r="V963" s="76">
        <f t="shared" si="233"/>
        <v>9.2600000000000002E-2</v>
      </c>
      <c r="W963" s="76">
        <f>U963</f>
        <v>9.2600000000000002E-2</v>
      </c>
      <c r="X963" s="76">
        <f>V963</f>
        <v>9.2600000000000002E-2</v>
      </c>
      <c r="Y963" s="76">
        <f>V963</f>
        <v>9.2600000000000002E-2</v>
      </c>
      <c r="Z963" s="76">
        <f t="shared" si="237"/>
        <v>9.2600000000000002E-2</v>
      </c>
      <c r="AA963" s="253">
        <f>AA962</f>
        <v>9.2600000000000002E-2</v>
      </c>
      <c r="AB963" s="76">
        <f t="shared" si="238"/>
        <v>9.2600000000000002E-2</v>
      </c>
      <c r="AC963" s="76">
        <f t="shared" si="239"/>
        <v>9.2600000000000002E-2</v>
      </c>
      <c r="AD963" s="76">
        <f t="shared" si="240"/>
        <v>9.2600000000000002E-2</v>
      </c>
      <c r="AE963" s="76"/>
      <c r="AF963" s="264" t="s">
        <v>3419</v>
      </c>
      <c r="AG963" s="76"/>
      <c r="AH963" s="76">
        <v>1</v>
      </c>
      <c r="AI963" s="76">
        <v>1</v>
      </c>
      <c r="AJ963" s="73"/>
      <c r="AK963" s="57"/>
      <c r="AL963" s="45"/>
      <c r="AM963" s="45"/>
      <c r="AN963" s="45"/>
    </row>
    <row r="964" spans="1:40" outlineLevel="2" x14ac:dyDescent="0.25">
      <c r="A964" s="45"/>
      <c r="B964" s="54"/>
      <c r="C964" s="47">
        <f t="shared" si="222"/>
        <v>3</v>
      </c>
      <c r="D964" s="73"/>
      <c r="E964" s="70"/>
      <c r="F964" s="70" t="s">
        <v>3462</v>
      </c>
      <c r="G964" s="73"/>
      <c r="H964" s="76" t="s">
        <v>3476</v>
      </c>
      <c r="I964" s="96" t="s">
        <v>502</v>
      </c>
      <c r="J964" s="96"/>
      <c r="K964" s="76"/>
      <c r="L964" s="76"/>
      <c r="M964" s="76"/>
      <c r="N964" s="76"/>
      <c r="O964" s="76"/>
      <c r="P964" s="76"/>
      <c r="Q964" s="76"/>
      <c r="R964" s="76"/>
      <c r="S964" s="76"/>
      <c r="T964" s="76"/>
      <c r="U964" s="97">
        <v>0</v>
      </c>
      <c r="V964" s="255">
        <f t="shared" ref="V964:V967" si="259">U964</f>
        <v>0</v>
      </c>
      <c r="W964" s="255">
        <f t="shared" ref="W964:W965" si="260">U964</f>
        <v>0</v>
      </c>
      <c r="X964" s="255">
        <f t="shared" ref="X964:X965" si="261">V964</f>
        <v>0</v>
      </c>
      <c r="Y964" s="255">
        <f t="shared" ref="Y964:Y965" si="262">V964</f>
        <v>0</v>
      </c>
      <c r="Z964" s="255">
        <f t="shared" ref="Z964:Z967" si="263">AA964</f>
        <v>0</v>
      </c>
      <c r="AA964" s="97">
        <f>U964</f>
        <v>0</v>
      </c>
      <c r="AB964" s="255">
        <f t="shared" ref="AB964:AB967" si="264">AA964</f>
        <v>0</v>
      </c>
      <c r="AC964" s="255">
        <f t="shared" ref="AC964:AC967" si="265">AB964</f>
        <v>0</v>
      </c>
      <c r="AD964" s="255">
        <f t="shared" ref="AD964:AD967" si="266">AC964</f>
        <v>0</v>
      </c>
      <c r="AE964" s="76"/>
      <c r="AF964" s="97" t="s">
        <v>3420</v>
      </c>
      <c r="AG964" s="76"/>
      <c r="AH964" s="76">
        <v>1</v>
      </c>
      <c r="AI964" s="76">
        <v>1</v>
      </c>
      <c r="AJ964" s="73"/>
      <c r="AK964" s="57"/>
      <c r="AL964" s="45"/>
      <c r="AM964" s="45"/>
      <c r="AN964" s="45"/>
    </row>
    <row r="965" spans="1:40" outlineLevel="2" x14ac:dyDescent="0.25">
      <c r="A965" s="45"/>
      <c r="B965" s="54"/>
      <c r="C965" s="47">
        <f t="shared" si="222"/>
        <v>3</v>
      </c>
      <c r="D965" s="73"/>
      <c r="E965" s="70"/>
      <c r="F965" s="70" t="s">
        <v>3463</v>
      </c>
      <c r="G965" s="73"/>
      <c r="H965" s="76" t="s">
        <v>2536</v>
      </c>
      <c r="I965" s="96" t="s">
        <v>502</v>
      </c>
      <c r="J965" s="96"/>
      <c r="K965" s="76"/>
      <c r="L965" s="76"/>
      <c r="M965" s="76"/>
      <c r="N965" s="76"/>
      <c r="O965" s="76"/>
      <c r="P965" s="76"/>
      <c r="Q965" s="76"/>
      <c r="R965" s="76"/>
      <c r="S965" s="76"/>
      <c r="T965" s="76"/>
      <c r="U965" s="97">
        <v>0</v>
      </c>
      <c r="V965" s="255">
        <f t="shared" si="259"/>
        <v>0</v>
      </c>
      <c r="W965" s="255">
        <f t="shared" si="260"/>
        <v>0</v>
      </c>
      <c r="X965" s="255">
        <f t="shared" si="261"/>
        <v>0</v>
      </c>
      <c r="Y965" s="255">
        <f t="shared" si="262"/>
        <v>0</v>
      </c>
      <c r="Z965" s="255">
        <f t="shared" si="263"/>
        <v>0</v>
      </c>
      <c r="AA965" s="97">
        <f t="shared" ref="AA965:AA966" si="267">U965</f>
        <v>0</v>
      </c>
      <c r="AB965" s="255">
        <f t="shared" si="264"/>
        <v>0</v>
      </c>
      <c r="AC965" s="255">
        <f t="shared" si="265"/>
        <v>0</v>
      </c>
      <c r="AD965" s="255">
        <f t="shared" si="266"/>
        <v>0</v>
      </c>
      <c r="AE965" s="76"/>
      <c r="AF965" s="97" t="s">
        <v>3441</v>
      </c>
      <c r="AG965" s="76"/>
      <c r="AH965" s="97">
        <v>1</v>
      </c>
      <c r="AI965" s="97">
        <v>1</v>
      </c>
      <c r="AJ965" s="73"/>
      <c r="AK965" s="57"/>
      <c r="AL965" s="45"/>
      <c r="AM965" s="45"/>
      <c r="AN965" s="45"/>
    </row>
    <row r="966" spans="1:40" outlineLevel="2" x14ac:dyDescent="0.25">
      <c r="A966" s="45"/>
      <c r="B966" s="54"/>
      <c r="C966" s="47">
        <f t="shared" si="222"/>
        <v>3</v>
      </c>
      <c r="D966" s="73"/>
      <c r="E966" s="70"/>
      <c r="F966" s="70" t="s">
        <v>3464</v>
      </c>
      <c r="G966" s="73"/>
      <c r="H966" s="76" t="s">
        <v>2537</v>
      </c>
      <c r="I966" s="96" t="s">
        <v>502</v>
      </c>
      <c r="J966" s="96"/>
      <c r="K966" s="76"/>
      <c r="L966" s="76"/>
      <c r="M966" s="76"/>
      <c r="N966" s="76"/>
      <c r="O966" s="76"/>
      <c r="P966" s="76"/>
      <c r="Q966" s="76"/>
      <c r="R966" s="76"/>
      <c r="S966" s="76"/>
      <c r="T966" s="76"/>
      <c r="U966" s="97">
        <v>-2.2000000000000001E-4</v>
      </c>
      <c r="V966" s="255">
        <f t="shared" si="259"/>
        <v>-2.2000000000000001E-4</v>
      </c>
      <c r="W966" s="255">
        <f>U966</f>
        <v>-2.2000000000000001E-4</v>
      </c>
      <c r="X966" s="255">
        <f>V966</f>
        <v>-2.2000000000000001E-4</v>
      </c>
      <c r="Y966" s="255">
        <f>V966</f>
        <v>-2.2000000000000001E-4</v>
      </c>
      <c r="Z966" s="255">
        <f t="shared" si="263"/>
        <v>-2.2000000000000001E-4</v>
      </c>
      <c r="AA966" s="97">
        <f t="shared" si="267"/>
        <v>-2.2000000000000001E-4</v>
      </c>
      <c r="AB966" s="255">
        <f t="shared" si="264"/>
        <v>-2.2000000000000001E-4</v>
      </c>
      <c r="AC966" s="255">
        <f t="shared" si="265"/>
        <v>-2.2000000000000001E-4</v>
      </c>
      <c r="AD966" s="255">
        <f t="shared" si="266"/>
        <v>-2.2000000000000001E-4</v>
      </c>
      <c r="AE966" s="76"/>
      <c r="AF966" s="97"/>
      <c r="AG966" s="76"/>
      <c r="AH966" s="97">
        <v>1</v>
      </c>
      <c r="AI966" s="97">
        <v>1</v>
      </c>
      <c r="AJ966" s="73"/>
      <c r="AK966" s="57"/>
      <c r="AL966" s="45"/>
      <c r="AM966" s="45"/>
      <c r="AN966" s="45"/>
    </row>
    <row r="967" spans="1:40" outlineLevel="2" x14ac:dyDescent="0.25">
      <c r="A967" s="45"/>
      <c r="B967" s="54"/>
      <c r="C967" s="47">
        <f t="shared" si="222"/>
        <v>3</v>
      </c>
      <c r="D967" s="73"/>
      <c r="E967" s="70"/>
      <c r="F967" s="70" t="s">
        <v>3465</v>
      </c>
      <c r="G967" s="73"/>
      <c r="H967" s="76" t="s">
        <v>2538</v>
      </c>
      <c r="I967" s="96" t="s">
        <v>502</v>
      </c>
      <c r="J967" s="96"/>
      <c r="K967" s="76"/>
      <c r="L967" s="76"/>
      <c r="M967" s="76"/>
      <c r="N967" s="76"/>
      <c r="O967" s="76"/>
      <c r="P967" s="76"/>
      <c r="Q967" s="76"/>
      <c r="R967" s="76"/>
      <c r="S967" s="76"/>
      <c r="T967" s="76"/>
      <c r="U967" s="253">
        <f>U966</f>
        <v>-2.2000000000000001E-4</v>
      </c>
      <c r="V967" s="76">
        <f t="shared" si="259"/>
        <v>-2.2000000000000001E-4</v>
      </c>
      <c r="W967" s="76">
        <f>U967</f>
        <v>-2.2000000000000001E-4</v>
      </c>
      <c r="X967" s="76">
        <f>V967</f>
        <v>-2.2000000000000001E-4</v>
      </c>
      <c r="Y967" s="76">
        <f>V967</f>
        <v>-2.2000000000000001E-4</v>
      </c>
      <c r="Z967" s="76">
        <f t="shared" si="263"/>
        <v>-2.2000000000000001E-4</v>
      </c>
      <c r="AA967" s="253">
        <f>AA966</f>
        <v>-2.2000000000000001E-4</v>
      </c>
      <c r="AB967" s="76">
        <f t="shared" si="264"/>
        <v>-2.2000000000000001E-4</v>
      </c>
      <c r="AC967" s="76">
        <f t="shared" si="265"/>
        <v>-2.2000000000000001E-4</v>
      </c>
      <c r="AD967" s="76">
        <f t="shared" si="266"/>
        <v>-2.2000000000000001E-4</v>
      </c>
      <c r="AE967" s="76"/>
      <c r="AF967" s="264" t="s">
        <v>3419</v>
      </c>
      <c r="AG967" s="76"/>
      <c r="AH967" s="76">
        <v>1</v>
      </c>
      <c r="AI967" s="76">
        <v>1</v>
      </c>
      <c r="AJ967" s="73"/>
      <c r="AK967" s="57"/>
      <c r="AL967" s="45"/>
      <c r="AM967" s="45"/>
      <c r="AN967" s="45"/>
    </row>
    <row r="968" spans="1:40" outlineLevel="2" x14ac:dyDescent="0.25">
      <c r="A968" s="45"/>
      <c r="B968" s="54"/>
      <c r="C968" s="47">
        <f t="shared" si="222"/>
        <v>3</v>
      </c>
      <c r="D968" s="73"/>
      <c r="E968" s="70"/>
      <c r="F968" s="70" t="s">
        <v>3471</v>
      </c>
      <c r="G968" s="73"/>
      <c r="H968" s="76" t="s">
        <v>3466</v>
      </c>
      <c r="I968" s="96" t="s">
        <v>502</v>
      </c>
      <c r="J968" s="96"/>
      <c r="K968" s="76"/>
      <c r="L968" s="76"/>
      <c r="M968" s="76"/>
      <c r="N968" s="76"/>
      <c r="O968" s="76"/>
      <c r="P968" s="76"/>
      <c r="Q968" s="76"/>
      <c r="R968" s="76"/>
      <c r="S968" s="76"/>
      <c r="T968" s="76"/>
      <c r="U968" s="97">
        <v>0</v>
      </c>
      <c r="V968" s="255">
        <f t="shared" ref="V968:V971" si="268">U968</f>
        <v>0</v>
      </c>
      <c r="W968" s="255">
        <f t="shared" ref="W968:W969" si="269">U968</f>
        <v>0</v>
      </c>
      <c r="X968" s="255">
        <f t="shared" ref="X968:X969" si="270">V968</f>
        <v>0</v>
      </c>
      <c r="Y968" s="255">
        <f t="shared" ref="Y968:Y969" si="271">V968</f>
        <v>0</v>
      </c>
      <c r="Z968" s="255">
        <f t="shared" ref="Z968:Z971" si="272">AA968</f>
        <v>0</v>
      </c>
      <c r="AA968" s="97">
        <f>U968</f>
        <v>0</v>
      </c>
      <c r="AB968" s="255">
        <f t="shared" ref="AB968:AB971" si="273">AA968</f>
        <v>0</v>
      </c>
      <c r="AC968" s="255">
        <f t="shared" ref="AC968:AC971" si="274">AB968</f>
        <v>0</v>
      </c>
      <c r="AD968" s="255">
        <f t="shared" ref="AD968:AD971" si="275">AC968</f>
        <v>0</v>
      </c>
      <c r="AE968" s="76"/>
      <c r="AF968" s="97" t="s">
        <v>3420</v>
      </c>
      <c r="AG968" s="76"/>
      <c r="AH968" s="76">
        <v>1</v>
      </c>
      <c r="AI968" s="76">
        <v>1</v>
      </c>
      <c r="AJ968" s="73"/>
      <c r="AK968" s="57"/>
      <c r="AL968" s="45"/>
      <c r="AM968" s="45"/>
      <c r="AN968" s="45"/>
    </row>
    <row r="969" spans="1:40" outlineLevel="2" x14ac:dyDescent="0.25">
      <c r="A969" s="45"/>
      <c r="B969" s="54"/>
      <c r="C969" s="47">
        <f t="shared" si="222"/>
        <v>3</v>
      </c>
      <c r="D969" s="73"/>
      <c r="E969" s="70"/>
      <c r="F969" s="70" t="s">
        <v>3472</v>
      </c>
      <c r="G969" s="73"/>
      <c r="H969" s="76" t="s">
        <v>2536</v>
      </c>
      <c r="I969" s="96" t="s">
        <v>502</v>
      </c>
      <c r="J969" s="96"/>
      <c r="K969" s="76"/>
      <c r="L969" s="76"/>
      <c r="M969" s="76"/>
      <c r="N969" s="76"/>
      <c r="O969" s="76"/>
      <c r="P969" s="76"/>
      <c r="Q969" s="76"/>
      <c r="R969" s="76"/>
      <c r="S969" s="76"/>
      <c r="T969" s="76"/>
      <c r="U969" s="97">
        <v>0</v>
      </c>
      <c r="V969" s="255">
        <f t="shared" si="268"/>
        <v>0</v>
      </c>
      <c r="W969" s="255">
        <f t="shared" si="269"/>
        <v>0</v>
      </c>
      <c r="X969" s="255">
        <f t="shared" si="270"/>
        <v>0</v>
      </c>
      <c r="Y969" s="255">
        <f t="shared" si="271"/>
        <v>0</v>
      </c>
      <c r="Z969" s="255">
        <f t="shared" si="272"/>
        <v>0</v>
      </c>
      <c r="AA969" s="97">
        <f t="shared" ref="AA969:AA970" si="276">U969</f>
        <v>0</v>
      </c>
      <c r="AB969" s="255">
        <f t="shared" si="273"/>
        <v>0</v>
      </c>
      <c r="AC969" s="255">
        <f t="shared" si="274"/>
        <v>0</v>
      </c>
      <c r="AD969" s="255">
        <f t="shared" si="275"/>
        <v>0</v>
      </c>
      <c r="AE969" s="76"/>
      <c r="AF969" s="97" t="s">
        <v>3441</v>
      </c>
      <c r="AG969" s="76"/>
      <c r="AH969" s="97">
        <v>1</v>
      </c>
      <c r="AI969" s="97">
        <v>1</v>
      </c>
      <c r="AJ969" s="73"/>
      <c r="AK969" s="57"/>
      <c r="AL969" s="45"/>
      <c r="AM969" s="45"/>
      <c r="AN969" s="45"/>
    </row>
    <row r="970" spans="1:40" outlineLevel="2" x14ac:dyDescent="0.25">
      <c r="A970" s="45"/>
      <c r="B970" s="54"/>
      <c r="C970" s="47">
        <f t="shared" si="222"/>
        <v>3</v>
      </c>
      <c r="D970" s="73"/>
      <c r="E970" s="70"/>
      <c r="F970" s="70" t="s">
        <v>3473</v>
      </c>
      <c r="G970" s="73"/>
      <c r="H970" s="76" t="s">
        <v>2537</v>
      </c>
      <c r="I970" s="96" t="s">
        <v>502</v>
      </c>
      <c r="J970" s="96"/>
      <c r="K970" s="76"/>
      <c r="L970" s="76"/>
      <c r="M970" s="76"/>
      <c r="N970" s="76"/>
      <c r="O970" s="76"/>
      <c r="P970" s="76"/>
      <c r="Q970" s="76"/>
      <c r="R970" s="76"/>
      <c r="S970" s="76"/>
      <c r="T970" s="76"/>
      <c r="U970" s="97">
        <v>-6.34</v>
      </c>
      <c r="V970" s="255">
        <f t="shared" si="268"/>
        <v>-6.34</v>
      </c>
      <c r="W970" s="255">
        <f>U970</f>
        <v>-6.34</v>
      </c>
      <c r="X970" s="255">
        <f>V970</f>
        <v>-6.34</v>
      </c>
      <c r="Y970" s="255">
        <f>V970</f>
        <v>-6.34</v>
      </c>
      <c r="Z970" s="255">
        <f t="shared" si="272"/>
        <v>-6.34</v>
      </c>
      <c r="AA970" s="97">
        <f t="shared" si="276"/>
        <v>-6.34</v>
      </c>
      <c r="AB970" s="255">
        <f t="shared" si="273"/>
        <v>-6.34</v>
      </c>
      <c r="AC970" s="255">
        <f t="shared" si="274"/>
        <v>-6.34</v>
      </c>
      <c r="AD970" s="255">
        <f t="shared" si="275"/>
        <v>-6.34</v>
      </c>
      <c r="AE970" s="76"/>
      <c r="AF970" s="97"/>
      <c r="AG970" s="76"/>
      <c r="AH970" s="97">
        <v>1</v>
      </c>
      <c r="AI970" s="97">
        <v>1</v>
      </c>
      <c r="AJ970" s="73"/>
      <c r="AK970" s="57"/>
      <c r="AL970" s="45"/>
      <c r="AM970" s="45"/>
      <c r="AN970" s="45"/>
    </row>
    <row r="971" spans="1:40" outlineLevel="2" x14ac:dyDescent="0.25">
      <c r="A971" s="45"/>
      <c r="B971" s="54"/>
      <c r="C971" s="47">
        <f t="shared" si="222"/>
        <v>3</v>
      </c>
      <c r="D971" s="73"/>
      <c r="E971" s="70"/>
      <c r="F971" s="70" t="s">
        <v>3474</v>
      </c>
      <c r="G971" s="73"/>
      <c r="H971" s="76" t="s">
        <v>2538</v>
      </c>
      <c r="I971" s="96" t="s">
        <v>502</v>
      </c>
      <c r="J971" s="96"/>
      <c r="K971" s="76"/>
      <c r="L971" s="76"/>
      <c r="M971" s="76"/>
      <c r="N971" s="76"/>
      <c r="O971" s="76"/>
      <c r="P971" s="76"/>
      <c r="Q971" s="76"/>
      <c r="R971" s="76"/>
      <c r="S971" s="76"/>
      <c r="T971" s="76"/>
      <c r="U971" s="253">
        <f>U970</f>
        <v>-6.34</v>
      </c>
      <c r="V971" s="76">
        <f t="shared" si="268"/>
        <v>-6.34</v>
      </c>
      <c r="W971" s="76">
        <f>U971</f>
        <v>-6.34</v>
      </c>
      <c r="X971" s="76">
        <f>V971</f>
        <v>-6.34</v>
      </c>
      <c r="Y971" s="76">
        <f>V971</f>
        <v>-6.34</v>
      </c>
      <c r="Z971" s="76">
        <f t="shared" si="272"/>
        <v>-6.34</v>
      </c>
      <c r="AA971" s="253">
        <f>AA970</f>
        <v>-6.34</v>
      </c>
      <c r="AB971" s="76">
        <f t="shared" si="273"/>
        <v>-6.34</v>
      </c>
      <c r="AC971" s="76">
        <f t="shared" si="274"/>
        <v>-6.34</v>
      </c>
      <c r="AD971" s="76">
        <f t="shared" si="275"/>
        <v>-6.34</v>
      </c>
      <c r="AE971" s="76"/>
      <c r="AF971" s="264" t="s">
        <v>3419</v>
      </c>
      <c r="AG971" s="76"/>
      <c r="AH971" s="76">
        <v>1</v>
      </c>
      <c r="AI971" s="76">
        <v>1</v>
      </c>
      <c r="AJ971" s="73"/>
      <c r="AK971" s="57"/>
      <c r="AL971" s="45"/>
      <c r="AM971" s="45"/>
      <c r="AN971" s="45"/>
    </row>
    <row r="972" spans="1:40" outlineLevel="1" collapsed="1" x14ac:dyDescent="0.2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hidden="1" outlineLevel="2" x14ac:dyDescent="0.2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hidden="1" outlineLevel="2" x14ac:dyDescent="0.2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7">INDEX($K974:$Q974,1,U$43)</f>
        <v>0.38900000000000001</v>
      </c>
      <c r="V974" s="253">
        <f t="shared" si="277"/>
        <v>0.38900000000000001</v>
      </c>
      <c r="W974" s="253">
        <f t="shared" si="277"/>
        <v>0.38900000000000001</v>
      </c>
      <c r="X974" s="253">
        <f t="shared" si="277"/>
        <v>0.38900000000000001</v>
      </c>
      <c r="Y974" s="253">
        <f t="shared" si="277"/>
        <v>0.38900000000000001</v>
      </c>
      <c r="Z974" s="253">
        <f t="shared" si="277"/>
        <v>0.48599999999999999</v>
      </c>
      <c r="AA974" s="253">
        <f t="shared" si="277"/>
        <v>0.48599999999999999</v>
      </c>
      <c r="AB974" s="253">
        <f t="shared" si="277"/>
        <v>0.48599999999999999</v>
      </c>
      <c r="AC974" s="253">
        <f t="shared" si="277"/>
        <v>0.48599999999999999</v>
      </c>
      <c r="AD974" s="253">
        <f t="shared" si="277"/>
        <v>0.48599999999999999</v>
      </c>
      <c r="AE974" s="76"/>
      <c r="AF974" s="76"/>
      <c r="AG974" s="76"/>
      <c r="AH974" s="97">
        <v>1</v>
      </c>
      <c r="AI974" s="97">
        <v>1</v>
      </c>
      <c r="AJ974" s="73"/>
      <c r="AK974" s="57"/>
      <c r="AL974" s="45"/>
      <c r="AM974" s="45"/>
      <c r="AN974" s="45"/>
    </row>
    <row r="975" spans="1:40" hidden="1" outlineLevel="2" x14ac:dyDescent="0.2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7"/>
        <v>0.622</v>
      </c>
      <c r="V975" s="253">
        <f t="shared" si="277"/>
        <v>0.622</v>
      </c>
      <c r="W975" s="253">
        <f t="shared" si="277"/>
        <v>0.622</v>
      </c>
      <c r="X975" s="253">
        <f t="shared" si="277"/>
        <v>0.622</v>
      </c>
      <c r="Y975" s="253">
        <f t="shared" si="277"/>
        <v>0.622</v>
      </c>
      <c r="Z975" s="253">
        <f t="shared" si="277"/>
        <v>0.77800000000000002</v>
      </c>
      <c r="AA975" s="253">
        <f t="shared" si="277"/>
        <v>0.77800000000000002</v>
      </c>
      <c r="AB975" s="253">
        <f t="shared" si="277"/>
        <v>0.77800000000000002</v>
      </c>
      <c r="AC975" s="253">
        <f t="shared" si="277"/>
        <v>0.77800000000000002</v>
      </c>
      <c r="AD975" s="253">
        <f t="shared" si="277"/>
        <v>0.77800000000000002</v>
      </c>
      <c r="AE975" s="76"/>
      <c r="AF975" s="76"/>
      <c r="AG975" s="76"/>
      <c r="AH975" s="97">
        <v>1</v>
      </c>
      <c r="AI975" s="97">
        <v>1</v>
      </c>
      <c r="AJ975" s="73"/>
      <c r="AK975" s="57"/>
      <c r="AL975" s="45"/>
      <c r="AM975" s="45"/>
      <c r="AN975" s="45"/>
    </row>
    <row r="976" spans="1:40" hidden="1" outlineLevel="2" collapsed="1" x14ac:dyDescent="0.2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7"/>
        <v>0.746</v>
      </c>
      <c r="V976" s="253">
        <f t="shared" si="277"/>
        <v>0.746</v>
      </c>
      <c r="W976" s="253">
        <f t="shared" si="277"/>
        <v>0.746</v>
      </c>
      <c r="X976" s="253">
        <f t="shared" si="277"/>
        <v>0.746</v>
      </c>
      <c r="Y976" s="253">
        <f t="shared" si="277"/>
        <v>0.746</v>
      </c>
      <c r="Z976" s="253">
        <f t="shared" si="277"/>
        <v>0.93400000000000005</v>
      </c>
      <c r="AA976" s="253">
        <f t="shared" si="277"/>
        <v>0.93400000000000005</v>
      </c>
      <c r="AB976" s="253">
        <f t="shared" si="277"/>
        <v>0.93400000000000005</v>
      </c>
      <c r="AC976" s="253">
        <f t="shared" si="277"/>
        <v>0.93400000000000005</v>
      </c>
      <c r="AD976" s="253">
        <f t="shared" si="277"/>
        <v>0.93400000000000005</v>
      </c>
      <c r="AE976" s="76"/>
      <c r="AF976" s="76"/>
      <c r="AG976" s="76"/>
      <c r="AH976" s="97">
        <v>1</v>
      </c>
      <c r="AI976" s="97">
        <v>1</v>
      </c>
      <c r="AJ976" s="73"/>
      <c r="AK976" s="57"/>
      <c r="AL976" s="45"/>
      <c r="AM976" s="45"/>
      <c r="AN976" s="45"/>
    </row>
    <row r="977" spans="1:40" hidden="1" outlineLevel="3" x14ac:dyDescent="0.25">
      <c r="A977" s="45"/>
      <c r="B977" s="54"/>
      <c r="C977" s="47">
        <f t="shared" ref="C977:C1008" si="278">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278"/>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278"/>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278"/>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278"/>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78"/>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78"/>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78"/>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78"/>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78"/>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78"/>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78"/>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78"/>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78"/>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78"/>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78"/>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78"/>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78"/>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78"/>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78"/>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78"/>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78"/>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78"/>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78"/>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78"/>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78"/>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78"/>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78"/>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78"/>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78"/>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78"/>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78"/>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ref="C1009:C1040" si="279">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79"/>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79"/>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79"/>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279"/>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79"/>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79"/>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79"/>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79"/>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79"/>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79"/>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79"/>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79"/>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79"/>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79"/>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79"/>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79"/>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79"/>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79"/>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79"/>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79"/>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79"/>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79"/>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79"/>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79"/>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79"/>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79"/>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79"/>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79"/>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79"/>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79"/>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79"/>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ref="C1041:C1048" si="280">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80"/>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80"/>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80"/>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280"/>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80"/>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80"/>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80"/>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2" x14ac:dyDescent="0.2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hidden="1" outlineLevel="2" x14ac:dyDescent="0.2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81">INDEX($K1050:$Q1050,1,U$43)</f>
        <v>0.52400000000000002</v>
      </c>
      <c r="V1050" s="253">
        <f t="shared" si="281"/>
        <v>0.52400000000000002</v>
      </c>
      <c r="W1050" s="253">
        <f t="shared" si="281"/>
        <v>0.52400000000000002</v>
      </c>
      <c r="X1050" s="253">
        <f t="shared" si="281"/>
        <v>0.52400000000000002</v>
      </c>
      <c r="Y1050" s="253">
        <f t="shared" si="281"/>
        <v>0.52400000000000002</v>
      </c>
      <c r="Z1050" s="253">
        <f t="shared" si="281"/>
        <v>0.65500000000000003</v>
      </c>
      <c r="AA1050" s="253">
        <f t="shared" si="281"/>
        <v>0.65500000000000003</v>
      </c>
      <c r="AB1050" s="253">
        <f t="shared" si="281"/>
        <v>0.65500000000000003</v>
      </c>
      <c r="AC1050" s="253">
        <f t="shared" si="281"/>
        <v>0.65500000000000003</v>
      </c>
      <c r="AD1050" s="253">
        <f t="shared" si="281"/>
        <v>0.65500000000000003</v>
      </c>
      <c r="AE1050" s="76"/>
      <c r="AF1050" s="76"/>
      <c r="AG1050" s="76"/>
      <c r="AH1050" s="97">
        <v>1</v>
      </c>
      <c r="AI1050" s="97">
        <v>1</v>
      </c>
      <c r="AJ1050" s="73"/>
      <c r="AK1050" s="57"/>
      <c r="AL1050" s="45"/>
      <c r="AM1050" s="45"/>
      <c r="AN1050" s="45"/>
    </row>
    <row r="1051" spans="1:40" hidden="1" outlineLevel="2" x14ac:dyDescent="0.2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81"/>
        <v>0.70699999999999996</v>
      </c>
      <c r="V1051" s="253">
        <f t="shared" si="281"/>
        <v>0.70699999999999996</v>
      </c>
      <c r="W1051" s="253">
        <f t="shared" si="281"/>
        <v>0.70699999999999996</v>
      </c>
      <c r="X1051" s="253">
        <f t="shared" si="281"/>
        <v>0.70699999999999996</v>
      </c>
      <c r="Y1051" s="253">
        <f t="shared" si="281"/>
        <v>0.70699999999999996</v>
      </c>
      <c r="Z1051" s="253">
        <f t="shared" si="281"/>
        <v>0.88400000000000001</v>
      </c>
      <c r="AA1051" s="253">
        <f t="shared" si="281"/>
        <v>0.88400000000000001</v>
      </c>
      <c r="AB1051" s="253">
        <f t="shared" si="281"/>
        <v>0.88400000000000001</v>
      </c>
      <c r="AC1051" s="253">
        <f t="shared" si="281"/>
        <v>0.88400000000000001</v>
      </c>
      <c r="AD1051" s="253">
        <f t="shared" si="281"/>
        <v>0.88400000000000001</v>
      </c>
      <c r="AE1051" s="76"/>
      <c r="AF1051" s="76"/>
      <c r="AG1051" s="76"/>
      <c r="AH1051" s="97">
        <v>1</v>
      </c>
      <c r="AI1051" s="97">
        <v>1</v>
      </c>
      <c r="AJ1051" s="73"/>
      <c r="AK1051" s="57"/>
      <c r="AL1051" s="45"/>
      <c r="AM1051" s="45"/>
      <c r="AN1051" s="45"/>
    </row>
    <row r="1052" spans="1:40" hidden="1" outlineLevel="2" collapsed="1" x14ac:dyDescent="0.2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81"/>
        <v>0.89100000000000001</v>
      </c>
      <c r="V1052" s="253">
        <f t="shared" si="281"/>
        <v>0.89100000000000001</v>
      </c>
      <c r="W1052" s="253">
        <f t="shared" si="281"/>
        <v>0.89100000000000001</v>
      </c>
      <c r="X1052" s="253">
        <f t="shared" si="281"/>
        <v>0.89100000000000001</v>
      </c>
      <c r="Y1052" s="253">
        <f t="shared" si="281"/>
        <v>0.89100000000000001</v>
      </c>
      <c r="Z1052" s="253">
        <f t="shared" si="281"/>
        <v>1.1140000000000001</v>
      </c>
      <c r="AA1052" s="253">
        <f t="shared" si="281"/>
        <v>1.1140000000000001</v>
      </c>
      <c r="AB1052" s="253">
        <f t="shared" si="281"/>
        <v>1.1140000000000001</v>
      </c>
      <c r="AC1052" s="253">
        <f t="shared" si="281"/>
        <v>1.1140000000000001</v>
      </c>
      <c r="AD1052" s="253">
        <f t="shared" si="281"/>
        <v>1.1140000000000001</v>
      </c>
      <c r="AE1052" s="76"/>
      <c r="AF1052" s="76"/>
      <c r="AG1052" s="76"/>
      <c r="AH1052" s="97">
        <v>1</v>
      </c>
      <c r="AI1052" s="97">
        <v>1</v>
      </c>
      <c r="AJ1052" s="73"/>
      <c r="AK1052" s="57"/>
      <c r="AL1052" s="45"/>
      <c r="AM1052" s="45"/>
      <c r="AN1052" s="45"/>
    </row>
    <row r="1053" spans="1:40" hidden="1" outlineLevel="3" x14ac:dyDescent="0.25">
      <c r="A1053" s="45"/>
      <c r="B1053" s="54"/>
      <c r="C1053" s="47">
        <f t="shared" ref="C1053:C1116" si="282">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282"/>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282"/>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282"/>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282"/>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282"/>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282"/>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282"/>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282"/>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282"/>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282"/>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282"/>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282"/>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282"/>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282"/>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282"/>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282"/>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282"/>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282"/>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282"/>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282"/>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282"/>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282"/>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282"/>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282"/>
        <v>4</v>
      </c>
      <c r="D1077" s="73"/>
      <c r="E1077" s="70"/>
      <c r="F1077" s="70" t="s">
        <v>3353</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282"/>
        <v>4</v>
      </c>
      <c r="D1078" s="73"/>
      <c r="E1078" s="70"/>
      <c r="F1078" s="70" t="s">
        <v>3354</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282"/>
        <v>4</v>
      </c>
      <c r="D1079" s="73"/>
      <c r="E1079" s="70"/>
      <c r="F1079" s="70" t="s">
        <v>3355</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282"/>
        <v>4</v>
      </c>
      <c r="D1080" s="73"/>
      <c r="E1080" s="70"/>
      <c r="F1080" s="70" t="s">
        <v>3356</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282"/>
        <v>4</v>
      </c>
      <c r="D1081" s="73"/>
      <c r="E1081" s="70"/>
      <c r="F1081" s="70" t="s">
        <v>3479</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282"/>
        <v>4</v>
      </c>
      <c r="D1082" s="73"/>
      <c r="E1082" s="70"/>
      <c r="F1082" s="70" t="s">
        <v>3480</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282"/>
        <v>4</v>
      </c>
      <c r="D1083" s="73"/>
      <c r="E1083" s="70"/>
      <c r="F1083" s="70" t="s">
        <v>3481</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282"/>
        <v>4</v>
      </c>
      <c r="D1084" s="73"/>
      <c r="E1084" s="70"/>
      <c r="F1084" s="70" t="s">
        <v>3482</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282"/>
        <v>4</v>
      </c>
      <c r="D1085" s="73"/>
      <c r="E1085" s="70"/>
      <c r="F1085" s="70" t="s">
        <v>3483</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282"/>
        <v>4</v>
      </c>
      <c r="D1086" s="73"/>
      <c r="E1086" s="70"/>
      <c r="F1086" s="70" t="s">
        <v>3484</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282"/>
        <v>4</v>
      </c>
      <c r="D1087" s="73"/>
      <c r="E1087" s="70"/>
      <c r="F1087" s="70" t="s">
        <v>3485</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282"/>
        <v>4</v>
      </c>
      <c r="D1088" s="73"/>
      <c r="E1088" s="70"/>
      <c r="F1088" s="70" t="s">
        <v>3486</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282"/>
        <v>4</v>
      </c>
      <c r="D1089" s="73"/>
      <c r="E1089" s="70"/>
      <c r="F1089" s="70" t="s">
        <v>3487</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282"/>
        <v>4</v>
      </c>
      <c r="D1090" s="73"/>
      <c r="E1090" s="70"/>
      <c r="F1090" s="70" t="s">
        <v>3488</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282"/>
        <v>4</v>
      </c>
      <c r="D1091" s="73"/>
      <c r="E1091" s="70"/>
      <c r="F1091" s="70" t="s">
        <v>3489</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282"/>
        <v>4</v>
      </c>
      <c r="D1092" s="73"/>
      <c r="E1092" s="70"/>
      <c r="F1092" s="70" t="s">
        <v>3490</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282"/>
        <v>4</v>
      </c>
      <c r="D1093" s="73"/>
      <c r="E1093" s="70"/>
      <c r="F1093" s="70" t="s">
        <v>3491</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282"/>
        <v>4</v>
      </c>
      <c r="D1094" s="73"/>
      <c r="E1094" s="70"/>
      <c r="F1094" s="70" t="s">
        <v>3492</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282"/>
        <v>4</v>
      </c>
      <c r="D1095" s="73"/>
      <c r="E1095" s="70"/>
      <c r="F1095" s="70" t="s">
        <v>3493</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282"/>
        <v>4</v>
      </c>
      <c r="D1096" s="73"/>
      <c r="E1096" s="70"/>
      <c r="F1096" s="70" t="s">
        <v>3494</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282"/>
        <v>4</v>
      </c>
      <c r="D1097" s="73"/>
      <c r="E1097" s="70"/>
      <c r="F1097" s="70" t="s">
        <v>3495</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282"/>
        <v>4</v>
      </c>
      <c r="D1098" s="73"/>
      <c r="E1098" s="70"/>
      <c r="F1098" s="70" t="s">
        <v>3496</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282"/>
        <v>4</v>
      </c>
      <c r="D1099" s="73"/>
      <c r="E1099" s="70"/>
      <c r="F1099" s="70" t="s">
        <v>3497</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282"/>
        <v>4</v>
      </c>
      <c r="D1100" s="73"/>
      <c r="E1100" s="70"/>
      <c r="F1100" s="70" t="s">
        <v>3498</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282"/>
        <v>4</v>
      </c>
      <c r="D1101" s="73"/>
      <c r="E1101" s="70"/>
      <c r="F1101" s="70" t="s">
        <v>3499</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282"/>
        <v>4</v>
      </c>
      <c r="D1102" s="73"/>
      <c r="E1102" s="70"/>
      <c r="F1102" s="70" t="s">
        <v>3500</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282"/>
        <v>4</v>
      </c>
      <c r="D1103" s="73"/>
      <c r="E1103" s="70"/>
      <c r="F1103" s="70" t="s">
        <v>3501</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282"/>
        <v>4</v>
      </c>
      <c r="D1104" s="73"/>
      <c r="E1104" s="70"/>
      <c r="F1104" s="70" t="s">
        <v>3502</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282"/>
        <v>4</v>
      </c>
      <c r="D1105" s="73"/>
      <c r="E1105" s="70"/>
      <c r="F1105" s="70" t="s">
        <v>3503</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282"/>
        <v>4</v>
      </c>
      <c r="D1106" s="73"/>
      <c r="E1106" s="70"/>
      <c r="F1106" s="70" t="s">
        <v>3504</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282"/>
        <v>4</v>
      </c>
      <c r="D1107" s="73"/>
      <c r="E1107" s="70"/>
      <c r="F1107" s="70" t="s">
        <v>3505</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282"/>
        <v>4</v>
      </c>
      <c r="D1108" s="73"/>
      <c r="E1108" s="70"/>
      <c r="F1108" s="70" t="s">
        <v>3506</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282"/>
        <v>4</v>
      </c>
      <c r="D1109" s="73"/>
      <c r="E1109" s="70"/>
      <c r="F1109" s="70" t="s">
        <v>3507</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282"/>
        <v>4</v>
      </c>
      <c r="D1110" s="73"/>
      <c r="E1110" s="70"/>
      <c r="F1110" s="70" t="s">
        <v>3508</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282"/>
        <v>4</v>
      </c>
      <c r="D1111" s="73"/>
      <c r="E1111" s="70"/>
      <c r="F1111" s="70" t="s">
        <v>3509</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282"/>
        <v>4</v>
      </c>
      <c r="D1112" s="73"/>
      <c r="E1112" s="70"/>
      <c r="F1112" s="70" t="s">
        <v>3510</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282"/>
        <v>4</v>
      </c>
      <c r="D1113" s="73"/>
      <c r="E1113" s="70"/>
      <c r="F1113" s="70" t="s">
        <v>3511</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282"/>
        <v>4</v>
      </c>
      <c r="D1114" s="73"/>
      <c r="E1114" s="70"/>
      <c r="F1114" s="70" t="s">
        <v>3512</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282"/>
        <v>4</v>
      </c>
      <c r="D1115" s="73"/>
      <c r="E1115" s="70"/>
      <c r="F1115" s="70" t="s">
        <v>3513</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282"/>
        <v>4</v>
      </c>
      <c r="D1116" s="73"/>
      <c r="E1116" s="70"/>
      <c r="F1116" s="70" t="s">
        <v>3514</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ref="C1117:C1124" si="283">INT($C$29)+3</f>
        <v>4</v>
      </c>
      <c r="D1117" s="73"/>
      <c r="E1117" s="70"/>
      <c r="F1117" s="70" t="s">
        <v>3515</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283"/>
        <v>4</v>
      </c>
      <c r="D1118" s="73"/>
      <c r="E1118" s="70"/>
      <c r="F1118" s="70" t="s">
        <v>3516</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283"/>
        <v>4</v>
      </c>
      <c r="D1119" s="73"/>
      <c r="E1119" s="70"/>
      <c r="F1119" s="70" t="s">
        <v>3517</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283"/>
        <v>4</v>
      </c>
      <c r="D1120" s="73"/>
      <c r="E1120" s="70"/>
      <c r="F1120" s="70" t="s">
        <v>3518</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283"/>
        <v>4</v>
      </c>
      <c r="D1121" s="73"/>
      <c r="E1121" s="70"/>
      <c r="F1121" s="70" t="s">
        <v>3519</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283"/>
        <v>4</v>
      </c>
      <c r="D1122" s="73"/>
      <c r="E1122" s="70"/>
      <c r="F1122" s="70" t="s">
        <v>3520</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283"/>
        <v>4</v>
      </c>
      <c r="D1123" s="73"/>
      <c r="E1123" s="70"/>
      <c r="F1123" s="70" t="s">
        <v>3521</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283"/>
        <v>4</v>
      </c>
      <c r="D1124" s="73"/>
      <c r="E1124" s="70"/>
      <c r="F1124" s="70" t="s">
        <v>3522</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2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2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84">INDEX($K1126:$Q1126,1,U$43)</f>
        <v>0.99704199999999998</v>
      </c>
      <c r="V1126" s="253">
        <f t="shared" si="284"/>
        <v>0.99704199999999998</v>
      </c>
      <c r="W1126" s="253">
        <f t="shared" si="284"/>
        <v>0.99704199999999998</v>
      </c>
      <c r="X1126" s="253">
        <f t="shared" si="284"/>
        <v>0.99704199999999998</v>
      </c>
      <c r="Y1126" s="253">
        <f t="shared" si="284"/>
        <v>0.99704199999999998</v>
      </c>
      <c r="Z1126" s="253">
        <f t="shared" si="284"/>
        <v>0.99704199999999998</v>
      </c>
      <c r="AA1126" s="253">
        <f t="shared" si="284"/>
        <v>0.99704199999999998</v>
      </c>
      <c r="AB1126" s="253">
        <f t="shared" si="284"/>
        <v>0.99704199999999998</v>
      </c>
      <c r="AC1126" s="253">
        <f t="shared" si="284"/>
        <v>0.99704199999999998</v>
      </c>
      <c r="AD1126" s="253">
        <f t="shared" si="284"/>
        <v>0.99704199999999998</v>
      </c>
      <c r="AE1126" s="76"/>
      <c r="AF1126" s="76"/>
      <c r="AG1126" s="76"/>
      <c r="AH1126" s="97">
        <v>1</v>
      </c>
      <c r="AI1126" s="97">
        <v>1</v>
      </c>
      <c r="AJ1126" s="73"/>
      <c r="AK1126" s="57"/>
      <c r="AL1126" s="45"/>
      <c r="AM1126" s="45"/>
      <c r="AN1126" s="45"/>
    </row>
    <row r="1127" spans="1:40" hidden="1" outlineLevel="2" x14ac:dyDescent="0.2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2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5">Y1128</f>
        <v>0.13739999999999999</v>
      </c>
      <c r="AA1128" s="255">
        <f t="shared" si="285"/>
        <v>0.13739999999999999</v>
      </c>
      <c r="AB1128" s="255">
        <f t="shared" si="285"/>
        <v>0.13739999999999999</v>
      </c>
      <c r="AC1128" s="255">
        <f t="shared" si="285"/>
        <v>0.13739999999999999</v>
      </c>
      <c r="AD1128" s="255">
        <f t="shared" si="285"/>
        <v>0.13739999999999999</v>
      </c>
      <c r="AE1128" s="76"/>
      <c r="AF1128" s="76"/>
      <c r="AG1128" s="76"/>
      <c r="AH1128" s="97">
        <v>1</v>
      </c>
      <c r="AI1128" s="97">
        <v>1</v>
      </c>
      <c r="AJ1128" s="73"/>
      <c r="AK1128" s="57"/>
      <c r="AL1128" s="45"/>
      <c r="AM1128" s="45"/>
      <c r="AN1128" s="45"/>
    </row>
    <row r="1129" spans="1:40" hidden="1" outlineLevel="2" x14ac:dyDescent="0.2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5"/>
        <v>0.16700000000000001</v>
      </c>
      <c r="AA1129" s="255">
        <f t="shared" si="285"/>
        <v>0.16700000000000001</v>
      </c>
      <c r="AB1129" s="255">
        <f t="shared" si="285"/>
        <v>0.16700000000000001</v>
      </c>
      <c r="AC1129" s="255">
        <f t="shared" si="285"/>
        <v>0.16700000000000001</v>
      </c>
      <c r="AD1129" s="255">
        <f t="shared" si="285"/>
        <v>0.16700000000000001</v>
      </c>
      <c r="AE1129" s="76"/>
      <c r="AF1129" s="76"/>
      <c r="AG1129" s="76"/>
      <c r="AH1129" s="97">
        <v>1</v>
      </c>
      <c r="AI1129" s="97">
        <v>1</v>
      </c>
      <c r="AJ1129" s="73"/>
      <c r="AK1129" s="57"/>
      <c r="AL1129" s="45"/>
      <c r="AM1129" s="45"/>
      <c r="AN1129" s="45"/>
    </row>
    <row r="1130" spans="1:40" hidden="1" outlineLevel="2" x14ac:dyDescent="0.2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5"/>
        <v>0.08</v>
      </c>
      <c r="AA1130" s="255">
        <f t="shared" si="285"/>
        <v>0.08</v>
      </c>
      <c r="AB1130" s="255">
        <f t="shared" si="285"/>
        <v>0.08</v>
      </c>
      <c r="AC1130" s="255">
        <f t="shared" si="285"/>
        <v>0.08</v>
      </c>
      <c r="AD1130" s="255">
        <f t="shared" si="285"/>
        <v>0.08</v>
      </c>
      <c r="AE1130" s="76"/>
      <c r="AF1130" s="76"/>
      <c r="AG1130" s="76"/>
      <c r="AH1130" s="97">
        <v>1</v>
      </c>
      <c r="AI1130" s="97">
        <v>1</v>
      </c>
      <c r="AJ1130" s="73"/>
      <c r="AK1130" s="57"/>
      <c r="AL1130" s="45"/>
      <c r="AM1130" s="45"/>
      <c r="AN1130" s="45"/>
    </row>
    <row r="1131" spans="1:40" outlineLevel="1" collapsed="1" x14ac:dyDescent="0.2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25">
      <c r="A1132" s="45"/>
      <c r="B1132" s="54"/>
      <c r="C1132" s="47">
        <f t="shared" ref="C1132:C1139" si="286">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286"/>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286"/>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286"/>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286"/>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286"/>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286"/>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286"/>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ref="C1140:C1171" si="287">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287"/>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287"/>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287"/>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287"/>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287"/>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287"/>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287"/>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287"/>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287"/>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287"/>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287"/>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287"/>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287"/>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287"/>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287"/>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287"/>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287"/>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287"/>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287"/>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287"/>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287"/>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287"/>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287"/>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287"/>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287"/>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287"/>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287"/>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287"/>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287"/>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287"/>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287"/>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ref="C1172:C1203" si="288">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288"/>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288"/>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288"/>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288"/>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288"/>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288"/>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288"/>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288"/>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288"/>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288"/>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288"/>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288"/>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288"/>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288"/>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288"/>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288"/>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288"/>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288"/>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288"/>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288"/>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288"/>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288"/>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288"/>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288"/>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288"/>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288"/>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288"/>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288"/>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288"/>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288"/>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288"/>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ref="C1204:C1227" si="289">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289"/>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289"/>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289"/>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289"/>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289"/>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289"/>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289"/>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289"/>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289"/>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289"/>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289"/>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289"/>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289"/>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289"/>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289"/>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289"/>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289"/>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289"/>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289"/>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289"/>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289"/>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289"/>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289"/>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2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2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90">U1230</f>
        <v>9.9999999999999985E-3</v>
      </c>
      <c r="V1229" s="253">
        <f t="shared" si="290"/>
        <v>9.9999999999999985E-3</v>
      </c>
      <c r="W1229" s="253">
        <f t="shared" si="290"/>
        <v>9.9999999999999985E-3</v>
      </c>
      <c r="X1229" s="253">
        <f t="shared" si="290"/>
        <v>9.9999999999999985E-3</v>
      </c>
      <c r="Y1229" s="253">
        <f t="shared" si="290"/>
        <v>9.9999999999999985E-3</v>
      </c>
      <c r="Z1229" s="253">
        <f t="shared" si="290"/>
        <v>9.9999999999999985E-3</v>
      </c>
      <c r="AA1229" s="253">
        <f t="shared" si="290"/>
        <v>9.9999999999999985E-3</v>
      </c>
      <c r="AB1229" s="253">
        <f t="shared" si="290"/>
        <v>9.9999999999999985E-3</v>
      </c>
      <c r="AC1229" s="253">
        <f t="shared" si="290"/>
        <v>9.9999999999999985E-3</v>
      </c>
      <c r="AD1229" s="253">
        <f t="shared" si="290"/>
        <v>9.9999999999999985E-3</v>
      </c>
      <c r="AE1229" s="76"/>
      <c r="AF1229" s="76"/>
      <c r="AG1229" s="76"/>
      <c r="AH1229" s="253">
        <f>AH1230</f>
        <v>1</v>
      </c>
      <c r="AI1229" s="253">
        <f>AI1230</f>
        <v>1</v>
      </c>
      <c r="AJ1229" s="73"/>
      <c r="AK1229" s="57"/>
      <c r="AL1229" s="45"/>
      <c r="AM1229" s="45"/>
      <c r="AN1229" s="45"/>
    </row>
    <row r="1230" spans="1:40" hidden="1" outlineLevel="2" x14ac:dyDescent="0.2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91">Y1230</f>
        <v>9.9999999999999985E-3</v>
      </c>
      <c r="AA1230" s="255">
        <f t="shared" si="291"/>
        <v>9.9999999999999985E-3</v>
      </c>
      <c r="AB1230" s="255">
        <f t="shared" si="291"/>
        <v>9.9999999999999985E-3</v>
      </c>
      <c r="AC1230" s="255">
        <f t="shared" si="291"/>
        <v>9.9999999999999985E-3</v>
      </c>
      <c r="AD1230" s="255">
        <f t="shared" si="291"/>
        <v>9.9999999999999985E-3</v>
      </c>
      <c r="AE1230" s="76"/>
      <c r="AF1230" s="76"/>
      <c r="AG1230" s="76"/>
      <c r="AH1230" s="97">
        <v>1</v>
      </c>
      <c r="AI1230" s="97">
        <v>1</v>
      </c>
      <c r="AJ1230" s="73"/>
      <c r="AK1230" s="57"/>
      <c r="AL1230" s="45"/>
      <c r="AM1230" s="45"/>
      <c r="AN1230" s="45"/>
    </row>
    <row r="1231" spans="1:40" hidden="1" outlineLevel="2" collapsed="1" x14ac:dyDescent="0.2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91"/>
        <v>9.0000000000000011E-3</v>
      </c>
      <c r="AA1231" s="255">
        <f t="shared" si="291"/>
        <v>9.0000000000000011E-3</v>
      </c>
      <c r="AB1231" s="255">
        <f t="shared" si="291"/>
        <v>9.0000000000000011E-3</v>
      </c>
      <c r="AC1231" s="255">
        <f t="shared" si="291"/>
        <v>9.0000000000000011E-3</v>
      </c>
      <c r="AD1231" s="255">
        <f t="shared" si="291"/>
        <v>9.0000000000000011E-3</v>
      </c>
      <c r="AE1231" s="76"/>
      <c r="AF1231" s="76"/>
      <c r="AG1231" s="76"/>
      <c r="AH1231" s="97">
        <v>1</v>
      </c>
      <c r="AI1231" s="97">
        <v>1</v>
      </c>
      <c r="AJ1231" s="73"/>
      <c r="AK1231" s="57"/>
      <c r="AL1231" s="45"/>
      <c r="AM1231" s="45"/>
      <c r="AN1231" s="45"/>
    </row>
    <row r="1232" spans="1:40" hidden="1" outlineLevel="3" x14ac:dyDescent="0.2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2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2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2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92">Y1235</f>
        <v>0</v>
      </c>
      <c r="AA1235" s="255">
        <f t="shared" si="292"/>
        <v>0</v>
      </c>
      <c r="AB1235" s="255">
        <f t="shared" si="292"/>
        <v>0</v>
      </c>
      <c r="AC1235" s="255">
        <f t="shared" si="292"/>
        <v>0</v>
      </c>
      <c r="AD1235" s="255">
        <f t="shared" si="292"/>
        <v>0</v>
      </c>
      <c r="AE1235" s="76"/>
      <c r="AF1235" s="97" t="s">
        <v>2169</v>
      </c>
      <c r="AG1235" s="76"/>
      <c r="AH1235" s="97">
        <v>1</v>
      </c>
      <c r="AI1235" s="97">
        <v>1</v>
      </c>
      <c r="AJ1235" s="73"/>
      <c r="AK1235" s="57"/>
      <c r="AL1235" s="45"/>
      <c r="AM1235" s="45"/>
      <c r="AN1235" s="45"/>
    </row>
    <row r="1236" spans="1:40" hidden="1" outlineLevel="2" x14ac:dyDescent="0.2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92"/>
        <v>0</v>
      </c>
      <c r="AA1236" s="255">
        <f t="shared" si="292"/>
        <v>0</v>
      </c>
      <c r="AB1236" s="255">
        <f t="shared" si="292"/>
        <v>0</v>
      </c>
      <c r="AC1236" s="255">
        <f t="shared" si="292"/>
        <v>0</v>
      </c>
      <c r="AD1236" s="255">
        <f t="shared" si="292"/>
        <v>0</v>
      </c>
      <c r="AE1236" s="76"/>
      <c r="AF1236" s="97" t="s">
        <v>1857</v>
      </c>
      <c r="AG1236" s="76"/>
      <c r="AH1236" s="97">
        <v>1</v>
      </c>
      <c r="AI1236" s="97">
        <v>1</v>
      </c>
      <c r="AJ1236" s="73"/>
      <c r="AK1236" s="57"/>
      <c r="AL1236" s="45"/>
      <c r="AM1236" s="45"/>
      <c r="AN1236" s="45"/>
    </row>
    <row r="1237" spans="1:40" hidden="1" outlineLevel="2" x14ac:dyDescent="0.2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93">U1238</f>
        <v>-1.9E-2</v>
      </c>
      <c r="V1237" s="253">
        <f t="shared" si="293"/>
        <v>-1.9E-2</v>
      </c>
      <c r="W1237" s="253">
        <f t="shared" si="293"/>
        <v>-1.9E-2</v>
      </c>
      <c r="X1237" s="253">
        <f t="shared" si="293"/>
        <v>-1.9E-2</v>
      </c>
      <c r="Y1237" s="253">
        <f t="shared" si="293"/>
        <v>-1.9E-2</v>
      </c>
      <c r="Z1237" s="253">
        <f t="shared" si="293"/>
        <v>-1.9E-2</v>
      </c>
      <c r="AA1237" s="253">
        <f t="shared" si="293"/>
        <v>-1.9E-2</v>
      </c>
      <c r="AB1237" s="253">
        <f t="shared" si="293"/>
        <v>-1.9E-2</v>
      </c>
      <c r="AC1237" s="253">
        <f t="shared" si="293"/>
        <v>-1.9E-2</v>
      </c>
      <c r="AD1237" s="253">
        <f t="shared" si="293"/>
        <v>-1.9E-2</v>
      </c>
      <c r="AE1237" s="76"/>
      <c r="AF1237" s="76"/>
      <c r="AG1237" s="76"/>
      <c r="AH1237" s="253">
        <f>AH1238</f>
        <v>1</v>
      </c>
      <c r="AI1237" s="253">
        <f>AI1238</f>
        <v>1</v>
      </c>
      <c r="AJ1237" s="73"/>
      <c r="AK1237" s="57"/>
      <c r="AL1237" s="45"/>
      <c r="AM1237" s="45"/>
      <c r="AN1237" s="45"/>
    </row>
    <row r="1238" spans="1:40" hidden="1" outlineLevel="2" x14ac:dyDescent="0.2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94">Y1238</f>
        <v>-1.9E-2</v>
      </c>
      <c r="AA1238" s="255">
        <f t="shared" si="294"/>
        <v>-1.9E-2</v>
      </c>
      <c r="AB1238" s="255">
        <f t="shared" si="294"/>
        <v>-1.9E-2</v>
      </c>
      <c r="AC1238" s="255">
        <f t="shared" si="294"/>
        <v>-1.9E-2</v>
      </c>
      <c r="AD1238" s="255">
        <f t="shared" si="294"/>
        <v>-1.9E-2</v>
      </c>
      <c r="AE1238" s="76"/>
      <c r="AF1238" s="76"/>
      <c r="AG1238" s="76"/>
      <c r="AH1238" s="97">
        <v>1</v>
      </c>
      <c r="AI1238" s="97">
        <v>1</v>
      </c>
      <c r="AJ1238" s="73"/>
      <c r="AK1238" s="57"/>
      <c r="AL1238" s="45"/>
      <c r="AM1238" s="45"/>
      <c r="AN1238" s="45"/>
    </row>
    <row r="1239" spans="1:40" hidden="1" outlineLevel="2" collapsed="1" x14ac:dyDescent="0.2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94"/>
        <v>-3.1E-2</v>
      </c>
      <c r="AA1239" s="255">
        <f t="shared" si="294"/>
        <v>-3.1E-2</v>
      </c>
      <c r="AB1239" s="255">
        <f t="shared" si="294"/>
        <v>-3.1E-2</v>
      </c>
      <c r="AC1239" s="255">
        <f t="shared" si="294"/>
        <v>-3.1E-2</v>
      </c>
      <c r="AD1239" s="255">
        <f t="shared" si="294"/>
        <v>-3.1E-2</v>
      </c>
      <c r="AE1239" s="76"/>
      <c r="AF1239" s="76"/>
      <c r="AG1239" s="76"/>
      <c r="AH1239" s="97">
        <v>1</v>
      </c>
      <c r="AI1239" s="97">
        <v>1</v>
      </c>
      <c r="AJ1239" s="73"/>
      <c r="AK1239" s="57"/>
      <c r="AL1239" s="45"/>
      <c r="AM1239" s="45"/>
      <c r="AN1239" s="45"/>
    </row>
    <row r="1240" spans="1:40" hidden="1" outlineLevel="3" x14ac:dyDescent="0.2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2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2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2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25">
      <c r="A1244" s="45"/>
      <c r="B1244" s="54"/>
      <c r="C1244" s="47">
        <f t="shared" ref="C1244:C1259" si="295">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295"/>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295"/>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295"/>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295"/>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295"/>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295"/>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295"/>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295"/>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295"/>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295"/>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295"/>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295"/>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295"/>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295"/>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f t="shared" si="295"/>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2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2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6">U1262</f>
        <v>8.5699999999999995E-3</v>
      </c>
      <c r="V1261" s="253">
        <f t="shared" si="296"/>
        <v>8.5699999999999995E-3</v>
      </c>
      <c r="W1261" s="253">
        <f t="shared" si="296"/>
        <v>8.5699999999999995E-3</v>
      </c>
      <c r="X1261" s="253">
        <f t="shared" si="296"/>
        <v>8.5699999999999995E-3</v>
      </c>
      <c r="Y1261" s="253">
        <f t="shared" si="296"/>
        <v>8.5699999999999995E-3</v>
      </c>
      <c r="Z1261" s="253">
        <f t="shared" si="296"/>
        <v>2.7799999999999999E-3</v>
      </c>
      <c r="AA1261" s="253">
        <f t="shared" si="296"/>
        <v>2.7799999999999999E-3</v>
      </c>
      <c r="AB1261" s="253">
        <f t="shared" si="296"/>
        <v>2.7799999999999999E-3</v>
      </c>
      <c r="AC1261" s="253">
        <f t="shared" si="296"/>
        <v>2.7799999999999999E-3</v>
      </c>
      <c r="AD1261" s="253">
        <f t="shared" si="296"/>
        <v>2.7799999999999999E-3</v>
      </c>
      <c r="AE1261" s="76"/>
      <c r="AF1261" s="97" t="s">
        <v>2182</v>
      </c>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7">AA1262</f>
        <v>2.7799999999999999E-3</v>
      </c>
      <c r="AC1262" s="404">
        <f t="shared" si="297"/>
        <v>2.7799999999999999E-3</v>
      </c>
      <c r="AD1262" s="404">
        <f t="shared" si="297"/>
        <v>2.7799999999999999E-3</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7"/>
        <v>1.6129999999999999E-2</v>
      </c>
      <c r="AC1263" s="404">
        <f t="shared" si="297"/>
        <v>1.6129999999999999E-2</v>
      </c>
      <c r="AD1263" s="404">
        <f t="shared" si="297"/>
        <v>1.6129999999999999E-2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25">
      <c r="A1267" s="45"/>
      <c r="B1267" s="54"/>
      <c r="C1267" s="47">
        <f t="shared" ref="C1267:C1283" si="298">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9">AA1267</f>
        <v>4.2411000000000003</v>
      </c>
      <c r="AC1267" s="415">
        <f t="shared" si="299"/>
        <v>4.2411000000000003</v>
      </c>
      <c r="AD1267" s="415">
        <f t="shared" si="299"/>
        <v>4.2411000000000003</v>
      </c>
      <c r="AE1267" s="184"/>
      <c r="AF1267" s="184"/>
      <c r="AG1267" s="184"/>
      <c r="AH1267" s="413">
        <v>1</v>
      </c>
      <c r="AI1267" s="413">
        <v>1</v>
      </c>
      <c r="AJ1267" s="73"/>
      <c r="AK1267" s="57"/>
      <c r="AL1267" s="45"/>
      <c r="AM1267" s="45"/>
      <c r="AN1267" s="45"/>
    </row>
    <row r="1268" spans="1:40" hidden="1" outlineLevel="2" x14ac:dyDescent="0.25">
      <c r="A1268" s="45"/>
      <c r="B1268" s="54"/>
      <c r="C1268" s="47">
        <f t="shared" si="298"/>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9"/>
        <v>0.13919999999999999</v>
      </c>
      <c r="AC1268" s="405">
        <f t="shared" si="299"/>
        <v>0.13919999999999999</v>
      </c>
      <c r="AD1268" s="405">
        <f t="shared" si="299"/>
        <v>0.13919999999999999</v>
      </c>
      <c r="AE1268" s="105"/>
      <c r="AF1268" s="119" t="s">
        <v>1283</v>
      </c>
      <c r="AG1268" s="105"/>
      <c r="AH1268" s="119">
        <v>1</v>
      </c>
      <c r="AI1268" s="119">
        <v>1</v>
      </c>
      <c r="AJ1268" s="73"/>
      <c r="AK1268" s="57"/>
      <c r="AL1268" s="45"/>
      <c r="AM1268" s="45"/>
      <c r="AN1268" s="45"/>
    </row>
    <row r="1269" spans="1:40" hidden="1" outlineLevel="2" x14ac:dyDescent="0.25">
      <c r="A1269" s="45"/>
      <c r="B1269" s="54"/>
      <c r="C1269" s="47">
        <f t="shared" si="298"/>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300">U1270</f>
        <v>0.03</v>
      </c>
      <c r="V1269" s="253">
        <f t="shared" si="300"/>
        <v>0.03</v>
      </c>
      <c r="W1269" s="253">
        <f t="shared" si="300"/>
        <v>0.03</v>
      </c>
      <c r="X1269" s="253">
        <f t="shared" si="300"/>
        <v>0.03</v>
      </c>
      <c r="Y1269" s="253">
        <f t="shared" si="300"/>
        <v>0.03</v>
      </c>
      <c r="Z1269" s="253">
        <f t="shared" si="300"/>
        <v>7.0000000000000062E-3</v>
      </c>
      <c r="AA1269" s="253">
        <f t="shared" si="300"/>
        <v>7.0000000000000062E-3</v>
      </c>
      <c r="AB1269" s="253">
        <f t="shared" si="300"/>
        <v>7.0000000000000062E-3</v>
      </c>
      <c r="AC1269" s="253">
        <f t="shared" si="300"/>
        <v>7.0000000000000062E-3</v>
      </c>
      <c r="AD1269" s="253">
        <f t="shared" si="300"/>
        <v>7.0000000000000062E-3</v>
      </c>
      <c r="AE1269" s="76"/>
      <c r="AF1269" s="97" t="s">
        <v>2182</v>
      </c>
      <c r="AG1269" s="76"/>
      <c r="AH1269" s="253">
        <f>AH1270</f>
        <v>1</v>
      </c>
      <c r="AI1269" s="253">
        <f>AI1270</f>
        <v>1</v>
      </c>
      <c r="AJ1269" s="73"/>
      <c r="AK1269" s="57"/>
      <c r="AL1269" s="45"/>
      <c r="AM1269" s="45"/>
      <c r="AN1269" s="45"/>
    </row>
    <row r="1270" spans="1:40" hidden="1" outlineLevel="2" x14ac:dyDescent="0.25">
      <c r="A1270" s="45"/>
      <c r="B1270" s="54"/>
      <c r="C1270" s="47">
        <f t="shared" si="298"/>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301">AA1270</f>
        <v>7.0000000000000062E-3</v>
      </c>
      <c r="AA1270" s="97">
        <f>0.1462-AA$1268</f>
        <v>7.0000000000000062E-3</v>
      </c>
      <c r="AB1270" s="255">
        <f t="shared" ref="AB1270:AD1276" si="302">AA1270</f>
        <v>7.0000000000000062E-3</v>
      </c>
      <c r="AC1270" s="255">
        <f t="shared" si="302"/>
        <v>7.0000000000000062E-3</v>
      </c>
      <c r="AD1270" s="255">
        <f t="shared" si="302"/>
        <v>7.0000000000000062E-3</v>
      </c>
      <c r="AE1270" s="76"/>
      <c r="AF1270" s="76"/>
      <c r="AG1270" s="76"/>
      <c r="AH1270" s="97">
        <v>1</v>
      </c>
      <c r="AI1270" s="97">
        <v>1</v>
      </c>
      <c r="AJ1270" s="73"/>
      <c r="AK1270" s="57"/>
      <c r="AL1270" s="45"/>
      <c r="AM1270" s="45"/>
      <c r="AN1270" s="45"/>
    </row>
    <row r="1271" spans="1:40" hidden="1" outlineLevel="2" x14ac:dyDescent="0.25">
      <c r="A1271" s="45"/>
      <c r="B1271" s="54"/>
      <c r="C1271" s="47">
        <f t="shared" si="298"/>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301"/>
        <v>-3.0299999999999994E-2</v>
      </c>
      <c r="AA1271" s="97">
        <f>0.1089-AA$1268</f>
        <v>-3.0299999999999994E-2</v>
      </c>
      <c r="AB1271" s="255">
        <f t="shared" si="302"/>
        <v>-3.0299999999999994E-2</v>
      </c>
      <c r="AC1271" s="255">
        <f t="shared" si="302"/>
        <v>-3.0299999999999994E-2</v>
      </c>
      <c r="AD1271" s="255">
        <f t="shared" si="302"/>
        <v>-3.0299999999999994E-2</v>
      </c>
      <c r="AE1271" s="76"/>
      <c r="AF1271" s="76"/>
      <c r="AG1271" s="76"/>
      <c r="AH1271" s="97">
        <v>1</v>
      </c>
      <c r="AI1271" s="97">
        <v>1</v>
      </c>
      <c r="AJ1271" s="73"/>
      <c r="AK1271" s="57"/>
      <c r="AL1271" s="45"/>
      <c r="AM1271" s="45"/>
      <c r="AN1271" s="45"/>
    </row>
    <row r="1272" spans="1:40" hidden="1" outlineLevel="2" x14ac:dyDescent="0.25">
      <c r="A1272" s="45"/>
      <c r="B1272" s="54"/>
      <c r="C1272" s="47">
        <f t="shared" si="298"/>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301"/>
        <v>-0.13919999999999999</v>
      </c>
      <c r="AA1272" s="97">
        <f>0-AA$1268</f>
        <v>-0.13919999999999999</v>
      </c>
      <c r="AB1272" s="255">
        <f t="shared" si="302"/>
        <v>-0.13919999999999999</v>
      </c>
      <c r="AC1272" s="255">
        <f t="shared" si="302"/>
        <v>-0.13919999999999999</v>
      </c>
      <c r="AD1272" s="255">
        <f t="shared" si="302"/>
        <v>-0.13919999999999999</v>
      </c>
      <c r="AE1272" s="76"/>
      <c r="AF1272" s="76"/>
      <c r="AG1272" s="76"/>
      <c r="AH1272" s="97">
        <v>1</v>
      </c>
      <c r="AI1272" s="97">
        <v>1</v>
      </c>
      <c r="AJ1272" s="73"/>
      <c r="AK1272" s="57"/>
      <c r="AL1272" s="45"/>
      <c r="AM1272" s="45"/>
      <c r="AN1272" s="45"/>
    </row>
    <row r="1273" spans="1:40" hidden="1" outlineLevel="2" x14ac:dyDescent="0.25">
      <c r="A1273" s="45"/>
      <c r="B1273" s="54"/>
      <c r="C1273" s="47">
        <f t="shared" si="298"/>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301"/>
        <v>0</v>
      </c>
      <c r="AA1273" s="76">
        <v>0</v>
      </c>
      <c r="AB1273" s="255">
        <f t="shared" si="302"/>
        <v>0</v>
      </c>
      <c r="AC1273" s="255">
        <f t="shared" si="302"/>
        <v>0</v>
      </c>
      <c r="AD1273" s="255">
        <f t="shared" si="302"/>
        <v>0</v>
      </c>
      <c r="AE1273" s="76"/>
      <c r="AF1273" s="76"/>
      <c r="AG1273" s="76"/>
      <c r="AH1273" s="97">
        <v>1</v>
      </c>
      <c r="AI1273" s="97">
        <v>1</v>
      </c>
      <c r="AJ1273" s="73"/>
      <c r="AK1273" s="57"/>
      <c r="AL1273" s="45"/>
      <c r="AM1273" s="45"/>
      <c r="AN1273" s="45"/>
    </row>
    <row r="1274" spans="1:40" hidden="1" outlineLevel="2" x14ac:dyDescent="0.25">
      <c r="A1274" s="45"/>
      <c r="B1274" s="54"/>
      <c r="C1274" s="47">
        <f t="shared" si="298"/>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301"/>
        <v>0</v>
      </c>
      <c r="AA1274" s="76">
        <v>0</v>
      </c>
      <c r="AB1274" s="255">
        <f t="shared" si="302"/>
        <v>0</v>
      </c>
      <c r="AC1274" s="255">
        <f t="shared" si="302"/>
        <v>0</v>
      </c>
      <c r="AD1274" s="255">
        <f t="shared" si="302"/>
        <v>0</v>
      </c>
      <c r="AE1274" s="76"/>
      <c r="AF1274" s="76"/>
      <c r="AG1274" s="76"/>
      <c r="AH1274" s="97">
        <v>1</v>
      </c>
      <c r="AI1274" s="97">
        <v>1</v>
      </c>
      <c r="AJ1274" s="73"/>
      <c r="AK1274" s="57"/>
      <c r="AL1274" s="45"/>
      <c r="AM1274" s="45"/>
      <c r="AN1274" s="45"/>
    </row>
    <row r="1275" spans="1:40" hidden="1" outlineLevel="2" x14ac:dyDescent="0.25">
      <c r="A1275" s="45"/>
      <c r="B1275" s="54"/>
      <c r="C1275" s="47">
        <f t="shared" si="298"/>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301"/>
        <v>24.748000000000001</v>
      </c>
      <c r="AA1275" s="97">
        <f>27.01-0.2262*10</f>
        <v>24.748000000000001</v>
      </c>
      <c r="AB1275" s="255">
        <f t="shared" si="302"/>
        <v>24.748000000000001</v>
      </c>
      <c r="AC1275" s="255">
        <f t="shared" si="302"/>
        <v>24.748000000000001</v>
      </c>
      <c r="AD1275" s="255">
        <f t="shared" si="302"/>
        <v>24.748000000000001</v>
      </c>
      <c r="AE1275" s="76"/>
      <c r="AF1275" s="76"/>
      <c r="AG1275" s="76"/>
      <c r="AH1275" s="97">
        <v>1</v>
      </c>
      <c r="AI1275" s="97">
        <v>1</v>
      </c>
      <c r="AJ1275" s="73"/>
      <c r="AK1275" s="57"/>
      <c r="AL1275" s="45"/>
      <c r="AM1275" s="45"/>
      <c r="AN1275" s="45"/>
    </row>
    <row r="1276" spans="1:40" hidden="1" outlineLevel="2" x14ac:dyDescent="0.25">
      <c r="A1276" s="45"/>
      <c r="B1276" s="54"/>
      <c r="C1276" s="47">
        <f t="shared" si="298"/>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301"/>
        <v>2.0499999999999997E-3</v>
      </c>
      <c r="AA1276" s="97">
        <f>2.05/1000</f>
        <v>2.0499999999999997E-3</v>
      </c>
      <c r="AB1276" s="255">
        <f t="shared" si="302"/>
        <v>2.0499999999999997E-3</v>
      </c>
      <c r="AC1276" s="255">
        <f t="shared" si="302"/>
        <v>2.0499999999999997E-3</v>
      </c>
      <c r="AD1276" s="255">
        <f t="shared" si="302"/>
        <v>2.0499999999999997E-3</v>
      </c>
      <c r="AE1276" s="76"/>
      <c r="AF1276" s="97" t="s">
        <v>1290</v>
      </c>
      <c r="AG1276" s="76"/>
      <c r="AH1276" s="97">
        <v>1</v>
      </c>
      <c r="AI1276" s="97">
        <v>1</v>
      </c>
      <c r="AJ1276" s="73"/>
      <c r="AK1276" s="57"/>
      <c r="AL1276" s="45"/>
      <c r="AM1276" s="45"/>
      <c r="AN1276" s="45"/>
    </row>
    <row r="1277" spans="1:40" hidden="1" outlineLevel="2" x14ac:dyDescent="0.25">
      <c r="A1277" s="45"/>
      <c r="B1277" s="54"/>
      <c r="C1277" s="47">
        <f t="shared" si="298"/>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303">U1278</f>
        <v>-5.9999999999999724E-5</v>
      </c>
      <c r="V1277" s="253">
        <f t="shared" si="303"/>
        <v>-5.9999999999999724E-5</v>
      </c>
      <c r="W1277" s="253">
        <f t="shared" si="303"/>
        <v>-5.9999999999999724E-5</v>
      </c>
      <c r="X1277" s="253">
        <f t="shared" si="303"/>
        <v>-5.9999999999999724E-5</v>
      </c>
      <c r="Y1277" s="253">
        <f t="shared" si="303"/>
        <v>-5.9999999999999724E-5</v>
      </c>
      <c r="Z1277" s="253">
        <f t="shared" si="303"/>
        <v>-5.9999999999999724E-5</v>
      </c>
      <c r="AA1277" s="253">
        <f t="shared" si="303"/>
        <v>-5.9999999999999724E-5</v>
      </c>
      <c r="AB1277" s="253">
        <f t="shared" si="303"/>
        <v>-5.9999999999999724E-5</v>
      </c>
      <c r="AC1277" s="253">
        <f t="shared" si="303"/>
        <v>-5.9999999999999724E-5</v>
      </c>
      <c r="AD1277" s="253">
        <f t="shared" si="303"/>
        <v>-5.9999999999999724E-5</v>
      </c>
      <c r="AE1277" s="76"/>
      <c r="AF1277" s="76"/>
      <c r="AG1277" s="76"/>
      <c r="AH1277" s="253">
        <f>AH1278</f>
        <v>1</v>
      </c>
      <c r="AI1277" s="253">
        <f>AI1278</f>
        <v>1</v>
      </c>
      <c r="AJ1277" s="73"/>
      <c r="AK1277" s="57"/>
      <c r="AL1277" s="45"/>
      <c r="AM1277" s="45"/>
      <c r="AN1277" s="45"/>
    </row>
    <row r="1278" spans="1:40" hidden="1" outlineLevel="2" x14ac:dyDescent="0.25">
      <c r="A1278" s="45"/>
      <c r="B1278" s="54"/>
      <c r="C1278" s="47">
        <f t="shared" si="298"/>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304">AA1278</f>
        <v>-5.9999999999999724E-5</v>
      </c>
      <c r="AA1278" s="97">
        <f>1.99/1000-AA$1276</f>
        <v>-5.9999999999999724E-5</v>
      </c>
      <c r="AB1278" s="255">
        <f t="shared" ref="AB1278:AD1283" si="305">AA1278</f>
        <v>-5.9999999999999724E-5</v>
      </c>
      <c r="AC1278" s="255">
        <f t="shared" si="305"/>
        <v>-5.9999999999999724E-5</v>
      </c>
      <c r="AD1278" s="255">
        <f t="shared" si="305"/>
        <v>-5.9999999999999724E-5</v>
      </c>
      <c r="AE1278" s="76"/>
      <c r="AF1278" s="76"/>
      <c r="AG1278" s="76"/>
      <c r="AH1278" s="97">
        <v>1</v>
      </c>
      <c r="AI1278" s="97">
        <v>1</v>
      </c>
      <c r="AJ1278" s="73"/>
      <c r="AK1278" s="57"/>
      <c r="AL1278" s="45"/>
      <c r="AM1278" s="45"/>
      <c r="AN1278" s="45"/>
    </row>
    <row r="1279" spans="1:40" hidden="1" outlineLevel="2" x14ac:dyDescent="0.25">
      <c r="A1279" s="45"/>
      <c r="B1279" s="54"/>
      <c r="C1279" s="47">
        <f t="shared" si="298"/>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304"/>
        <v>-6.4999999999999975E-4</v>
      </c>
      <c r="AA1279" s="97">
        <f>1.4/1000-AA$1276</f>
        <v>-6.4999999999999975E-4</v>
      </c>
      <c r="AB1279" s="255">
        <f t="shared" si="305"/>
        <v>-6.4999999999999975E-4</v>
      </c>
      <c r="AC1279" s="255">
        <f t="shared" si="305"/>
        <v>-6.4999999999999975E-4</v>
      </c>
      <c r="AD1279" s="255">
        <f t="shared" si="305"/>
        <v>-6.4999999999999975E-4</v>
      </c>
      <c r="AE1279" s="76"/>
      <c r="AF1279" s="76"/>
      <c r="AG1279" s="76"/>
      <c r="AH1279" s="97">
        <v>1</v>
      </c>
      <c r="AI1279" s="97">
        <v>1</v>
      </c>
      <c r="AJ1279" s="73"/>
      <c r="AK1279" s="57"/>
      <c r="AL1279" s="45"/>
      <c r="AM1279" s="45"/>
      <c r="AN1279" s="45"/>
    </row>
    <row r="1280" spans="1:40" hidden="1" outlineLevel="2" x14ac:dyDescent="0.25">
      <c r="A1280" s="45"/>
      <c r="B1280" s="54"/>
      <c r="C1280" s="47">
        <f t="shared" si="298"/>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304"/>
        <v>-2.0499999999999997E-3</v>
      </c>
      <c r="AA1280" s="97">
        <f>0-AA$1276</f>
        <v>-2.0499999999999997E-3</v>
      </c>
      <c r="AB1280" s="255">
        <f t="shared" si="305"/>
        <v>-2.0499999999999997E-3</v>
      </c>
      <c r="AC1280" s="255">
        <f t="shared" si="305"/>
        <v>-2.0499999999999997E-3</v>
      </c>
      <c r="AD1280" s="255">
        <f t="shared" si="305"/>
        <v>-2.0499999999999997E-3</v>
      </c>
      <c r="AE1280" s="76"/>
      <c r="AF1280" s="76"/>
      <c r="AG1280" s="76"/>
      <c r="AH1280" s="97">
        <v>1</v>
      </c>
      <c r="AI1280" s="97">
        <v>1</v>
      </c>
      <c r="AJ1280" s="73"/>
      <c r="AK1280" s="57"/>
      <c r="AL1280" s="45"/>
      <c r="AM1280" s="45"/>
      <c r="AN1280" s="45"/>
    </row>
    <row r="1281" spans="1:40" hidden="1" outlineLevel="2" x14ac:dyDescent="0.25">
      <c r="A1281" s="45"/>
      <c r="B1281" s="54"/>
      <c r="C1281" s="47">
        <f t="shared" si="298"/>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304"/>
        <v>1.02E-4</v>
      </c>
      <c r="AA1281" s="97">
        <f>0.102/1000</f>
        <v>1.02E-4</v>
      </c>
      <c r="AB1281" s="255">
        <f t="shared" si="305"/>
        <v>1.02E-4</v>
      </c>
      <c r="AC1281" s="255">
        <f t="shared" si="305"/>
        <v>1.02E-4</v>
      </c>
      <c r="AD1281" s="255">
        <f t="shared" si="305"/>
        <v>1.02E-4</v>
      </c>
      <c r="AE1281" s="76"/>
      <c r="AF1281" s="76"/>
      <c r="AG1281" s="76"/>
      <c r="AH1281" s="97">
        <v>1</v>
      </c>
      <c r="AI1281" s="97">
        <v>1</v>
      </c>
      <c r="AJ1281" s="73"/>
      <c r="AK1281" s="57"/>
      <c r="AL1281" s="45"/>
      <c r="AM1281" s="45"/>
      <c r="AN1281" s="45"/>
    </row>
    <row r="1282" spans="1:40" hidden="1" outlineLevel="2" x14ac:dyDescent="0.25">
      <c r="A1282" s="45"/>
      <c r="B1282" s="54"/>
      <c r="C1282" s="47">
        <f t="shared" si="298"/>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304"/>
        <v>-1.9000000000000001E-8</v>
      </c>
      <c r="AA1282" s="97">
        <f>-0.000019/1000</f>
        <v>-1.9000000000000001E-8</v>
      </c>
      <c r="AB1282" s="255">
        <f t="shared" si="305"/>
        <v>-1.9000000000000001E-8</v>
      </c>
      <c r="AC1282" s="255">
        <f t="shared" si="305"/>
        <v>-1.9000000000000001E-8</v>
      </c>
      <c r="AD1282" s="255">
        <f t="shared" si="305"/>
        <v>-1.9000000000000001E-8</v>
      </c>
      <c r="AE1282" s="76"/>
      <c r="AF1282" s="76"/>
      <c r="AG1282" s="76"/>
      <c r="AH1282" s="97">
        <v>1</v>
      </c>
      <c r="AI1282" s="97">
        <v>1</v>
      </c>
      <c r="AJ1282" s="73"/>
      <c r="AK1282" s="57"/>
      <c r="AL1282" s="45"/>
      <c r="AM1282" s="45"/>
      <c r="AN1282" s="45"/>
    </row>
    <row r="1283" spans="1:40" hidden="1" outlineLevel="2" x14ac:dyDescent="0.25">
      <c r="A1283" s="45"/>
      <c r="B1283" s="54"/>
      <c r="C1283" s="47">
        <f t="shared" si="298"/>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304"/>
        <v>1.49E-2</v>
      </c>
      <c r="AA1283" s="97">
        <f>14.9/1000</f>
        <v>1.49E-2</v>
      </c>
      <c r="AB1283" s="255">
        <f t="shared" si="305"/>
        <v>1.49E-2</v>
      </c>
      <c r="AC1283" s="255">
        <f t="shared" si="305"/>
        <v>1.49E-2</v>
      </c>
      <c r="AD1283" s="255">
        <f t="shared" si="305"/>
        <v>1.49E-2</v>
      </c>
      <c r="AE1283" s="76"/>
      <c r="AF1283" s="76"/>
      <c r="AG1283" s="76"/>
      <c r="AH1283" s="97">
        <v>1</v>
      </c>
      <c r="AI1283" s="97">
        <v>1</v>
      </c>
      <c r="AJ1283" s="73"/>
      <c r="AK1283" s="57"/>
      <c r="AL1283" s="45"/>
      <c r="AM1283" s="45"/>
      <c r="AN1283" s="45"/>
    </row>
    <row r="1284" spans="1:40" hidden="1" outlineLevel="2" x14ac:dyDescent="0.25">
      <c r="A1284" s="45"/>
      <c r="B1284" s="54"/>
      <c r="C1284" s="47">
        <f>INT($C$29)+2</f>
        <v>3</v>
      </c>
      <c r="D1284" s="73"/>
      <c r="E1284" s="406"/>
      <c r="F1284" s="406" t="s">
        <v>3377</v>
      </c>
      <c r="G1284" s="407"/>
      <c r="H1284" s="181" t="s">
        <v>3477</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6">U1284</f>
        <v>0.52490000000000003</v>
      </c>
      <c r="X1284" s="409">
        <f t="shared" si="306"/>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3389</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3378</v>
      </c>
      <c r="G1285" s="234"/>
      <c r="H1285" s="76" t="s">
        <v>3478</v>
      </c>
      <c r="I1285" s="96"/>
      <c r="J1285" s="96"/>
      <c r="K1285" s="76"/>
      <c r="L1285" s="76"/>
      <c r="M1285" s="76"/>
      <c r="N1285" s="76"/>
      <c r="O1285" s="76"/>
      <c r="P1285" s="76"/>
      <c r="Q1285" s="76"/>
      <c r="R1285" s="76"/>
      <c r="S1285" s="76"/>
      <c r="T1285" s="76"/>
      <c r="U1285" s="97">
        <v>-4.28E-3</v>
      </c>
      <c r="V1285" s="404">
        <f>U1285</f>
        <v>-4.28E-3</v>
      </c>
      <c r="W1285" s="404">
        <f t="shared" si="306"/>
        <v>-4.28E-3</v>
      </c>
      <c r="X1285" s="404">
        <f t="shared" si="306"/>
        <v>-4.28E-3</v>
      </c>
      <c r="Y1285" s="404">
        <f>V1285</f>
        <v>-4.28E-3</v>
      </c>
      <c r="Z1285" s="404">
        <f>AA1285</f>
        <v>-4.28E-3</v>
      </c>
      <c r="AA1285" s="97">
        <f t="shared" ref="AA1285:AA1291" si="307">U1285</f>
        <v>-4.28E-3</v>
      </c>
      <c r="AB1285" s="404">
        <f t="shared" ref="AB1285" si="308">AA1285</f>
        <v>-4.28E-3</v>
      </c>
      <c r="AC1285" s="404">
        <f t="shared" ref="AC1285" si="309">AB1285</f>
        <v>-4.28E-3</v>
      </c>
      <c r="AD1285" s="404">
        <f t="shared" ref="AD1285" si="310">AC1285</f>
        <v>-4.28E-3</v>
      </c>
      <c r="AE1285" s="76"/>
      <c r="AF1285" s="97" t="s">
        <v>2182</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3379</v>
      </c>
      <c r="G1286" s="234"/>
      <c r="H1286" s="76" t="s">
        <v>3385</v>
      </c>
      <c r="I1286" s="96"/>
      <c r="J1286" s="96"/>
      <c r="K1286" s="76"/>
      <c r="L1286" s="76"/>
      <c r="M1286" s="76"/>
      <c r="N1286" s="76"/>
      <c r="O1286" s="76"/>
      <c r="P1286" s="76"/>
      <c r="Q1286" s="76"/>
      <c r="R1286" s="76"/>
      <c r="S1286" s="76"/>
      <c r="T1286" s="76"/>
      <c r="U1286" s="97">
        <v>5.5010000000000003E-2</v>
      </c>
      <c r="V1286" s="404">
        <f>U1286</f>
        <v>5.5010000000000003E-2</v>
      </c>
      <c r="W1286" s="404">
        <f t="shared" si="306"/>
        <v>5.5010000000000003E-2</v>
      </c>
      <c r="X1286" s="404">
        <f t="shared" si="306"/>
        <v>5.5010000000000003E-2</v>
      </c>
      <c r="Y1286" s="404">
        <f>V1286</f>
        <v>5.5010000000000003E-2</v>
      </c>
      <c r="Z1286" s="404">
        <f>AA1286</f>
        <v>5.5010000000000003E-2</v>
      </c>
      <c r="AA1286" s="97">
        <f t="shared" si="307"/>
        <v>5.5010000000000003E-2</v>
      </c>
      <c r="AB1286" s="404">
        <f t="shared" ref="AB1286:AB1287" si="311">AA1286</f>
        <v>5.5010000000000003E-2</v>
      </c>
      <c r="AC1286" s="404">
        <f t="shared" ref="AC1286:AC1287" si="312">AB1286</f>
        <v>5.5010000000000003E-2</v>
      </c>
      <c r="AD1286" s="404">
        <f t="shared" ref="AD1286:AD1287" si="313">AC1286</f>
        <v>5.5010000000000003E-2</v>
      </c>
      <c r="AE1286" s="76"/>
      <c r="AF1286" s="76"/>
      <c r="AG1286" s="76"/>
      <c r="AH1286" s="97">
        <v>1</v>
      </c>
      <c r="AI1286" s="97">
        <v>1</v>
      </c>
      <c r="AJ1286" s="73"/>
      <c r="AK1286" s="57"/>
      <c r="AL1286" s="45"/>
      <c r="AM1286" s="45"/>
      <c r="AN1286" s="45"/>
    </row>
    <row r="1287" spans="1:40" hidden="1" outlineLevel="2" x14ac:dyDescent="0.25">
      <c r="A1287" s="45"/>
      <c r="B1287" s="54"/>
      <c r="C1287" s="47">
        <f>INT($C$29)+2</f>
        <v>3</v>
      </c>
      <c r="D1287" s="73"/>
      <c r="E1287" s="70"/>
      <c r="F1287" s="70" t="s">
        <v>3380</v>
      </c>
      <c r="G1287" s="234"/>
      <c r="H1287" s="76" t="s">
        <v>3386</v>
      </c>
      <c r="I1287" s="96"/>
      <c r="J1287" s="96"/>
      <c r="K1287" s="76"/>
      <c r="L1287" s="76"/>
      <c r="M1287" s="76"/>
      <c r="N1287" s="76"/>
      <c r="O1287" s="76"/>
      <c r="P1287" s="76"/>
      <c r="Q1287" s="76"/>
      <c r="R1287" s="76"/>
      <c r="S1287" s="76"/>
      <c r="T1287" s="76"/>
      <c r="U1287" s="97">
        <v>0</v>
      </c>
      <c r="V1287" s="404">
        <f>U1287</f>
        <v>0</v>
      </c>
      <c r="W1287" s="404">
        <f t="shared" si="306"/>
        <v>0</v>
      </c>
      <c r="X1287" s="404">
        <f t="shared" si="306"/>
        <v>0</v>
      </c>
      <c r="Y1287" s="404">
        <f>V1287</f>
        <v>0</v>
      </c>
      <c r="Z1287" s="404">
        <f>AA1287</f>
        <v>0</v>
      </c>
      <c r="AA1287" s="97">
        <f t="shared" si="307"/>
        <v>0</v>
      </c>
      <c r="AB1287" s="404">
        <f t="shared" si="311"/>
        <v>0</v>
      </c>
      <c r="AC1287" s="404">
        <f t="shared" si="312"/>
        <v>0</v>
      </c>
      <c r="AD1287" s="404">
        <f t="shared" si="313"/>
        <v>0</v>
      </c>
      <c r="AE1287" s="76"/>
      <c r="AF1287" s="76"/>
      <c r="AG1287" s="76"/>
      <c r="AH1287" s="97">
        <v>1</v>
      </c>
      <c r="AI1287" s="97">
        <v>1</v>
      </c>
      <c r="AJ1287" s="73"/>
      <c r="AK1287" s="57"/>
      <c r="AL1287" s="45"/>
      <c r="AM1287" s="45"/>
      <c r="AN1287" s="45"/>
    </row>
    <row r="1288" spans="1:40" hidden="1" outlineLevel="2" x14ac:dyDescent="0.25">
      <c r="A1288" s="45"/>
      <c r="B1288" s="54"/>
      <c r="C1288" s="47">
        <f>INT($C$29)+3</f>
        <v>4</v>
      </c>
      <c r="D1288" s="73"/>
      <c r="E1288" s="70"/>
      <c r="F1288" s="70" t="s">
        <v>3381</v>
      </c>
      <c r="G1288" s="234"/>
      <c r="H1288" s="76" t="s">
        <v>3387</v>
      </c>
      <c r="I1288" s="76"/>
      <c r="J1288" s="76"/>
      <c r="K1288" s="76"/>
      <c r="L1288" s="76"/>
      <c r="M1288" s="76"/>
      <c r="N1288" s="76"/>
      <c r="O1288" s="76"/>
      <c r="P1288" s="76"/>
      <c r="Q1288" s="76"/>
      <c r="R1288" s="76"/>
      <c r="S1288" s="76"/>
      <c r="T1288" s="76"/>
      <c r="U1288" s="97">
        <v>0.14710000000000001</v>
      </c>
      <c r="V1288" s="404">
        <f t="shared" ref="V1288:V1289" si="314">U1288</f>
        <v>0.14710000000000001</v>
      </c>
      <c r="W1288" s="404">
        <f t="shared" ref="W1288:W1289" si="315">U1288</f>
        <v>0.14710000000000001</v>
      </c>
      <c r="X1288" s="404">
        <f t="shared" ref="X1288:X1289" si="316">V1288</f>
        <v>0.14710000000000001</v>
      </c>
      <c r="Y1288" s="404">
        <f t="shared" ref="Y1288:Y1289" si="317">V1288</f>
        <v>0.14710000000000001</v>
      </c>
      <c r="Z1288" s="404">
        <f t="shared" ref="Z1288:Z1289" si="318">AA1288</f>
        <v>0.14710000000000001</v>
      </c>
      <c r="AA1288" s="97">
        <f t="shared" ref="AA1288:AA1289" si="319">U1288</f>
        <v>0.14710000000000001</v>
      </c>
      <c r="AB1288" s="404">
        <f t="shared" ref="AB1288:AB1289" si="320">AA1288</f>
        <v>0.14710000000000001</v>
      </c>
      <c r="AC1288" s="404">
        <f t="shared" ref="AC1288:AC1289" si="321">AB1288</f>
        <v>0.14710000000000001</v>
      </c>
      <c r="AD1288" s="404">
        <f t="shared" ref="AD1288:AD1289" si="322">AC1288</f>
        <v>0.14710000000000001</v>
      </c>
      <c r="AE1288" s="76"/>
      <c r="AF1288" s="76"/>
      <c r="AG1288" s="76"/>
      <c r="AH1288" s="76">
        <v>1</v>
      </c>
      <c r="AI1288" s="76">
        <v>1</v>
      </c>
      <c r="AJ1288" s="73"/>
      <c r="AK1288" s="57"/>
      <c r="AL1288" s="45"/>
      <c r="AM1288" s="45"/>
      <c r="AN1288" s="45"/>
    </row>
    <row r="1289" spans="1:40" hidden="1" outlineLevel="2" collapsed="1" x14ac:dyDescent="0.25">
      <c r="A1289" s="45"/>
      <c r="B1289" s="54"/>
      <c r="C1289" s="47">
        <f>INT($C$29)+3</f>
        <v>4</v>
      </c>
      <c r="D1289" s="73"/>
      <c r="E1289" s="70"/>
      <c r="F1289" s="70" t="s">
        <v>3382</v>
      </c>
      <c r="G1289" s="234"/>
      <c r="H1289" s="76" t="s">
        <v>3388</v>
      </c>
      <c r="I1289" s="76"/>
      <c r="J1289" s="76"/>
      <c r="K1289" s="76"/>
      <c r="L1289" s="76"/>
      <c r="M1289" s="76"/>
      <c r="N1289" s="76"/>
      <c r="O1289" s="76"/>
      <c r="P1289" s="76"/>
      <c r="Q1289" s="76"/>
      <c r="R1289" s="76"/>
      <c r="S1289" s="76"/>
      <c r="T1289" s="76"/>
      <c r="U1289" s="97">
        <v>-3.79E-3</v>
      </c>
      <c r="V1289" s="404">
        <f t="shared" si="314"/>
        <v>-3.79E-3</v>
      </c>
      <c r="W1289" s="404">
        <f t="shared" si="315"/>
        <v>-3.79E-3</v>
      </c>
      <c r="X1289" s="404">
        <f t="shared" si="316"/>
        <v>-3.79E-3</v>
      </c>
      <c r="Y1289" s="404">
        <f t="shared" si="317"/>
        <v>-3.79E-3</v>
      </c>
      <c r="Z1289" s="404">
        <f t="shared" si="318"/>
        <v>-3.79E-3</v>
      </c>
      <c r="AA1289" s="97">
        <f t="shared" si="319"/>
        <v>-3.79E-3</v>
      </c>
      <c r="AB1289" s="404">
        <f t="shared" si="320"/>
        <v>-3.79E-3</v>
      </c>
      <c r="AC1289" s="404">
        <f t="shared" si="321"/>
        <v>-3.79E-3</v>
      </c>
      <c r="AD1289" s="404">
        <f t="shared" si="322"/>
        <v>-3.79E-3</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3383</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7"/>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 si="323">INT($C$29)+2</f>
        <v>3</v>
      </c>
      <c r="D1291" s="73"/>
      <c r="E1291" s="410"/>
      <c r="F1291" s="410" t="s">
        <v>3384</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7"/>
        <v>-14</v>
      </c>
      <c r="AB1291" s="404">
        <f t="shared" ref="AB1291" si="324">AA1291</f>
        <v>-14</v>
      </c>
      <c r="AC1291" s="404">
        <f t="shared" ref="AC1291" si="325">AB1291</f>
        <v>-14</v>
      </c>
      <c r="AD1291" s="404">
        <f t="shared" ref="AD1291" si="326">AC1291</f>
        <v>-14</v>
      </c>
      <c r="AE1291" s="184"/>
      <c r="AF1291" s="184"/>
      <c r="AG1291" s="184"/>
      <c r="AH1291" s="413">
        <v>1</v>
      </c>
      <c r="AI1291" s="413">
        <v>1</v>
      </c>
      <c r="AJ1291" s="73"/>
      <c r="AK1291" s="57"/>
      <c r="AL1291" s="45"/>
      <c r="AM1291" s="45"/>
      <c r="AN1291" s="45"/>
    </row>
    <row r="1292" spans="1:40" outlineLevel="1" collapsed="1" x14ac:dyDescent="0.2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hidden="1" outlineLevel="3" x14ac:dyDescent="0.25">
      <c r="A1293" s="45"/>
      <c r="B1293" s="54"/>
      <c r="C1293" s="47">
        <f t="shared" ref="C1293:C1312" si="327">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hidden="1" outlineLevel="3" x14ac:dyDescent="0.25">
      <c r="A1294" s="45"/>
      <c r="B1294" s="54"/>
      <c r="C1294" s="47">
        <f t="shared" si="327"/>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hidden="1" outlineLevel="3" x14ac:dyDescent="0.25">
      <c r="A1295" s="45"/>
      <c r="B1295" s="54"/>
      <c r="C1295" s="47">
        <f t="shared" si="327"/>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hidden="1" outlineLevel="3" x14ac:dyDescent="0.25">
      <c r="A1296" s="45"/>
      <c r="B1296" s="54"/>
      <c r="C1296" s="47">
        <f t="shared" si="327"/>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3" x14ac:dyDescent="0.25">
      <c r="A1297" s="45"/>
      <c r="B1297" s="54"/>
      <c r="C1297" s="47">
        <f t="shared" si="327"/>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hidden="1" outlineLevel="3" x14ac:dyDescent="0.25">
      <c r="A1298" s="45"/>
      <c r="B1298" s="54"/>
      <c r="C1298" s="47">
        <f t="shared" si="327"/>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hidden="1" outlineLevel="3" x14ac:dyDescent="0.25">
      <c r="A1299" s="45"/>
      <c r="B1299" s="54"/>
      <c r="C1299" s="47">
        <f t="shared" si="327"/>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hidden="1" outlineLevel="3" x14ac:dyDescent="0.25">
      <c r="A1300" s="45"/>
      <c r="B1300" s="54"/>
      <c r="C1300" s="47">
        <f t="shared" si="327"/>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hidden="1" outlineLevel="3" x14ac:dyDescent="0.25">
      <c r="A1301" s="45"/>
      <c r="B1301" s="54"/>
      <c r="C1301" s="47">
        <f t="shared" si="327"/>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327"/>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327"/>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327"/>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hidden="1" outlineLevel="3" x14ac:dyDescent="0.25">
      <c r="A1305" s="45"/>
      <c r="B1305" s="54"/>
      <c r="C1305" s="47">
        <f t="shared" si="327"/>
        <v>4</v>
      </c>
      <c r="D1305" s="73"/>
      <c r="E1305" s="70"/>
      <c r="F1305" s="70" t="str">
        <f>SUBSTITUTE(F1300,",7)",",12)")</f>
        <v>C(U2,0,12)</v>
      </c>
      <c r="G1305" s="73"/>
      <c r="H1305" s="76" t="s">
        <v>3370</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hidden="1" outlineLevel="3" x14ac:dyDescent="0.25">
      <c r="A1306" s="45"/>
      <c r="B1306" s="54"/>
      <c r="C1306" s="47">
        <f t="shared" si="327"/>
        <v>4</v>
      </c>
      <c r="D1306" s="73"/>
      <c r="E1306" s="70"/>
      <c r="F1306" s="70" t="str">
        <f>SUBSTITUTE(F1300,",7)",",13)")</f>
        <v>C(U2,0,13)</v>
      </c>
      <c r="G1306" s="73"/>
      <c r="H1306" s="76" t="s">
        <v>3371</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hidden="1" outlineLevel="3" x14ac:dyDescent="0.25">
      <c r="A1307" s="45"/>
      <c r="B1307" s="54"/>
      <c r="C1307" s="47">
        <f t="shared" si="327"/>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 t="shared" si="327"/>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 t="shared" si="327"/>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 t="shared" si="327"/>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f t="shared" si="327"/>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f t="shared" si="327"/>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ref="C1316:C1327" si="328">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328"/>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28"/>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28"/>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28"/>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28"/>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28"/>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28"/>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28"/>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28"/>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28"/>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28"/>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ref="C1331:C1342" si="329">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29"/>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29"/>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29"/>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29"/>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29"/>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29"/>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29"/>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29"/>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si="329"/>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29"/>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29"/>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ref="C1346:C1357" si="330">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0"/>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0"/>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0"/>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0"/>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0"/>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0"/>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30"/>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30"/>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330"/>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0"/>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0"/>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ref="C1361:C1372" si="331">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1"/>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1"/>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1"/>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1"/>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1"/>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1"/>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31"/>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31"/>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331"/>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1"/>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1"/>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ref="C1376:C1387" si="332">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2"/>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2"/>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2"/>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2"/>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2"/>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2"/>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32"/>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32"/>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332"/>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2"/>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2"/>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ref="C1391:C1402" si="333">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3"/>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3"/>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3"/>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3"/>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3"/>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3"/>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33"/>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33"/>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333"/>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3"/>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3"/>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ref="C1410:C1411" si="334">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4"/>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hidden="1" outlineLevel="2" x14ac:dyDescent="0.2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5">U1413</f>
        <v>3.157</v>
      </c>
      <c r="X1413" s="409">
        <f t="shared" si="335"/>
        <v>3.157</v>
      </c>
      <c r="Y1413" s="409">
        <f>V1413</f>
        <v>3.157</v>
      </c>
      <c r="Z1413" s="409">
        <f>AA1413</f>
        <v>2.9750000000000001</v>
      </c>
      <c r="AA1413" s="408">
        <v>2.9750000000000001</v>
      </c>
      <c r="AB1413" s="409">
        <f t="shared" ref="AB1413:AD1415" si="336">AA1413</f>
        <v>2.9750000000000001</v>
      </c>
      <c r="AC1413" s="409">
        <f t="shared" si="336"/>
        <v>2.9750000000000001</v>
      </c>
      <c r="AD1413" s="409">
        <f t="shared" si="336"/>
        <v>2.9750000000000001</v>
      </c>
      <c r="AE1413" s="181"/>
      <c r="AF1413" s="408" t="s">
        <v>2589</v>
      </c>
      <c r="AG1413" s="181"/>
      <c r="AH1413" s="408">
        <v>1</v>
      </c>
      <c r="AI1413" s="408">
        <v>1</v>
      </c>
      <c r="AJ1413" s="73"/>
      <c r="AK1413" s="57"/>
      <c r="AL1413" s="45"/>
      <c r="AM1413" s="45"/>
      <c r="AN1413" s="45"/>
    </row>
    <row r="1414" spans="1:40" hidden="1" outlineLevel="2" x14ac:dyDescent="0.2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5"/>
        <v>-0.28570000000000001</v>
      </c>
      <c r="X1414" s="255">
        <f t="shared" si="335"/>
        <v>-0.28570000000000001</v>
      </c>
      <c r="Y1414" s="255">
        <f>V1414</f>
        <v>-0.28570000000000001</v>
      </c>
      <c r="Z1414" s="404">
        <f>AA1414</f>
        <v>-0.23649999999999999</v>
      </c>
      <c r="AA1414" s="97">
        <v>-0.23649999999999999</v>
      </c>
      <c r="AB1414" s="404">
        <f t="shared" si="336"/>
        <v>-0.23649999999999999</v>
      </c>
      <c r="AC1414" s="404">
        <f t="shared" si="336"/>
        <v>-0.23649999999999999</v>
      </c>
      <c r="AD1414" s="404">
        <f t="shared" si="336"/>
        <v>-0.23649999999999999</v>
      </c>
      <c r="AE1414" s="76"/>
      <c r="AF1414" s="76"/>
      <c r="AG1414" s="76"/>
      <c r="AH1414" s="97">
        <v>1</v>
      </c>
      <c r="AI1414" s="97">
        <v>1</v>
      </c>
      <c r="AJ1414" s="73"/>
      <c r="AK1414" s="57"/>
      <c r="AL1414" s="45"/>
      <c r="AM1414" s="45"/>
      <c r="AN1414" s="45"/>
    </row>
    <row r="1415" spans="1:40" hidden="1" outlineLevel="2" collapsed="1" x14ac:dyDescent="0.2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5"/>
        <v>-7.9950000000000004E-3</v>
      </c>
      <c r="X1415" s="255">
        <f t="shared" si="335"/>
        <v>-7.9950000000000004E-3</v>
      </c>
      <c r="Y1415" s="255">
        <f>V1415</f>
        <v>-7.9950000000000004E-3</v>
      </c>
      <c r="Z1415" s="404">
        <f>AA1415</f>
        <v>-1.761E-3</v>
      </c>
      <c r="AA1415" s="97">
        <v>-1.761E-3</v>
      </c>
      <c r="AB1415" s="404">
        <f t="shared" si="336"/>
        <v>-1.761E-3</v>
      </c>
      <c r="AC1415" s="404">
        <f t="shared" si="336"/>
        <v>-1.761E-3</v>
      </c>
      <c r="AD1415" s="404">
        <f t="shared" si="336"/>
        <v>-1.761E-3</v>
      </c>
      <c r="AE1415" s="76"/>
      <c r="AF1415" s="76"/>
      <c r="AG1415" s="76"/>
      <c r="AH1415" s="97">
        <v>1</v>
      </c>
      <c r="AI1415" s="97">
        <v>1</v>
      </c>
      <c r="AJ1415" s="73"/>
      <c r="AK1415" s="57"/>
      <c r="AL1415" s="45"/>
      <c r="AM1415" s="45"/>
      <c r="AN1415" s="45"/>
    </row>
    <row r="1416" spans="1:40" hidden="1" outlineLevel="3" x14ac:dyDescent="0.2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2" x14ac:dyDescent="0.2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7">AA1417</f>
        <v>0</v>
      </c>
      <c r="AC1417" s="404">
        <f t="shared" si="337"/>
        <v>0</v>
      </c>
      <c r="AD1417" s="404">
        <f t="shared" si="337"/>
        <v>0</v>
      </c>
      <c r="AE1417" s="76"/>
      <c r="AF1417" s="76"/>
      <c r="AG1417" s="76"/>
      <c r="AH1417" s="97">
        <v>1</v>
      </c>
      <c r="AI1417" s="97">
        <v>1</v>
      </c>
      <c r="AJ1417" s="73"/>
      <c r="AK1417" s="57"/>
      <c r="AL1417" s="45"/>
      <c r="AM1417" s="45"/>
      <c r="AN1417" s="45"/>
    </row>
    <row r="1418" spans="1:40" hidden="1" outlineLevel="2" collapsed="1" x14ac:dyDescent="0.2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7"/>
        <v>0</v>
      </c>
      <c r="AC1418" s="404">
        <f t="shared" si="337"/>
        <v>0</v>
      </c>
      <c r="AD1418" s="404">
        <f t="shared" si="337"/>
        <v>0</v>
      </c>
      <c r="AE1418" s="76"/>
      <c r="AF1418" s="76"/>
      <c r="AG1418" s="76"/>
      <c r="AH1418" s="97">
        <v>1</v>
      </c>
      <c r="AI1418" s="97">
        <v>1</v>
      </c>
      <c r="AJ1418" s="73"/>
      <c r="AK1418" s="57"/>
      <c r="AL1418" s="45"/>
      <c r="AM1418" s="45"/>
      <c r="AN1418" s="45"/>
    </row>
    <row r="1419" spans="1:40" hidden="1" outlineLevel="3" x14ac:dyDescent="0.25">
      <c r="A1419" s="45"/>
      <c r="B1419" s="54"/>
      <c r="C1419" s="47">
        <f t="shared" ref="C1419:C1426" si="338">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8"/>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8"/>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8"/>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8"/>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8"/>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8"/>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8"/>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2" collapsed="1" x14ac:dyDescent="0.2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3325</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2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2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47" si="339">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39"/>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39"/>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339"/>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339"/>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f t="shared" si="339"/>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f t="shared" si="339"/>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f t="shared" si="339"/>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39"/>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39"/>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39"/>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39"/>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ref="C1451:C1462" si="340">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40"/>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40"/>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 t="shared" si="340"/>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 t="shared" si="340"/>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 t="shared" si="340"/>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 t="shared" si="340"/>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340"/>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340"/>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340"/>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0"/>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0"/>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ref="C1466:C1477" si="341">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1"/>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1"/>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1"/>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1"/>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1"/>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1"/>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41"/>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41"/>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si="341"/>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1"/>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1"/>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ref="C1481:C1492" si="342">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2"/>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2"/>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2"/>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2"/>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2"/>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2"/>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42"/>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42"/>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si="342"/>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2"/>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2"/>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ref="C1496:C1507" si="343">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3"/>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3"/>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3"/>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3"/>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3"/>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3"/>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43"/>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43"/>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si="343"/>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3"/>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3"/>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ref="C1511:C1522" si="344">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4"/>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4"/>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4"/>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4"/>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4"/>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44"/>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44"/>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44"/>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si="344"/>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4"/>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4"/>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ref="C1526:C1537" si="345">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5"/>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5"/>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5"/>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5"/>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5"/>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5"/>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45"/>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45"/>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si="345"/>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45"/>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45"/>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ref="C1541:C1552" si="346">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46"/>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46"/>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46"/>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46"/>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46"/>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46"/>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46"/>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46"/>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si="346"/>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46"/>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46"/>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ref="C1556:C1567" si="347">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47"/>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47"/>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47"/>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47"/>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47"/>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47"/>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47"/>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47"/>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si="347"/>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47"/>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47"/>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ref="C1571:C1582" si="348">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48"/>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48"/>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48"/>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48"/>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48"/>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48"/>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48"/>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48"/>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si="348"/>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48"/>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48"/>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ref="C1590:C1591" si="349">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49"/>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2" x14ac:dyDescent="0.2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50">Y1593</f>
        <v>0.57699999999999996</v>
      </c>
      <c r="AA1593" s="255">
        <f t="shared" si="350"/>
        <v>0.57699999999999996</v>
      </c>
      <c r="AB1593" s="255">
        <f t="shared" si="350"/>
        <v>0.57699999999999996</v>
      </c>
      <c r="AC1593" s="255">
        <f t="shared" si="350"/>
        <v>0.57699999999999996</v>
      </c>
      <c r="AD1593" s="255">
        <f t="shared" si="350"/>
        <v>0.57699999999999996</v>
      </c>
      <c r="AE1593" s="76"/>
      <c r="AF1593" s="97" t="s">
        <v>2064</v>
      </c>
      <c r="AG1593" s="76"/>
      <c r="AH1593" s="97">
        <v>1</v>
      </c>
      <c r="AI1593" s="97">
        <v>1</v>
      </c>
      <c r="AJ1593" s="73"/>
      <c r="AK1593" s="57"/>
      <c r="AL1593" s="45"/>
      <c r="AM1593" s="45"/>
      <c r="AN1593" s="45"/>
    </row>
    <row r="1594" spans="1:40" hidden="1" outlineLevel="2" collapsed="1" x14ac:dyDescent="0.2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50"/>
        <v>-1.2E-2</v>
      </c>
      <c r="AA1594" s="255">
        <f t="shared" si="350"/>
        <v>-1.2E-2</v>
      </c>
      <c r="AB1594" s="255">
        <f t="shared" si="350"/>
        <v>-1.2E-2</v>
      </c>
      <c r="AC1594" s="255">
        <f t="shared" si="350"/>
        <v>-1.2E-2</v>
      </c>
      <c r="AD1594" s="255">
        <f t="shared" si="350"/>
        <v>-1.2E-2</v>
      </c>
      <c r="AE1594" s="76"/>
      <c r="AF1594" s="76"/>
      <c r="AG1594" s="76"/>
      <c r="AH1594" s="97">
        <v>1</v>
      </c>
      <c r="AI1594" s="97">
        <v>1</v>
      </c>
      <c r="AJ1594" s="73"/>
      <c r="AK1594" s="57"/>
      <c r="AL1594" s="45"/>
      <c r="AM1594" s="45"/>
      <c r="AN1594" s="45"/>
    </row>
    <row r="1595" spans="1:40" hidden="1" outlineLevel="3" x14ac:dyDescent="0.2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2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2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2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25">
      <c r="A1599" s="45"/>
      <c r="B1599" s="54"/>
      <c r="C1599" s="47">
        <f t="shared" ref="C1599:C1606" si="351">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25">
      <c r="A1600" s="45"/>
      <c r="B1600" s="54"/>
      <c r="C1600" s="47">
        <f t="shared" si="351"/>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25">
      <c r="A1601" s="45"/>
      <c r="B1601" s="54"/>
      <c r="C1601" s="47">
        <f t="shared" si="351"/>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1"/>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1"/>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1"/>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1"/>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1"/>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2" collapsed="1" x14ac:dyDescent="0.2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2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25">
      <c r="A1620" s="45"/>
      <c r="B1620" s="54"/>
      <c r="C1620" s="47">
        <f t="shared" ref="C1620:C1621" si="352">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25">
      <c r="A1621" s="45"/>
      <c r="B1621" s="54"/>
      <c r="C1621" s="47">
        <f t="shared" si="352"/>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hidden="1" outlineLevel="2" x14ac:dyDescent="0.2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53">Y1623</f>
        <v>-8.4959000000000007</v>
      </c>
      <c r="AA1623" s="261">
        <f t="shared" si="353"/>
        <v>-8.4959000000000007</v>
      </c>
      <c r="AB1623" s="261">
        <f t="shared" si="353"/>
        <v>-8.4959000000000007</v>
      </c>
      <c r="AC1623" s="261">
        <f t="shared" si="353"/>
        <v>-8.4959000000000007</v>
      </c>
      <c r="AD1623" s="261">
        <f t="shared" si="353"/>
        <v>-8.4959000000000007</v>
      </c>
      <c r="AE1623" s="76"/>
      <c r="AF1623" s="97" t="s">
        <v>2766</v>
      </c>
      <c r="AG1623" s="76"/>
      <c r="AH1623" s="97">
        <v>1</v>
      </c>
      <c r="AI1623" s="97">
        <v>1</v>
      </c>
      <c r="AJ1623" s="73"/>
      <c r="AK1623" s="57"/>
      <c r="AL1623" s="45"/>
      <c r="AM1623" s="45"/>
      <c r="AN1623" s="45"/>
    </row>
    <row r="1624" spans="1:40" hidden="1" outlineLevel="2" collapsed="1" x14ac:dyDescent="0.2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53"/>
        <v>1.38185</v>
      </c>
      <c r="AA1624" s="261">
        <f t="shared" si="353"/>
        <v>1.38185</v>
      </c>
      <c r="AB1624" s="261">
        <f t="shared" si="353"/>
        <v>1.38185</v>
      </c>
      <c r="AC1624" s="261">
        <f t="shared" si="353"/>
        <v>1.38185</v>
      </c>
      <c r="AD1624" s="261">
        <f t="shared" si="353"/>
        <v>1.38185</v>
      </c>
      <c r="AE1624" s="76"/>
      <c r="AF1624" s="76"/>
      <c r="AG1624" s="76"/>
      <c r="AH1624" s="97">
        <v>1</v>
      </c>
      <c r="AI1624" s="97">
        <v>1</v>
      </c>
      <c r="AJ1624" s="73"/>
      <c r="AK1624" s="57"/>
      <c r="AL1624" s="45"/>
      <c r="AM1624" s="45"/>
      <c r="AN1624" s="45"/>
    </row>
    <row r="1625" spans="1:40" hidden="1" outlineLevel="3" x14ac:dyDescent="0.25">
      <c r="A1625" s="45"/>
      <c r="B1625" s="54"/>
      <c r="C1625" s="47">
        <f t="shared" ref="C1625:C1636" si="354">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4"/>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54"/>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54"/>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hidden="1" outlineLevel="3" x14ac:dyDescent="0.25">
      <c r="A1629" s="45"/>
      <c r="B1629" s="54"/>
      <c r="C1629" s="47">
        <f t="shared" si="354"/>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hidden="1" outlineLevel="3" x14ac:dyDescent="0.25">
      <c r="A1630" s="45"/>
      <c r="B1630" s="54"/>
      <c r="C1630" s="47">
        <f t="shared" si="354"/>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hidden="1" outlineLevel="3" x14ac:dyDescent="0.25">
      <c r="A1631" s="45"/>
      <c r="B1631" s="54"/>
      <c r="C1631" s="47">
        <f t="shared" si="354"/>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54"/>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54"/>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 t="shared" si="354"/>
        <v>4</v>
      </c>
      <c r="D1634" s="73"/>
      <c r="E1634" s="70"/>
      <c r="F1634" s="70" t="str">
        <f>SUBSTITUTE(F1630,",7)",",11)")</f>
        <v>C(U2,22,11)</v>
      </c>
      <c r="G1634" s="73"/>
      <c r="H1634" s="377" t="s">
        <v>3374</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 t="shared" si="354"/>
        <v>4</v>
      </c>
      <c r="D1635" s="73"/>
      <c r="E1635" s="70"/>
      <c r="F1635" s="70" t="str">
        <f>SUBSTITUTE(F1629,",6)",",12)")</f>
        <v>C(U2,22,12)</v>
      </c>
      <c r="G1635" s="73"/>
      <c r="H1635" s="377" t="s">
        <v>3375</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 t="shared" si="354"/>
        <v>4</v>
      </c>
      <c r="D1636" s="73"/>
      <c r="E1636" s="70"/>
      <c r="F1636" s="70" t="str">
        <f>SUBSTITUTE(F1630,",7)",",13)")</f>
        <v>C(U2,22,13)</v>
      </c>
      <c r="G1636" s="73"/>
      <c r="H1636" s="377" t="s">
        <v>3376</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2" x14ac:dyDescent="0.2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5">U1637</f>
        <v>7.50061</v>
      </c>
      <c r="X1637" s="261">
        <f t="shared" si="355"/>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hidden="1" outlineLevel="2" x14ac:dyDescent="0.2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5"/>
        <v>-4.5568499999999998</v>
      </c>
      <c r="X1638" s="255">
        <f t="shared" si="355"/>
        <v>-4.5568499999999998</v>
      </c>
      <c r="Y1638" s="255">
        <f>V1638</f>
        <v>-4.5568499999999998</v>
      </c>
      <c r="Z1638" s="255">
        <f>AA1638</f>
        <v>-4.5568499999999998</v>
      </c>
      <c r="AA1638" s="97">
        <f>-(4.55685)</f>
        <v>-4.5568499999999998</v>
      </c>
      <c r="AB1638" s="255">
        <f t="shared" ref="AB1638:AD1640" si="356">AA1638</f>
        <v>-4.5568499999999998</v>
      </c>
      <c r="AC1638" s="255">
        <f t="shared" si="356"/>
        <v>-4.5568499999999998</v>
      </c>
      <c r="AD1638" s="255">
        <f t="shared" si="356"/>
        <v>-4.5568499999999998</v>
      </c>
      <c r="AE1638" s="76"/>
      <c r="AF1638" s="97" t="s">
        <v>3372</v>
      </c>
      <c r="AG1638" s="76"/>
      <c r="AH1638" s="76">
        <v>1</v>
      </c>
      <c r="AI1638" s="76">
        <v>1</v>
      </c>
      <c r="AJ1638" s="73"/>
      <c r="AK1638" s="57"/>
      <c r="AL1638" s="45"/>
      <c r="AM1638" s="45"/>
      <c r="AN1638" s="45"/>
    </row>
    <row r="1639" spans="1:40" hidden="1" outlineLevel="2" x14ac:dyDescent="0.2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5"/>
        <v>0.69092500000000001</v>
      </c>
      <c r="X1639" s="255">
        <f t="shared" si="355"/>
        <v>0.69092500000000001</v>
      </c>
      <c r="Y1639" s="255">
        <f>V1639</f>
        <v>0.69092500000000001</v>
      </c>
      <c r="Z1639" s="255">
        <f>AA1639</f>
        <v>0.69092500000000001</v>
      </c>
      <c r="AA1639" s="97">
        <f>-(-0.690925)</f>
        <v>0.69092500000000001</v>
      </c>
      <c r="AB1639" s="255">
        <f t="shared" si="356"/>
        <v>0.69092500000000001</v>
      </c>
      <c r="AC1639" s="255">
        <f t="shared" si="356"/>
        <v>0.69092500000000001</v>
      </c>
      <c r="AD1639" s="255">
        <f t="shared" si="356"/>
        <v>0.69092500000000001</v>
      </c>
      <c r="AE1639" s="76"/>
      <c r="AF1639" s="76"/>
      <c r="AG1639" s="76"/>
      <c r="AH1639" s="76">
        <v>1</v>
      </c>
      <c r="AI1639" s="76">
        <v>1</v>
      </c>
      <c r="AJ1639" s="73"/>
      <c r="AK1639" s="57"/>
      <c r="AL1639" s="45"/>
      <c r="AM1639" s="45"/>
      <c r="AN1639" s="45"/>
    </row>
    <row r="1640" spans="1:40" hidden="1" outlineLevel="2" collapsed="1" x14ac:dyDescent="0.25">
      <c r="A1640" s="45"/>
      <c r="B1640" s="54"/>
      <c r="C1640" s="47">
        <f t="shared" ref="C1640:C1651" si="357">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5"/>
        <v>-0.15570000000000001</v>
      </c>
      <c r="X1640" s="255">
        <f t="shared" si="355"/>
        <v>-0.15570000000000001</v>
      </c>
      <c r="Y1640" s="255">
        <f>V1640</f>
        <v>-0.15570000000000001</v>
      </c>
      <c r="Z1640" s="255">
        <f>AA1640</f>
        <v>-0.15570000000000001</v>
      </c>
      <c r="AA1640" s="97">
        <f>-(0.1557)</f>
        <v>-0.15570000000000001</v>
      </c>
      <c r="AB1640" s="255">
        <f t="shared" si="356"/>
        <v>-0.15570000000000001</v>
      </c>
      <c r="AC1640" s="255">
        <f t="shared" si="356"/>
        <v>-0.15570000000000001</v>
      </c>
      <c r="AD1640" s="255">
        <f t="shared" si="356"/>
        <v>-0.15570000000000001</v>
      </c>
      <c r="AE1640" s="76"/>
      <c r="AF1640" s="97"/>
      <c r="AG1640" s="76"/>
      <c r="AH1640" s="97">
        <v>1</v>
      </c>
      <c r="AI1640" s="97">
        <v>1</v>
      </c>
      <c r="AJ1640" s="73"/>
      <c r="AK1640" s="57"/>
      <c r="AL1640" s="45"/>
      <c r="AM1640" s="45"/>
      <c r="AN1640" s="45"/>
    </row>
    <row r="1641" spans="1:40" hidden="1" outlineLevel="3" collapsed="1" x14ac:dyDescent="0.25">
      <c r="A1641" s="45"/>
      <c r="B1641" s="54"/>
      <c r="C1641" s="47">
        <f t="shared" si="357"/>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 t="shared" si="357"/>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 t="shared" si="357"/>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si="357"/>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7"/>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57"/>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si="357"/>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 t="shared" si="357"/>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2" collapsed="1" x14ac:dyDescent="0.25">
      <c r="A1649" s="45"/>
      <c r="B1649" s="54"/>
      <c r="C1649" s="47">
        <f t="shared" si="357"/>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8">-U$1638/(2*U$1639)</f>
        <v>3.2976444621340955</v>
      </c>
      <c r="V1649" s="337">
        <f t="shared" si="358"/>
        <v>3.2976444621340955</v>
      </c>
      <c r="W1649" s="337">
        <f t="shared" si="358"/>
        <v>3.2976444621340955</v>
      </c>
      <c r="X1649" s="337">
        <f t="shared" si="358"/>
        <v>3.2976444621340955</v>
      </c>
      <c r="Y1649" s="337">
        <f t="shared" si="358"/>
        <v>3.2976444621340955</v>
      </c>
      <c r="Z1649" s="337">
        <f t="shared" si="358"/>
        <v>3.2976444621340955</v>
      </c>
      <c r="AA1649" s="337">
        <f t="shared" si="358"/>
        <v>3.2976444621340955</v>
      </c>
      <c r="AB1649" s="337">
        <f t="shared" si="358"/>
        <v>3.2976444621340955</v>
      </c>
      <c r="AC1649" s="337">
        <f t="shared" si="358"/>
        <v>3.2976444621340955</v>
      </c>
      <c r="AD1649" s="337">
        <f t="shared" si="358"/>
        <v>3.2976444621340955</v>
      </c>
      <c r="AE1649" s="76"/>
      <c r="AF1649" s="246" t="s">
        <v>3390</v>
      </c>
      <c r="AG1649" s="76"/>
      <c r="AH1649" s="76">
        <v>1</v>
      </c>
      <c r="AI1649" s="76">
        <v>1</v>
      </c>
      <c r="AJ1649" s="73"/>
      <c r="AK1649" s="57"/>
      <c r="AL1649" s="45"/>
      <c r="AM1649" s="45"/>
      <c r="AN1649" s="45"/>
    </row>
    <row r="1650" spans="1:40" hidden="1" outlineLevel="3" x14ac:dyDescent="0.25">
      <c r="A1650" s="45"/>
      <c r="B1650" s="54"/>
      <c r="C1650" s="47">
        <f t="shared" si="357"/>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hidden="1" outlineLevel="3" x14ac:dyDescent="0.25">
      <c r="A1651" s="45"/>
      <c r="B1651" s="54"/>
      <c r="C1651" s="47">
        <f t="shared" si="357"/>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8"/>
        <v>3.2976444621340955</v>
      </c>
      <c r="V1651" s="337">
        <f t="shared" si="358"/>
        <v>3.2976444621340955</v>
      </c>
      <c r="W1651" s="337">
        <f t="shared" si="358"/>
        <v>3.2976444621340955</v>
      </c>
      <c r="X1651" s="337">
        <f t="shared" si="358"/>
        <v>3.2976444621340955</v>
      </c>
      <c r="Y1651" s="337">
        <f t="shared" si="358"/>
        <v>3.2976444621340955</v>
      </c>
      <c r="Z1651" s="337">
        <f t="shared" si="358"/>
        <v>3.2976444621340955</v>
      </c>
      <c r="AA1651" s="337">
        <f t="shared" si="358"/>
        <v>3.2976444621340955</v>
      </c>
      <c r="AB1651" s="337">
        <f t="shared" si="358"/>
        <v>3.2976444621340955</v>
      </c>
      <c r="AC1651" s="337">
        <f t="shared" si="358"/>
        <v>3.2976444621340955</v>
      </c>
      <c r="AD1651" s="337">
        <f t="shared" si="358"/>
        <v>3.2976444621340955</v>
      </c>
      <c r="AE1651" s="76"/>
      <c r="AF1651" s="76"/>
      <c r="AG1651" s="76"/>
      <c r="AH1651" s="76">
        <v>1</v>
      </c>
      <c r="AI1651" s="76">
        <v>1</v>
      </c>
      <c r="AJ1651" s="73"/>
      <c r="AK1651" s="57"/>
      <c r="AL1651" s="45"/>
      <c r="AM1651" s="45"/>
      <c r="AN1651" s="45"/>
    </row>
    <row r="1652" spans="1:40" hidden="1" outlineLevel="2" x14ac:dyDescent="0.2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9">U1652</f>
        <v>2.0276899999999998</v>
      </c>
      <c r="W1652" s="255">
        <f t="shared" ref="W1652:X1657" si="360">U1652</f>
        <v>2.0276899999999998</v>
      </c>
      <c r="X1652" s="255">
        <f t="shared" si="360"/>
        <v>2.0276899999999998</v>
      </c>
      <c r="Y1652" s="255">
        <f t="shared" ref="Y1652:Y1657" si="361">V1652</f>
        <v>2.0276899999999998</v>
      </c>
      <c r="Z1652" s="255">
        <f t="shared" ref="Z1652:Z1657" si="362">AA1652</f>
        <v>3.64628</v>
      </c>
      <c r="AA1652" s="97">
        <f>-(-3.64628)</f>
        <v>3.64628</v>
      </c>
      <c r="AB1652" s="255">
        <f t="shared" ref="AB1652:AD1657" si="363">AA1652</f>
        <v>3.64628</v>
      </c>
      <c r="AC1652" s="255">
        <f t="shared" si="363"/>
        <v>3.64628</v>
      </c>
      <c r="AD1652" s="255">
        <f t="shared" si="363"/>
        <v>3.64628</v>
      </c>
      <c r="AE1652" s="76"/>
      <c r="AF1652" s="97"/>
      <c r="AG1652" s="76"/>
      <c r="AH1652" s="97">
        <v>1</v>
      </c>
      <c r="AI1652" s="97">
        <v>1</v>
      </c>
      <c r="AJ1652" s="73"/>
      <c r="AK1652" s="57"/>
      <c r="AL1652" s="45"/>
      <c r="AM1652" s="45"/>
      <c r="AN1652" s="45"/>
    </row>
    <row r="1653" spans="1:40" hidden="1" outlineLevel="2" x14ac:dyDescent="0.2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9"/>
        <v>-0.43659999999999999</v>
      </c>
      <c r="W1653" s="255">
        <f t="shared" si="360"/>
        <v>-0.43659999999999999</v>
      </c>
      <c r="X1653" s="255">
        <f t="shared" si="360"/>
        <v>-0.43659999999999999</v>
      </c>
      <c r="Y1653" s="255">
        <f t="shared" si="361"/>
        <v>-0.43659999999999999</v>
      </c>
      <c r="Z1653" s="255">
        <f t="shared" si="362"/>
        <v>-0.54688000000000003</v>
      </c>
      <c r="AA1653" s="97">
        <v>-0.54688000000000003</v>
      </c>
      <c r="AB1653" s="255">
        <f t="shared" si="363"/>
        <v>-0.54688000000000003</v>
      </c>
      <c r="AC1653" s="255">
        <f t="shared" si="363"/>
        <v>-0.54688000000000003</v>
      </c>
      <c r="AD1653" s="255">
        <f t="shared" si="363"/>
        <v>-0.54688000000000003</v>
      </c>
      <c r="AE1653" s="76"/>
      <c r="AF1653" s="97" t="s">
        <v>2584</v>
      </c>
      <c r="AG1653" s="76"/>
      <c r="AH1653" s="97">
        <v>1</v>
      </c>
      <c r="AI1653" s="97">
        <v>1</v>
      </c>
      <c r="AJ1653" s="73"/>
      <c r="AK1653" s="57"/>
      <c r="AL1653" s="45"/>
      <c r="AM1653" s="45"/>
      <c r="AN1653" s="45"/>
    </row>
    <row r="1654" spans="1:40" hidden="1" outlineLevel="2" x14ac:dyDescent="0.2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9"/>
        <v>3.7200000000000002E-3</v>
      </c>
      <c r="W1654" s="255">
        <f t="shared" si="360"/>
        <v>3.7200000000000002E-3</v>
      </c>
      <c r="X1654" s="255">
        <f t="shared" si="360"/>
        <v>3.7200000000000002E-3</v>
      </c>
      <c r="Y1654" s="255">
        <f t="shared" si="361"/>
        <v>3.7200000000000002E-3</v>
      </c>
      <c r="Z1654" s="255">
        <f t="shared" si="362"/>
        <v>5.4739999999999997E-3</v>
      </c>
      <c r="AA1654" s="97">
        <v>5.4739999999999997E-3</v>
      </c>
      <c r="AB1654" s="255">
        <f t="shared" si="363"/>
        <v>5.4739999999999997E-3</v>
      </c>
      <c r="AC1654" s="255">
        <f t="shared" si="363"/>
        <v>5.4739999999999997E-3</v>
      </c>
      <c r="AD1654" s="255">
        <f t="shared" si="363"/>
        <v>5.4739999999999997E-3</v>
      </c>
      <c r="AE1654" s="76"/>
      <c r="AF1654" s="97" t="s">
        <v>3373</v>
      </c>
      <c r="AG1654" s="76"/>
      <c r="AH1654" s="97">
        <v>1</v>
      </c>
      <c r="AI1654" s="97">
        <v>1</v>
      </c>
      <c r="AJ1654" s="73"/>
      <c r="AK1654" s="57"/>
      <c r="AL1654" s="45"/>
      <c r="AM1654" s="45"/>
      <c r="AN1654" s="45"/>
    </row>
    <row r="1655" spans="1:40" hidden="1" outlineLevel="2" x14ac:dyDescent="0.25">
      <c r="A1655" s="45"/>
      <c r="B1655" s="54"/>
      <c r="C1655" s="47">
        <f t="shared" ref="C1655:C1666" si="364">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9"/>
        <v>-5.1499999999999997E-2</v>
      </c>
      <c r="W1655" s="255">
        <f t="shared" si="360"/>
        <v>-5.1499999999999997E-2</v>
      </c>
      <c r="X1655" s="255">
        <f t="shared" si="360"/>
        <v>-5.1499999999999997E-2</v>
      </c>
      <c r="Y1655" s="255">
        <f t="shared" si="361"/>
        <v>-5.1499999999999997E-2</v>
      </c>
      <c r="Z1655" s="255">
        <f t="shared" si="362"/>
        <v>-2.75E-2</v>
      </c>
      <c r="AA1655" s="97">
        <v>-2.75E-2</v>
      </c>
      <c r="AB1655" s="255">
        <f t="shared" si="363"/>
        <v>-2.75E-2</v>
      </c>
      <c r="AC1655" s="255">
        <f t="shared" si="363"/>
        <v>-2.75E-2</v>
      </c>
      <c r="AD1655" s="255">
        <f t="shared" si="363"/>
        <v>-2.75E-2</v>
      </c>
      <c r="AE1655" s="76"/>
      <c r="AF1655" s="76"/>
      <c r="AG1655" s="76"/>
      <c r="AH1655" s="97">
        <v>1</v>
      </c>
      <c r="AI1655" s="97">
        <v>1</v>
      </c>
      <c r="AJ1655" s="73"/>
      <c r="AK1655" s="57"/>
      <c r="AL1655" s="45"/>
      <c r="AM1655" s="45"/>
      <c r="AN1655" s="45"/>
    </row>
    <row r="1656" spans="1:40" hidden="1" outlineLevel="2" x14ac:dyDescent="0.25">
      <c r="A1656" s="45"/>
      <c r="B1656" s="54"/>
      <c r="C1656" s="47">
        <f t="shared" si="364"/>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9"/>
        <v>8.916204986149583E-5</v>
      </c>
      <c r="W1656" s="255">
        <f t="shared" si="360"/>
        <v>8.916204986149583E-5</v>
      </c>
      <c r="X1656" s="255">
        <f t="shared" si="360"/>
        <v>8.916204986149583E-5</v>
      </c>
      <c r="Y1656" s="255">
        <f t="shared" si="361"/>
        <v>8.916204986149583E-5</v>
      </c>
      <c r="Z1656" s="255">
        <f t="shared" si="362"/>
        <v>4.7610803324099718E-5</v>
      </c>
      <c r="AA1656" s="97">
        <f>-AA1655/(2*9.5*30.4)</f>
        <v>4.7610803324099718E-5</v>
      </c>
      <c r="AB1656" s="255">
        <f t="shared" si="363"/>
        <v>4.7610803324099718E-5</v>
      </c>
      <c r="AC1656" s="255">
        <f t="shared" si="363"/>
        <v>4.7610803324099718E-5</v>
      </c>
      <c r="AD1656" s="255">
        <f t="shared" si="363"/>
        <v>4.7610803324099718E-5</v>
      </c>
      <c r="AE1656" s="76"/>
      <c r="AF1656" s="76"/>
      <c r="AG1656" s="76"/>
      <c r="AH1656" s="76">
        <v>1</v>
      </c>
      <c r="AI1656" s="76">
        <v>1</v>
      </c>
      <c r="AJ1656" s="73"/>
      <c r="AK1656" s="57"/>
      <c r="AL1656" s="45"/>
      <c r="AM1656" s="45"/>
      <c r="AN1656" s="45"/>
    </row>
    <row r="1657" spans="1:40" hidden="1" outlineLevel="2" collapsed="1" x14ac:dyDescent="0.25">
      <c r="A1657" s="45"/>
      <c r="B1657" s="54"/>
      <c r="C1657" s="47">
        <f t="shared" si="364"/>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9"/>
        <v>-4.0000000000000001E-3</v>
      </c>
      <c r="W1657" s="255">
        <f t="shared" si="360"/>
        <v>-4.0000000000000001E-3</v>
      </c>
      <c r="X1657" s="255">
        <f t="shared" si="360"/>
        <v>-4.0000000000000001E-3</v>
      </c>
      <c r="Y1657" s="255">
        <f t="shared" si="361"/>
        <v>-4.0000000000000001E-3</v>
      </c>
      <c r="Z1657" s="255">
        <f t="shared" si="362"/>
        <v>-4.0000000000000001E-3</v>
      </c>
      <c r="AA1657" s="97">
        <v>-4.0000000000000001E-3</v>
      </c>
      <c r="AB1657" s="255">
        <f t="shared" si="363"/>
        <v>-4.0000000000000001E-3</v>
      </c>
      <c r="AC1657" s="255">
        <f t="shared" si="363"/>
        <v>-4.0000000000000001E-3</v>
      </c>
      <c r="AD1657" s="255">
        <f t="shared" si="363"/>
        <v>-4.0000000000000001E-3</v>
      </c>
      <c r="AE1657" s="76"/>
      <c r="AF1657" s="76"/>
      <c r="AG1657" s="76"/>
      <c r="AH1657" s="97">
        <v>1</v>
      </c>
      <c r="AI1657" s="97">
        <v>1</v>
      </c>
      <c r="AJ1657" s="73"/>
      <c r="AK1657" s="57"/>
      <c r="AL1657" s="45"/>
      <c r="AM1657" s="45"/>
      <c r="AN1657" s="45"/>
    </row>
    <row r="1658" spans="1:40" hidden="1" outlineLevel="3" x14ac:dyDescent="0.25">
      <c r="A1658" s="45"/>
      <c r="B1658" s="54"/>
      <c r="C1658" s="47">
        <f t="shared" si="364"/>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hidden="1" outlineLevel="2" collapsed="1" x14ac:dyDescent="0.25">
      <c r="A1659" s="45"/>
      <c r="B1659" s="54"/>
      <c r="C1659" s="47">
        <f t="shared" si="364"/>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25">
      <c r="A1660" s="45"/>
      <c r="B1660" s="54"/>
      <c r="C1660" s="47">
        <f t="shared" si="364"/>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25">
      <c r="A1661" s="45"/>
      <c r="B1661" s="54"/>
      <c r="C1661" s="47">
        <f t="shared" si="364"/>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 t="shared" si="364"/>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2" x14ac:dyDescent="0.25">
      <c r="A1663" s="45"/>
      <c r="B1663" s="54"/>
      <c r="C1663" s="47">
        <f t="shared" si="364"/>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hidden="1" outlineLevel="2" x14ac:dyDescent="0.25">
      <c r="A1664" s="45"/>
      <c r="B1664" s="54"/>
      <c r="C1664" s="47">
        <f t="shared" si="364"/>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hidden="1" outlineLevel="2" x14ac:dyDescent="0.25">
      <c r="A1665" s="45"/>
      <c r="B1665" s="54"/>
      <c r="C1665" s="47">
        <f t="shared" si="364"/>
        <v>4</v>
      </c>
      <c r="D1665" s="73"/>
      <c r="E1665" s="70"/>
      <c r="F1665" s="70" t="s">
        <v>3366</v>
      </c>
      <c r="G1665" s="73"/>
      <c r="H1665" s="378" t="s">
        <v>3365</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hidden="1" outlineLevel="2" x14ac:dyDescent="0.25">
      <c r="A1666" s="45"/>
      <c r="B1666" s="54"/>
      <c r="C1666" s="47">
        <f t="shared" si="364"/>
        <v>4</v>
      </c>
      <c r="D1666" s="73"/>
      <c r="E1666" s="70"/>
      <c r="F1666" s="70" t="s">
        <v>3367</v>
      </c>
      <c r="G1666" s="73"/>
      <c r="H1666" s="378" t="s">
        <v>3364</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hidden="1" outlineLevel="2" x14ac:dyDescent="0.2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5">U1667</f>
        <v>19.482900000000001</v>
      </c>
      <c r="X1667" s="255">
        <f t="shared" si="365"/>
        <v>19.482900000000001</v>
      </c>
      <c r="Y1667" s="255">
        <f>V1667</f>
        <v>19.482900000000001</v>
      </c>
      <c r="Z1667" s="255">
        <f>AA1667</f>
        <v>16.702999999999999</v>
      </c>
      <c r="AA1667" s="97">
        <v>16.702999999999999</v>
      </c>
      <c r="AB1667" s="255">
        <f t="shared" ref="AB1667:AD1685" si="366">AA1667</f>
        <v>16.702999999999999</v>
      </c>
      <c r="AC1667" s="255">
        <f t="shared" si="366"/>
        <v>16.702999999999999</v>
      </c>
      <c r="AD1667" s="255">
        <f t="shared" si="366"/>
        <v>16.702999999999999</v>
      </c>
      <c r="AE1667" s="76"/>
      <c r="AF1667" s="76"/>
      <c r="AG1667" s="76"/>
      <c r="AH1667" s="97">
        <v>1</v>
      </c>
      <c r="AI1667" s="97">
        <v>1</v>
      </c>
      <c r="AJ1667" s="73"/>
      <c r="AK1667" s="57"/>
      <c r="AL1667" s="45"/>
      <c r="AM1667" s="45"/>
      <c r="AN1667" s="45"/>
    </row>
    <row r="1668" spans="1:40" hidden="1" outlineLevel="2" x14ac:dyDescent="0.25">
      <c r="A1668" s="45"/>
      <c r="B1668" s="54"/>
      <c r="C1668" s="47">
        <f>INT($C$29)+2</f>
        <v>3</v>
      </c>
      <c r="D1668" s="73"/>
      <c r="E1668" s="70"/>
      <c r="F1668" s="70" t="s">
        <v>2476</v>
      </c>
      <c r="G1668" s="73"/>
      <c r="H1668" s="76" t="s">
        <v>3361</v>
      </c>
      <c r="I1668" s="76"/>
      <c r="J1668" s="76"/>
      <c r="K1668" s="76"/>
      <c r="L1668" s="76"/>
      <c r="M1668" s="76"/>
      <c r="N1668" s="76"/>
      <c r="O1668" s="76"/>
      <c r="P1668" s="76"/>
      <c r="Q1668" s="76"/>
      <c r="R1668" s="76"/>
      <c r="S1668" s="76"/>
      <c r="T1668" s="76"/>
      <c r="U1668" s="97">
        <v>-9.8000000000000004E-2</v>
      </c>
      <c r="V1668" s="255">
        <f t="shared" ref="V1668:V1682" si="367">U1668</f>
        <v>-9.8000000000000004E-2</v>
      </c>
      <c r="W1668" s="255">
        <f t="shared" si="365"/>
        <v>-9.8000000000000004E-2</v>
      </c>
      <c r="X1668" s="255">
        <f t="shared" si="365"/>
        <v>-9.8000000000000004E-2</v>
      </c>
      <c r="Y1668" s="255">
        <f>V1668</f>
        <v>-9.8000000000000004E-2</v>
      </c>
      <c r="Z1668" s="255">
        <f>AA1668</f>
        <v>-3.9480000000000001E-2</v>
      </c>
      <c r="AA1668" s="97">
        <v>-3.9480000000000001E-2</v>
      </c>
      <c r="AB1668" s="255">
        <f t="shared" si="366"/>
        <v>-3.9480000000000001E-2</v>
      </c>
      <c r="AC1668" s="255">
        <f t="shared" si="366"/>
        <v>-3.9480000000000001E-2</v>
      </c>
      <c r="AD1668" s="255">
        <f t="shared" si="366"/>
        <v>-3.9480000000000001E-2</v>
      </c>
      <c r="AE1668" s="76"/>
      <c r="AF1668" s="97" t="s">
        <v>2824</v>
      </c>
      <c r="AG1668" s="76"/>
      <c r="AH1668" s="97">
        <v>1</v>
      </c>
      <c r="AI1668" s="97">
        <v>1</v>
      </c>
      <c r="AJ1668" s="73"/>
      <c r="AK1668" s="57"/>
      <c r="AL1668" s="45"/>
      <c r="AM1668" s="45"/>
      <c r="AN1668" s="45"/>
    </row>
    <row r="1669" spans="1:40" hidden="1" outlineLevel="2" collapsed="1" x14ac:dyDescent="0.2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7"/>
        <v>0</v>
      </c>
      <c r="W1669" s="255">
        <f t="shared" si="365"/>
        <v>0</v>
      </c>
      <c r="X1669" s="255">
        <f t="shared" si="365"/>
        <v>0</v>
      </c>
      <c r="Y1669" s="255">
        <f>V1669</f>
        <v>0</v>
      </c>
      <c r="Z1669" s="255">
        <f>AA1669</f>
        <v>0</v>
      </c>
      <c r="AA1669" s="97">
        <v>0</v>
      </c>
      <c r="AB1669" s="255">
        <f t="shared" si="366"/>
        <v>0</v>
      </c>
      <c r="AC1669" s="255">
        <f t="shared" si="366"/>
        <v>0</v>
      </c>
      <c r="AD1669" s="255">
        <f t="shared" si="366"/>
        <v>0</v>
      </c>
      <c r="AE1669" s="76"/>
      <c r="AF1669" s="76"/>
      <c r="AG1669" s="76"/>
      <c r="AH1669" s="97">
        <v>1</v>
      </c>
      <c r="AI1669" s="97">
        <v>1</v>
      </c>
      <c r="AJ1669" s="73"/>
      <c r="AK1669" s="57"/>
      <c r="AL1669" s="45"/>
      <c r="AM1669" s="45"/>
      <c r="AN1669" s="45"/>
    </row>
    <row r="1670" spans="1:40" hidden="1" outlineLevel="3" collapsed="1" x14ac:dyDescent="0.25">
      <c r="A1670" s="45"/>
      <c r="B1670" s="54"/>
      <c r="C1670" s="47">
        <f t="shared" ref="C1670:C1681" si="368">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7"/>
        <v>0</v>
      </c>
      <c r="W1670" s="255">
        <f t="shared" si="365"/>
        <v>0</v>
      </c>
      <c r="X1670" s="255">
        <f t="shared" si="365"/>
        <v>0</v>
      </c>
      <c r="Y1670" s="255">
        <f>V1670</f>
        <v>0</v>
      </c>
      <c r="Z1670" s="255">
        <f>AA1670</f>
        <v>0</v>
      </c>
      <c r="AA1670" s="97">
        <v>0</v>
      </c>
      <c r="AB1670" s="255">
        <f t="shared" si="366"/>
        <v>0</v>
      </c>
      <c r="AC1670" s="255">
        <f t="shared" si="366"/>
        <v>0</v>
      </c>
      <c r="AD1670" s="255">
        <f t="shared" si="366"/>
        <v>0</v>
      </c>
      <c r="AE1670" s="76"/>
      <c r="AF1670" s="76"/>
      <c r="AG1670" s="76"/>
      <c r="AH1670" s="97">
        <v>1</v>
      </c>
      <c r="AI1670" s="97">
        <v>1</v>
      </c>
      <c r="AJ1670" s="73"/>
      <c r="AK1670" s="57"/>
      <c r="AL1670" s="45"/>
      <c r="AM1670" s="45"/>
      <c r="AN1670" s="45"/>
    </row>
    <row r="1671" spans="1:40" hidden="1" outlineLevel="3" x14ac:dyDescent="0.25">
      <c r="A1671" s="45"/>
      <c r="B1671" s="54"/>
      <c r="C1671" s="47">
        <f t="shared" si="368"/>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7"/>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hidden="1" outlineLevel="2" collapsed="1" x14ac:dyDescent="0.25">
      <c r="A1672" s="45"/>
      <c r="B1672" s="54"/>
      <c r="C1672" s="47">
        <f t="shared" si="368"/>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7"/>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25">
      <c r="A1673" s="45"/>
      <c r="B1673" s="54"/>
      <c r="C1673" s="47">
        <f t="shared" si="368"/>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7"/>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hidden="1" outlineLevel="2" collapsed="1" x14ac:dyDescent="0.25">
      <c r="A1674" s="45"/>
      <c r="B1674" s="54"/>
      <c r="C1674" s="47">
        <f t="shared" si="368"/>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7"/>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25">
      <c r="A1675" s="45"/>
      <c r="B1675" s="54"/>
      <c r="C1675" s="47">
        <f t="shared" si="368"/>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7"/>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hidden="1" outlineLevel="2" x14ac:dyDescent="0.25">
      <c r="A1676" s="45"/>
      <c r="B1676" s="54"/>
      <c r="C1676" s="47">
        <f t="shared" si="368"/>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7"/>
        <v>0.05</v>
      </c>
      <c r="W1676" s="255">
        <f t="shared" ref="W1676:W1682" si="369">U1676</f>
        <v>0.05</v>
      </c>
      <c r="X1676" s="255">
        <f t="shared" ref="X1676:X1682" si="370">V1676</f>
        <v>0.05</v>
      </c>
      <c r="Y1676" s="255">
        <f>V1676</f>
        <v>0.05</v>
      </c>
      <c r="Z1676" s="255">
        <f>AA1676</f>
        <v>0</v>
      </c>
      <c r="AA1676" s="97">
        <v>0</v>
      </c>
      <c r="AB1676" s="255">
        <f t="shared" ref="AB1676:AB1682" si="371">AA1676</f>
        <v>0</v>
      </c>
      <c r="AC1676" s="255">
        <f t="shared" ref="AC1676:AC1682" si="372">AB1676</f>
        <v>0</v>
      </c>
      <c r="AD1676" s="255">
        <f t="shared" ref="AD1676:AD1682" si="373">AC1676</f>
        <v>0</v>
      </c>
      <c r="AE1676" s="76"/>
      <c r="AF1676" s="76"/>
      <c r="AG1676" s="76"/>
      <c r="AH1676" s="76">
        <v>1</v>
      </c>
      <c r="AI1676" s="76">
        <v>1</v>
      </c>
      <c r="AJ1676" s="73"/>
      <c r="AK1676" s="57"/>
      <c r="AL1676" s="45"/>
      <c r="AM1676" s="45"/>
      <c r="AN1676" s="45"/>
    </row>
    <row r="1677" spans="1:40" hidden="1" outlineLevel="2" x14ac:dyDescent="0.25">
      <c r="A1677" s="45"/>
      <c r="B1677" s="54"/>
      <c r="C1677" s="47">
        <f t="shared" si="368"/>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7"/>
        <v>-9.3500000000000007E-3</v>
      </c>
      <c r="W1677" s="255">
        <f t="shared" si="369"/>
        <v>-9.3500000000000007E-3</v>
      </c>
      <c r="X1677" s="255">
        <f t="shared" si="370"/>
        <v>-9.3500000000000007E-3</v>
      </c>
      <c r="Y1677" s="255">
        <f>V1677</f>
        <v>-9.3500000000000007E-3</v>
      </c>
      <c r="Z1677" s="255">
        <f>AA1677</f>
        <v>-9.3500000000000007E-3</v>
      </c>
      <c r="AA1677" s="97">
        <v>-9.3500000000000007E-3</v>
      </c>
      <c r="AB1677" s="255">
        <f t="shared" si="371"/>
        <v>-9.3500000000000007E-3</v>
      </c>
      <c r="AC1677" s="255">
        <f t="shared" si="372"/>
        <v>-9.3500000000000007E-3</v>
      </c>
      <c r="AD1677" s="255">
        <f t="shared" si="373"/>
        <v>-9.3500000000000007E-3</v>
      </c>
      <c r="AE1677" s="76"/>
      <c r="AF1677" s="76"/>
      <c r="AG1677" s="76"/>
      <c r="AH1677" s="76">
        <v>1</v>
      </c>
      <c r="AI1677" s="76">
        <v>1</v>
      </c>
      <c r="AJ1677" s="73"/>
      <c r="AK1677" s="57"/>
      <c r="AL1677" s="45"/>
      <c r="AM1677" s="45"/>
      <c r="AN1677" s="45"/>
    </row>
    <row r="1678" spans="1:40" hidden="1" outlineLevel="2" x14ac:dyDescent="0.25">
      <c r="A1678" s="45"/>
      <c r="B1678" s="54"/>
      <c r="C1678" s="47">
        <f t="shared" si="368"/>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7"/>
        <v>-7.0369200000000003E-3</v>
      </c>
      <c r="W1678" s="255">
        <f t="shared" si="369"/>
        <v>-7.0369200000000003E-3</v>
      </c>
      <c r="X1678" s="255">
        <f t="shared" si="370"/>
        <v>-7.0369200000000003E-3</v>
      </c>
      <c r="Y1678" s="255">
        <f>V1678</f>
        <v>-7.0369200000000003E-3</v>
      </c>
      <c r="Z1678" s="255">
        <f>AA1678</f>
        <v>-7.0369200000000003E-3</v>
      </c>
      <c r="AA1678" s="97">
        <v>-7.0369200000000003E-3</v>
      </c>
      <c r="AB1678" s="255">
        <f t="shared" si="371"/>
        <v>-7.0369200000000003E-3</v>
      </c>
      <c r="AC1678" s="255">
        <f t="shared" si="372"/>
        <v>-7.0369200000000003E-3</v>
      </c>
      <c r="AD1678" s="255">
        <f t="shared" si="373"/>
        <v>-7.0369200000000003E-3</v>
      </c>
      <c r="AE1678" s="76"/>
      <c r="AF1678" s="76"/>
      <c r="AG1678" s="76"/>
      <c r="AH1678" s="76">
        <v>1</v>
      </c>
      <c r="AI1678" s="76">
        <v>1</v>
      </c>
      <c r="AJ1678" s="73"/>
      <c r="AK1678" s="57"/>
      <c r="AL1678" s="45"/>
      <c r="AM1678" s="45"/>
      <c r="AN1678" s="45"/>
    </row>
    <row r="1679" spans="1:40" hidden="1" outlineLevel="2" x14ac:dyDescent="0.25">
      <c r="A1679" s="45"/>
      <c r="B1679" s="54"/>
      <c r="C1679" s="47">
        <f t="shared" si="368"/>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7"/>
        <v>7.4569999999999999E-5</v>
      </c>
      <c r="W1679" s="255">
        <f t="shared" si="369"/>
        <v>7.4569999999999999E-5</v>
      </c>
      <c r="X1679" s="255">
        <f t="shared" si="370"/>
        <v>7.4569999999999999E-5</v>
      </c>
      <c r="Y1679" s="255">
        <f>V1679</f>
        <v>7.4569999999999999E-5</v>
      </c>
      <c r="Z1679" s="255">
        <f>AA1679</f>
        <v>7.4569999999999999E-5</v>
      </c>
      <c r="AA1679" s="97">
        <v>7.4569999999999999E-5</v>
      </c>
      <c r="AB1679" s="255">
        <f t="shared" si="371"/>
        <v>7.4569999999999999E-5</v>
      </c>
      <c r="AC1679" s="255">
        <f t="shared" si="372"/>
        <v>7.4569999999999999E-5</v>
      </c>
      <c r="AD1679" s="255">
        <f t="shared" si="373"/>
        <v>7.4569999999999999E-5</v>
      </c>
      <c r="AE1679" s="76"/>
      <c r="AF1679" s="76"/>
      <c r="AG1679" s="76"/>
      <c r="AH1679" s="76">
        <v>1</v>
      </c>
      <c r="AI1679" s="76">
        <v>1</v>
      </c>
      <c r="AJ1679" s="73"/>
      <c r="AK1679" s="57"/>
      <c r="AL1679" s="45"/>
      <c r="AM1679" s="45"/>
      <c r="AN1679" s="45"/>
    </row>
    <row r="1680" spans="1:40" hidden="1" outlineLevel="2" x14ac:dyDescent="0.25">
      <c r="A1680" s="45"/>
      <c r="B1680" s="54"/>
      <c r="C1680" s="47">
        <f t="shared" si="368"/>
        <v>4</v>
      </c>
      <c r="D1680" s="73"/>
      <c r="E1680" s="70"/>
      <c r="F1680" s="70" t="s">
        <v>3368</v>
      </c>
      <c r="G1680" s="73"/>
      <c r="H1680" s="378" t="s">
        <v>3365</v>
      </c>
      <c r="I1680" s="96"/>
      <c r="J1680" s="76"/>
      <c r="K1680" s="76"/>
      <c r="L1680" s="76"/>
      <c r="M1680" s="76"/>
      <c r="N1680" s="76"/>
      <c r="O1680" s="76"/>
      <c r="P1680" s="76"/>
      <c r="Q1680" s="76"/>
      <c r="R1680" s="76"/>
      <c r="S1680" s="76"/>
      <c r="T1680" s="76"/>
      <c r="U1680" s="97">
        <v>0</v>
      </c>
      <c r="V1680" s="255">
        <f t="shared" si="367"/>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hidden="1" outlineLevel="2" x14ac:dyDescent="0.25">
      <c r="A1681" s="45"/>
      <c r="B1681" s="54"/>
      <c r="C1681" s="47">
        <f t="shared" si="368"/>
        <v>4</v>
      </c>
      <c r="D1681" s="73"/>
      <c r="E1681" s="70"/>
      <c r="F1681" s="70" t="s">
        <v>3369</v>
      </c>
      <c r="G1681" s="73"/>
      <c r="H1681" s="378" t="s">
        <v>3364</v>
      </c>
      <c r="I1681" s="96"/>
      <c r="J1681" s="76"/>
      <c r="K1681" s="76"/>
      <c r="L1681" s="76"/>
      <c r="M1681" s="76"/>
      <c r="N1681" s="76"/>
      <c r="O1681" s="76"/>
      <c r="P1681" s="76"/>
      <c r="Q1681" s="76"/>
      <c r="R1681" s="76"/>
      <c r="S1681" s="76"/>
      <c r="T1681" s="76"/>
      <c r="U1681" s="97">
        <v>0</v>
      </c>
      <c r="V1681" s="255">
        <f t="shared" si="367"/>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hidden="1" outlineLevel="2" x14ac:dyDescent="0.2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7"/>
        <v>-1.8110552</v>
      </c>
      <c r="W1682" s="255">
        <f t="shared" si="369"/>
        <v>-1.8110552</v>
      </c>
      <c r="X1682" s="255">
        <f t="shared" si="370"/>
        <v>-1.8110552</v>
      </c>
      <c r="Y1682" s="255">
        <f>V1682</f>
        <v>-1.8110552</v>
      </c>
      <c r="Z1682" s="255">
        <f>AA1682</f>
        <v>-0.49941732500000002</v>
      </c>
      <c r="AA1682" s="97">
        <v>-0.49941732500000002</v>
      </c>
      <c r="AB1682" s="255">
        <f t="shared" si="371"/>
        <v>-0.49941732500000002</v>
      </c>
      <c r="AC1682" s="255">
        <f t="shared" si="372"/>
        <v>-0.49941732500000002</v>
      </c>
      <c r="AD1682" s="255">
        <f t="shared" si="373"/>
        <v>-0.49941732500000002</v>
      </c>
      <c r="AE1682" s="76"/>
      <c r="AF1682" s="97" t="s">
        <v>2757</v>
      </c>
      <c r="AG1682" s="76"/>
      <c r="AH1682" s="97">
        <v>1</v>
      </c>
      <c r="AI1682" s="97">
        <v>1</v>
      </c>
      <c r="AJ1682" s="73"/>
      <c r="AK1682" s="57"/>
      <c r="AL1682" s="45"/>
      <c r="AM1682" s="45"/>
      <c r="AN1682" s="45"/>
    </row>
    <row r="1683" spans="1:40" hidden="1" outlineLevel="2" x14ac:dyDescent="0.25">
      <c r="A1683" s="45"/>
      <c r="B1683" s="54"/>
      <c r="C1683" s="47">
        <f>INT($C$29)+2</f>
        <v>3</v>
      </c>
      <c r="D1683" s="73"/>
      <c r="E1683" s="70"/>
      <c r="F1683" s="70" t="s">
        <v>3339</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5"/>
        <v>-9.8000000000000004E-2</v>
      </c>
      <c r="X1683" s="255">
        <f t="shared" si="365"/>
        <v>-9.8000000000000004E-2</v>
      </c>
      <c r="Y1683" s="255">
        <f>V1683</f>
        <v>-9.8000000000000004E-2</v>
      </c>
      <c r="Z1683" s="255">
        <f>AA1683</f>
        <v>-3.9480000000000001E-2</v>
      </c>
      <c r="AA1683" s="97">
        <v>-3.9480000000000001E-2</v>
      </c>
      <c r="AB1683" s="255">
        <f t="shared" si="366"/>
        <v>-3.9480000000000001E-2</v>
      </c>
      <c r="AC1683" s="255">
        <f t="shared" si="366"/>
        <v>-3.9480000000000001E-2</v>
      </c>
      <c r="AD1683" s="255">
        <f t="shared" si="366"/>
        <v>-3.9480000000000001E-2</v>
      </c>
      <c r="AE1683" s="76"/>
      <c r="AF1683" s="97" t="s">
        <v>2824</v>
      </c>
      <c r="AG1683" s="76"/>
      <c r="AH1683" s="97">
        <v>1</v>
      </c>
      <c r="AI1683" s="97">
        <v>1</v>
      </c>
      <c r="AJ1683" s="73"/>
      <c r="AK1683" s="57"/>
      <c r="AL1683" s="45"/>
      <c r="AM1683" s="45"/>
      <c r="AN1683" s="45"/>
    </row>
    <row r="1684" spans="1:40" hidden="1" outlineLevel="2" collapsed="1" x14ac:dyDescent="0.25">
      <c r="A1684" s="45"/>
      <c r="B1684" s="54"/>
      <c r="C1684" s="47">
        <f>INT($C$29)+2</f>
        <v>3</v>
      </c>
      <c r="D1684" s="73"/>
      <c r="E1684" s="70"/>
      <c r="F1684" s="70" t="s">
        <v>3341</v>
      </c>
      <c r="G1684" s="73"/>
      <c r="H1684" s="76" t="s">
        <v>2500</v>
      </c>
      <c r="I1684" s="76"/>
      <c r="J1684" s="76"/>
      <c r="K1684" s="76"/>
      <c r="L1684" s="76"/>
      <c r="M1684" s="76"/>
      <c r="N1684" s="76"/>
      <c r="O1684" s="76"/>
      <c r="P1684" s="76"/>
      <c r="Q1684" s="76"/>
      <c r="R1684" s="76"/>
      <c r="S1684" s="76"/>
      <c r="T1684" s="76"/>
      <c r="U1684" s="97">
        <v>0</v>
      </c>
      <c r="V1684" s="255">
        <f>U1684</f>
        <v>0</v>
      </c>
      <c r="W1684" s="255">
        <f t="shared" si="365"/>
        <v>0</v>
      </c>
      <c r="X1684" s="255">
        <f t="shared" si="365"/>
        <v>0</v>
      </c>
      <c r="Y1684" s="255">
        <f>V1684</f>
        <v>0</v>
      </c>
      <c r="Z1684" s="255">
        <f>AA1684</f>
        <v>0</v>
      </c>
      <c r="AA1684" s="97">
        <v>0</v>
      </c>
      <c r="AB1684" s="255">
        <f t="shared" si="366"/>
        <v>0</v>
      </c>
      <c r="AC1684" s="255">
        <f t="shared" si="366"/>
        <v>0</v>
      </c>
      <c r="AD1684" s="255">
        <f t="shared" si="366"/>
        <v>0</v>
      </c>
      <c r="AE1684" s="76"/>
      <c r="AF1684" s="76"/>
      <c r="AG1684" s="76"/>
      <c r="AH1684" s="97">
        <v>1</v>
      </c>
      <c r="AI1684" s="97">
        <v>1</v>
      </c>
      <c r="AJ1684" s="73"/>
      <c r="AK1684" s="57"/>
      <c r="AL1684" s="45"/>
      <c r="AM1684" s="45"/>
      <c r="AN1684" s="45"/>
    </row>
    <row r="1685" spans="1:40" hidden="1" outlineLevel="3" collapsed="1" x14ac:dyDescent="0.25">
      <c r="A1685" s="45"/>
      <c r="B1685" s="54"/>
      <c r="C1685" s="47">
        <f t="shared" ref="C1685:C1696" si="374">INT($C$29)+3</f>
        <v>4</v>
      </c>
      <c r="D1685" s="73"/>
      <c r="E1685" s="70"/>
      <c r="F1685" s="70" t="s">
        <v>3340</v>
      </c>
      <c r="G1685" s="73"/>
      <c r="H1685" s="378" t="s">
        <v>2501</v>
      </c>
      <c r="I1685" s="76"/>
      <c r="J1685" s="76"/>
      <c r="K1685" s="76"/>
      <c r="L1685" s="76"/>
      <c r="M1685" s="76"/>
      <c r="N1685" s="76"/>
      <c r="O1685" s="76"/>
      <c r="P1685" s="76"/>
      <c r="Q1685" s="76"/>
      <c r="R1685" s="76"/>
      <c r="S1685" s="76"/>
      <c r="T1685" s="76"/>
      <c r="U1685" s="97">
        <v>0</v>
      </c>
      <c r="V1685" s="255">
        <f>U1685</f>
        <v>0</v>
      </c>
      <c r="W1685" s="255">
        <f t="shared" si="365"/>
        <v>0</v>
      </c>
      <c r="X1685" s="255">
        <f t="shared" si="365"/>
        <v>0</v>
      </c>
      <c r="Y1685" s="255">
        <f>V1685</f>
        <v>0</v>
      </c>
      <c r="Z1685" s="255">
        <f>AA1685</f>
        <v>0</v>
      </c>
      <c r="AA1685" s="97">
        <v>0</v>
      </c>
      <c r="AB1685" s="255">
        <f t="shared" si="366"/>
        <v>0</v>
      </c>
      <c r="AC1685" s="255">
        <f t="shared" si="366"/>
        <v>0</v>
      </c>
      <c r="AD1685" s="255">
        <f t="shared" si="366"/>
        <v>0</v>
      </c>
      <c r="AE1685" s="76"/>
      <c r="AF1685" s="76"/>
      <c r="AG1685" s="76"/>
      <c r="AH1685" s="97">
        <v>1</v>
      </c>
      <c r="AI1685" s="97">
        <v>1</v>
      </c>
      <c r="AJ1685" s="73"/>
      <c r="AK1685" s="57"/>
      <c r="AL1685" s="45"/>
      <c r="AM1685" s="45"/>
      <c r="AN1685" s="45"/>
    </row>
    <row r="1686" spans="1:40" hidden="1" outlineLevel="3" x14ac:dyDescent="0.25">
      <c r="A1686" s="45"/>
      <c r="B1686" s="54"/>
      <c r="C1686" s="47">
        <f t="shared" si="374"/>
        <v>4</v>
      </c>
      <c r="D1686" s="73"/>
      <c r="E1686" s="70"/>
      <c r="F1686" s="70" t="s">
        <v>3342</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hidden="1" outlineLevel="2" collapsed="1" x14ac:dyDescent="0.25">
      <c r="A1687" s="45"/>
      <c r="B1687" s="54"/>
      <c r="C1687" s="47">
        <f t="shared" si="374"/>
        <v>4</v>
      </c>
      <c r="D1687" s="73"/>
      <c r="E1687" s="70"/>
      <c r="F1687" s="70" t="s">
        <v>3343</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25">
      <c r="A1688" s="45"/>
      <c r="B1688" s="54"/>
      <c r="C1688" s="47">
        <f t="shared" si="374"/>
        <v>4</v>
      </c>
      <c r="D1688" s="73"/>
      <c r="E1688" s="70"/>
      <c r="F1688" s="70" t="s">
        <v>3344</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hidden="1" outlineLevel="2" collapsed="1" x14ac:dyDescent="0.25">
      <c r="A1689" s="45"/>
      <c r="B1689" s="54"/>
      <c r="C1689" s="47">
        <f t="shared" si="374"/>
        <v>4</v>
      </c>
      <c r="D1689" s="73"/>
      <c r="E1689" s="70"/>
      <c r="F1689" s="70" t="s">
        <v>3345</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25">
      <c r="A1690" s="45"/>
      <c r="B1690" s="54"/>
      <c r="C1690" s="47">
        <f t="shared" si="374"/>
        <v>4</v>
      </c>
      <c r="D1690" s="73"/>
      <c r="E1690" s="70"/>
      <c r="F1690" s="70" t="s">
        <v>3346</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hidden="1" outlineLevel="2" x14ac:dyDescent="0.25">
      <c r="A1691" s="45"/>
      <c r="B1691" s="54"/>
      <c r="C1691" s="47">
        <f t="shared" si="374"/>
        <v>4</v>
      </c>
      <c r="D1691" s="73"/>
      <c r="E1691" s="70"/>
      <c r="F1691" s="70" t="s">
        <v>3347</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5">U1691</f>
        <v>0.05</v>
      </c>
      <c r="X1691" s="255">
        <f t="shared" si="375"/>
        <v>0.05</v>
      </c>
      <c r="Y1691" s="255">
        <f>V1691</f>
        <v>0.05</v>
      </c>
      <c r="Z1691" s="255">
        <f>AA1691</f>
        <v>0</v>
      </c>
      <c r="AA1691" s="97">
        <v>0</v>
      </c>
      <c r="AB1691" s="255">
        <f t="shared" ref="AB1691:AD1700" si="376">AA1691</f>
        <v>0</v>
      </c>
      <c r="AC1691" s="255">
        <f t="shared" si="376"/>
        <v>0</v>
      </c>
      <c r="AD1691" s="255">
        <f t="shared" si="376"/>
        <v>0</v>
      </c>
      <c r="AE1691" s="76"/>
      <c r="AF1691" s="76"/>
      <c r="AG1691" s="76"/>
      <c r="AH1691" s="76">
        <v>1</v>
      </c>
      <c r="AI1691" s="76">
        <v>1</v>
      </c>
      <c r="AJ1691" s="73"/>
      <c r="AK1691" s="57"/>
      <c r="AL1691" s="45"/>
      <c r="AM1691" s="45"/>
      <c r="AN1691" s="45"/>
    </row>
    <row r="1692" spans="1:40" hidden="1" outlineLevel="2" x14ac:dyDescent="0.25">
      <c r="A1692" s="45"/>
      <c r="B1692" s="54"/>
      <c r="C1692" s="47">
        <f t="shared" si="374"/>
        <v>4</v>
      </c>
      <c r="D1692" s="73"/>
      <c r="E1692" s="70"/>
      <c r="F1692" s="70" t="s">
        <v>3348</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5"/>
        <v>-9.3500000000000007E-3</v>
      </c>
      <c r="X1692" s="255">
        <f t="shared" si="375"/>
        <v>-9.3500000000000007E-3</v>
      </c>
      <c r="Y1692" s="255">
        <f>V1692</f>
        <v>-9.3500000000000007E-3</v>
      </c>
      <c r="Z1692" s="255">
        <f>AA1692</f>
        <v>-9.3500000000000007E-3</v>
      </c>
      <c r="AA1692" s="97">
        <v>-9.3500000000000007E-3</v>
      </c>
      <c r="AB1692" s="255">
        <f t="shared" si="376"/>
        <v>-9.3500000000000007E-3</v>
      </c>
      <c r="AC1692" s="255">
        <f t="shared" si="376"/>
        <v>-9.3500000000000007E-3</v>
      </c>
      <c r="AD1692" s="255">
        <f t="shared" si="376"/>
        <v>-9.3500000000000007E-3</v>
      </c>
      <c r="AE1692" s="76"/>
      <c r="AF1692" s="76"/>
      <c r="AG1692" s="76"/>
      <c r="AH1692" s="76">
        <v>1</v>
      </c>
      <c r="AI1692" s="76">
        <v>1</v>
      </c>
      <c r="AJ1692" s="73"/>
      <c r="AK1692" s="57"/>
      <c r="AL1692" s="45"/>
      <c r="AM1692" s="45"/>
      <c r="AN1692" s="45"/>
    </row>
    <row r="1693" spans="1:40" hidden="1" outlineLevel="2" x14ac:dyDescent="0.25">
      <c r="A1693" s="45"/>
      <c r="B1693" s="54"/>
      <c r="C1693" s="47">
        <f t="shared" si="374"/>
        <v>4</v>
      </c>
      <c r="D1693" s="73"/>
      <c r="E1693" s="70"/>
      <c r="F1693" s="70" t="s">
        <v>3349</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5"/>
        <v>-7.0369200000000003E-3</v>
      </c>
      <c r="X1693" s="255">
        <f t="shared" si="375"/>
        <v>-7.0369200000000003E-3</v>
      </c>
      <c r="Y1693" s="255">
        <f>V1693</f>
        <v>-7.0369200000000003E-3</v>
      </c>
      <c r="Z1693" s="255">
        <f>AA1693</f>
        <v>-7.0369200000000003E-3</v>
      </c>
      <c r="AA1693" s="97">
        <v>-7.0369200000000003E-3</v>
      </c>
      <c r="AB1693" s="255">
        <f t="shared" si="376"/>
        <v>-7.0369200000000003E-3</v>
      </c>
      <c r="AC1693" s="255">
        <f t="shared" si="376"/>
        <v>-7.0369200000000003E-3</v>
      </c>
      <c r="AD1693" s="255">
        <f t="shared" si="376"/>
        <v>-7.0369200000000003E-3</v>
      </c>
      <c r="AE1693" s="76"/>
      <c r="AF1693" s="76"/>
      <c r="AG1693" s="76"/>
      <c r="AH1693" s="76">
        <v>1</v>
      </c>
      <c r="AI1693" s="76">
        <v>1</v>
      </c>
      <c r="AJ1693" s="73"/>
      <c r="AK1693" s="57"/>
      <c r="AL1693" s="45"/>
      <c r="AM1693" s="45"/>
      <c r="AN1693" s="45"/>
    </row>
    <row r="1694" spans="1:40" hidden="1" outlineLevel="2" x14ac:dyDescent="0.25">
      <c r="A1694" s="45"/>
      <c r="B1694" s="54"/>
      <c r="C1694" s="47">
        <f t="shared" si="374"/>
        <v>4</v>
      </c>
      <c r="D1694" s="73"/>
      <c r="E1694" s="70"/>
      <c r="F1694" s="70" t="s">
        <v>3350</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5"/>
        <v>7.4569999999999999E-5</v>
      </c>
      <c r="X1694" s="255">
        <f t="shared" si="375"/>
        <v>7.4569999999999999E-5</v>
      </c>
      <c r="Y1694" s="255">
        <f>V1694</f>
        <v>7.4569999999999999E-5</v>
      </c>
      <c r="Z1694" s="255">
        <f>AA1694</f>
        <v>7.4569999999999999E-5</v>
      </c>
      <c r="AA1694" s="97">
        <v>7.4569999999999999E-5</v>
      </c>
      <c r="AB1694" s="255">
        <f t="shared" si="376"/>
        <v>7.4569999999999999E-5</v>
      </c>
      <c r="AC1694" s="255">
        <f t="shared" si="376"/>
        <v>7.4569999999999999E-5</v>
      </c>
      <c r="AD1694" s="255">
        <f t="shared" si="376"/>
        <v>7.4569999999999999E-5</v>
      </c>
      <c r="AE1694" s="76"/>
      <c r="AF1694" s="76"/>
      <c r="AG1694" s="76"/>
      <c r="AH1694" s="76">
        <v>1</v>
      </c>
      <c r="AI1694" s="76">
        <v>1</v>
      </c>
      <c r="AJ1694" s="73"/>
      <c r="AK1694" s="57"/>
      <c r="AL1694" s="45"/>
      <c r="AM1694" s="45"/>
      <c r="AN1694" s="45"/>
    </row>
    <row r="1695" spans="1:40" hidden="1" outlineLevel="2" x14ac:dyDescent="0.25">
      <c r="A1695" s="45"/>
      <c r="B1695" s="54"/>
      <c r="C1695" s="47">
        <f t="shared" si="374"/>
        <v>4</v>
      </c>
      <c r="D1695" s="73"/>
      <c r="E1695" s="70"/>
      <c r="F1695" s="70" t="s">
        <v>3362</v>
      </c>
      <c r="G1695" s="73"/>
      <c r="H1695" s="378" t="s">
        <v>3365</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hidden="1" outlineLevel="2" x14ac:dyDescent="0.25">
      <c r="A1696" s="45"/>
      <c r="B1696" s="54"/>
      <c r="C1696" s="47">
        <f t="shared" si="374"/>
        <v>4</v>
      </c>
      <c r="D1696" s="73"/>
      <c r="E1696" s="70"/>
      <c r="F1696" s="70" t="s">
        <v>3363</v>
      </c>
      <c r="G1696" s="73"/>
      <c r="H1696" s="378" t="s">
        <v>3364</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hidden="1" outlineLevel="2" x14ac:dyDescent="0.25">
      <c r="A1697" s="45"/>
      <c r="B1697" s="54"/>
      <c r="C1697" s="47">
        <f>INT($C$29)+2</f>
        <v>3</v>
      </c>
      <c r="D1697" s="73"/>
      <c r="E1697" s="70"/>
      <c r="F1697" s="70" t="s">
        <v>3351</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5"/>
        <v>-1.8110552</v>
      </c>
      <c r="X1697" s="255">
        <f t="shared" si="375"/>
        <v>-1.8110552</v>
      </c>
      <c r="Y1697" s="255">
        <f>V1697</f>
        <v>-1.8110552</v>
      </c>
      <c r="Z1697" s="255">
        <f>AA1697</f>
        <v>-0.49941732500000002</v>
      </c>
      <c r="AA1697" s="97">
        <v>-0.49941732500000002</v>
      </c>
      <c r="AB1697" s="255">
        <f t="shared" si="376"/>
        <v>-0.49941732500000002</v>
      </c>
      <c r="AC1697" s="255">
        <f t="shared" si="376"/>
        <v>-0.49941732500000002</v>
      </c>
      <c r="AD1697" s="255">
        <f t="shared" si="376"/>
        <v>-0.49941732500000002</v>
      </c>
      <c r="AE1697" s="76"/>
      <c r="AF1697" s="97" t="s">
        <v>3402</v>
      </c>
      <c r="AG1697" s="76"/>
      <c r="AH1697" s="97">
        <v>1</v>
      </c>
      <c r="AI1697" s="97">
        <v>1</v>
      </c>
      <c r="AJ1697" s="73"/>
      <c r="AK1697" s="57"/>
      <c r="AL1697" s="45"/>
      <c r="AM1697" s="45"/>
      <c r="AN1697" s="45"/>
    </row>
    <row r="1698" spans="1:40" hidden="1" outlineLevel="2" x14ac:dyDescent="0.25">
      <c r="A1698" s="45"/>
      <c r="B1698" s="54"/>
      <c r="C1698" s="47">
        <f>INT($C$29)+2</f>
        <v>3</v>
      </c>
      <c r="D1698" s="73"/>
      <c r="E1698" s="70"/>
      <c r="F1698" s="70" t="s">
        <v>3391</v>
      </c>
      <c r="G1698" s="73"/>
      <c r="H1698" s="76" t="s">
        <v>3400</v>
      </c>
      <c r="I1698" s="76"/>
      <c r="J1698" s="76"/>
      <c r="K1698" s="76"/>
      <c r="L1698" s="76"/>
      <c r="M1698" s="76"/>
      <c r="N1698" s="76"/>
      <c r="O1698" s="76"/>
      <c r="P1698" s="76"/>
      <c r="Q1698" s="76"/>
      <c r="R1698" s="76"/>
      <c r="S1698" s="76"/>
      <c r="T1698" s="76"/>
      <c r="U1698" s="97">
        <v>1.034</v>
      </c>
      <c r="V1698" s="255">
        <f>U1698</f>
        <v>1.034</v>
      </c>
      <c r="W1698" s="255">
        <f t="shared" si="375"/>
        <v>1.034</v>
      </c>
      <c r="X1698" s="255">
        <f t="shared" si="375"/>
        <v>1.034</v>
      </c>
      <c r="Y1698" s="255">
        <f>V1698</f>
        <v>1.034</v>
      </c>
      <c r="Z1698" s="255">
        <f>AA1698</f>
        <v>1.034</v>
      </c>
      <c r="AA1698" s="97">
        <f>U1698</f>
        <v>1.034</v>
      </c>
      <c r="AB1698" s="255">
        <f t="shared" si="376"/>
        <v>1.034</v>
      </c>
      <c r="AC1698" s="255">
        <f t="shared" si="376"/>
        <v>1.034</v>
      </c>
      <c r="AD1698" s="255">
        <f t="shared" si="376"/>
        <v>1.034</v>
      </c>
      <c r="AE1698" s="76"/>
      <c r="AF1698" s="97" t="s">
        <v>3403</v>
      </c>
      <c r="AG1698" s="76"/>
      <c r="AH1698" s="76">
        <v>1</v>
      </c>
      <c r="AI1698" s="76">
        <v>1</v>
      </c>
      <c r="AJ1698" s="73"/>
      <c r="AK1698" s="57"/>
      <c r="AL1698" s="45"/>
      <c r="AM1698" s="45"/>
      <c r="AN1698" s="45"/>
    </row>
    <row r="1699" spans="1:40" hidden="1" outlineLevel="2" x14ac:dyDescent="0.25">
      <c r="A1699" s="45"/>
      <c r="B1699" s="54"/>
      <c r="C1699" s="47">
        <f>INT($C$29)+2</f>
        <v>3</v>
      </c>
      <c r="D1699" s="73"/>
      <c r="E1699" s="70"/>
      <c r="F1699" s="70" t="s">
        <v>3392</v>
      </c>
      <c r="G1699" s="73"/>
      <c r="H1699" s="76" t="s">
        <v>3401</v>
      </c>
      <c r="I1699" s="76"/>
      <c r="J1699" s="76"/>
      <c r="K1699" s="76"/>
      <c r="L1699" s="76"/>
      <c r="M1699" s="76"/>
      <c r="N1699" s="76"/>
      <c r="O1699" s="76"/>
      <c r="P1699" s="76"/>
      <c r="Q1699" s="76"/>
      <c r="R1699" s="76"/>
      <c r="S1699" s="76"/>
      <c r="T1699" s="76"/>
      <c r="U1699" s="97">
        <v>-7.4159999999999998E-3</v>
      </c>
      <c r="V1699" s="255">
        <f>U1699</f>
        <v>-7.4159999999999998E-3</v>
      </c>
      <c r="W1699" s="255">
        <f t="shared" si="375"/>
        <v>-7.4159999999999998E-3</v>
      </c>
      <c r="X1699" s="255">
        <f t="shared" si="375"/>
        <v>-7.4159999999999998E-3</v>
      </c>
      <c r="Y1699" s="255">
        <f>V1699</f>
        <v>-7.4159999999999998E-3</v>
      </c>
      <c r="Z1699" s="255">
        <f>AA1699</f>
        <v>-7.4159999999999998E-3</v>
      </c>
      <c r="AA1699" s="97">
        <f t="shared" ref="AA1699:AA1703" si="377">U1699</f>
        <v>-7.4159999999999998E-3</v>
      </c>
      <c r="AB1699" s="255">
        <f t="shared" si="376"/>
        <v>-7.4159999999999998E-3</v>
      </c>
      <c r="AC1699" s="255">
        <f t="shared" si="376"/>
        <v>-7.4159999999999998E-3</v>
      </c>
      <c r="AD1699" s="255">
        <f t="shared" si="376"/>
        <v>-7.4159999999999998E-3</v>
      </c>
      <c r="AE1699" s="76"/>
      <c r="AF1699" s="97" t="s">
        <v>3404</v>
      </c>
      <c r="AG1699" s="76"/>
      <c r="AH1699" s="76">
        <v>1</v>
      </c>
      <c r="AI1699" s="76">
        <v>1</v>
      </c>
      <c r="AJ1699" s="73"/>
      <c r="AK1699" s="57"/>
      <c r="AL1699" s="45"/>
      <c r="AM1699" s="45"/>
      <c r="AN1699" s="45"/>
    </row>
    <row r="1700" spans="1:40" hidden="1" outlineLevel="2" x14ac:dyDescent="0.25">
      <c r="A1700" s="45"/>
      <c r="B1700" s="54"/>
      <c r="C1700" s="47">
        <f t="shared" ref="C1700:C1711" si="378">INT($C$29)+3</f>
        <v>4</v>
      </c>
      <c r="D1700" s="73"/>
      <c r="E1700" s="70"/>
      <c r="F1700" s="70" t="s">
        <v>3393</v>
      </c>
      <c r="G1700" s="73"/>
      <c r="H1700" s="76" t="s">
        <v>3405</v>
      </c>
      <c r="I1700" s="76"/>
      <c r="J1700" s="76"/>
      <c r="K1700" s="76"/>
      <c r="L1700" s="76"/>
      <c r="M1700" s="76"/>
      <c r="N1700" s="76"/>
      <c r="O1700" s="76"/>
      <c r="P1700" s="76"/>
      <c r="Q1700" s="76"/>
      <c r="R1700" s="76"/>
      <c r="S1700" s="76"/>
      <c r="T1700" s="76"/>
      <c r="U1700" s="97">
        <v>0.24360000000000001</v>
      </c>
      <c r="V1700" s="255">
        <f>U1700</f>
        <v>0.24360000000000001</v>
      </c>
      <c r="W1700" s="255">
        <f t="shared" si="375"/>
        <v>0.24360000000000001</v>
      </c>
      <c r="X1700" s="255">
        <f t="shared" si="375"/>
        <v>0.24360000000000001</v>
      </c>
      <c r="Y1700" s="255">
        <f>V1700</f>
        <v>0.24360000000000001</v>
      </c>
      <c r="Z1700" s="255">
        <f>AA1700</f>
        <v>0.24360000000000001</v>
      </c>
      <c r="AA1700" s="97">
        <f t="shared" si="377"/>
        <v>0.24360000000000001</v>
      </c>
      <c r="AB1700" s="255">
        <f t="shared" si="376"/>
        <v>0.24360000000000001</v>
      </c>
      <c r="AC1700" s="255">
        <f t="shared" si="376"/>
        <v>0.24360000000000001</v>
      </c>
      <c r="AD1700" s="255">
        <f t="shared" si="376"/>
        <v>0.24360000000000001</v>
      </c>
      <c r="AE1700" s="76"/>
      <c r="AF1700" s="76"/>
      <c r="AG1700" s="76"/>
      <c r="AH1700" s="97">
        <v>1</v>
      </c>
      <c r="AI1700" s="97">
        <v>1</v>
      </c>
      <c r="AJ1700" s="73"/>
      <c r="AK1700" s="57"/>
      <c r="AL1700" s="45"/>
      <c r="AM1700" s="45"/>
      <c r="AN1700" s="45"/>
    </row>
    <row r="1701" spans="1:40" hidden="1" outlineLevel="2" collapsed="1" x14ac:dyDescent="0.25">
      <c r="A1701" s="45"/>
      <c r="B1701" s="54"/>
      <c r="C1701" s="47">
        <f t="shared" si="378"/>
        <v>4</v>
      </c>
      <c r="D1701" s="73"/>
      <c r="E1701" s="70"/>
      <c r="F1701" s="70" t="s">
        <v>3394</v>
      </c>
      <c r="G1701" s="73"/>
      <c r="H1701" s="76" t="s">
        <v>3406</v>
      </c>
      <c r="I1701" s="76"/>
      <c r="J1701" s="76"/>
      <c r="K1701" s="76"/>
      <c r="L1701" s="76"/>
      <c r="M1701" s="76"/>
      <c r="N1701" s="76"/>
      <c r="O1701" s="76"/>
      <c r="P1701" s="76"/>
      <c r="Q1701" s="76"/>
      <c r="R1701" s="76"/>
      <c r="S1701" s="76"/>
      <c r="T1701" s="76"/>
      <c r="U1701" s="97"/>
      <c r="V1701" s="255">
        <f t="shared" ref="V1701:V1703" si="379">U1701</f>
        <v>0</v>
      </c>
      <c r="W1701" s="255">
        <f t="shared" ref="W1701:W1703" si="380">U1701</f>
        <v>0</v>
      </c>
      <c r="X1701" s="255">
        <f t="shared" ref="X1701:X1703" si="381">V1701</f>
        <v>0</v>
      </c>
      <c r="Y1701" s="255">
        <f t="shared" ref="Y1701:Y1703" si="382">V1701</f>
        <v>0</v>
      </c>
      <c r="Z1701" s="255">
        <f t="shared" ref="Z1701:Z1703" si="383">AA1701</f>
        <v>0</v>
      </c>
      <c r="AA1701" s="97">
        <f t="shared" si="377"/>
        <v>0</v>
      </c>
      <c r="AB1701" s="255">
        <f t="shared" ref="AB1701:AB1703" si="384">AA1701</f>
        <v>0</v>
      </c>
      <c r="AC1701" s="255">
        <f t="shared" ref="AC1701:AC1703" si="385">AB1701</f>
        <v>0</v>
      </c>
      <c r="AD1701" s="255">
        <f t="shared" ref="AD1701:AD1703" si="386">AC1701</f>
        <v>0</v>
      </c>
      <c r="AE1701" s="76"/>
      <c r="AF1701" s="76"/>
      <c r="AG1701" s="76"/>
      <c r="AH1701" s="76">
        <v>1</v>
      </c>
      <c r="AI1701" s="76">
        <v>1</v>
      </c>
      <c r="AJ1701" s="73"/>
      <c r="AK1701" s="57"/>
      <c r="AL1701" s="45"/>
      <c r="AM1701" s="45"/>
      <c r="AN1701" s="45"/>
    </row>
    <row r="1702" spans="1:40" hidden="1" outlineLevel="3" x14ac:dyDescent="0.25">
      <c r="A1702" s="45"/>
      <c r="B1702" s="54"/>
      <c r="C1702" s="47">
        <f t="shared" si="378"/>
        <v>4</v>
      </c>
      <c r="D1702" s="73"/>
      <c r="E1702" s="70"/>
      <c r="F1702" s="70" t="s">
        <v>3395</v>
      </c>
      <c r="G1702" s="73"/>
      <c r="H1702" s="377" t="s">
        <v>3407</v>
      </c>
      <c r="I1702" s="76"/>
      <c r="J1702" s="76"/>
      <c r="K1702" s="76"/>
      <c r="L1702" s="76"/>
      <c r="M1702" s="76"/>
      <c r="N1702" s="76"/>
      <c r="O1702" s="76"/>
      <c r="P1702" s="76"/>
      <c r="Q1702" s="76"/>
      <c r="R1702" s="76"/>
      <c r="S1702" s="76"/>
      <c r="T1702" s="76"/>
      <c r="U1702" s="97"/>
      <c r="V1702" s="255">
        <f t="shared" si="379"/>
        <v>0</v>
      </c>
      <c r="W1702" s="255">
        <f t="shared" si="380"/>
        <v>0</v>
      </c>
      <c r="X1702" s="255">
        <f t="shared" si="381"/>
        <v>0</v>
      </c>
      <c r="Y1702" s="255">
        <f t="shared" si="382"/>
        <v>0</v>
      </c>
      <c r="Z1702" s="255">
        <f t="shared" si="383"/>
        <v>0</v>
      </c>
      <c r="AA1702" s="97">
        <f t="shared" si="377"/>
        <v>0</v>
      </c>
      <c r="AB1702" s="255">
        <f t="shared" si="384"/>
        <v>0</v>
      </c>
      <c r="AC1702" s="255">
        <f t="shared" si="385"/>
        <v>0</v>
      </c>
      <c r="AD1702" s="255">
        <f t="shared" si="386"/>
        <v>0</v>
      </c>
      <c r="AE1702" s="76"/>
      <c r="AF1702" s="76"/>
      <c r="AG1702" s="76"/>
      <c r="AH1702" s="76">
        <v>1</v>
      </c>
      <c r="AI1702" s="76">
        <v>1</v>
      </c>
      <c r="AJ1702" s="73"/>
      <c r="AK1702" s="57"/>
      <c r="AL1702" s="45"/>
      <c r="AM1702" s="45"/>
      <c r="AN1702" s="45"/>
    </row>
    <row r="1703" spans="1:40" hidden="1" outlineLevel="3" x14ac:dyDescent="0.25">
      <c r="A1703" s="45"/>
      <c r="B1703" s="54"/>
      <c r="C1703" s="47">
        <f t="shared" si="378"/>
        <v>4</v>
      </c>
      <c r="D1703" s="73"/>
      <c r="E1703" s="70"/>
      <c r="F1703" s="70" t="s">
        <v>3396</v>
      </c>
      <c r="G1703" s="73"/>
      <c r="H1703" s="377" t="s">
        <v>3408</v>
      </c>
      <c r="I1703" s="76"/>
      <c r="J1703" s="76"/>
      <c r="K1703" s="76"/>
      <c r="L1703" s="76"/>
      <c r="M1703" s="76"/>
      <c r="N1703" s="76"/>
      <c r="O1703" s="76"/>
      <c r="P1703" s="76"/>
      <c r="Q1703" s="76"/>
      <c r="R1703" s="76"/>
      <c r="S1703" s="76"/>
      <c r="T1703" s="76"/>
      <c r="U1703" s="97"/>
      <c r="V1703" s="255">
        <f t="shared" si="379"/>
        <v>0</v>
      </c>
      <c r="W1703" s="255">
        <f t="shared" si="380"/>
        <v>0</v>
      </c>
      <c r="X1703" s="255">
        <f t="shared" si="381"/>
        <v>0</v>
      </c>
      <c r="Y1703" s="255">
        <f t="shared" si="382"/>
        <v>0</v>
      </c>
      <c r="Z1703" s="255">
        <f t="shared" si="383"/>
        <v>0</v>
      </c>
      <c r="AA1703" s="97">
        <f t="shared" si="377"/>
        <v>0</v>
      </c>
      <c r="AB1703" s="255">
        <f t="shared" si="384"/>
        <v>0</v>
      </c>
      <c r="AC1703" s="255">
        <f t="shared" si="385"/>
        <v>0</v>
      </c>
      <c r="AD1703" s="255">
        <f t="shared" si="386"/>
        <v>0</v>
      </c>
      <c r="AE1703" s="76"/>
      <c r="AF1703" s="76"/>
      <c r="AG1703" s="76"/>
      <c r="AH1703" s="76">
        <v>1</v>
      </c>
      <c r="AI1703" s="76">
        <v>1</v>
      </c>
      <c r="AJ1703" s="73"/>
      <c r="AK1703" s="57"/>
      <c r="AL1703" s="45"/>
      <c r="AM1703" s="45"/>
      <c r="AN1703" s="45"/>
    </row>
    <row r="1704" spans="1:40" hidden="1" outlineLevel="3" x14ac:dyDescent="0.25">
      <c r="A1704" s="45"/>
      <c r="B1704" s="54"/>
      <c r="C1704" s="47">
        <f t="shared" si="378"/>
        <v>4</v>
      </c>
      <c r="D1704" s="73"/>
      <c r="E1704" s="70"/>
      <c r="F1704" s="70" t="s">
        <v>3397</v>
      </c>
      <c r="G1704" s="73"/>
      <c r="H1704" s="377" t="s">
        <v>3409</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25">
      <c r="A1705" s="45"/>
      <c r="B1705" s="54"/>
      <c r="C1705" s="47">
        <f t="shared" si="378"/>
        <v>4</v>
      </c>
      <c r="D1705" s="73"/>
      <c r="E1705" s="70"/>
      <c r="F1705" s="70" t="s">
        <v>3398</v>
      </c>
      <c r="G1705" s="73"/>
      <c r="H1705" s="377" t="s">
        <v>3410</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25">
      <c r="A1706" s="45"/>
      <c r="B1706" s="54"/>
      <c r="C1706" s="47">
        <f t="shared" si="378"/>
        <v>4</v>
      </c>
      <c r="D1706" s="73"/>
      <c r="E1706" s="70"/>
      <c r="F1706" s="70" t="str">
        <f>SUBSTITUTE(F1702,",4)",",8)")</f>
        <v>C(U2,27,8)</v>
      </c>
      <c r="G1706" s="73"/>
      <c r="H1706" s="377" t="s">
        <v>3411</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25">
      <c r="A1707" s="45"/>
      <c r="B1707" s="54"/>
      <c r="C1707" s="47">
        <f t="shared" si="378"/>
        <v>4</v>
      </c>
      <c r="D1707" s="73"/>
      <c r="E1707" s="70"/>
      <c r="F1707" s="70" t="str">
        <f>SUBSTITUTE(F1703,",5)",",9)")</f>
        <v>C(U2,27,9)</v>
      </c>
      <c r="G1707" s="73"/>
      <c r="H1707" s="377" t="s">
        <v>3412</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25">
      <c r="A1708" s="45"/>
      <c r="B1708" s="54"/>
      <c r="C1708" s="47">
        <f t="shared" si="378"/>
        <v>4</v>
      </c>
      <c r="D1708" s="73"/>
      <c r="E1708" s="70"/>
      <c r="F1708" s="70" t="str">
        <f>SUBSTITUTE(F1704,",6)",",10)")</f>
        <v>C(U2,27,10)</v>
      </c>
      <c r="G1708" s="73"/>
      <c r="H1708" s="377" t="s">
        <v>3413</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25">
      <c r="A1709" s="45"/>
      <c r="B1709" s="54"/>
      <c r="C1709" s="47">
        <f t="shared" si="378"/>
        <v>4</v>
      </c>
      <c r="D1709" s="73"/>
      <c r="E1709" s="70"/>
      <c r="F1709" s="70" t="str">
        <f>SUBSTITUTE(F1705,",7)",",11)")</f>
        <v>C(U2,27,11)</v>
      </c>
      <c r="G1709" s="73"/>
      <c r="H1709" s="377" t="s">
        <v>3414</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25">
      <c r="A1710" s="45"/>
      <c r="B1710" s="54"/>
      <c r="C1710" s="47">
        <f t="shared" si="378"/>
        <v>4</v>
      </c>
      <c r="D1710" s="73"/>
      <c r="E1710" s="70"/>
      <c r="F1710" s="70" t="str">
        <f>SUBSTITUTE(F1704,",6)",",12)")</f>
        <v>C(U2,27,12)</v>
      </c>
      <c r="G1710" s="73"/>
      <c r="H1710" s="377" t="s">
        <v>3415</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25">
      <c r="A1711" s="45"/>
      <c r="B1711" s="54"/>
      <c r="C1711" s="47">
        <f t="shared" si="378"/>
        <v>4</v>
      </c>
      <c r="D1711" s="73"/>
      <c r="E1711" s="70"/>
      <c r="F1711" s="70" t="str">
        <f>SUBSTITUTE(F1705,",7)",",13)")</f>
        <v>C(U2,27,13)</v>
      </c>
      <c r="G1711" s="73"/>
      <c r="H1711" s="377" t="s">
        <v>3416</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hidden="1" outlineLevel="2" x14ac:dyDescent="0.25">
      <c r="A1712" s="45"/>
      <c r="B1712" s="54"/>
      <c r="C1712" s="47">
        <f>INT($C$29)+2</f>
        <v>3</v>
      </c>
      <c r="D1712" s="73"/>
      <c r="E1712" s="70"/>
      <c r="F1712" s="70" t="s">
        <v>3399</v>
      </c>
      <c r="G1712" s="73"/>
      <c r="H1712" s="76" t="s">
        <v>3417</v>
      </c>
      <c r="I1712" s="76"/>
      <c r="J1712" s="76"/>
      <c r="K1712" s="76"/>
      <c r="L1712" s="76"/>
      <c r="M1712" s="76"/>
      <c r="N1712" s="76"/>
      <c r="O1712" s="76"/>
      <c r="P1712" s="76"/>
      <c r="Q1712" s="76"/>
      <c r="R1712" s="76"/>
      <c r="S1712" s="76"/>
      <c r="T1712" s="76"/>
      <c r="U1712" s="97">
        <v>-28.27</v>
      </c>
      <c r="V1712" s="255">
        <f t="shared" ref="V1712" si="387">U1712</f>
        <v>-28.27</v>
      </c>
      <c r="W1712" s="255">
        <f t="shared" ref="W1712" si="388">U1712</f>
        <v>-28.27</v>
      </c>
      <c r="X1712" s="255">
        <f t="shared" ref="X1712" si="389">V1712</f>
        <v>-28.27</v>
      </c>
      <c r="Y1712" s="255">
        <f t="shared" ref="Y1712" si="390">V1712</f>
        <v>-28.27</v>
      </c>
      <c r="Z1712" s="255">
        <f t="shared" ref="Z1712" si="391">AA1712</f>
        <v>-28.27</v>
      </c>
      <c r="AA1712" s="97">
        <f>U1712</f>
        <v>-28.27</v>
      </c>
      <c r="AB1712" s="255">
        <f t="shared" ref="AB1712" si="392">AA1712</f>
        <v>-28.27</v>
      </c>
      <c r="AC1712" s="255">
        <f t="shared" ref="AC1712" si="393">AB1712</f>
        <v>-28.27</v>
      </c>
      <c r="AD1712" s="255">
        <f t="shared" ref="AD1712" si="394">AC1712</f>
        <v>-28.27</v>
      </c>
      <c r="AE1712" s="76"/>
      <c r="AF1712" s="97"/>
      <c r="AG1712" s="76"/>
      <c r="AH1712" s="97">
        <v>1</v>
      </c>
      <c r="AI1712" s="97">
        <v>1</v>
      </c>
      <c r="AJ1712" s="73"/>
      <c r="AK1712" s="57"/>
      <c r="AL1712" s="45"/>
      <c r="AM1712" s="45"/>
      <c r="AN1712" s="45"/>
    </row>
    <row r="1713" spans="1:40" hidden="1" outlineLevel="2" x14ac:dyDescent="0.2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hidden="1" outlineLevel="2" collapsed="1" x14ac:dyDescent="0.2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0999999999999996" hidden="1" customHeight="1" outlineLevel="3" x14ac:dyDescent="0.2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0999999999999996" hidden="1" customHeight="1" outlineLevel="2" x14ac:dyDescent="0.2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hidden="1" outlineLevel="2" x14ac:dyDescent="0.2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hidden="1" outlineLevel="2" collapsed="1" x14ac:dyDescent="0.2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2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2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2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0999999999999996" hidden="1" customHeight="1" outlineLevel="3" x14ac:dyDescent="0.2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0999999999999996" hidden="1" customHeight="1" outlineLevel="2" x14ac:dyDescent="0.2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0999999999999996" customHeight="1" outlineLevel="1" x14ac:dyDescent="0.2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0999999999999996" customHeight="1" collapsed="1" x14ac:dyDescent="0.2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2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2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2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2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2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2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2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2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2375</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2386</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2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2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2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2917</v>
      </c>
      <c r="B3" s="491">
        <v>6.9999999999999994E-5</v>
      </c>
      <c r="C3" s="1" t="s">
        <v>2921</v>
      </c>
    </row>
    <row r="4" spans="1:3" x14ac:dyDescent="0.25">
      <c r="A4" t="s">
        <v>2918</v>
      </c>
      <c r="B4" s="491">
        <v>1.2999999999999999E-4</v>
      </c>
      <c r="C4" s="1" t="s">
        <v>2922</v>
      </c>
    </row>
    <row r="5" spans="1:3" x14ac:dyDescent="0.25">
      <c r="A5" t="s">
        <v>2919</v>
      </c>
      <c r="B5" s="491">
        <v>1.9000000000000001E-4</v>
      </c>
      <c r="C5" s="1" t="s">
        <v>2923</v>
      </c>
    </row>
    <row r="6" spans="1:3" x14ac:dyDescent="0.25">
      <c r="A6" t="s">
        <v>2920</v>
      </c>
      <c r="B6" s="491">
        <v>1.9000000000000001E-4</v>
      </c>
      <c r="C6" s="1" t="s">
        <v>2922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2929</v>
      </c>
      <c r="B14"/>
    </row>
    <row r="15" spans="1:3" x14ac:dyDescent="0.25">
      <c r="A15" s="341" t="str">
        <f>General!G65</f>
        <v>b</v>
      </c>
      <c r="B15">
        <v>20</v>
      </c>
      <c r="C15" s="1" t="s">
        <v>2927</v>
      </c>
    </row>
    <row r="16" spans="1:3" x14ac:dyDescent="0.25">
      <c r="A16" s="341" t="str">
        <f>General!G66</f>
        <v>bd</v>
      </c>
      <c r="B16">
        <v>20</v>
      </c>
      <c r="C16" s="1" t="s">
        <v>2927</v>
      </c>
    </row>
    <row r="17" spans="1:3" x14ac:dyDescent="0.25">
      <c r="A17" s="341" t="str">
        <f>General!G67</f>
        <v>f</v>
      </c>
      <c r="B17">
        <v>7</v>
      </c>
      <c r="C17" s="1" t="s">
        <v>2927</v>
      </c>
    </row>
    <row r="18" spans="1:3" x14ac:dyDescent="0.25">
      <c r="A18" s="341" t="str">
        <f>General!G68</f>
        <v>h</v>
      </c>
      <c r="B18">
        <v>20</v>
      </c>
      <c r="C18" s="1" t="s">
        <v>2927</v>
      </c>
    </row>
    <row r="19" spans="1:3" x14ac:dyDescent="0.25">
      <c r="A19" s="341" t="str">
        <f>General!G69</f>
        <v>i</v>
      </c>
      <c r="B19">
        <v>7</v>
      </c>
      <c r="C19" s="1" t="s">
        <v>2927</v>
      </c>
    </row>
    <row r="20" spans="1:3" x14ac:dyDescent="0.25">
      <c r="A20" s="341" t="str">
        <f>General!G70</f>
        <v>k</v>
      </c>
      <c r="B20">
        <v>7</v>
      </c>
      <c r="C20" s="1" t="s">
        <v>2927</v>
      </c>
    </row>
    <row r="21" spans="1:3" x14ac:dyDescent="0.25">
      <c r="A21" s="341" t="str">
        <f>General!G71</f>
        <v>l</v>
      </c>
      <c r="B21">
        <v>7</v>
      </c>
      <c r="C21" s="1" t="s">
        <v>2927</v>
      </c>
    </row>
    <row r="22" spans="1:3" x14ac:dyDescent="0.25">
      <c r="A22" s="341" t="str">
        <f>General!G72</f>
        <v>lf</v>
      </c>
      <c r="B22">
        <v>7</v>
      </c>
      <c r="C22" s="1" t="s">
        <v>2927</v>
      </c>
    </row>
    <row r="23" spans="1:3" x14ac:dyDescent="0.25">
      <c r="A23" s="341" t="str">
        <f>General!G73</f>
        <v>ms</v>
      </c>
      <c r="B23" s="528">
        <f>0.65*B15+0.35*B21</f>
        <v>15.45</v>
      </c>
      <c r="C23" s="1" t="s">
        <v>2927</v>
      </c>
    </row>
    <row r="24" spans="1:3" x14ac:dyDescent="0.25">
      <c r="A24" s="341" t="str">
        <f>General!G74</f>
        <v>o</v>
      </c>
      <c r="B24">
        <v>20</v>
      </c>
      <c r="C24" s="1" t="s">
        <v>2927</v>
      </c>
    </row>
    <row r="25" spans="1:3" x14ac:dyDescent="0.25">
      <c r="A25" s="341" t="str">
        <f>General!G75</f>
        <v>od</v>
      </c>
      <c r="B25">
        <v>20</v>
      </c>
      <c r="C25" s="1" t="s">
        <v>2927</v>
      </c>
    </row>
    <row r="26" spans="1:3" x14ac:dyDescent="0.25">
      <c r="A26" s="341" t="str">
        <f>General!G76</f>
        <v>of</v>
      </c>
      <c r="B26">
        <v>20</v>
      </c>
      <c r="C26" s="1" t="s">
        <v>2927</v>
      </c>
    </row>
    <row r="27" spans="1:3" x14ac:dyDescent="0.25">
      <c r="A27" s="341" t="str">
        <f>General!G77</f>
        <v>r</v>
      </c>
      <c r="B27">
        <v>7</v>
      </c>
      <c r="C27" s="1" t="s">
        <v>2927</v>
      </c>
    </row>
    <row r="28" spans="1:3" x14ac:dyDescent="0.25">
      <c r="A28" s="341" t="str">
        <f>General!G78</f>
        <v>rd</v>
      </c>
      <c r="B28">
        <v>7</v>
      </c>
      <c r="C28" s="1" t="s">
        <v>2927</v>
      </c>
    </row>
    <row r="29" spans="1:3" x14ac:dyDescent="0.25">
      <c r="A29" s="341" t="str">
        <f>General!G79</f>
        <v>v</v>
      </c>
      <c r="B29">
        <v>7</v>
      </c>
      <c r="C29" s="1" t="s">
        <v>2927</v>
      </c>
    </row>
    <row r="30" spans="1:3" x14ac:dyDescent="0.25">
      <c r="A30" s="341" t="str">
        <f>General!G80</f>
        <v>w</v>
      </c>
      <c r="B30">
        <v>20</v>
      </c>
      <c r="C30" s="1" t="s">
        <v>2927</v>
      </c>
    </row>
    <row r="31" spans="1:3" x14ac:dyDescent="0.25">
      <c r="A31" s="341" t="str">
        <f>General!G81</f>
        <v>wd</v>
      </c>
      <c r="B31">
        <v>20</v>
      </c>
      <c r="C31" s="1" t="s">
        <v>2927</v>
      </c>
    </row>
    <row r="32" spans="1:3" x14ac:dyDescent="0.25">
      <c r="A32" s="341" t="str">
        <f>General!G82</f>
        <v>z</v>
      </c>
      <c r="B32">
        <v>7</v>
      </c>
      <c r="C32" s="1" t="s">
        <v>2927</v>
      </c>
    </row>
    <row r="33" spans="1:3" x14ac:dyDescent="0.25">
      <c r="A33" s="341" t="str">
        <f>General!G83</f>
        <v>zd</v>
      </c>
      <c r="B33">
        <v>7</v>
      </c>
      <c r="C33" s="1" t="s">
        <v>2927</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188000</v>
      </c>
      <c r="C12" s="44">
        <v>1</v>
      </c>
      <c r="D12" s="44">
        <v>0</v>
      </c>
      <c r="E12" s="44">
        <v>0</v>
      </c>
      <c r="F12" s="44">
        <v>0</v>
      </c>
    </row>
    <row r="13" spans="1:17" x14ac:dyDescent="0.25">
      <c r="A13" t="s">
        <v>2792</v>
      </c>
      <c r="B13">
        <v>87000</v>
      </c>
      <c r="C13" s="44">
        <v>1</v>
      </c>
      <c r="D13" s="44">
        <v>0</v>
      </c>
      <c r="E13" s="44">
        <v>0</v>
      </c>
      <c r="F13" s="44">
        <v>0</v>
      </c>
    </row>
    <row r="14" spans="1:17" x14ac:dyDescent="0.25">
      <c r="A14" t="s">
        <v>2793</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2790</v>
      </c>
      <c r="B30" s="436">
        <v>1</v>
      </c>
    </row>
    <row r="31" spans="1:6" ht="7.35" customHeight="1" x14ac:dyDescent="0.25"/>
    <row r="32" spans="1:6" x14ac:dyDescent="0.25">
      <c r="A32" t="s">
        <v>2931</v>
      </c>
      <c r="B32">
        <v>8.6999999999999993</v>
      </c>
      <c r="C32" s="1" t="s">
        <v>2930</v>
      </c>
    </row>
    <row r="33" spans="1:3" ht="7.15" customHeight="1" x14ac:dyDescent="0.25"/>
    <row r="34" spans="1:3" x14ac:dyDescent="0.25">
      <c r="A34" t="s">
        <v>3319</v>
      </c>
      <c r="B34">
        <v>50</v>
      </c>
      <c r="C34" s="1" t="s">
        <v>2933</v>
      </c>
    </row>
    <row r="35" spans="1:3" ht="7.15" customHeight="1" x14ac:dyDescent="0.25"/>
    <row r="36" spans="1:3" x14ac:dyDescent="0.25">
      <c r="A36" t="s">
        <v>3320</v>
      </c>
      <c r="B36">
        <v>60</v>
      </c>
      <c r="C36" s="1" t="s">
        <v>3322</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2791</v>
      </c>
      <c r="B73" s="436">
        <v>1</v>
      </c>
    </row>
    <row r="74" spans="1:5" ht="7.35" customHeight="1" x14ac:dyDescent="0.25"/>
    <row r="75" spans="1:5" x14ac:dyDescent="0.25">
      <c r="A75" t="s">
        <v>2916</v>
      </c>
      <c r="B75">
        <v>63</v>
      </c>
    </row>
    <row r="76" spans="1:5" ht="7.15" customHeight="1" x14ac:dyDescent="0.25"/>
    <row r="77" spans="1:5" x14ac:dyDescent="0.25">
      <c r="A77" t="s">
        <v>3323</v>
      </c>
      <c r="B77">
        <f>0.3*harvest_maint</f>
        <v>16.5</v>
      </c>
      <c r="C77" s="1" t="s">
        <v>3324</v>
      </c>
    </row>
    <row r="78" spans="1:5" ht="7.15" customHeight="1" x14ac:dyDescent="0.25"/>
    <row r="79" spans="1:5" x14ac:dyDescent="0.25">
      <c r="A79" t="s">
        <v>2926</v>
      </c>
      <c r="B79"/>
    </row>
    <row r="80" spans="1:5" x14ac:dyDescent="0.25">
      <c r="A80" s="341" t="str">
        <f>General!G65</f>
        <v>b</v>
      </c>
      <c r="B80">
        <v>20</v>
      </c>
      <c r="C80" s="1" t="s">
        <v>2927</v>
      </c>
      <c r="E80" s="1" t="s">
        <v>2928</v>
      </c>
    </row>
    <row r="81" spans="1:3" x14ac:dyDescent="0.25">
      <c r="A81" s="341" t="str">
        <f>General!G66</f>
        <v>bd</v>
      </c>
      <c r="B81">
        <v>20</v>
      </c>
      <c r="C81" s="1" t="s">
        <v>2927</v>
      </c>
    </row>
    <row r="82" spans="1:3" x14ac:dyDescent="0.25">
      <c r="A82" s="341" t="str">
        <f>General!G67</f>
        <v>f</v>
      </c>
      <c r="B82">
        <v>12</v>
      </c>
      <c r="C82" s="1" t="s">
        <v>2927</v>
      </c>
    </row>
    <row r="83" spans="1:3" x14ac:dyDescent="0.25">
      <c r="A83" s="341" t="str">
        <f>General!G68</f>
        <v>h</v>
      </c>
      <c r="B83">
        <v>20</v>
      </c>
      <c r="C83" s="1" t="s">
        <v>2927</v>
      </c>
    </row>
    <row r="84" spans="1:3" x14ac:dyDescent="0.25">
      <c r="A84" s="341" t="str">
        <f>General!G69</f>
        <v>i</v>
      </c>
      <c r="B84">
        <v>12</v>
      </c>
      <c r="C84" s="1" t="s">
        <v>2927</v>
      </c>
    </row>
    <row r="85" spans="1:3" x14ac:dyDescent="0.25">
      <c r="A85" s="341" t="str">
        <f>General!G70</f>
        <v>k</v>
      </c>
      <c r="B85">
        <v>12</v>
      </c>
      <c r="C85" s="1" t="s">
        <v>2927</v>
      </c>
    </row>
    <row r="86" spans="1:3" x14ac:dyDescent="0.25">
      <c r="A86" s="341" t="str">
        <f>General!G71</f>
        <v>l</v>
      </c>
      <c r="B86">
        <v>12</v>
      </c>
      <c r="C86" s="1" t="s">
        <v>2927</v>
      </c>
    </row>
    <row r="87" spans="1:3" x14ac:dyDescent="0.25">
      <c r="A87" s="341" t="str">
        <f>General!G72</f>
        <v>lf</v>
      </c>
      <c r="B87">
        <v>12</v>
      </c>
      <c r="C87" s="1" t="s">
        <v>2927</v>
      </c>
    </row>
    <row r="88" spans="1:3" x14ac:dyDescent="0.25">
      <c r="A88" s="341" t="str">
        <f>General!G73</f>
        <v>ms</v>
      </c>
      <c r="B88" s="528">
        <f>0.65*B80+0.35*B86</f>
        <v>17.2</v>
      </c>
      <c r="C88" s="1" t="s">
        <v>2927</v>
      </c>
    </row>
    <row r="89" spans="1:3" x14ac:dyDescent="0.25">
      <c r="A89" s="341" t="str">
        <f>General!G74</f>
        <v>o</v>
      </c>
      <c r="B89">
        <v>20</v>
      </c>
      <c r="C89" s="1" t="s">
        <v>2927</v>
      </c>
    </row>
    <row r="90" spans="1:3" x14ac:dyDescent="0.25">
      <c r="A90" s="341" t="str">
        <f>General!G75</f>
        <v>od</v>
      </c>
      <c r="B90">
        <v>20</v>
      </c>
      <c r="C90" s="1" t="s">
        <v>2927</v>
      </c>
    </row>
    <row r="91" spans="1:3" x14ac:dyDescent="0.25">
      <c r="A91" s="341" t="str">
        <f>General!G76</f>
        <v>of</v>
      </c>
      <c r="B91">
        <v>20</v>
      </c>
      <c r="C91" s="1" t="s">
        <v>2927</v>
      </c>
    </row>
    <row r="92" spans="1:3" x14ac:dyDescent="0.25">
      <c r="A92" s="341" t="str">
        <f>General!G77</f>
        <v>r</v>
      </c>
      <c r="B92">
        <v>7</v>
      </c>
      <c r="C92" s="1" t="s">
        <v>2927</v>
      </c>
    </row>
    <row r="93" spans="1:3" x14ac:dyDescent="0.25">
      <c r="A93" s="341" t="str">
        <f>General!G78</f>
        <v>rd</v>
      </c>
      <c r="B93">
        <v>7</v>
      </c>
      <c r="C93" s="1" t="s">
        <v>2927</v>
      </c>
    </row>
    <row r="94" spans="1:3" x14ac:dyDescent="0.25">
      <c r="A94" s="341" t="str">
        <f>General!G79</f>
        <v>v</v>
      </c>
      <c r="B94">
        <v>12</v>
      </c>
      <c r="C94" s="1" t="s">
        <v>2927</v>
      </c>
    </row>
    <row r="95" spans="1:3" x14ac:dyDescent="0.25">
      <c r="A95" s="341" t="str">
        <f>General!G80</f>
        <v>w</v>
      </c>
      <c r="B95">
        <v>20</v>
      </c>
      <c r="C95" s="1" t="s">
        <v>2927</v>
      </c>
    </row>
    <row r="96" spans="1:3" x14ac:dyDescent="0.25">
      <c r="A96" s="341" t="str">
        <f>General!G81</f>
        <v>wd</v>
      </c>
      <c r="B96">
        <v>20</v>
      </c>
      <c r="C96" s="1" t="s">
        <v>2927</v>
      </c>
    </row>
    <row r="97" spans="1:3" x14ac:dyDescent="0.25">
      <c r="A97" s="341" t="str">
        <f>General!G82</f>
        <v>z</v>
      </c>
      <c r="B97">
        <v>7</v>
      </c>
      <c r="C97" s="1" t="s">
        <v>2927</v>
      </c>
    </row>
    <row r="98" spans="1:3" x14ac:dyDescent="0.25">
      <c r="A98" s="341" t="str">
        <f>General!G83</f>
        <v>zd</v>
      </c>
      <c r="B98">
        <v>7</v>
      </c>
      <c r="C98" s="1" t="s">
        <v>2927</v>
      </c>
    </row>
    <row r="100" spans="1:3" x14ac:dyDescent="0.25">
      <c r="A100" t="s">
        <v>37</v>
      </c>
      <c r="B100">
        <v>55</v>
      </c>
      <c r="C100" s="1" t="s">
        <v>2915</v>
      </c>
    </row>
    <row r="101" spans="1:3" ht="9" customHeight="1" x14ac:dyDescent="0.25"/>
    <row r="102" spans="1:3" x14ac:dyDescent="0.25">
      <c r="A102" t="s">
        <v>37</v>
      </c>
      <c r="B102" t="s">
        <v>3321</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2932</v>
      </c>
      <c r="B124">
        <v>33</v>
      </c>
      <c r="C124" s="1" t="s">
        <v>2934</v>
      </c>
    </row>
    <row r="125" spans="1:3" ht="4.1500000000000004" customHeight="1" x14ac:dyDescent="0.25"/>
    <row r="126" spans="1:3" x14ac:dyDescent="0.25">
      <c r="A126" t="s">
        <v>39</v>
      </c>
      <c r="B126">
        <v>30</v>
      </c>
      <c r="C126" s="1" t="s">
        <v>2933</v>
      </c>
    </row>
    <row r="127" spans="1:3" ht="3" customHeight="1" x14ac:dyDescent="0.25"/>
    <row r="128" spans="1:3" x14ac:dyDescent="0.25">
      <c r="A128" t="s">
        <v>40</v>
      </c>
      <c r="B128">
        <v>35</v>
      </c>
      <c r="C128" s="1" t="s">
        <v>3322</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2935</v>
      </c>
      <c r="B137" t="str">
        <f>General!K68</f>
        <v>mid</v>
      </c>
      <c r="C137">
        <v>25</v>
      </c>
    </row>
    <row r="138" spans="1:3" x14ac:dyDescent="0.25">
      <c r="A138" s="431" t="s">
        <v>2569</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3305</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2165</v>
      </c>
    </row>
    <row r="11" spans="1:6" x14ac:dyDescent="0.25">
      <c r="A11" t="s">
        <v>70</v>
      </c>
      <c r="B11" t="s">
        <v>71</v>
      </c>
      <c r="C11" t="s">
        <v>120</v>
      </c>
      <c r="D11" t="s">
        <v>121</v>
      </c>
      <c r="E11" t="s">
        <v>2924</v>
      </c>
      <c r="F11" t="s">
        <v>2925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2790</v>
      </c>
      <c r="B29" s="436">
        <v>1</v>
      </c>
    </row>
    <row r="30" spans="1:6" ht="7.35" customHeight="1" x14ac:dyDescent="0.25"/>
    <row r="31" spans="1:6" ht="4.9000000000000004" customHeight="1" x14ac:dyDescent="0.25"/>
    <row r="32" spans="1:6" x14ac:dyDescent="0.25">
      <c r="A32" t="s">
        <v>2931</v>
      </c>
      <c r="B32">
        <v>4</v>
      </c>
      <c r="C32" s="1" t="s">
        <v>2930</v>
      </c>
    </row>
    <row r="33" spans="1:3" ht="7.15" customHeight="1" x14ac:dyDescent="0.25"/>
    <row r="34" spans="1:3" x14ac:dyDescent="0.25">
      <c r="A34" t="s">
        <v>3319</v>
      </c>
      <c r="B34">
        <v>40</v>
      </c>
      <c r="C34" s="1" t="s">
        <v>2933</v>
      </c>
    </row>
    <row r="35" spans="1:3" ht="7.15" customHeight="1" x14ac:dyDescent="0.25"/>
    <row r="36" spans="1:3" x14ac:dyDescent="0.25">
      <c r="A36" t="s">
        <v>3320</v>
      </c>
      <c r="B36">
        <v>35</v>
      </c>
      <c r="C36" s="1" t="s">
        <v>3322</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2791</v>
      </c>
      <c r="B73" s="436">
        <v>1</v>
      </c>
    </row>
    <row r="74" spans="1:3" ht="7.35" customHeight="1" x14ac:dyDescent="0.25"/>
    <row r="75" spans="1:3" x14ac:dyDescent="0.25">
      <c r="A75" t="s">
        <v>36</v>
      </c>
      <c r="B75">
        <v>50</v>
      </c>
    </row>
    <row r="76" spans="1:3" ht="7.15" customHeight="1" x14ac:dyDescent="0.25"/>
    <row r="77" spans="1:3" x14ac:dyDescent="0.25">
      <c r="A77" t="s">
        <v>3323</v>
      </c>
      <c r="B77">
        <f>0.3*harvest_maint</f>
        <v>12</v>
      </c>
      <c r="C77" s="1" t="s">
        <v>3324</v>
      </c>
    </row>
    <row r="78" spans="1:3" ht="7.15" customHeight="1" x14ac:dyDescent="0.25"/>
    <row r="79" spans="1:3" x14ac:dyDescent="0.25">
      <c r="A79" t="s">
        <v>2926</v>
      </c>
      <c r="B79"/>
    </row>
    <row r="80" spans="1:3" x14ac:dyDescent="0.25">
      <c r="A80" s="341" t="str">
        <f>General!G65</f>
        <v>b</v>
      </c>
      <c r="B80">
        <f>'Mach 1'!B80*0.66</f>
        <v>13.200000000000001</v>
      </c>
      <c r="C80" s="1" t="s">
        <v>2927</v>
      </c>
    </row>
    <row r="81" spans="1:3" x14ac:dyDescent="0.25">
      <c r="A81" s="341" t="str">
        <f>General!G66</f>
        <v>bd</v>
      </c>
      <c r="B81">
        <f>'Mach 1'!B81*0.66</f>
        <v>13.200000000000001</v>
      </c>
      <c r="C81" s="1" t="s">
        <v>2927</v>
      </c>
    </row>
    <row r="82" spans="1:3" x14ac:dyDescent="0.25">
      <c r="A82" s="341" t="str">
        <f>General!G67</f>
        <v>f</v>
      </c>
      <c r="B82">
        <f>'Mach 1'!B82*0.66</f>
        <v>7.92</v>
      </c>
      <c r="C82" s="1" t="s">
        <v>2927</v>
      </c>
    </row>
    <row r="83" spans="1:3" x14ac:dyDescent="0.25">
      <c r="A83" s="341" t="str">
        <f>General!G68</f>
        <v>h</v>
      </c>
      <c r="B83">
        <f>'Mach 1'!B83*0.66</f>
        <v>13.200000000000001</v>
      </c>
      <c r="C83" s="1" t="s">
        <v>2927</v>
      </c>
    </row>
    <row r="84" spans="1:3" x14ac:dyDescent="0.25">
      <c r="A84" s="341" t="str">
        <f>General!G69</f>
        <v>i</v>
      </c>
      <c r="B84">
        <f>'Mach 1'!B84*0.66</f>
        <v>7.92</v>
      </c>
      <c r="C84" s="1" t="s">
        <v>2927</v>
      </c>
    </row>
    <row r="85" spans="1:3" x14ac:dyDescent="0.25">
      <c r="A85" s="341" t="str">
        <f>General!G70</f>
        <v>k</v>
      </c>
      <c r="B85">
        <f>'Mach 1'!B85*0.66</f>
        <v>7.92</v>
      </c>
      <c r="C85" s="1" t="s">
        <v>2927</v>
      </c>
    </row>
    <row r="86" spans="1:3" x14ac:dyDescent="0.25">
      <c r="A86" s="341" t="str">
        <f>General!G71</f>
        <v>l</v>
      </c>
      <c r="B86">
        <f>'Mach 1'!B86*0.66</f>
        <v>7.92</v>
      </c>
      <c r="C86" s="1" t="s">
        <v>2927</v>
      </c>
    </row>
    <row r="87" spans="1:3" x14ac:dyDescent="0.25">
      <c r="A87" s="341" t="str">
        <f>General!G72</f>
        <v>lf</v>
      </c>
      <c r="B87">
        <f>'Mach 1'!B87*0.66</f>
        <v>7.92</v>
      </c>
      <c r="C87" s="1" t="s">
        <v>2927</v>
      </c>
    </row>
    <row r="88" spans="1:3" x14ac:dyDescent="0.25">
      <c r="A88" s="341" t="str">
        <f>General!G73</f>
        <v>ms</v>
      </c>
      <c r="B88" s="528">
        <f>0.65*B80+0.35*B86</f>
        <v>11.352000000000002</v>
      </c>
      <c r="C88" s="1" t="s">
        <v>2927</v>
      </c>
    </row>
    <row r="89" spans="1:3" x14ac:dyDescent="0.25">
      <c r="A89" s="341" t="str">
        <f>General!G74</f>
        <v>o</v>
      </c>
      <c r="B89">
        <f>'Mach 1'!B89*0.66</f>
        <v>13.200000000000001</v>
      </c>
      <c r="C89" s="1" t="s">
        <v>2927</v>
      </c>
    </row>
    <row r="90" spans="1:3" x14ac:dyDescent="0.25">
      <c r="A90" s="341" t="str">
        <f>General!G75</f>
        <v>od</v>
      </c>
      <c r="B90">
        <f>'Mach 1'!B90*0.66</f>
        <v>13.200000000000001</v>
      </c>
      <c r="C90" s="1" t="s">
        <v>2927</v>
      </c>
    </row>
    <row r="91" spans="1:3" x14ac:dyDescent="0.25">
      <c r="A91" s="341" t="str">
        <f>General!G76</f>
        <v>of</v>
      </c>
      <c r="B91">
        <f>'Mach 1'!B91*0.66</f>
        <v>13.200000000000001</v>
      </c>
      <c r="C91" s="1" t="s">
        <v>2927</v>
      </c>
    </row>
    <row r="92" spans="1:3" x14ac:dyDescent="0.25">
      <c r="A92" s="341" t="str">
        <f>General!G77</f>
        <v>r</v>
      </c>
      <c r="B92">
        <f>'Mach 1'!B92*0.66</f>
        <v>4.62</v>
      </c>
      <c r="C92" s="1" t="s">
        <v>2927</v>
      </c>
    </row>
    <row r="93" spans="1:3" x14ac:dyDescent="0.25">
      <c r="A93" s="341" t="str">
        <f>General!G78</f>
        <v>rd</v>
      </c>
      <c r="B93">
        <f>'Mach 1'!B93*0.66</f>
        <v>4.62</v>
      </c>
      <c r="C93" s="1" t="s">
        <v>2927</v>
      </c>
    </row>
    <row r="94" spans="1:3" x14ac:dyDescent="0.25">
      <c r="A94" s="341" t="str">
        <f>General!G79</f>
        <v>v</v>
      </c>
      <c r="B94">
        <f>'Mach 1'!B94*0.66</f>
        <v>7.92</v>
      </c>
      <c r="C94" s="1" t="s">
        <v>2927</v>
      </c>
    </row>
    <row r="95" spans="1:3" x14ac:dyDescent="0.25">
      <c r="A95" s="341" t="str">
        <f>General!G80</f>
        <v>w</v>
      </c>
      <c r="B95">
        <f>'Mach 1'!B95*0.66</f>
        <v>13.200000000000001</v>
      </c>
      <c r="C95" s="1" t="s">
        <v>2927</v>
      </c>
    </row>
    <row r="96" spans="1:3" x14ac:dyDescent="0.25">
      <c r="A96" s="341" t="str">
        <f>General!G81</f>
        <v>wd</v>
      </c>
      <c r="B96">
        <f>'Mach 1'!B96*0.66</f>
        <v>13.200000000000001</v>
      </c>
      <c r="C96" s="1" t="s">
        <v>2927</v>
      </c>
    </row>
    <row r="97" spans="1:3" x14ac:dyDescent="0.25">
      <c r="A97" s="341" t="str">
        <f>General!G82</f>
        <v>z</v>
      </c>
      <c r="B97">
        <f>'Mach 1'!B97*0.66</f>
        <v>4.62</v>
      </c>
      <c r="C97" s="1" t="s">
        <v>2927</v>
      </c>
    </row>
    <row r="98" spans="1:3" x14ac:dyDescent="0.25">
      <c r="A98" s="341" t="str">
        <f>General!G83</f>
        <v>zd</v>
      </c>
      <c r="B98">
        <f>'Mach 1'!B98*0.66</f>
        <v>4.62</v>
      </c>
      <c r="C98" s="1" t="s">
        <v>2927</v>
      </c>
    </row>
    <row r="100" spans="1:3" x14ac:dyDescent="0.25">
      <c r="A100" t="s">
        <v>37</v>
      </c>
      <c r="B100">
        <v>40</v>
      </c>
      <c r="C100" s="1" t="s">
        <v>2915</v>
      </c>
    </row>
    <row r="102" spans="1:3" x14ac:dyDescent="0.25">
      <c r="A102" t="s">
        <v>37</v>
      </c>
      <c r="B102" t="s">
        <v>3321</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2932</v>
      </c>
      <c r="B124">
        <v>23</v>
      </c>
      <c r="C124" s="1" t="s">
        <v>2934</v>
      </c>
    </row>
    <row r="125" spans="1:3" ht="4.1500000000000004" customHeight="1" x14ac:dyDescent="0.25"/>
    <row r="126" spans="1:3" x14ac:dyDescent="0.25">
      <c r="A126" t="s">
        <v>39</v>
      </c>
      <c r="B126">
        <v>20</v>
      </c>
      <c r="C126" s="1" t="s">
        <v>2933</v>
      </c>
    </row>
    <row r="127" spans="1:3" ht="3" customHeight="1" x14ac:dyDescent="0.25"/>
    <row r="128" spans="1:3" x14ac:dyDescent="0.25">
      <c r="A128" t="s">
        <v>40</v>
      </c>
      <c r="B128">
        <v>22</v>
      </c>
      <c r="C128" s="1" t="s">
        <v>3322</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2935</v>
      </c>
      <c r="B137" t="str">
        <f>General!K68</f>
        <v>mid</v>
      </c>
      <c r="C137">
        <v>20</v>
      </c>
    </row>
    <row r="138" spans="1:3" x14ac:dyDescent="0.25">
      <c r="A138" s="431" t="s">
        <v>2569</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250000</v>
      </c>
      <c r="C12" s="44">
        <v>1</v>
      </c>
      <c r="D12" s="44">
        <v>0</v>
      </c>
      <c r="E12" s="44">
        <v>0</v>
      </c>
      <c r="F12" s="44">
        <v>0</v>
      </c>
    </row>
    <row r="13" spans="1:17" x14ac:dyDescent="0.25">
      <c r="A13" t="s">
        <v>2792</v>
      </c>
      <c r="B13">
        <v>115000</v>
      </c>
      <c r="C13" s="44">
        <v>1</v>
      </c>
      <c r="D13" s="44">
        <v>0</v>
      </c>
      <c r="E13" s="44">
        <v>0</v>
      </c>
      <c r="F13" s="44">
        <v>0</v>
      </c>
    </row>
    <row r="14" spans="1:17" x14ac:dyDescent="0.25">
      <c r="A14" t="s">
        <v>2793</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2790</v>
      </c>
      <c r="B29" s="436">
        <v>1</v>
      </c>
    </row>
    <row r="30" spans="1:6" ht="7.35" customHeight="1" x14ac:dyDescent="0.25"/>
    <row r="31" spans="1:6" x14ac:dyDescent="0.25">
      <c r="A31" t="s">
        <v>2931</v>
      </c>
      <c r="B31">
        <v>12.5</v>
      </c>
      <c r="C31" s="1" t="s">
        <v>2930</v>
      </c>
      <c r="D31" s="1" t="s">
        <v>3052</v>
      </c>
    </row>
    <row r="32" spans="1:6" ht="7.15" customHeight="1" x14ac:dyDescent="0.25"/>
    <row r="33" spans="1:3" x14ac:dyDescent="0.25">
      <c r="A33" t="s">
        <v>3319</v>
      </c>
      <c r="B33">
        <v>60</v>
      </c>
      <c r="C33" s="1" t="s">
        <v>2933</v>
      </c>
    </row>
    <row r="34" spans="1:3" ht="7.15" customHeight="1" x14ac:dyDescent="0.25"/>
    <row r="35" spans="1:3" x14ac:dyDescent="0.25">
      <c r="A35" t="s">
        <v>3320</v>
      </c>
      <c r="B35">
        <v>78</v>
      </c>
      <c r="C35" s="1" t="s">
        <v>3322</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2791</v>
      </c>
      <c r="B72" s="436">
        <v>1</v>
      </c>
    </row>
    <row r="73" spans="1:3" ht="7.35" customHeight="1" x14ac:dyDescent="0.25"/>
    <row r="74" spans="1:3" x14ac:dyDescent="0.25">
      <c r="A74" t="s">
        <v>2916</v>
      </c>
      <c r="B74">
        <v>63</v>
      </c>
    </row>
    <row r="75" spans="1:3" ht="7.15" customHeight="1" x14ac:dyDescent="0.25"/>
    <row r="76" spans="1:3" x14ac:dyDescent="0.25">
      <c r="A76" t="s">
        <v>3323</v>
      </c>
      <c r="B76">
        <f>0.3*harvest_maint</f>
        <v>24</v>
      </c>
      <c r="C76" s="1" t="s">
        <v>3324</v>
      </c>
    </row>
    <row r="77" spans="1:3" ht="7.15" customHeight="1" x14ac:dyDescent="0.25"/>
    <row r="78" spans="1:3" x14ac:dyDescent="0.25">
      <c r="A78" t="s">
        <v>2926</v>
      </c>
      <c r="B78"/>
    </row>
    <row r="79" spans="1:3" x14ac:dyDescent="0.25">
      <c r="A79" s="341" t="str">
        <f>General!G65</f>
        <v>b</v>
      </c>
      <c r="B79">
        <v>30</v>
      </c>
      <c r="C79" s="1" t="s">
        <v>2927</v>
      </c>
    </row>
    <row r="80" spans="1:3" x14ac:dyDescent="0.25">
      <c r="A80" s="341" t="str">
        <f>General!G66</f>
        <v>bd</v>
      </c>
      <c r="B80">
        <v>30</v>
      </c>
      <c r="C80" s="1" t="s">
        <v>2927</v>
      </c>
    </row>
    <row r="81" spans="1:3" x14ac:dyDescent="0.25">
      <c r="A81" s="341" t="str">
        <f>General!G67</f>
        <v>f</v>
      </c>
      <c r="B81">
        <v>18</v>
      </c>
      <c r="C81" s="1" t="s">
        <v>2927</v>
      </c>
    </row>
    <row r="82" spans="1:3" x14ac:dyDescent="0.25">
      <c r="A82" s="341" t="str">
        <f>General!G68</f>
        <v>h</v>
      </c>
      <c r="B82">
        <v>30</v>
      </c>
      <c r="C82" s="1" t="s">
        <v>2927</v>
      </c>
    </row>
    <row r="83" spans="1:3" x14ac:dyDescent="0.25">
      <c r="A83" s="341" t="str">
        <f>General!G69</f>
        <v>i</v>
      </c>
      <c r="B83">
        <v>18</v>
      </c>
      <c r="C83" s="1" t="s">
        <v>2927</v>
      </c>
    </row>
    <row r="84" spans="1:3" x14ac:dyDescent="0.25">
      <c r="A84" s="341" t="str">
        <f>General!G70</f>
        <v>k</v>
      </c>
      <c r="B84">
        <v>18</v>
      </c>
      <c r="C84" s="1" t="s">
        <v>2927</v>
      </c>
    </row>
    <row r="85" spans="1:3" x14ac:dyDescent="0.25">
      <c r="A85" s="341" t="str">
        <f>General!G71</f>
        <v>l</v>
      </c>
      <c r="B85">
        <v>18</v>
      </c>
      <c r="C85" s="1" t="s">
        <v>2927</v>
      </c>
    </row>
    <row r="86" spans="1:3" x14ac:dyDescent="0.25">
      <c r="A86" s="341" t="str">
        <f>General!G72</f>
        <v>lf</v>
      </c>
      <c r="B86">
        <v>18</v>
      </c>
      <c r="C86" s="1" t="s">
        <v>2927</v>
      </c>
    </row>
    <row r="87" spans="1:3" x14ac:dyDescent="0.25">
      <c r="A87" s="341" t="str">
        <f>General!G73</f>
        <v>ms</v>
      </c>
      <c r="B87" s="528">
        <f>0.65*B79+0.35*B85</f>
        <v>25.8</v>
      </c>
      <c r="C87" s="1" t="s">
        <v>2927</v>
      </c>
    </row>
    <row r="88" spans="1:3" x14ac:dyDescent="0.25">
      <c r="A88" s="341" t="str">
        <f>General!G74</f>
        <v>o</v>
      </c>
      <c r="B88">
        <v>30</v>
      </c>
      <c r="C88" s="1" t="s">
        <v>2927</v>
      </c>
    </row>
    <row r="89" spans="1:3" x14ac:dyDescent="0.25">
      <c r="A89" s="341" t="str">
        <f>General!G75</f>
        <v>od</v>
      </c>
      <c r="B89">
        <v>30</v>
      </c>
      <c r="C89" s="1" t="s">
        <v>2927</v>
      </c>
    </row>
    <row r="90" spans="1:3" x14ac:dyDescent="0.25">
      <c r="A90" s="341" t="str">
        <f>General!G76</f>
        <v>of</v>
      </c>
      <c r="B90">
        <v>30</v>
      </c>
      <c r="C90" s="1" t="s">
        <v>2927</v>
      </c>
    </row>
    <row r="91" spans="1:3" x14ac:dyDescent="0.25">
      <c r="A91" s="341" t="str">
        <f>General!G77</f>
        <v>r</v>
      </c>
      <c r="B91">
        <v>12</v>
      </c>
      <c r="C91" s="1" t="s">
        <v>2927</v>
      </c>
    </row>
    <row r="92" spans="1:3" x14ac:dyDescent="0.25">
      <c r="A92" s="341" t="str">
        <f>General!G78</f>
        <v>rd</v>
      </c>
      <c r="B92">
        <v>12</v>
      </c>
      <c r="C92" s="1" t="s">
        <v>2927</v>
      </c>
    </row>
    <row r="93" spans="1:3" x14ac:dyDescent="0.25">
      <c r="A93" s="341" t="str">
        <f>General!G79</f>
        <v>v</v>
      </c>
      <c r="B93">
        <v>18</v>
      </c>
      <c r="C93" s="1" t="s">
        <v>2927</v>
      </c>
    </row>
    <row r="94" spans="1:3" x14ac:dyDescent="0.25">
      <c r="A94" s="341" t="str">
        <f>General!G80</f>
        <v>w</v>
      </c>
      <c r="B94">
        <v>30</v>
      </c>
      <c r="C94" s="1" t="s">
        <v>2927</v>
      </c>
    </row>
    <row r="95" spans="1:3" x14ac:dyDescent="0.25">
      <c r="A95" s="341" t="str">
        <f>General!G81</f>
        <v>wd</v>
      </c>
      <c r="B95">
        <v>30</v>
      </c>
      <c r="C95" s="1" t="s">
        <v>2927</v>
      </c>
    </row>
    <row r="96" spans="1:3" x14ac:dyDescent="0.25">
      <c r="A96" s="341" t="str">
        <f>General!G82</f>
        <v>z</v>
      </c>
      <c r="B96">
        <v>12</v>
      </c>
      <c r="C96" s="1" t="s">
        <v>2927</v>
      </c>
    </row>
    <row r="97" spans="1:3" x14ac:dyDescent="0.25">
      <c r="A97" s="341" t="str">
        <f>General!G83</f>
        <v>zd</v>
      </c>
      <c r="B97">
        <v>12</v>
      </c>
      <c r="C97" s="1" t="s">
        <v>2927</v>
      </c>
    </row>
    <row r="99" spans="1:3" x14ac:dyDescent="0.25">
      <c r="A99" t="s">
        <v>37</v>
      </c>
      <c r="B99">
        <v>80</v>
      </c>
      <c r="C99" s="1" t="s">
        <v>2915</v>
      </c>
    </row>
    <row r="101" spans="1:3" x14ac:dyDescent="0.25">
      <c r="A101" t="s">
        <v>37</v>
      </c>
      <c r="B101" t="s">
        <v>3321</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2932</v>
      </c>
      <c r="B123">
        <v>50</v>
      </c>
      <c r="C123" s="1" t="s">
        <v>2934</v>
      </c>
    </row>
    <row r="124" spans="1:3" ht="4.1500000000000004" customHeight="1" x14ac:dyDescent="0.25"/>
    <row r="125" spans="1:3" x14ac:dyDescent="0.25">
      <c r="A125" t="s">
        <v>39</v>
      </c>
      <c r="B125">
        <v>40</v>
      </c>
      <c r="C125" s="1" t="s">
        <v>2933</v>
      </c>
    </row>
    <row r="126" spans="1:3" ht="3" customHeight="1" x14ac:dyDescent="0.25"/>
    <row r="127" spans="1:3" x14ac:dyDescent="0.25">
      <c r="A127" t="s">
        <v>40</v>
      </c>
      <c r="B127">
        <v>50</v>
      </c>
      <c r="C127" s="1" t="s">
        <v>3322</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2935</v>
      </c>
      <c r="B136" t="str">
        <f>General!K68</f>
        <v>mid</v>
      </c>
      <c r="C136">
        <v>25</v>
      </c>
    </row>
    <row r="137" spans="1:3" x14ac:dyDescent="0.25">
      <c r="A137" s="431" t="s">
        <v>2569</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523</vt:i4>
      </vt:variant>
    </vt:vector>
  </HeadingPairs>
  <TitlesOfParts>
    <vt:vector size="537"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2025-09-22T14:15:00Z</dcterms:modified>
</cp:coreProperties>
</file>