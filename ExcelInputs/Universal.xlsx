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7900E799-8702-4447-889E-1965F36B8746}" xr6:coauthVersionLast="47" xr6:coauthVersionMax="47" xr10:uidLastSave="{00000000-0000-0000-0000-000000000000}"/>
  <bookViews>
    <workbookView xWindow="81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General!$M$65:$M$68</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General!$K$65:$K$69</definedName>
    <definedName name="i_fert_info_n1" localSheetId="0">General!$G$42:$K$52</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3" i="24"/>
  <c r="X923" i="24"/>
  <c r="W923" i="24"/>
  <c r="Y922" i="24"/>
  <c r="X922" i="24"/>
  <c r="W922" i="24"/>
  <c r="Y921" i="24"/>
  <c r="X921" i="24"/>
  <c r="W921" i="24"/>
  <c r="Y920" i="24"/>
  <c r="X920" i="24"/>
  <c r="W920" i="24"/>
  <c r="Y1706" i="24"/>
  <c r="X1706" i="24"/>
  <c r="W1706" i="24"/>
  <c r="Y1704" i="24"/>
  <c r="X1704" i="24"/>
  <c r="W1704" i="24"/>
  <c r="Y1703" i="24"/>
  <c r="X1703" i="24"/>
  <c r="W1703" i="24"/>
  <c r="Y1702" i="24"/>
  <c r="X1702" i="24"/>
  <c r="W1702" i="24"/>
  <c r="Y1701" i="24"/>
  <c r="X1701" i="24"/>
  <c r="W1701" i="24"/>
  <c r="Y1700" i="24"/>
  <c r="X1700" i="24"/>
  <c r="W1700" i="24"/>
  <c r="Y1699" i="24"/>
  <c r="X1699" i="24"/>
  <c r="W1699" i="24"/>
  <c r="Y1698" i="24"/>
  <c r="X1698" i="24"/>
  <c r="W1698" i="24"/>
  <c r="Y1693" i="24"/>
  <c r="X1693" i="24"/>
  <c r="W1693" i="24"/>
  <c r="Y1692" i="24"/>
  <c r="X1692" i="24"/>
  <c r="W1692"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Z974" i="24"/>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8" i="24" l="1"/>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6" i="17" l="1"/>
  <c r="H49" i="17"/>
  <c r="J45" i="17"/>
  <c r="I45" i="17"/>
  <c r="H48" i="17"/>
  <c r="L37" i="20" l="1"/>
  <c r="L53" i="20"/>
  <c r="N52" i="20"/>
  <c r="M52" i="20"/>
  <c r="G60" i="17"/>
  <c r="H52" i="17"/>
  <c r="H51" i="17"/>
  <c r="H50" i="17"/>
  <c r="H47" i="17"/>
  <c r="H43"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W1707" i="24"/>
  <c r="Z1707" i="24"/>
  <c r="AB1707" i="24"/>
  <c r="AC1707" i="24" s="1"/>
  <c r="AD1707" i="24" s="1"/>
  <c r="C1708" i="24"/>
  <c r="X1708" i="24"/>
  <c r="W1708" i="24"/>
  <c r="Z1708" i="24"/>
  <c r="AB1708" i="24"/>
  <c r="AC1708" i="24" s="1"/>
  <c r="AD1708" i="24" s="1"/>
  <c r="C1711" i="24"/>
  <c r="C1712" i="24"/>
  <c r="C1709" i="24"/>
  <c r="Y1709" i="24"/>
  <c r="Y1694" i="24" s="1"/>
  <c r="W1709" i="24"/>
  <c r="W1694" i="24" s="1"/>
  <c r="Z1709" i="24"/>
  <c r="AB1709" i="24"/>
  <c r="AC1709" i="24" s="1"/>
  <c r="AD1709" i="24" s="1"/>
  <c r="C1710" i="24"/>
  <c r="C1713" i="24"/>
  <c r="X1713" i="24"/>
  <c r="W1713" i="24"/>
  <c r="Z1713" i="24"/>
  <c r="AB1713" i="24"/>
  <c r="AC1713" i="24" s="1"/>
  <c r="AD1713" i="24" s="1"/>
  <c r="C1714" i="24"/>
  <c r="C1715" i="24"/>
  <c r="X1715" i="24"/>
  <c r="W1715" i="24"/>
  <c r="Z1715" i="24"/>
  <c r="AB1715" i="24"/>
  <c r="AC1715" i="24" s="1"/>
  <c r="AD1715" i="24" s="1"/>
  <c r="C1716" i="24"/>
  <c r="Y1716" i="24"/>
  <c r="W1716" i="24"/>
  <c r="Z1716" i="24"/>
  <c r="AB1716" i="24"/>
  <c r="AC1716" i="24" s="1"/>
  <c r="AD1716" i="24" s="1"/>
  <c r="C1717" i="24"/>
  <c r="X1717" i="24"/>
  <c r="W1717" i="24"/>
  <c r="Z1717" i="24"/>
  <c r="AB1717" i="24"/>
  <c r="AC1717" i="24" s="1"/>
  <c r="AD1717" i="24" s="1"/>
  <c r="C1718" i="24"/>
  <c r="Y1718" i="24"/>
  <c r="W1718" i="24"/>
  <c r="Z1718" i="24"/>
  <c r="AB1718" i="24"/>
  <c r="AC1718" i="24" s="1"/>
  <c r="AD1718" i="24" s="1"/>
  <c r="C1721" i="24"/>
  <c r="Y1721" i="24"/>
  <c r="W1721" i="24"/>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X926" i="24"/>
  <c r="Y772" i="24"/>
  <c r="Z772" i="24" s="1"/>
  <c r="AA772" i="24" s="1"/>
  <c r="AB772" i="24" s="1"/>
  <c r="AC772" i="24" s="1"/>
  <c r="AD772" i="24" s="1"/>
  <c r="AC172" i="24"/>
  <c r="Z172" i="24"/>
  <c r="AC885" i="24"/>
  <c r="AD885" i="24" s="1"/>
  <c r="AD801" i="24" s="1"/>
  <c r="X211" i="24"/>
  <c r="W206" i="24"/>
  <c r="AA797" i="24"/>
  <c r="Z797" i="24"/>
  <c r="X1716" i="24"/>
  <c r="Y810" i="24"/>
  <c r="X204" i="24"/>
  <c r="Y1708" i="24"/>
  <c r="Z540" i="24"/>
  <c r="Z541" i="24" s="1"/>
  <c r="Z542" i="24" s="1"/>
  <c r="W45" i="24"/>
  <c r="Y773" i="24"/>
  <c r="Z773" i="24" s="1"/>
  <c r="AA773" i="24" s="1"/>
  <c r="AB773" i="24" s="1"/>
  <c r="AC773" i="24" s="1"/>
  <c r="AD773" i="24" s="1"/>
  <c r="AA209" i="24"/>
  <c r="Y212" i="24"/>
  <c r="Y69" i="24"/>
  <c r="Z69" i="24" s="1"/>
  <c r="AA69" i="24" s="1"/>
  <c r="AB69" i="24" s="1"/>
  <c r="AC69" i="24" s="1"/>
  <c r="AD69" i="24" s="1"/>
  <c r="X1718" i="24"/>
  <c r="Z623" i="24"/>
  <c r="Y172" i="24"/>
  <c r="W172" i="24"/>
  <c r="V172" i="24"/>
  <c r="Y887" i="24"/>
  <c r="Y805" i="24" s="1"/>
  <c r="X887" i="24"/>
  <c r="X805" i="24" s="1"/>
  <c r="Y814" i="24"/>
  <c r="Z814" i="24" s="1"/>
  <c r="Z815" i="24" s="1"/>
  <c r="X814" i="24"/>
  <c r="X815" i="24" s="1"/>
  <c r="AB800" i="24"/>
  <c r="AB45" i="24"/>
  <c r="Z800" i="24"/>
  <c r="AC196" i="24"/>
  <c r="Y1707" i="24"/>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81" i="24"/>
  <c r="U1676" i="24"/>
  <c r="Y1438" i="24"/>
  <c r="W1302" i="24"/>
  <c r="W1301" i="24" s="1"/>
  <c r="Y885" i="24"/>
  <c r="V796" i="24"/>
  <c r="AA198" i="24"/>
  <c r="Y796" i="24"/>
  <c r="Y1717" i="24"/>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J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N125" i="23" l="1"/>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N156" i="23" s="1"/>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AW221" i="23" l="1"/>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Michael</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42" authorId="1"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2" authorId="2"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2" authorId="1" shapeId="0" xr:uid="{69CED908-95AC-461E-ACCD-5C0772F2866E}">
      <text>
        <r>
          <rPr>
            <b/>
            <sz val="9"/>
            <color indexed="81"/>
            <rFont val="Tahoma"/>
            <family val="2"/>
          </rPr>
          <t>Michael Young:</t>
        </r>
        <r>
          <rPr>
            <sz val="9"/>
            <color indexed="81"/>
            <rFont val="Tahoma"/>
            <family val="2"/>
          </rPr>
          <t xml:space="preserve">
fert density t/m3</t>
        </r>
      </text>
    </comment>
    <comment ref="J42" authorId="3" shapeId="0" xr:uid="{56E3A720-7D39-48C7-BFA3-35741354EC03}">
      <text>
        <r>
          <rPr>
            <sz val="9"/>
            <color indexed="81"/>
            <rFont val="Tahoma"/>
            <family val="2"/>
          </rPr>
          <t>Proportion of nitrogen making up the fertiliser. Required for emission calculations.</t>
        </r>
      </text>
    </comment>
    <comment ref="K42" authorId="0" shapeId="0" xr:uid="{78DB029F-CCF0-4BAC-B875-7B9A3751B986}">
      <text>
        <r>
          <rPr>
            <b/>
            <sz val="9"/>
            <color indexed="81"/>
            <rFont val="Tahoma"/>
            <family val="2"/>
          </rPr>
          <t>Michael Young (21512438):</t>
        </r>
        <r>
          <rPr>
            <sz val="9"/>
            <color indexed="81"/>
            <rFont val="Tahoma"/>
            <family val="2"/>
          </rPr>
          <t xml:space="preserve">
day of yr</t>
        </r>
      </text>
    </comment>
    <comment ref="G62"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1864" authorId="0" shapeId="0" xr:uid="{E1388964-B318-4BF0-ACB9-6F93B8DBB84D}">
      <text>
        <r>
          <rPr>
            <b/>
            <sz val="9"/>
            <color indexed="81"/>
            <rFont val="Tahoma"/>
            <family val="2"/>
          </rPr>
          <t>John:</t>
        </r>
        <r>
          <rPr>
            <sz val="9"/>
            <color indexed="81"/>
            <rFont val="Tahoma"/>
            <family val="2"/>
          </rPr>
          <t xml:space="preserve">
FOO is ns in LMAT</t>
        </r>
      </text>
    </comment>
    <comment ref="AA1870" authorId="0" shapeId="0" xr:uid="{15338E32-D1E0-4CA7-88AA-1A7CDD7BE366}">
      <text>
        <r>
          <rPr>
            <b/>
            <sz val="9"/>
            <color indexed="81"/>
            <rFont val="Tahoma"/>
            <family val="2"/>
          </rPr>
          <t>John:</t>
        </r>
        <r>
          <rPr>
            <sz val="9"/>
            <color indexed="81"/>
            <rFont val="Tahoma"/>
            <family val="2"/>
          </rPr>
          <t xml:space="preserve">
From LMAT</t>
        </r>
      </text>
    </comment>
    <comment ref="AA1872" authorId="0" shapeId="0" xr:uid="{46EA3FBB-895C-4D68-A98F-7B22580202F1}">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<sst xmlns="http://schemas.openxmlformats.org/spreadsheetml/2006/main" count="6623" uniqueCount="3797">
  <si>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</si>
  <si>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</si>
  <si>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</si>
  <si>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</si>
  <si>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</si>
  <si>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</si>
  <si>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</si>
  <si>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</si>
  <si>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</si>
  <si>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</si>
  <si>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</si>
  <si>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</si>
  <si>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</si>
  <si>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</si>
  <si>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</si>
  <si>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</si>
  <si>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</si>
  <si>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</si>
  <si>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</si>
  <si>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</si>
  <si>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</si>
  <si>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</si>
  <si>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</si>
  <si>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</si>
  <si>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</si>
  <si>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</si>
  <si>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</si>
  <si>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</si>
  <si>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</si>
  <si>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</si>
  <si>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</si>
  <si>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</si>
  <si>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</si>
  <si>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</si>
  <si>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</si>
  <si>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</si>
  <si>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</si>
  <si>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</si>
  <si>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</si>
  <si>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</si>
  <si>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</si>
  <si>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</si>
  <si>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</si>
  <si>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</si>
  <si>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</si>
  <si>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</si>
  <si>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</si>
  <si>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</si>
  <si>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</si>
  <si>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</si>
  <si>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</si>
  <si>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</si>
  <si>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</si>
  <si>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</si>
  <si>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</si>
  <si>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</si>
  <si>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</si>
  <si>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</si>
  <si>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</si>
  <si>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</si>
  <si>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</si>
  <si>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</si>
  <si>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</si>
  <si>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</si>
  <si>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</si>
  <si>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</si>
  <si>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</si>
  <si>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</si>
  <si>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</si>
  <si>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</si>
  <si>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</si>
  <si>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</si>
  <si>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</si>
  <si>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</si>
  <si>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</si>
  <si>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</si>
  <si>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</si>
  <si>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</si>
  <si>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</si>
  <si>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</si>
  <si>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</si>
  <si>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</si>
  <si>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</si>
  <si>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</si>
  <si>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</si>
  <si>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</si>
  <si>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</si>
  <si>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</si>
  <si>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</si>
  <si>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</si>
  <si>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</si>
  <si>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</si>
  <si>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</si>
  <si>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</si>
  <si>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</si>
  <si>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</si>
  <si>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</si>
  <si>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</si>
  <si>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</si>
  <si>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</si>
  <si>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</si>
  <si>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</si>
  <si>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</si>
  <si>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</si>
  <si>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</si>
  <si>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</si>
  <si>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</si>
  <si>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</si>
  <si>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</si>
  <si>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</si>
  <si>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</si>
  <si>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</si>
  <si>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</si>
  <si>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</si>
  <si>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</si>
  <si>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</si>
  <si>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</si>
  <si>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</si>
  <si>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</si>
  <si>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</si>
  <si>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</si>
  <si>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</si>
  <si>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</si>
  <si>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</si>
  <si>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</si>
  <si>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</si>
  <si>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</si>
  <si>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</si>
  <si>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</si>
  <si>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</si>
  <si>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</si>
  <si>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</si>
  <si>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</si>
  <si>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</si>
  <si>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</si>
  <si>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</si>
  <si>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</si>
  <si>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</si>
  <si>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</si>
  <si>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</si>
  <si>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</si>
  <si>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</si>
  <si>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</si>
  <si>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</si>
  <si>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</si>
  <si>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</si>
  <si>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</si>
  <si>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</si>
  <si>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</si>
  <si>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</si>
  <si>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</si>
  <si>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</si>
  <si>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</si>
  <si>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</si>
  <si>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</si>
  <si>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</si>
  <si>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</si>
  <si>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</si>
  <si>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</si>
  <si>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</si>
  <si>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</si>
  <si>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</si>
  <si>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</si>
  <si>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</si>
  <si>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</si>
  <si>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</si>
  <si>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</si>
  <si>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</si>
  <si>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</si>
  <si>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</si>
  <si>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</si>
  <si>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</si>
  <si>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</si>
  <si>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</si>
  <si>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</si>
  <si>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</si>
  <si>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</si>
  <si>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</si>
  <si>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</si>
  <si>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</si>
  <si>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</si>
  <si>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</si>
  <si>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</si>
  <si>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</si>
  <si>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</si>
  <si>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</si>
  <si>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</si>
  <si>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</si>
  <si>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</si>
  <si>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</si>
  <si>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</si>
  <si>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</si>
  <si>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</si>
  <si>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</si>
  <si>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</si>
  <si>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</si>
  <si>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</si>
  <si>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</si>
  <si>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</si>
  <si>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</si>
  <si>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</si>
  <si>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</si>
  <si>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</si>
  <si>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</si>
  <si>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</si>
  <si>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</si>
  <si>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</si>
  <si>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</si>
  <si>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</si>
  <si>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</si>
  <si>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</si>
  <si>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</si>
  <si>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</si>
  <si>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</si>
  <si>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</si>
  <si>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</si>
  <si>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</si>
  <si>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</si>
  <si>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</si>
  <si>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</si>
  <si>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</si>
  <si>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</si>
  <si>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</si>
  <si>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</si>
  <si>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</si>
  <si>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</si>
  <si>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</si>
  <si>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</si>
  <si>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</si>
  <si>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</si>
  <si>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</si>
  <si>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</si>
  <si>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</si>
  <si>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</si>
  <si>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</si>
  <si>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</si>
  <si>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</si>
  <si>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</si>
  <si>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</si>
  <si>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</si>
  <si>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</si>
  <si>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</si>
  <si>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</si>
  <si>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</si>
  <si>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</si>
  <si>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</si>
  <si>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</si>
  <si>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</si>
  <si>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</si>
  <si>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</si>
  <si>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</si>
  <si>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</si>
  <si>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</si>
  <si>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</si>
  <si>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</si>
  <si>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</si>
  <si>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</si>
  <si>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</si>
  <si>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</si>
  <si>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</si>
  <si>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</si>
  <si>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</si>
  <si>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</si>
  <si>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</si>
  <si>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</si>
  <si>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</si>
  <si>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</si>
  <si>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</si>
  <si>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</si>
  <si>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</si>
  <si>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</si>
  <si>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</si>
  <si>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</si>
  <si>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</si>
  <si>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</si>
  <si>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</si>
  <si>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</si>
  <si>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</si>
  <si>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</si>
  <si>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</si>
  <si>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</si>
  <si>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</si>
  <si>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</si>
  <si>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</si>
  <si>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</si>
  <si>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</si>
  <si>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</si>
  <si>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</si>
  <si>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</si>
  <si>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</si>
  <si>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</si>
  <si>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</si>
  <si>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</si>
  <si>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</si>
  <si>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</si>
  <si>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</si>
  <si>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</si>
  <si>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</si>
  <si>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</si>
  <si>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</si>
  <si>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</si>
  <si>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</si>
  <si>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</si>
  <si>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</si>
  <si>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</si>
  <si>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</si>
  <si>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</si>
  <si>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</si>
  <si>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</si>
  <si>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</si>
  <si>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</si>
  <si>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</si>
  <si>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</si>
  <si>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</si>
  <si>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</si>
  <si>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</si>
  <si>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</si>
  <si>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</si>
  <si>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</si>
  <si>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</si>
  <si>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</si>
  <si>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</si>
  <si>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</si>
  <si>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</si>
  <si>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</si>
  <si>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</si>
  <si>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</si>
  <si>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</si>
  <si>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</si>
  <si>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</si>
  <si>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</si>
  <si>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</si>
  <si>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</si>
  <si>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</si>
  <si>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</si>
  <si>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</si>
  <si>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</si>
  <si>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</si>
  <si>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</si>
  <si>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</si>
  <si>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</si>
  <si>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</si>
  <si>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</si>
  <si>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</si>
  <si>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</si>
  <si>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</si>
  <si>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</si>
  <si>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</si>
  <si>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</si>
  <si>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</si>
  <si>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</si>
  <si>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</si>
  <si>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</si>
  <si>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</si>
  <si>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</si>
  <si>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</si>
  <si>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</si>
  <si>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</si>
  <si>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</si>
  <si>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</si>
  <si>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</si>
  <si>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</si>
  <si>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</si>
  <si>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</si>
  <si>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</si>
  <si>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</si>
  <si>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</si>
  <si>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</si>
  <si>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</si>
  <si>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</si>
  <si>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</si>
  <si>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</si>
  <si>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</si>
  <si>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</si>
  <si>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</si>
  <si>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</si>
  <si>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</si>
  <si>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</si>
  <si>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</si>
  <si>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</si>
  <si>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</si>
  <si>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</si>
  <si>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</si>
  <si>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</si>
  <si>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</si>
  <si>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</si>
  <si>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</si>
  <si>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</si>
  <si>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</si>
  <si>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</si>
  <si>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</si>
  <si>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</si>
  <si>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</si>
  <si>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</si>
  <si>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</si>
  <si>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</si>
  <si>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</si>
  <si>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</si>
  <si>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</si>
  <si>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</si>
  <si>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</si>
  <si>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</si>
  <si>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</si>
  <si>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</si>
  <si>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</si>
  <si>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</si>
  <si>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</si>
  <si>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</si>
  <si>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</si>
  <si>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</si>
  <si>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</si>
  <si>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</si>
  <si>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</si>
  <si>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</si>
  <si>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</si>
  <si>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</si>
  <si>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</si>
  <si>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</si>
  <si>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</si>
  <si>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</si>
  <si>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</si>
  <si>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</si>
  <si>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</si>
  <si>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</si>
  <si>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</si>
  <si>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</si>
  <si>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</si>
  <si>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</si>
  <si>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</si>
  <si>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</si>
  <si>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</si>
  <si>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</si>
  <si>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</si>
  <si>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</si>
  <si>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</si>
  <si>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</si>
  <si>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</si>
  <si>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</si>
  <si>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</si>
  <si>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</si>
  <si>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</si>
  <si>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</si>
  <si>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</si>
  <si>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</si>
  <si>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</si>
  <si>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</si>
  <si>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</si>
  <si>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</si>
  <si>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</si>
  <si>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</si>
  <si>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</si>
  <si>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</si>
  <si>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</si>
  <si>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</si>
  <si>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</si>
  <si>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</si>
  <si>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</si>
  <si>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</si>
  <si>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</si>
  <si>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</si>
  <si>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</si>
  <si>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</si>
  <si>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</si>
  <si>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</si>
  <si>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</si>
  <si>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</si>
  <si>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</si>
  <si>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</si>
  <si>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</si>
  <si>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</si>
  <si>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</si>
  <si>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</si>
  <si>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</si>
  <si>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</si>
  <si>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</si>
  <si>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</si>
  <si>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</si>
  <si>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</si>
  <si>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</si>
  <si>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</si>
  <si>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</si>
  <si>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</si>
  <si>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</si>
  <si>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</si>
  <si>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</si>
  <si>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</si>
  <si>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</si>
  <si>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</si>
  <si>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</si>
  <si>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</si>
  <si>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</si>
  <si>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</si>
  <si>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</si>
  <si>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</si>
  <si>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</si>
  <si>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</si>
  <si>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</si>
  <si>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</si>
  <si>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</si>
  <si>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</si>
  <si>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</si>
  <si>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</si>
  <si>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</si>
  <si>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</si>
  <si>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</si>
  <si>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</si>
  <si>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</si>
  <si>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</si>
  <si>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</si>
  <si>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</si>
  <si>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</si>
  <si>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</si>
  <si>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</si>
  <si>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</si>
  <si>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</si>
  <si>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</si>
  <si>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</si>
  <si>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</si>
  <si>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</si>
  <si>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</si>
  <si>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</si>
  <si>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</si>
  <si>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</si>
  <si>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</si>
  <si>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</si>
  <si>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</si>
  <si>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</si>
  <si>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</si>
  <si>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</si>
  <si>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</si>
  <si>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</si>
  <si>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</si>
  <si>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</si>
  <si>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</si>
  <si>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</si>
  <si>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</si>
  <si>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</si>
  <si>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</si>
  <si>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</si>
  <si>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</si>
  <si>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</si>
  <si>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</si>
  <si>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</si>
  <si>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</si>
  <si>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</si>
  <si>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</si>
  <si>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</si>
  <si>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</si>
  <si>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</si>
  <si>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</si>
  <si>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</si>
  <si>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</si>
  <si>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</si>
  <si>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</si>
  <si>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</si>
  <si>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</si>
  <si>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</si>
  <si>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</si>
  <si>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</si>
  <si>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</si>
  <si>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</si>
  <si>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</si>
  <si>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</si>
  <si>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</si>
  <si>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</si>
  <si>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</si>
  <si>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</si>
  <si>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</si>
  <si>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</si>
  <si>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</si>
  <si>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</si>
  <si>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</si>
  <si>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</si>
  <si>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</si>
  <si>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</si>
  <si>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</si>
  <si>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</si>
  <si>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</si>
  <si>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</si>
  <si>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</si>
  <si>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</si>
  <si>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</si>
  <si>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</si>
  <si>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</si>
  <si>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</si>
  <si>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</si>
  <si>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</si>
  <si>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</si>
  <si>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</si>
  <si>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</si>
  <si>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</si>
  <si>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</si>
  <si>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</si>
  <si>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</si>
  <si>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</si>
  <si>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</si>
  <si>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</si>
  <si>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</si>
  <si>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</si>
  <si>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</si>
  <si>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</si>
  <si>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</si>
  <si>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</si>
  <si>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</si>
  <si>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</si>
  <si>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</si>
  <si>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</si>
  <si>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</si>
  <si>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</si>
  <si>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</si>
  <si>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</si>
  <si>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</si>
  <si>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</si>
  <si>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</si>
  <si>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</si>
  <si>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</si>
  <si>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</si>
  <si>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</si>
  <si>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</si>
  <si>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</si>
  <si>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</si>
  <si>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</si>
  <si>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</si>
  <si>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</si>
  <si>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</si>
  <si>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</si>
  <si>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</si>
  <si>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</si>
  <si>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</si>
  <si>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</si>
  <si>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</si>
  <si>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</si>
  <si>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</si>
  <si>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</si>
  <si>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</si>
  <si>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</si>
  <si>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</si>
  <si>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</si>
  <si>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</si>
  <si>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</si>
  <si>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</si>
  <si>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</si>
  <si>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</si>
  <si>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</si>
  <si>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</si>
  <si>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</si>
  <si>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</si>
  <si>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</si>
  <si>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</si>
  <si>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</si>
  <si>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</si>
  <si>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</si>
  <si>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</si>
  <si>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</si>
  <si>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</si>
  <si>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</si>
  <si>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</si>
  <si>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</si>
  <si>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</si>
  <si>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</si>
  <si>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</si>
  <si>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</si>
  <si>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</si>
  <si>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</si>
  <si>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</si>
  <si>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</si>
  <si>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</si>
  <si>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</si>
  <si>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</si>
  <si>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</si>
  <si>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</si>
  <si>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</si>
  <si>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</si>
  <si>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</si>
  <si>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</si>
  <si>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</si>
  <si>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</si>
  <si>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</si>
  <si>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</si>
  <si>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</si>
  <si>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</si>
  <si>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</si>
  <si>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</si>
  <si>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</si>
  <si>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</si>
  <si>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</si>
  <si>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</si>
  <si>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</si>
  <si>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</si>
  <si>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</si>
  <si>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</si>
  <si>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</si>
  <si>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</si>
  <si>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</si>
  <si>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</si>
  <si>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</si>
  <si>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</si>
  <si>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</si>
  <si>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</si>
  <si>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</si>
  <si>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</si>
  <si>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</si>
  <si>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</si>
  <si>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</si>
  <si>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</si>
  <si>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</si>
  <si>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</si>
  <si>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</si>
  <si>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</si>
  <si>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</si>
  <si>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</si>
  <si>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</si>
  <si>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</si>
  <si>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</si>
  <si>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</si>
  <si>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</si>
  <si>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</si>
  <si>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</si>
  <si>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</si>
  <si>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</si>
  <si>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</si>
  <si>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</si>
  <si>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</si>
  <si>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</si>
  <si>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</si>
  <si>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</si>
  <si>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</si>
  <si>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</si>
  <si>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</si>
  <si>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</si>
  <si>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</si>
  <si>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</si>
  <si>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</si>
  <si>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</si>
  <si>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</si>
  <si>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</si>
  <si>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</si>
  <si>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</si>
  <si>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</si>
  <si>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</si>
  <si>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</si>
  <si>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</si>
  <si>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</si>
  <si>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</si>
  <si>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</si>
  <si>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</si>
  <si>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</si>
  <si>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</si>
  <si>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</si>
  <si>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</si>
  <si>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</si>
  <si>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</si>
  <si>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</si>
  <si>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</si>
  <si>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</si>
  <si>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</si>
  <si>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</si>
  <si>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</si>
  <si>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</si>
  <si>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</si>
  <si>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</si>
  <si>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</si>
  <si>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</si>
  <si>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</si>
  <si>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</si>
  <si>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</si>
  <si>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</si>
  <si>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</si>
  <si>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</si>
  <si>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</si>
  <si>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</si>
  <si>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</si>
  <si>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</si>
  <si>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</si>
  <si>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</si>
  <si>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</si>
  <si>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</si>
  <si>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</si>
  <si>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</si>
  <si>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</si>
  <si>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</si>
  <si>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</si>
  <si>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</si>
  <si>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</si>
  <si>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</si>
  <si>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</si>
  <si>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</si>
  <si>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</si>
  <si>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</si>
  <si>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</si>
  <si>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</si>
  <si>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</si>
  <si>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</si>
  <si>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</si>
  <si>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</si>
  <si>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</si>
  <si>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</si>
  <si>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</si>
  <si>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</si>
  <si>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</si>
  <si>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</si>
  <si>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</si>
  <si>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</si>
  <si>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</si>
  <si>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</si>
  <si>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</si>
  <si>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</si>
  <si>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</si>
  <si>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</si>
  <si>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</si>
  <si>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</si>
  <si>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</si>
  <si>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</si>
  <si>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</si>
  <si>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</si>
  <si>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</si>
  <si>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</si>
  <si>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</si>
  <si>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</si>
  <si>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</si>
  <si>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</si>
  <si>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</si>
  <si>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</si>
  <si>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</si>
  <si>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</si>
  <si>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</si>
  <si>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</si>
  <si>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</si>
  <si>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</si>
  <si>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</si>
  <si>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</si>
  <si>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</si>
  <si>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</si>
  <si>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</si>
  <si>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</si>
  <si>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</si>
  <si>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</si>
  <si>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</si>
  <si>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</si>
  <si>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</si>
  <si>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</si>
  <si>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</si>
  <si>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</si>
  <si>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</si>
  <si>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</si>
  <si>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</si>
  <si>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</si>
  <si>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</si>
  <si>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</si>
  <si>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</si>
  <si>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</si>
  <si>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</si>
  <si>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</si>
  <si>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</si>
  <si>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</si>
  <si>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</si>
  <si>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</si>
  <si>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</si>
  <si>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</si>
  <si>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</si>
  <si>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</si>
  <si>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</si>
  <si>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</si>
  <si>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</si>
  <si>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</si>
  <si>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</si>
  <si>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</si>
  <si>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</si>
  <si>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</si>
  <si>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</si>
  <si>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</si>
  <si>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</si>
  <si>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</si>
  <si>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</si>
  <si>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</si>
  <si>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</si>
  <si>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</si>
  <si>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</si>
  <si>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</si>
  <si>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</si>
  <si>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</si>
  <si>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</si>
  <si>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</si>
  <si>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</si>
  <si>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</si>
  <si>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</si>
  <si>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</si>
  <si>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</si>
  <si>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</si>
  <si>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</si>
  <si>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</si>
  <si>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</si>
  <si>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</si>
  <si>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</si>
  <si>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</si>
  <si>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</si>
  <si>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</si>
  <si>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</si>
  <si>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</si>
  <si>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</si>
  <si>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</si>
  <si>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</si>
  <si>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</si>
  <si>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</si>
  <si>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</si>
  <si>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</si>
  <si>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</si>
  <si>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</si>
  <si>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</si>
  <si>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</si>
  <si>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</si>
  <si>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</si>
  <si>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</si>
  <si>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</si>
  <si>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</si>
  <si>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</si>
  <si>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</si>
  <si>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</si>
  <si>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</si>
  <si>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</si>
  <si>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</si>
  <si>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</si>
  <si>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</si>
  <si>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</si>
  <si>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</si>
  <si>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</si>
  <si>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</si>
  <si>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</si>
  <si>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</si>
  <si>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</si>
  <si>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</si>
  <si>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</si>
  <si>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</si>
  <si>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</si>
  <si>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</si>
  <si>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</si>
  <si>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</si>
  <si>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</si>
  <si>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</si>
  <si>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</si>
  <si>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</si>
  <si>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</si>
  <si>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</si>
  <si>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</si>
  <si>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</si>
  <si>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</si>
  <si>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</si>
  <si>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</si>
  <si>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</si>
  <si>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</si>
  <si>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</si>
  <si>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</si>
  <si>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</si>
  <si>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</si>
  <si>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</si>
  <si>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</si>
  <si>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</si>
  <si>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</si>
  <si>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</si>
  <si>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</si>
  <si>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</si>
  <si>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</si>
  <si>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</si>
  <si>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</si>
  <si>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</si>
  <si>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</si>
  <si>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</si>
  <si>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</si>
  <si>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</si>
  <si>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</si>
  <si>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</si>
  <si>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</si>
  <si>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</si>
  <si>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</si>
  <si>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</si>
  <si>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</si>
  <si>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</si>
  <si>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</si>
  <si>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</si>
  <si>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</si>
  <si>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</si>
  <si>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</si>
  <si>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</si>
  <si>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</si>
  <si>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</si>
  <si>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</si>
  <si>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</si>
  <si>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</si>
  <si>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</si>
  <si>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</si>
  <si>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</si>
  <si>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</si>
  <si>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</si>
  <si>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</si>
  <si>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</si>
  <si>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</si>
  <si>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</si>
  <si>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</si>
  <si>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</si>
  <si>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</si>
  <si>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</si>
  <si>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</si>
  <si>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</si>
  <si>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</si>
  <si>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</si>
  <si>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</si>
  <si>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</si>
  <si>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</si>
  <si>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</si>
  <si>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</si>
  <si>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</si>
  <si>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</si>
  <si>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</si>
  <si>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</si>
  <si>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</si>
  <si>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</si>
  <si>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</si>
  <si>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</si>
  <si>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</si>
  <si>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</si>
  <si>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</si>
  <si>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</si>
  <si>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</si>
  <si>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</si>
  <si>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</si>
  <si>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</si>
  <si>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</si>
  <si>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</si>
  <si>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</si>
  <si>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</si>
  <si>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</si>
  <si>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</si>
  <si>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</si>
  <si>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</si>
  <si>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</si>
  <si>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</si>
  <si>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</si>
  <si>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</si>
  <si>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</si>
  <si>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</si>
  <si>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</si>
  <si>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</si>
  <si>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</si>
  <si>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</si>
  <si>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</si>
  <si>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</si>
  <si>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</si>
  <si>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</si>
  <si>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</si>
  <si>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</si>
  <si>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</si>
  <si>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</si>
  <si>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</si>
  <si>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</si>
  <si>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</si>
  <si>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</si>
  <si>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</si>
  <si>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</si>
  <si>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</si>
  <si>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</si>
  <si>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</si>
  <si>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</si>
  <si>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</si>
  <si>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</si>
  <si>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</si>
  <si>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</si>
  <si>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</si>
  <si>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</si>
  <si>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</si>
  <si>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</si>
  <si>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</si>
  <si>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</si>
  <si>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</si>
  <si>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</si>
  <si>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</si>
  <si>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</si>
  <si>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</si>
  <si>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</si>
  <si>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</si>
  <si>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</si>
  <si>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</si>
  <si>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</si>
  <si>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</si>
  <si>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</si>
  <si>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</si>
  <si>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</si>
  <si>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</si>
  <si>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</si>
  <si>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</si>
  <si>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</si>
  <si>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</si>
  <si>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</si>
  <si>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</si>
  <si>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</si>
  <si>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</si>
  <si>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</si>
  <si>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</si>
  <si>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</si>
  <si>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</si>
  <si>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</si>
  <si>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</si>
  <si>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</si>
  <si>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</si>
  <si>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</si>
  <si>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</si>
  <si>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</si>
  <si>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</si>
  <si>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</si>
  <si>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</si>
  <si>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</si>
  <si>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</si>
  <si>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</si>
  <si>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</si>
  <si>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</si>
  <si>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</si>
  <si>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</si>
  <si>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</si>
  <si>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</si>
  <si>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</si>
  <si>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</si>
  <si>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</si>
  <si>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</si>
  <si>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</si>
  <si>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</si>
  <si>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</si>
  <si>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</si>
  <si>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</si>
  <si>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</si>
  <si>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</si>
  <si>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</si>
  <si>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</si>
  <si>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</si>
  <si>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</si>
  <si>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</si>
  <si>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</si>
  <si>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</si>
  <si>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</si>
  <si>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</si>
  <si>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</si>
  <si>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</si>
  <si>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</si>
  <si>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</si>
  <si>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</si>
  <si>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</si>
  <si>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</si>
  <si>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</si>
  <si>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</si>
  <si>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</si>
  <si>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</si>
  <si>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</si>
  <si>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</si>
  <si>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</si>
  <si>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</si>
  <si>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</si>
  <si>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</si>
  <si>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</si>
  <si>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</si>
  <si>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</si>
  <si>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</si>
  <si>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</si>
  <si>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</si>
  <si>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</si>
  <si>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</si>
  <si>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</si>
  <si>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</si>
  <si>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</si>
  <si>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</si>
  <si>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</si>
  <si>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</si>
  <si>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</si>
  <si>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</si>
  <si>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</si>
  <si>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</si>
  <si>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</si>
  <si>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</si>
  <si>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</si>
  <si>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</si>
  <si>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</si>
  <si>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</si>
  <si>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</si>
  <si>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</si>
  <si>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</si>
  <si>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</si>
  <si>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</si>
  <si>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</si>
  <si>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</si>
  <si>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</si>
  <si>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</si>
  <si>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</si>
  <si>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</si>
  <si>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</si>
  <si>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</si>
  <si>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</si>
  <si>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</si>
  <si>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</si>
  <si>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</si>
  <si>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</si>
  <si>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</si>
  <si>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</si>
  <si>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</si>
  <si>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</si>
  <si>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</si>
  <si>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</si>
  <si>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</si>
  <si>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</si>
  <si>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</si>
  <si>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</si>
  <si>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</si>
  <si>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</si>
  <si>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</si>
  <si>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</si>
  <si>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</si>
  <si>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</si>
  <si>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</si>
  <si>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</si>
  <si>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</si>
  <si>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</si>
  <si>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</si>
  <si>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</si>
  <si>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</si>
  <si>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</si>
  <si>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</si>
  <si>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</si>
  <si>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</si>
  <si>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</si>
  <si>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</si>
  <si>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</si>
  <si>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</si>
  <si>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</si>
  <si>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</si>
  <si>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</si>
  <si>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</si>
  <si>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</si>
  <si>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</si>
  <si>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</si>
  <si>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</si>
  <si>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</si>
  <si>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</si>
  <si>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</si>
  <si>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</si>
  <si>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</si>
  <si>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</si>
  <si>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</si>
  <si>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</si>
  <si>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</si>
  <si>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</si>
  <si>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</si>
  <si>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</si>
  <si>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</si>
  <si>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</si>
  <si>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</si>
  <si>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</si>
  <si>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</si>
  <si>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</si>
  <si>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</si>
  <si>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</si>
  <si>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</si>
  <si>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</si>
  <si>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</si>
  <si>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</si>
  <si>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</si>
  <si>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</si>
  <si>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</si>
  <si>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</si>
  <si>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</si>
  <si>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</si>
  <si>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</si>
  <si>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</si>
  <si>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</si>
  <si>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</si>
  <si>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</si>
  <si>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</si>
  <si>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</si>
  <si>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</si>
  <si>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</si>
  <si>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</si>
  <si>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</si>
  <si>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</si>
  <si>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</si>
  <si>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</si>
  <si>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</si>
  <si>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</si>
  <si>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</si>
  <si>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</si>
  <si>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</si>
  <si>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</si>
  <si>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</si>
  <si>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</si>
  <si>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</si>
  <si>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</si>
  <si>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</si>
  <si>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</si>
  <si>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</si>
  <si>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</si>
  <si>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</si>
  <si>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</si>
  <si>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</si>
  <si>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</si>
  <si>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</si>
  <si>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</si>
  <si>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</si>
  <si>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</si>
  <si>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</si>
  <si>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</si>
  <si>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</si>
  <si>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</si>
  <si>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</si>
  <si>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</si>
  <si>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</si>
  <si>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</si>
  <si>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</si>
  <si>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</si>
  <si>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</si>
  <si>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</si>
  <si>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</si>
  <si>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</si>
  <si>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</si>
  <si>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</si>
  <si>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</si>
  <si>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</si>
  <si>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</si>
  <si>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</si>
  <si>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</si>
  <si>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</si>
  <si>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</si>
  <si>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</si>
  <si>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</si>
  <si>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</si>
  <si>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</si>
  <si>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</si>
  <si>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</si>
  <si>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</si>
  <si>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</si>
  <si>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</si>
  <si>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</si>
  <si>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</si>
  <si>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</si>
  <si>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</si>
  <si>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</si>
  <si>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</si>
  <si>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</si>
  <si>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</si>
  <si>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</si>
  <si>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</si>
  <si>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</si>
  <si>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</si>
  <si>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</si>
  <si>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</si>
  <si>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</si>
  <si>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</si>
  <si>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</si>
  <si>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</si>
  <si>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</si>
  <si>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</si>
  <si>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</si>
  <si>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</si>
  <si>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</si>
  <si>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</si>
  <si>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</si>
  <si>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</si>
  <si>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</si>
  <si>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</si>
  <si>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</si>
  <si>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</si>
  <si>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</si>
  <si>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</si>
  <si>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</si>
  <si>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</si>
  <si>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</si>
  <si>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</si>
  <si>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</si>
  <si>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</si>
  <si>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</si>
  <si>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</si>
  <si>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</si>
  <si>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</si>
  <si>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</si>
  <si>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</si>
  <si>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</si>
  <si>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</si>
  <si>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</si>
  <si>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</si>
  <si>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</si>
  <si>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</si>
  <si>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</si>
  <si>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</si>
  <si>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</si>
  <si>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</si>
  <si>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</si>
  <si>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</si>
  <si>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</si>
  <si>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</si>
  <si>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</si>
  <si>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</si>
  <si>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</si>
  <si>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</si>
  <si>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</si>
  <si>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</si>
  <si>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</si>
  <si>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</si>
  <si>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</si>
  <si>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</si>
  <si>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</si>
  <si>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</si>
  <si>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</si>
  <si>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</si>
  <si>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</si>
  <si>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</si>
  <si>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</si>
  <si>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</si>
  <si>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</si>
  <si>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</si>
  <si>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</si>
  <si>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</si>
  <si>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</si>
  <si>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</si>
  <si>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</si>
  <si>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</si>
  <si>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</si>
  <si>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</si>
  <si>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</si>
  <si>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</si>
  <si>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</si>
  <si>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</si>
  <si>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</si>
  <si>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</si>
  <si>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</si>
  <si>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</si>
  <si>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</si>
  <si>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</si>
  <si>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</si>
  <si>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</si>
  <si>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</si>
  <si>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</si>
  <si>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</si>
  <si>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</si>
  <si>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</si>
  <si>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</si>
  <si>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</si>
  <si>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</si>
  <si>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</si>
  <si>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</si>
  <si>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</si>
  <si>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</si>
  <si>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</si>
  <si>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</si>
  <si>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</si>
  <si>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</si>
  <si>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</si>
  <si>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</si>
  <si>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</si>
  <si>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</si>
  <si>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</si>
  <si>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</si>
  <si>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</si>
  <si>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</si>
  <si>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</si>
  <si>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</si>
  <si>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</si>
  <si>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</si>
  <si>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</si>
  <si>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</si>
  <si>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</si>
  <si>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</si>
  <si>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</si>
  <si>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</si>
  <si>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</si>
  <si>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</si>
  <si>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</si>
  <si>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</si>
  <si>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</si>
  <si>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</si>
  <si>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</si>
  <si>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</si>
  <si>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</si>
  <si>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</si>
  <si>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</si>
  <si>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</si>
  <si>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</si>
  <si>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</si>
  <si>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</si>
  <si>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</si>
  <si>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</si>
  <si>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</si>
  <si>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</si>
  <si>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</si>
  <si>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</si>
  <si>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</si>
  <si>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</si>
  <si>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</si>
  <si>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</si>
  <si>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</si>
  <si>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</si>
  <si>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</si>
  <si>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</si>
  <si>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</si>
  <si>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</si>
  <si>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</si>
  <si>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</si>
  <si>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</si>
  <si>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</si>
  <si>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</si>
  <si>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</si>
  <si>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</si>
  <si>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</si>
  <si>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</si>
  <si>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</si>
  <si>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</si>
  <si>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</si>
  <si>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</si>
  <si>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</si>
  <si>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</si>
  <si>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</si>
  <si>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</si>
  <si>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</si>
  <si>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</si>
  <si>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</si>
  <si>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</si>
  <si>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</si>
  <si>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</si>
  <si>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</si>
  <si>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</si>
  <si>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</si>
  <si>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</si>
  <si>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</si>
  <si>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</si>
  <si>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</si>
  <si>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</si>
  <si>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</si>
  <si>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</si>
  <si>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</si>
  <si>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</si>
  <si>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</si>
  <si>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</si>
  <si>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</si>
  <si>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</si>
  <si>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</si>
  <si>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</si>
  <si>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</si>
  <si>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</si>
  <si>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</si>
  <si>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</si>
  <si>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</si>
  <si>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</si>
  <si>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</si>
  <si>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</si>
  <si>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</si>
  <si>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</si>
  <si>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</si>
  <si>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</si>
  <si>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</si>
  <si>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</si>
  <si>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</si>
  <si>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</si>
  <si>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</si>
  <si>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</si>
  <si>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</si>
  <si>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</si>
  <si>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</si>
  <si>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</si>
  <si>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</si>
  <si>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</si>
  <si>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</si>
  <si>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</si>
  <si>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</si>
  <si>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</si>
  <si>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</si>
  <si>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</si>
  <si>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</si>
  <si>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</si>
  <si>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</si>
  <si>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</si>
  <si>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</si>
  <si>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</si>
  <si>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</si>
  <si>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</si>
  <si>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</si>
  <si>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</si>
  <si>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</si>
  <si>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</si>
  <si>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</si>
  <si>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</si>
  <si>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</si>
  <si>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</si>
  <si>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</si>
  <si>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</si>
  <si>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</si>
  <si>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</si>
  <si>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</si>
  <si>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</si>
  <si>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</si>
  <si>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</si>
  <si>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</si>
  <si>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</si>
  <si>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</si>
  <si>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</si>
  <si>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</si>
  <si>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</si>
  <si>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</si>
  <si>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</si>
  <si>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</si>
  <si>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</si>
  <si>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</si>
  <si>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</si>
  <si>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</si>
  <si>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</si>
  <si>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</si>
  <si>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</si>
  <si>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</si>
  <si>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</si>
  <si>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</si>
  <si>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</si>
  <si>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</si>
  <si>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</si>
  <si>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</si>
  <si>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</si>
  <si>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</si>
  <si>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</si>
  <si>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</si>
  <si>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</si>
  <si>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</si>
  <si>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</si>
  <si>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</si>
  <si>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</si>
  <si>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</si>
  <si>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</si>
  <si>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</si>
  <si>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</si>
  <si>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</si>
  <si>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</si>
  <si>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</si>
  <si>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</si>
  <si>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</si>
  <si>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</si>
  <si>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</si>
  <si>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</si>
  <si>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</si>
  <si>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</si>
  <si>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</si>
  <si>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</si>
  <si>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</si>
  <si>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</si>
  <si>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</si>
  <si>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</si>
  <si>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</si>
  <si>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</si>
  <si>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</si>
  <si>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</si>
  <si>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</si>
  <si>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</si>
  <si>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</si>
  <si>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</si>
  <si>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</si>
  <si>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</si>
  <si>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</si>
  <si>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</si>
  <si>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</si>
  <si>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</si>
  <si>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</si>
  <si>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</si>
  <si>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</si>
  <si>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</si>
  <si>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</si>
  <si>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</si>
  <si>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</si>
  <si>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</si>
  <si>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</si>
  <si>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</si>
  <si>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</si>
  <si>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</si>
  <si>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</si>
  <si>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</si>
  <si>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</si>
  <si>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</si>
  <si>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</si>
  <si>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</si>
  <si>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</si>
  <si>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</si>
  <si>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</si>
  <si>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</si>
  <si>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</si>
  <si>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</si>
  <si>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</si>
  <si>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</si>
  <si>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</si>
  <si>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</si>
  <si>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</si>
  <si>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</si>
  <si>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</si>
  <si>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</si>
  <si>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</si>
  <si>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</si>
  <si>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</si>
  <si>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</si>
  <si>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</si>
  <si>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</si>
  <si>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</si>
  <si>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</si>
  <si>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</si>
  <si>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</si>
  <si>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</si>
  <si>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</si>
  <si>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</si>
  <si>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</si>
  <si>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</si>
  <si>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</si>
  <si>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</si>
  <si>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</si>
  <si>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</si>
  <si>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</si>
  <si>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</si>
  <si>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</si>
  <si>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</si>
  <si>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</si>
  <si>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</si>
  <si>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</si>
  <si>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</si>
  <si>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</si>
  <si>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</si>
  <si>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</si>
  <si>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</si>
  <si>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</si>
  <si>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</si>
  <si>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</si>
  <si>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</si>
  <si>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</si>
  <si>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</si>
  <si>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</si>
  <si>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</si>
  <si>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</si>
  <si>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</si>
  <si>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</si>
  <si>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</si>
  <si>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</si>
  <si>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</si>
  <si>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</si>
  <si>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</si>
  <si>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</si>
  <si>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</si>
  <si>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</si>
  <si>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</si>
  <si>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</si>
  <si>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</si>
  <si>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</si>
  <si>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</si>
  <si>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</si>
  <si>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</si>
  <si>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</si>
  <si>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</si>
  <si>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</si>
  <si>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</si>
  <si>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</si>
  <si>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</si>
  <si>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</si>
  <si>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</si>
  <si>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</si>
  <si>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</si>
  <si>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</si>
  <si>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</si>
  <si>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</si>
  <si>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</si>
  <si>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</si>
  <si>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</si>
  <si>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</si>
  <si>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</si>
  <si>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</si>
  <si>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</si>
  <si>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</si>
  <si>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</si>
  <si>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</si>
  <si>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</si>
  <si>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</si>
  <si>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</si>
  <si>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</si>
  <si>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</si>
  <si>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</si>
  <si>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</si>
  <si>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</si>
  <si>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</si>
  <si>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</si>
  <si>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</si>
  <si>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</si>
  <si>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</si>
  <si>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</si>
  <si>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</si>
  <si>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</si>
  <si>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</si>
  <si>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</si>
  <si>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</si>
  <si>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</si>
  <si>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</si>
  <si>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</si>
  <si>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</si>
  <si>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</si>
  <si>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</si>
  <si>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</si>
  <si>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</si>
  <si>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</si>
  <si>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</si>
  <si>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</si>
  <si>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</si>
  <si>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</si>
  <si>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</si>
  <si>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</si>
  <si>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</si>
  <si>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</si>
  <si>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</si>
  <si>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</si>
  <si>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</si>
  <si>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</si>
  <si>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</si>
  <si>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</si>
  <si>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</si>
  <si>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</si>
  <si>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</si>
  <si>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</si>
  <si>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</si>
  <si>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</si>
  <si>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</si>
  <si>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</si>
  <si>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</si>
  <si>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</si>
  <si>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</si>
  <si>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</si>
  <si>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</si>
  <si>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</si>
  <si>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</si>
  <si>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</si>
  <si>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</si>
  <si>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</si>
  <si>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</si>
  <si>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</si>
  <si>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</si>
  <si>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</si>
  <si>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</si>
  <si>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</si>
  <si>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</si>
  <si>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</si>
  <si>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</si>
  <si>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</si>
  <si>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</si>
  <si>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</si>
  <si>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</si>
  <si>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</si>
  <si>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</si>
  <si>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</si>
  <si>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</si>
  <si>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</si>
  <si>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</si>
  <si>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</si>
  <si>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</si>
  <si>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</si>
  <si>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</si>
  <si>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</si>
  <si>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</si>
  <si>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</si>
  <si>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</si>
  <si>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</si>
  <si>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</si>
  <si>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</si>
  <si>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</si>
  <si>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</si>
  <si>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</si>
  <si>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</si>
  <si>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</si>
  <si>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</si>
  <si>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</si>
  <si>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</si>
  <si>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</si>
  <si>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</si>
  <si>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</si>
  <si>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</si>
  <si>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</si>
  <si>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</si>
  <si>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</si>
  <si>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</si>
  <si>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</si>
  <si>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</si>
  <si>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</si>
  <si>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</si>
  <si>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</si>
  <si>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</si>
  <si>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</si>
  <si>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</si>
  <si>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</si>
  <si>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</si>
  <si>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</si>
  <si>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</si>
  <si>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</si>
  <si>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</si>
  <si>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</si>
  <si>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</si>
  <si>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</si>
  <si>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</si>
  <si>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</si>
  <si>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</si>
  <si>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</si>
  <si>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</si>
  <si>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</si>
  <si>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</si>
  <si>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</si>
  <si>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</si>
  <si>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</si>
  <si>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</si>
  <si>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</si>
  <si>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</si>
  <si>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</si>
  <si>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</si>
  <si>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</si>
  <si>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</si>
  <si>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</si>
  <si>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</si>
  <si>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</si>
  <si>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</si>
  <si>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</si>
  <si>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</si>
  <si>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</si>
  <si>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</si>
  <si>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</si>
  <si>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</si>
  <si>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</si>
  <si>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</si>
  <si>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</si>
  <si>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</si>
  <si>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</si>
  <si>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</si>
  <si>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</si>
  <si>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</si>
  <si>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</si>
  <si>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</si>
  <si>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</si>
  <si>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</si>
  <si>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</si>
  <si>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</si>
  <si>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</si>
  <si>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</si>
  <si>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</si>
  <si>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</si>
  <si>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</si>
  <si>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</si>
  <si>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</si>
  <si>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</si>
  <si>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</si>
  <si>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</si>
  <si>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</si>
  <si>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</si>
  <si>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</si>
  <si>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</si>
  <si>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</si>
  <si>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</si>
  <si>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</si>
  <si>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</si>
  <si>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</si>
  <si>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</si>
  <si>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</si>
  <si>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</si>
  <si>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</si>
  <si>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</si>
  <si>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</si>
  <si>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</si>
  <si>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</si>
  <si>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</si>
  <si>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</si>
  <si>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</si>
  <si>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</si>
  <si>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</si>
  <si>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</si>
  <si>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</si>
  <si>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</si>
  <si>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</si>
  <si>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</si>
  <si>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</si>
  <si>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</si>
  <si>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</si>
  <si>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</si>
  <si>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</si>
  <si>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</si>
  <si>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</si>
  <si>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</si>
  <si>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</si>
  <si>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</si>
  <si>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</si>
  <si>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</si>
  <si>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</si>
  <si>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</si>
  <si>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</si>
  <si>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</si>
  <si>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</si>
  <si>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</si>
  <si>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</si>
  <si>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</si>
  <si>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</si>
  <si>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</si>
  <si>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</si>
  <si>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</si>
  <si>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</si>
  <si>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</si>
  <si>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</si>
  <si>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</si>
  <si>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</si>
  <si>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</si>
  <si>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</si>
  <si>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</si>
  <si>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</si>
  <si>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</si>
  <si>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</si>
  <si>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</si>
  <si>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</si>
  <si>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</si>
  <si>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</si>
  <si>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</si>
  <si>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</si>
  <si>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</si>
  <si>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</si>
  <si>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</si>
  <si>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</si>
  <si>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</si>
  <si>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</si>
  <si>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</si>
  <si>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</si>
  <si>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</si>
  <si>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</si>
  <si>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</si>
  <si>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</si>
  <si>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</si>
  <si>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</si>
  <si>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</si>
  <si>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</si>
  <si>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</si>
  <si>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</si>
  <si>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</si>
  <si>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</si>
  <si>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</si>
  <si>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</si>
  <si>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</si>
  <si>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</si>
  <si>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</si>
  <si>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</si>
  <si>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</si>
  <si>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</si>
  <si>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</si>
  <si>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</si>
  <si>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</si>
  <si>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</si>
  <si>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</si>
  <si>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</si>
  <si>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</si>
  <si>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</si>
  <si>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</si>
  <si>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</si>
  <si>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</si>
  <si>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</si>
  <si>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</si>
  <si>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</si>
  <si>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</si>
  <si>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</si>
  <si>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</si>
  <si>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</si>
  <si>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</si>
  <si>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</si>
  <si>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</si>
  <si>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</si>
  <si>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</si>
  <si>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</si>
  <si>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</si>
  <si>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</si>
  <si>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</si>
  <si>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</si>
  <si>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</si>
  <si>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</si>
  <si>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</si>
  <si>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</si>
  <si>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</si>
  <si>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</si>
  <si>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</si>
  <si>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</si>
  <si>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</si>
  <si>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</si>
  <si>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</si>
  <si>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</si>
  <si>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</si>
  <si>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</si>
  <si>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</si>
  <si>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</si>
  <si>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</si>
  <si>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</si>
  <si>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</si>
  <si>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</si>
  <si>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</si>
  <si>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</si>
  <si>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</si>
  <si>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</si>
  <si>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</si>
  <si>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</si>
  <si>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</si>
  <si>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</si>
  <si>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</si>
  <si>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</si>
  <si>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</si>
  <si>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</si>
  <si>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</si>
  <si>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</si>
  <si>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</si>
  <si>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</si>
  <si>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</si>
  <si>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</si>
  <si>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</si>
  <si>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</si>
  <si>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</si>
  <si>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</si>
  <si>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</si>
  <si>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</si>
  <si>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</si>
  <si>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</si>
  <si>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</si>
  <si>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</si>
  <si>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</si>
  <si>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</si>
  <si>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</si>
  <si>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</si>
  <si>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</si>
  <si>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</si>
  <si>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</si>
  <si>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</si>
  <si>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</si>
  <si>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</si>
  <si>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</si>
  <si>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</si>
  <si>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</si>
  <si>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</si>
  <si>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</si>
  <si>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</si>
  <si>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</si>
  <si>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</si>
  <si>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</si>
  <si>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</si>
  <si>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</si>
  <si>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</si>
  <si>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</si>
  <si>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</si>
  <si>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</si>
  <si>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</si>
  <si>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</si>
  <si>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</si>
  <si>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</si>
  <si>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</si>
  <si>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</si>
  <si>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</si>
  <si>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</si>
  <si>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</si>
  <si>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</si>
  <si>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</si>
  <si>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</si>
  <si>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</si>
  <si>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</si>
  <si>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</si>
  <si>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</si>
  <si>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</si>
  <si>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</si>
  <si>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</si>
  <si>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</si>
  <si>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</si>
  <si>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</si>
  <si>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</si>
  <si>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</si>
  <si>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</si>
  <si>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</si>
  <si>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</si>
  <si>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</si>
  <si>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</si>
  <si>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</si>
  <si>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</si>
  <si>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</si>
  <si>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</si>
  <si>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</si>
  <si>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</si>
  <si>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</si>
  <si>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</si>
  <si>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</si>
  <si>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</si>
  <si>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</si>
  <si>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</si>
  <si>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</si>
  <si>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</si>
  <si>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</si>
  <si>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</si>
  <si>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</si>
  <si>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</si>
  <si>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</si>
  <si>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</si>
  <si>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</si>
  <si>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</si>
  <si>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</si>
  <si>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</si>
  <si>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</si>
  <si>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</si>
  <si>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</si>
  <si>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</si>
  <si>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</si>
  <si>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</si>
  <si>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</si>
  <si>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</si>
  <si>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</si>
  <si>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</si>
  <si>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</si>
  <si>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</si>
  <si>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</si>
  <si>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</si>
  <si>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</si>
  <si>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</si>
  <si>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</si>
  <si>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</si>
  <si>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</si>
  <si>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</si>
  <si>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</si>
  <si>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</si>
  <si>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</si>
  <si>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</si>
  <si>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</si>
  <si>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</si>
  <si>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</si>
  <si>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</si>
  <si>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</si>
  <si>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</si>
  <si>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</si>
  <si>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</si>
  <si>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</si>
  <si>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</si>
  <si>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</si>
  <si>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</si>
  <si>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</si>
  <si>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</si>
  <si>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</si>
  <si>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</si>
  <si>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</si>
  <si>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</si>
  <si>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</si>
  <si>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</si>
  <si>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</si>
  <si>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</si>
  <si>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</si>
  <si>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</si>
  <si>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</si>
  <si>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</si>
  <si>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</si>
  <si>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</si>
  <si>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</si>
  <si>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</si>
  <si>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</si>
  <si>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</si>
  <si>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</si>
  <si>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</si>
  <si>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</si>
  <si>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</si>
  <si>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</si>
  <si>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</si>
  <si>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</si>
  <si>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</si>
  <si>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</si>
  <si>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</si>
  <si>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</si>
  <si>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</si>
  <si>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</si>
  <si>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</si>
  <si>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</si>
  <si>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</si>
  <si>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</si>
  <si>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</si>
  <si>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</si>
  <si>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</si>
  <si>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</si>
  <si>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</si>
  <si>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</si>
  <si>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</si>
  <si>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</si>
  <si>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</si>
  <si>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</si>
  <si>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</si>
  <si>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</si>
  <si>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</si>
  <si>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</si>
  <si>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</si>
  <si>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</si>
  <si>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</si>
  <si>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</si>
  <si>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</si>
  <si>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</si>
  <si>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</si>
  <si>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</si>
  <si>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</si>
  <si>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</si>
  <si>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</si>
  <si>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</si>
  <si>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</si>
  <si>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</si>
  <si>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</si>
  <si>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</si>
  <si>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</si>
  <si>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</si>
  <si>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</si>
  <si>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</si>
  <si>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</si>
  <si>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</si>
  <si>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</si>
  <si>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</si>
  <si>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</si>
  <si>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</si>
  <si>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</si>
  <si>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</si>
  <si>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</si>
  <si>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</si>
  <si>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</si>
  <si>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</si>
  <si>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</si>
  <si>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</si>
  <si>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</si>
  <si>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</si>
  <si>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</si>
  <si>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</si>
  <si>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</si>
  <si>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</si>
  <si>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</si>
  <si>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</si>
  <si>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</si>
  <si>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</si>
  <si>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</si>
  <si>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</si>
  <si>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</si>
  <si>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</si>
  <si>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</si>
  <si>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</si>
  <si>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</si>
  <si>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</si>
  <si>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</si>
  <si>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</si>
  <si>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</si>
  <si>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</si>
  <si>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</si>
  <si>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</si>
  <si>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</si>
  <si>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</si>
  <si>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</si>
  <si>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</si>
  <si>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</si>
  <si>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</si>
  <si>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</si>
  <si>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</si>
  <si>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</si>
  <si>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</si>
  <si>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</si>
  <si>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</si>
  <si>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</si>
  <si>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</si>
  <si>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</si>
  <si>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</si>
  <si>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</si>
  <si>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</si>
  <si>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</si>
  <si>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</si>
  <si>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</si>
  <si>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</si>
  <si>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</si>
  <si>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</si>
  <si>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</si>
  <si>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</si>
  <si>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</si>
  <si>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</si>
  <si>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</si>
  <si>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</si>
  <si>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</si>
  <si>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</si>
  <si>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</si>
  <si>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</si>
  <si>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</si>
  <si>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</si>
  <si>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</si>
  <si>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</si>
  <si>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</si>
  <si>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</si>
  <si>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</si>
  <si>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</si>
  <si>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</si>
  <si>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</si>
  <si>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</si>
  <si>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</si>
  <si>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</si>
  <si>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</si>
  <si>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</si>
  <si>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</si>
  <si>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</si>
  <si>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</si>
  <si>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</si>
  <si>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</si>
  <si>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</si>
  <si>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</si>
  <si>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</si>
  <si>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</si>
  <si>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</si>
  <si>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</si>
  <si>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</si>
  <si>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</si>
  <si>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</si>
  <si>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</si>
  <si>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</si>
  <si>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</si>
  <si>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</si>
  <si>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</si>
  <si>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</si>
  <si>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</si>
  <si>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</si>
  <si>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</si>
  <si>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</si>
  <si>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</si>
  <si>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</si>
  <si>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</si>
  <si>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</si>
  <si>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</si>
  <si>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</si>
  <si>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</si>
  <si>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</si>
  <si>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</si>
  <si>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</si>
  <si>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</si>
  <si>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</si>
  <si>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</si>
  <si>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</si>
  <si>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</si>
  <si>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</si>
  <si>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</si>
  <si>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</si>
  <si>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</si>
  <si>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</si>
  <si>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</si>
  <si>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</si>
  <si>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</si>
  <si>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</si>
  <si>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</si>
  <si>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</si>
  <si>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</si>
  <si>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</si>
  <si>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</si>
  <si>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</si>
  <si>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</si>
  <si>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</si>
  <si>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</si>
  <si>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</si>
  <si>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</si>
  <si>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</si>
  <si>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</si>
  <si>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</si>
  <si>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</si>
  <si>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</si>
  <si>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</si>
  <si>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</si>
  <si>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</si>
  <si>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</si>
  <si>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</si>
  <si>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</si>
  <si>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</si>
  <si>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</si>
  <si>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</si>
  <si>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</si>
  <si>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</si>
  <si>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</si>
  <si>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</si>
  <si>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</si>
  <si>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</si>
  <si>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</si>
  <si>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</si>
  <si>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</si>
  <si>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</si>
  <si>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</si>
  <si>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</si>
  <si>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</si>
  <si>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</si>
  <si>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</si>
  <si>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</si>
  <si>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</si>
  <si>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</si>
  <si>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</si>
  <si>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</si>
  <si>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</si>
  <si>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</si>
  <si>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</si>
  <si>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</si>
  <si>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</si>
  <si>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</si>
  <si>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</si>
  <si>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</si>
  <si>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</si>
  <si>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</si>
  <si>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</si>
  <si>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</si>
  <si>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</si>
  <si>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</si>
  <si>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</si>
  <si>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</si>
  <si>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</si>
  <si>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</si>
  <si>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</si>
  <si>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</si>
  <si>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</si>
  <si>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</si>
  <si>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</si>
  <si>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</si>
  <si>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</si>
  <si>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</si>
  <si>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</si>
  <si>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</si>
  <si>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</si>
  <si>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</si>
  <si>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</si>
  <si>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</si>
  <si>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</si>
  <si>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</si>
  <si>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</si>
  <si>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</si>
  <si>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</si>
  <si>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</si>
  <si>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</si>
  <si>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</si>
  <si>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</si>
  <si>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</si>
  <si>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</si>
  <si>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</si>
  <si>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</si>
  <si>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</si>
  <si>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</si>
  <si>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</si>
  <si>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</si>
  <si>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</si>
  <si>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</si>
  <si>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</si>
  <si>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</si>
  <si>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</si>
  <si>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</si>
  <si>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</si>
  <si>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</si>
  <si>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</si>
  <si>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</si>
  <si>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</si>
  <si>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</si>
  <si>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</si>
  <si>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</si>
  <si>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</si>
  <si>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</si>
  <si>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</si>
  <si>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</si>
  <si>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</si>
  <si>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</si>
  <si>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</si>
  <si>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</si>
  <si>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</si>
  <si>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</si>
  <si>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</si>
  <si>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</si>
  <si>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</si>
  <si>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</si>
  <si>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</si>
  <si>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</si>
  <si>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</si>
  <si>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</si>
  <si>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</si>
  <si>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</si>
  <si>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</si>
  <si>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</si>
  <si>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</si>
  <si>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</si>
  <si>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</si>
  <si>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</si>
  <si>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</si>
  <si>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</si>
  <si>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</si>
  <si>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</si>
  <si>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</si>
  <si>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</si>
  <si>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</si>
  <si>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</si>
  <si>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</si>
  <si>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</si>
  <si>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</si>
  <si>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</si>
  <si>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</si>
  <si>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</si>
  <si>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</si>
  <si>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</si>
  <si>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</si>
  <si>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</si>
  <si>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</si>
  <si>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</si>
  <si>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</si>
  <si>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</si>
  <si>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</si>
  <si>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</si>
  <si>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</si>
  <si>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</si>
  <si>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</si>
  <si>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</si>
  <si>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</si>
  <si>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</si>
  <si>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</si>
  <si>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</si>
  <si>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</si>
  <si>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</si>
  <si>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</si>
  <si>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</si>
  <si>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</si>
  <si>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</si>
  <si>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</si>
  <si>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</si>
  <si>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</si>
  <si>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</si>
  <si>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</si>
  <si>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</si>
  <si>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</si>
  <si>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</si>
  <si>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</si>
  <si>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</si>
  <si>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</si>
  <si>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</si>
  <si>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</si>
  <si>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</si>
  <si>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</si>
  <si>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</si>
  <si>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</si>
  <si>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</si>
  <si>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</si>
  <si>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</si>
  <si>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</si>
  <si>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</si>
  <si>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</si>
  <si>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</si>
  <si>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</si>
  <si>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</si>
  <si>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</si>
  <si>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</si>
  <si>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</si>
  <si>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</si>
  <si>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</si>
  <si>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</si>
  <si>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</si>
  <si>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</si>
  <si>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</si>
  <si>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</si>
  <si>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</si>
  <si>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</si>
  <si>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</si>
  <si>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</si>
  <si>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</si>
  <si>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</si>
  <si>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</si>
  <si>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</si>
  <si>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</si>
  <si>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</si>
  <si>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</si>
  <si>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</si>
  <si>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</si>
  <si>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</si>
  <si>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</si>
  <si>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</si>
  <si>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</si>
  <si>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</si>
  <si>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</si>
  <si>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</si>
  <si>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</si>
  <si>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</si>
  <si>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</si>
  <si>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</si>
  <si>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</si>
  <si>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</si>
  <si>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</si>
  <si>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</si>
  <si>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</si>
  <si>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</si>
  <si>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</si>
  <si>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</si>
  <si>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</si>
  <si>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</si>
  <si>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</si>
  <si>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</si>
  <si>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</si>
  <si>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</si>
  <si>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</si>
  <si>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</si>
  <si>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</si>
  <si>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</si>
  <si>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</si>
  <si>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</si>
  <si>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</si>
  <si>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</si>
  <si>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</si>
  <si>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</si>
  <si>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</si>
  <si>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</si>
  <si>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</si>
  <si>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</si>
  <si>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</si>
  <si>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</si>
  <si>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</si>
  <si>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</si>
  <si>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</si>
  <si>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</si>
  <si>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</si>
  <si>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</si>
  <si>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</si>
  <si>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</si>
  <si>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</si>
  <si>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</si>
  <si>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</si>
  <si>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</si>
  <si>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</si>
  <si>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</si>
  <si>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</si>
  <si>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</si>
  <si>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</si>
  <si>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</si>
  <si>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</si>
  <si>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</si>
  <si>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</si>
  <si>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</si>
  <si>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</si>
  <si>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</si>
  <si>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</si>
  <si>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</si>
  <si>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</si>
  <si>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</si>
  <si>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</si>
  <si>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</si>
  <si>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</si>
  <si>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</si>
  <si>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</si>
  <si>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</si>
  <si>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</si>
  <si>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</si>
  <si>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</si>
  <si>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</si>
  <si>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</si>
  <si>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</si>
  <si>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</si>
  <si>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</si>
  <si>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</si>
  <si>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</si>
  <si>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</si>
  <si>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</si>
  <si>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</si>
  <si>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</si>
  <si>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</si>
  <si>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</si>
  <si>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</si>
  <si>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</si>
  <si>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</si>
  <si>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</si>
  <si>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</si>
  <si>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</si>
  <si>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</si>
  <si>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</si>
  <si>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</si>
  <si>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</si>
  <si>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</si>
  <si>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</si>
  <si>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</si>
  <si>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</si>
  <si>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</si>
  <si>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</si>
  <si>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</si>
  <si>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</si>
  <si>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</si>
  <si>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</si>
  <si>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</si>
  <si>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</si>
  <si>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</si>
  <si>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</si>
  <si>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</si>
  <si>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</si>
  <si>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</si>
  <si>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</si>
  <si>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</si>
  <si>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</si>
  <si>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</si>
  <si>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</si>
  <si>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</si>
  <si>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</si>
  <si>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</si>
  <si>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</si>
  <si>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</si>
  <si>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</si>
  <si>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</si>
  <si>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</si>
  <si>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</si>
  <si>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</si>
  <si>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</si>
  <si>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</si>
  <si>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</si>
  <si>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</si>
  <si>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</si>
  <si>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</si>
  <si>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</si>
  <si>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</si>
  <si>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</si>
  <si>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</si>
  <si>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</si>
  <si>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</si>
  <si>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</si>
  <si>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</si>
  <si>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</si>
  <si>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</si>
  <si>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</si>
  <si>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</si>
  <si>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</si>
  <si>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</si>
  <si>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</si>
  <si>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</si>
  <si>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</si>
  <si>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</si>
  <si>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</si>
  <si>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</si>
  <si>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</si>
  <si>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</si>
  <si>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</si>
  <si>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</si>
  <si>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</si>
  <si>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</si>
  <si>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</si>
  <si>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</si>
  <si>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</si>
  <si>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</si>
  <si>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</si>
  <si>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</si>
  <si>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</si>
  <si>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</si>
  <si>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</si>
  <si>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</si>
  <si>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</si>
  <si>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</si>
  <si>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</si>
  <si>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</si>
  <si>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</si>
  <si>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</si>
  <si>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</si>
  <si>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</si>
  <si>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</si>
  <si>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</si>
  <si>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</si>
  <si>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</si>
  <si>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</si>
  <si>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</si>
  <si>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</si>
  <si>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</si>
  <si>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</si>
  <si>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</si>
  <si>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</si>
  <si>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</si>
  <si>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</si>
  <si>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</si>
  <si>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</si>
  <si>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</si>
  <si>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</si>
  <si>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</si>
  <si>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</si>
  <si>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</si>
  <si>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</si>
  <si>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</si>
  <si>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</si>
  <si>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</si>
  <si>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</si>
  <si>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</si>
  <si>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</si>
  <si>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</si>
  <si>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</si>
  <si>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</si>
  <si>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</si>
  <si>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</si>
  <si>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</si>
  <si>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</si>
  <si>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</si>
  <si>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</si>
  <si>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</si>
  <si>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</si>
  <si>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</si>
  <si>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</si>
  <si>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</si>
  <si>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</si>
  <si>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</si>
  <si>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</si>
  <si>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</si>
  <si>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</si>
  <si>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</si>
  <si>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</si>
  <si>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</si>
  <si>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</si>
  <si>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</si>
  <si>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</si>
  <si>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</si>
  <si>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</si>
  <si>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</si>
  <si>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</si>
  <si>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</si>
  <si>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</si>
  <si>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</si>
  <si>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</si>
  <si>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</si>
  <si>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</si>
  <si>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</si>
  <si>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</si>
  <si>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</si>
  <si>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</si>
  <si>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</si>
  <si>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</si>
  <si>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</si>
  <si>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</si>
  <si>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</si>
  <si>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</si>
  <si>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</si>
  <si>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</si>
  <si>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</si>
  <si>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</si>
  <si>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</si>
  <si>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</si>
  <si>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</si>
  <si>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</si>
  <si>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</si>
  <si>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</si>
  <si>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</si>
  <si>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</si>
  <si>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</si>
  <si>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</si>
  <si>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</si>
  <si>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</si>
  <si>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</si>
  <si>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</si>
  <si>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</si>
  <si>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</si>
  <si>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</si>
  <si>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</si>
  <si>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</si>
  <si>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</si>
  <si>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</si>
  <si>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</si>
  <si>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</si>
  <si>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</si>
  <si>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</si>
  <si>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</si>
  <si>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</si>
  <si>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</si>
  <si>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</si>
  <si>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</si>
  <si>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</si>
  <si>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</si>
  <si>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</si>
  <si>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</si>
  <si>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</si>
  <si>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</si>
  <si>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</si>
  <si>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</si>
  <si>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</si>
  <si>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</si>
  <si>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</si>
  <si>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</si>
  <si>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</si>
  <si>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</si>
  <si>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</si>
  <si>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</si>
  <si>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</si>
  <si>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</si>
  <si>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</si>
  <si>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</si>
  <si>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</si>
  <si>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</si>
  <si>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</si>
  <si>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</si>
  <si>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</si>
  <si>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</si>
  <si>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</si>
  <si>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</si>
  <si>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</si>
  <si>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</si>
  <si>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</si>
  <si>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</si>
  <si>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</si>
  <si>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</si>
  <si>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</si>
  <si>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</si>
  <si>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</si>
  <si>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</si>
  <si>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</si>
  <si>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</si>
  <si>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</si>
  <si>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</si>
  <si>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</si>
  <si>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</si>
  <si>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</si>
  <si>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</si>
  <si>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</si>
  <si>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</si>
  <si>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</si>
  <si>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</si>
  <si>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</si>
  <si>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</si>
  <si>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</si>
  <si>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</si>
  <si>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</si>
  <si>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</si>
  <si>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</si>
  <si>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</si>
  <si>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</si>
  <si>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</si>
  <si>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</si>
  <si>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</si>
  <si>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</si>
  <si>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</si>
  <si>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</si>
  <si>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</si>
  <si>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</si>
  <si>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</si>
  <si>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</si>
  <si>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</si>
  <si>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</si>
  <si>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</si>
  <si>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</si>
  <si>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</si>
  <si>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</si>
  <si>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</si>
  <si>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</si>
  <si>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</si>
  <si>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</si>
  <si>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</si>
  <si>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</si>
  <si>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</si>
  <si>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</si>
  <si>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</si>
  <si>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</si>
  <si>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</si>
  <si>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</si>
  <si>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</si>
  <si>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</si>
  <si>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</si>
  <si>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</si>
  <si>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</si>
  <si>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</si>
  <si>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</si>
  <si>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</si>
  <si>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</si>
  <si>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</si>
  <si>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</si>
  <si>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</si>
  <si>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</si>
  <si>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</si>
  <si>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</si>
  <si>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</si>
  <si>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</si>
  <si>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</si>
  <si>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</si>
  <si>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</si>
  <si>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</si>
  <si>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</si>
  <si>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</si>
  <si>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</si>
  <si>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</si>
  <si>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</si>
  <si>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</si>
  <si>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</si>
  <si>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</si>
  <si>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</si>
  <si>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</si>
  <si>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</si>
  <si>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</si>
  <si>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</si>
  <si>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</si>
  <si>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</si>
  <si>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</si>
  <si>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</si>
  <si>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</si>
  <si>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</si>
  <si>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</si>
  <si>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</si>
  <si>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</si>
  <si>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</si>
  <si>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</si>
  <si>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</si>
  <si>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</si>
  <si>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</si>
  <si>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</si>
  <si>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</si>
  <si>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</si>
  <si>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</si>
  <si>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</si>
  <si>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</si>
  <si>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</si>
  <si>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</si>
  <si>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</si>
  <si>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</si>
  <si>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</si>
  <si>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</si>
  <si>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</si>
  <si>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</si>
  <si>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</si>
  <si>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</si>
  <si>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</si>
  <si>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</si>
  <si>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</si>
  <si>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</si>
  <si>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</si>
  <si>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</si>
  <si>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</si>
  <si>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</si>
  <si>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</si>
  <si>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</si>
  <si>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</si>
  <si>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</si>
  <si>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</si>
  <si>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</si>
  <si>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</si>
  <si>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</si>
  <si>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</si>
  <si>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</si>
  <si>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</si>
  <si>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</si>
  <si>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</si>
  <si>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</si>
  <si>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</si>
  <si>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</si>
  <si>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</si>
  <si>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</si>
  <si>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</si>
  <si>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</si>
  <si>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</si>
  <si>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</si>
  <si>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</si>
  <si>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</si>
  <si>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</si>
  <si>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</si>
  <si>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</si>
  <si>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</si>
  <si>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</si>
  <si>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</si>
  <si>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</si>
  <si>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</si>
  <si>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</si>
  <si>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</si>
  <si>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</si>
  <si>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</si>
  <si>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</si>
  <si>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</si>
  <si>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</si>
  <si>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</si>
  <si>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</si>
  <si>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</si>
  <si>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</si>
  <si>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</si>
  <si>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</si>
  <si>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</si>
  <si>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</si>
  <si>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</si>
  <si>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</si>
  <si>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</si>
  <si>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</si>
  <si>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</si>
  <si>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</si>
  <si>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</si>
  <si>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</si>
  <si>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</si>
  <si>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</si>
  <si>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</si>
  <si>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</si>
  <si>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</si>
  <si>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</si>
  <si>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</si>
  <si>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</si>
  <si>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</si>
  <si>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</si>
  <si>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</si>
  <si>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</si>
  <si>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</si>
  <si>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</si>
  <si>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</si>
  <si>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</si>
  <si>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</si>
  <si>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</si>
  <si>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</si>
  <si>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</si>
  <si>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</si>
  <si>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</si>
  <si>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</si>
  <si>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</si>
  <si>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</si>
  <si>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</si>
  <si>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</si>
  <si>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</si>
  <si>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</si>
  <si>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</si>
  <si>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</si>
  <si>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</si>
  <si>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</si>
  <si>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</si>
  <si>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</si>
  <si>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</si>
  <si>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</si>
  <si>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</si>
  <si>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</si>
  <si>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</si>
  <si>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</si>
  <si>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</si>
  <si>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</si>
  <si>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</si>
  <si>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</si>
  <si>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</si>
  <si>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</si>
  <si>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</si>
  <si>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</si>
  <si>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</si>
  <si>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</si>
  <si>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</si>
  <si>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</si>
  <si>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</si>
  <si>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</si>
  <si>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</si>
  <si>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</si>
  <si>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</si>
  <si>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</si>
  <si>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</si>
  <si>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</si>
  <si>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</si>
  <si>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</si>
  <si>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</si>
  <si>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</si>
  <si>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</si>
  <si>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</si>
  <si>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</si>
  <si>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</si>
  <si>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</si>
  <si>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</si>
  <si>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</si>
  <si>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</si>
  <si>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</si>
  <si>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</si>
  <si>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</si>
  <si>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</si>
  <si>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</si>
  <si>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</si>
  <si>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</si>
  <si>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</si>
  <si>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</si>
  <si>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</si>
  <si>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</si>
  <si>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</si>
  <si>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</si>
  <si>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</si>
  <si>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</si>
  <si>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</si>
  <si>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</si>
  <si>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</si>
  <si>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</si>
  <si>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</si>
  <si>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</si>
  <si>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</si>
  <si>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</si>
  <si>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</si>
  <si>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</si>
  <si>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</si>
  <si>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</si>
  <si>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</si>
  <si>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</si>
  <si>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</si>
  <si>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</si>
  <si>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</si>
  <si>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</si>
  <si>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</si>
  <si>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</si>
  <si>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</si>
  <si>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</si>
  <si>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</si>
  <si>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</si>
  <si>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</si>
  <si>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</si>
  <si>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</si>
  <si>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</si>
  <si>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</si>
  <si>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</si>
  <si>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</si>
  <si>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</si>
  <si>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</si>
  <si>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</si>
  <si>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</si>
  <si>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</si>
  <si>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</si>
  <si>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</si>
  <si>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</si>
  <si>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</si>
  <si>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</si>
  <si>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</si>
  <si>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</si>
  <si>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</si>
  <si>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</si>
  <si>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</si>
  <si>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</si>
  <si>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</si>
  <si>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</si>
  <si>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</si>
  <si>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</si>
  <si>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</si>
  <si>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</si>
  <si>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</si>
  <si>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</si>
  <si>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</si>
  <si>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</si>
  <si>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</si>
  <si>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</si>
  <si>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</si>
  <si>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</si>
  <si>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</si>
  <si>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</si>
  <si>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</si>
  <si>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</si>
  <si>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</si>
  <si>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</si>
  <si>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</si>
  <si>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</si>
  <si>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</si>
  <si>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</si>
  <si>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</si>
  <si>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</si>
  <si>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</si>
  <si>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</si>
  <si>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</si>
  <si>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</si>
  <si>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</si>
  <si>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</si>
  <si>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</si>
  <si>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</si>
  <si>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</si>
  <si>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</si>
  <si>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</si>
  <si>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</si>
  <si>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</si>
  <si>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</si>
  <si>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</si>
  <si>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</si>
  <si>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</si>
  <si>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</si>
  <si>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</si>
  <si>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</si>
  <si>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</si>
  <si>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</si>
  <si>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</si>
  <si>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</si>
  <si>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</si>
  <si>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</si>
  <si>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</si>
  <si>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</si>
  <si>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</si>
  <si>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</si>
  <si>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</si>
  <si>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</si>
  <si>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</si>
  <si>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</si>
  <si>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</si>
  <si>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</si>
  <si>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</si>
  <si>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</si>
  <si>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</si>
  <si>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</si>
  <si>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</si>
  <si>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</si>
  <si>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</si>
  <si>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</si>
  <si>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</si>
  <si>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</si>
  <si>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</si>
  <si>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</si>
  <si>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</si>
  <si>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</si>
  <si>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</si>
  <si>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</si>
  <si>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</si>
  <si>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</si>
  <si>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</si>
  <si>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</si>
  <si>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</si>
  <si>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</si>
  <si>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</si>
  <si>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</si>
  <si>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</si>
  <si>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</si>
  <si>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</si>
  <si>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</si>
  <si>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</si>
  <si>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</si>
  <si>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</si>
  <si>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</si>
  <si>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</si>
  <si>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</si>
  <si>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</si>
  <si>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</si>
  <si>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</si>
  <si>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</si>
  <si>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</si>
  <si>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</si>
  <si>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</si>
  <si>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</si>
  <si>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</si>
  <si>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</si>
  <si>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</si>
  <si>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</si>
  <si>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</si>
  <si>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</si>
  <si>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</si>
  <si>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</si>
  <si>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</si>
  <si>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</si>
  <si>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</si>
  <si>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</si>
  <si>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</si>
  <si>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</si>
  <si>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</si>
  <si>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</si>
  <si>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</si>
  <si>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</si>
  <si>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</si>
  <si>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</si>
  <si>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</si>
  <si>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</si>
  <si>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</si>
  <si>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</si>
  <si>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</si>
  <si>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</si>
  <si>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</si>
  <si>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</si>
  <si>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</si>
  <si>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</si>
  <si>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</si>
  <si>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</si>
  <si>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</si>
  <si>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</si>
  <si>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</si>
  <si>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</si>
  <si>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</si>
  <si>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</si>
  <si>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</si>
  <si>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</si>
  <si>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</si>
  <si>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</si>
  <si>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</si>
  <si>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</si>
  <si>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</si>
  <si>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</si>
  <si>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</si>
  <si>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</si>
  <si>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</si>
  <si>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</si>
  <si>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</si>
  <si>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</si>
  <si>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</si>
  <si>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</si>
  <si>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</si>
  <si>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</si>
  <si>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</si>
  <si>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</si>
  <si>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</si>
  <si>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</si>
  <si>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</si>
  <si>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</si>
  <si>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</si>
  <si>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</si>
  <si>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</si>
  <si>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</si>
  <si>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</si>
  <si>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</si>
  <si>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</si>
  <si>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</si>
  <si>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</si>
  <si>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</si>
  <si>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</si>
  <si>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</si>
  <si>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</si>
  <si>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</si>
  <si>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</si>
  <si>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</si>
  <si>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</si>
  <si>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</si>
  <si>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</si>
  <si>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</si>
  <si>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</si>
  <si>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</si>
  <si>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</si>
  <si>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</si>
  <si>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</si>
  <si>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</si>
  <si>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</si>
  <si>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</si>
  <si>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</si>
  <si>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</si>
  <si>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</si>
  <si>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</si>
  <si>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</si>
  <si>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</si>
  <si>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</si>
  <si>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</si>
  <si>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</si>
  <si>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</si>
  <si>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</si>
  <si>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</si>
  <si>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</si>
  <si>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</si>
  <si>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</si>
  <si>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</si>
  <si>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</si>
  <si>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</si>
  <si>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</si>
  <si>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</si>
  <si>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</si>
  <si>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</si>
  <si>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</si>
  <si>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</si>
  <si>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</si>
  <si>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</si>
  <si>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</si>
  <si>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</si>
  <si>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</si>
  <si>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</si>
  <si>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</si>
  <si>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</si>
  <si>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</si>
  <si>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</si>
  <si>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</si>
  <si>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</si>
  <si>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</si>
  <si>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</si>
  <si>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</si>
  <si>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</si>
  <si>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</si>
  <si>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</si>
  <si>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</si>
  <si>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</si>
  <si>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</si>
  <si>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</si>
  <si>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</si>
  <si>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</si>
  <si>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</si>
  <si>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</si>
  <si>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</si>
  <si>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</si>
  <si>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</si>
  <si>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</si>
  <si>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</si>
  <si>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</si>
  <si>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</si>
  <si>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</si>
  <si>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</si>
  <si>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</si>
  <si>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</si>
  <si>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</si>
  <si>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</si>
  <si>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</si>
  <si>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</si>
  <si>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</si>
  <si>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</si>
  <si>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</si>
  <si>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</si>
  <si>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</si>
  <si>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</si>
  <si>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</si>
  <si>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</si>
  <si>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</si>
  <si>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</si>
  <si>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</si>
  <si>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</si>
  <si>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</si>
  <si>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</si>
  <si>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</si>
  <si>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</si>
  <si>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</si>
  <si>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</si>
  <si>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</si>
  <si>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</si>
  <si>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</si>
  <si>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</si>
  <si>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</si>
  <si>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</si>
  <si>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</si>
  <si>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</si>
  <si>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</si>
  <si>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</si>
  <si>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</si>
  <si>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</si>
  <si>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</si>
  <si>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</si>
  <si>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</si>
  <si>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</si>
  <si>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</si>
  <si>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</si>
  <si>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</si>
  <si>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</si>
  <si>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</si>
  <si>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</si>
  <si>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</si>
  <si>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</si>
  <si>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</si>
  <si>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</si>
  <si>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</si>
  <si>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</si>
  <si>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</si>
  <si>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</si>
  <si>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</si>
  <si>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</si>
  <si>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</si>
  <si>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</si>
  <si>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</si>
  <si>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</si>
  <si>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</si>
  <si>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</si>
  <si>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</si>
  <si>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</si>
  <si>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</si>
  <si>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</si>
  <si>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</si>
  <si>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</si>
  <si>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</si>
  <si>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</si>
  <si>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</si>
  <si>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</si>
  <si>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</si>
  <si>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</si>
  <si>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</si>
  <si>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</si>
  <si>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</si>
  <si>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</si>
  <si>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</si>
  <si>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</si>
  <si>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</si>
  <si>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</si>
  <si>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</si>
  <si>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</si>
  <si>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</si>
  <si>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</si>
  <si>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</si>
  <si>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</si>
  <si>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</si>
  <si>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</si>
  <si>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</si>
  <si>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</si>
  <si>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</si>
  <si>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</si>
  <si>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</si>
  <si>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</si>
  <si>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</si>
  <si>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</si>
  <si>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</si>
  <si>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</si>
  <si>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</si>
  <si>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</si>
  <si>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</si>
  <si>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</si>
  <si>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</si>
  <si>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</si>
  <si>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</si>
  <si>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</si>
  <si>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</si>
  <si>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</si>
  <si>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</si>
  <si>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</si>
  <si>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</si>
  <si>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</si>
  <si>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</si>
  <si>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</si>
  <si>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</si>
  <si>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</si>
  <si>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</si>
  <si>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</si>
  <si>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</si>
  <si>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</si>
  <si>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</si>
  <si>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</si>
  <si>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</si>
  <si>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</si>
  <si>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</si>
  <si>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</si>
  <si>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</si>
  <si>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</si>
  <si>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</si>
  <si>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</si>
  <si>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</si>
  <si>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</si>
  <si>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</si>
  <si>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</si>
  <si>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</si>
  <si>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</si>
  <si>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</si>
  <si>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</si>
  <si>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</si>
  <si>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</si>
  <si>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</si>
  <si>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</si>
  <si>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</si>
  <si>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</si>
  <si>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</si>
  <si>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</si>
  <si>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</si>
  <si>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</si>
  <si>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</si>
  <si>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</si>
  <si>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</si>
  <si>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</si>
  <si>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</si>
  <si>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</si>
  <si>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</si>
  <si>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</si>
  <si>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</si>
  <si>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</si>
  <si>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</si>
  <si>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</si>
  <si>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</si>
  <si>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</si>
  <si>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</si>
  <si>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</si>
  <si>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</si>
  <si>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</si>
  <si>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</si>
  <si>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</si>
  <si>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</si>
  <si>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</si>
  <si>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</si>
  <si>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</si>
  <si>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</si>
  <si>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</si>
  <si>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</si>
  <si>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</si>
  <si>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</si>
  <si>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</si>
  <si>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</si>
  <si>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</si>
  <si>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</si>
  <si>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</si>
  <si>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</si>
  <si>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</si>
  <si>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</si>
  <si>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</si>
  <si>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</si>
  <si>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</si>
  <si>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</si>
  <si>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</si>
  <si>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</si>
  <si>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</si>
  <si>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</si>
  <si>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</si>
  <si>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</si>
  <si>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</si>
  <si>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</si>
  <si>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</si>
  <si>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</si>
  <si>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</si>
  <si>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</si>
  <si>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</si>
  <si>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</si>
  <si>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</si>
  <si>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</si>
  <si>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</si>
  <si>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</si>
  <si>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</si>
  <si>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</si>
  <si>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</si>
  <si>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</si>
  <si>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</si>
  <si>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</si>
  <si>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</si>
  <si>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</si>
  <si>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</si>
  <si>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</si>
  <si>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</si>
  <si>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</si>
  <si>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</si>
  <si>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</si>
  <si>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</si>
  <si>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</si>
  <si>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</si>
  <si>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</si>
  <si>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</si>
  <si>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</si>
  <si>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</si>
  <si>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</si>
  <si>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</si>
  <si>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</si>
  <si>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</si>
  <si>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</si>
  <si>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</si>
  <si>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</si>
  <si>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</si>
  <si>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</si>
  <si>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</si>
  <si>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</si>
  <si>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</si>
  <si>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</si>
  <si>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</si>
  <si>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</si>
  <si>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</si>
  <si>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2 tooths: Dam LW at Joining (Quadratic, requires back transforming)</t>
  </si>
  <si>
    <t>See RR v5c.xlsx #16 &amp; #18</t>
  </si>
  <si>
    <t>Triplets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</si>
</sst>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8">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7"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xf numFmtId="0" fontId="28" fillId="34" borderId="16" xfId="24" applyFill="1">
      <alignment vertical="top"/>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multiLvlStrRef>
              <c:f>Sheep!$AV$196:$AV$204</c:f>
            </c:multiLvlStrRef>
          </c:cat>
          <c:val>
            <c:numRef>
              <c:f>Sheep!$AW$196:$AW$204</c:f>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multiLvlStrRef>
              <c:f>Sheep!$AV$196:$AV$204</c:f>
            </c:multiLvlStrRef>
          </c:cat>
          <c:val>
            <c:numRef>
              <c:f>Sheep!$AX$196:$AX$204</c:f>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multiLvlStrRef>
              <c:f>Sheep!$AV$196:$AV$204</c:f>
            </c:multiLvlStrRef>
          </c:cat>
          <c:val>
            <c:numRef>
              <c:f>Sheep!$AY$196:$AY$204</c:f>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multiLvlStrRef>
              <c:f>Sheep!$AV$196:$AV$204</c:f>
            </c:multiLvlStrRef>
          </c:cat>
          <c:val>
            <c:numRef>
              <c:f>Sheep!$AZ$196:$AZ$204</c:f>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multiLvlStrRef>
              <c:f>Sheep!$AV$196:$AV$204</c:f>
            </c:multiLvlStrRef>
          </c:cat>
          <c:val>
            <c:numRef>
              <c:f>Sheep!$BA$196:$BA$204</c:f>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multiLvlStrRef>
              <c:f>Sheep!$AV$196:$AV$204</c:f>
            </c:multiLvlStrRef>
          </c:cat>
          <c:val>
            <c:numRef>
              <c:f>Sheep!$BB$196:$BB$204</c:f>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multiLvlStrRef>
              <c:f>Sheep!$AV$196:$AV$204</c:f>
            </c:multiLvlStrRef>
          </c:cat>
          <c:val>
            <c:numRef>
              <c:f>Sheep!$BC$196:$BC$204</c:f>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multiLvlStrRef>
              <c:f>Sheep!$AV$196:$AV$204</c:f>
            </c:multiLvlStrRef>
          </c:cat>
          <c:val>
            <c:numRef>
              <c:f>Sheep!$BD$196:$BD$204</c:f>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marker val="1"/>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6"/>
  <sheetViews>
    <sheetView topLeftCell="A22" workbookViewId="0">
      <selection activeCell="F44" sqref="F4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2326</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2328</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2319</v>
      </c>
      <c r="G21" s="387" t="s">
        <v>2321</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2327</v>
      </c>
      <c r="G23" s="94"/>
      <c r="H23" s="94"/>
      <c r="I23" s="94"/>
      <c r="J23" s="94"/>
      <c r="K23" s="350" t="s">
        <v>2321</v>
      </c>
      <c r="L23" s="94"/>
      <c r="M23" s="94"/>
      <c r="N23" s="94"/>
      <c r="O23" s="94"/>
      <c r="P23" s="350" t="s">
        <v>2322</v>
      </c>
      <c r="Q23" s="94"/>
      <c r="R23" s="94"/>
      <c r="S23" s="94"/>
      <c r="T23" s="94"/>
      <c r="U23" s="94"/>
      <c r="V23" s="94"/>
      <c r="W23" s="73"/>
      <c r="X23" s="57"/>
      <c r="Y23" s="45"/>
      <c r="Z23" s="45"/>
      <c r="AA23" s="45"/>
    </row>
    <row r="24" spans="1:27" ht="60" outlineLevel="3" x14ac:dyDescent="0.25">
      <c r="A24" s="45"/>
      <c r="B24" s="54"/>
      <c r="C24" s="73"/>
      <c r="D24" s="73"/>
      <c r="E24" s="76"/>
      <c r="F24" s="354" t="s">
        <v>2320</v>
      </c>
      <c r="G24" s="353" t="s">
        <v>2321</v>
      </c>
      <c r="H24" s="76"/>
      <c r="I24" s="76"/>
      <c r="J24" s="76"/>
      <c r="K24" s="354" t="s">
        <v>2323</v>
      </c>
      <c r="L24" s="351">
        <v>5.0000000000000004E-6</v>
      </c>
      <c r="M24" s="76"/>
      <c r="N24" s="76"/>
      <c r="O24" s="76"/>
      <c r="P24" s="354" t="s">
        <v>2324</v>
      </c>
      <c r="Q24" s="351">
        <v>0.7</v>
      </c>
      <c r="R24" s="76"/>
      <c r="S24" s="76"/>
      <c r="T24" s="76"/>
      <c r="U24" s="76"/>
      <c r="V24" s="76"/>
      <c r="W24" s="73"/>
      <c r="X24" s="57"/>
      <c r="Y24" s="45"/>
      <c r="Z24" s="45"/>
      <c r="AA24" s="45"/>
    </row>
    <row r="25" spans="1:27" outlineLevel="3" x14ac:dyDescent="0.25">
      <c r="A25" s="45"/>
      <c r="B25" s="54"/>
      <c r="C25" s="73"/>
      <c r="D25" s="73"/>
      <c r="E25" s="76"/>
      <c r="F25" s="76"/>
      <c r="G25" s="353" t="s">
        <v>2322</v>
      </c>
      <c r="H25" s="76"/>
      <c r="I25" s="76"/>
      <c r="J25" s="76"/>
      <c r="K25" s="76"/>
      <c r="L25" s="76"/>
      <c r="M25" s="76"/>
      <c r="N25" s="76"/>
      <c r="O25" s="76"/>
      <c r="P25" s="76" t="s">
        <v>2325</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68"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ht="12" customHeight="1" outlineLevel="1" x14ac:dyDescent="0.25">
      <c r="A34" s="7"/>
      <c r="B34" s="8"/>
      <c r="C34" s="8"/>
      <c r="D34" s="8"/>
      <c r="E34" s="8"/>
      <c r="F34" s="8"/>
      <c r="G34" s="8"/>
      <c r="H34" s="9"/>
      <c r="I34" s="9"/>
      <c r="J34" s="9"/>
      <c r="K34" s="9"/>
      <c r="L34" s="9"/>
      <c r="M34" s="9"/>
      <c r="N34" s="9"/>
      <c r="O34" s="9"/>
      <c r="P34" s="9"/>
      <c r="Q34" s="9"/>
      <c r="R34" s="9"/>
      <c r="S34" s="9"/>
      <c r="T34" s="9"/>
      <c r="U34" s="9"/>
      <c r="V34" s="9"/>
      <c r="W34" s="9"/>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row>
    <row r="35" spans="1:68" ht="5.0999999999999996" customHeight="1" outlineLevel="1" thickBot="1" x14ac:dyDescent="0.3">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x14ac:dyDescent="0.25">
      <c r="A36" s="7"/>
      <c r="B36" s="8"/>
      <c r="C36" s="10" t="s">
        <v>86</v>
      </c>
      <c r="D36" s="10"/>
      <c r="E36" s="10"/>
      <c r="F36" s="10"/>
      <c r="G36" s="10"/>
      <c r="H36" s="10"/>
      <c r="I36" s="10"/>
      <c r="J36" s="10"/>
      <c r="K36" s="620"/>
      <c r="L36" s="11"/>
      <c r="M36" s="11"/>
      <c r="N36" s="11"/>
      <c r="O36" s="11"/>
      <c r="P36" s="11"/>
      <c r="Q36" s="11"/>
      <c r="R36" s="11"/>
      <c r="S36" s="11"/>
      <c r="T36" s="11"/>
      <c r="U36" s="11"/>
      <c r="V36" s="11"/>
      <c r="W36" s="12"/>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row>
    <row r="37" spans="1:68" ht="12" customHeight="1" outlineLevel="1" x14ac:dyDescent="0.25">
      <c r="A37" s="7"/>
      <c r="B37" s="8"/>
      <c r="C37" s="13"/>
      <c r="D37" s="13"/>
      <c r="E37" s="13" t="s">
        <v>87</v>
      </c>
      <c r="F37" s="14"/>
      <c r="G37" s="15" t="s">
        <v>3470</v>
      </c>
      <c r="H37" s="14"/>
      <c r="I37" s="14" t="s">
        <v>3471</v>
      </c>
      <c r="J37" s="14"/>
      <c r="K37" s="14"/>
      <c r="L37" s="14"/>
      <c r="M37" s="14"/>
      <c r="N37" s="14"/>
      <c r="O37" s="14"/>
      <c r="P37" s="14"/>
      <c r="Q37" s="14"/>
      <c r="R37" s="14"/>
      <c r="S37" s="16"/>
      <c r="T37" s="14"/>
      <c r="U37" s="16"/>
      <c r="V37" s="16"/>
      <c r="W37" s="17"/>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8"/>
      <c r="F38" s="14"/>
      <c r="G38" s="509"/>
      <c r="H38" s="14"/>
      <c r="I38" s="14"/>
      <c r="J38" s="14"/>
      <c r="K38" s="14"/>
      <c r="L38" s="14"/>
      <c r="M38" s="14"/>
      <c r="N38" s="14"/>
      <c r="O38" s="14"/>
      <c r="P38" s="14"/>
      <c r="Q38" s="14"/>
      <c r="R38" s="14"/>
      <c r="S38" s="16"/>
      <c r="T38" s="19"/>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8"/>
      <c r="D39" s="13"/>
      <c r="E39" s="18"/>
      <c r="F39" s="14"/>
      <c r="G39" s="14"/>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8"/>
      <c r="E40" s="18"/>
      <c r="F40" s="18"/>
      <c r="G40" s="18"/>
      <c r="H40" s="18"/>
      <c r="I40" s="18" t="s">
        <v>3472</v>
      </c>
      <c r="J40" s="18"/>
      <c r="K40" s="18"/>
      <c r="L40" s="18"/>
      <c r="M40" s="18"/>
      <c r="N40" s="18"/>
      <c r="O40" s="18"/>
      <c r="P40" s="18"/>
      <c r="Q40" s="21"/>
      <c r="R40" s="21"/>
      <c r="S40" s="21"/>
      <c r="T40" s="21"/>
      <c r="U40" s="21"/>
      <c r="V40" s="21"/>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c r="J41" s="18"/>
      <c r="K41" s="18"/>
      <c r="L41" s="18"/>
      <c r="M41" s="18"/>
      <c r="N41" s="18"/>
      <c r="O41" s="18"/>
      <c r="P41" s="18"/>
      <c r="Q41" s="23"/>
      <c r="R41" s="23"/>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t="s">
        <v>3473</v>
      </c>
      <c r="H42" s="18" t="s">
        <v>3474</v>
      </c>
      <c r="I42" s="18" t="s">
        <v>3475</v>
      </c>
      <c r="J42" s="18" t="s">
        <v>3476</v>
      </c>
      <c r="K42" s="18" t="s">
        <v>3477</v>
      </c>
      <c r="L42" s="22"/>
      <c r="M42" s="22"/>
      <c r="N42" s="22"/>
      <c r="O42" s="22"/>
      <c r="P42" s="23"/>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547"/>
      <c r="G43" s="523" t="s">
        <v>45</v>
      </c>
      <c r="H43" s="621">
        <f>29+22</f>
        <v>51</v>
      </c>
      <c r="I43" s="621">
        <v>1.3</v>
      </c>
      <c r="J43" s="621">
        <v>0</v>
      </c>
      <c r="K43" s="628">
        <v>0</v>
      </c>
      <c r="L43" s="622"/>
      <c r="M43" s="622"/>
      <c r="N43" s="622"/>
      <c r="O43" s="622"/>
      <c r="P43" s="622"/>
      <c r="Q43" s="623"/>
      <c r="R43" s="623"/>
      <c r="S43" s="623"/>
      <c r="T43" s="623"/>
      <c r="U43" s="623"/>
      <c r="V43" s="624"/>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7"/>
      <c r="G44" s="523" t="s">
        <v>3482</v>
      </c>
      <c r="H44" s="621">
        <v>536</v>
      </c>
      <c r="I44" s="621">
        <v>1.17</v>
      </c>
      <c r="J44" s="621">
        <v>0</v>
      </c>
      <c r="K44" s="628">
        <v>0</v>
      </c>
      <c r="L44" s="622"/>
      <c r="M44" s="622"/>
      <c r="N44" s="622"/>
      <c r="O44" s="622"/>
      <c r="P44" s="622"/>
      <c r="Q44" s="623"/>
      <c r="R44" s="623"/>
      <c r="S44" s="623"/>
      <c r="T44" s="623"/>
      <c r="U44" s="623"/>
      <c r="V44" s="624"/>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7"/>
      <c r="G45" s="523" t="s">
        <v>3483</v>
      </c>
      <c r="H45" s="621">
        <v>1017</v>
      </c>
      <c r="I45" s="621">
        <f>0.6*I48+0.4*I47</f>
        <v>0.99800000000000011</v>
      </c>
      <c r="J45" s="633">
        <f>0.6*J48+0.4*J47</f>
        <v>6.6000000000000003E-2</v>
      </c>
      <c r="K45" s="628">
        <v>0</v>
      </c>
      <c r="L45" s="622"/>
      <c r="M45" s="622"/>
      <c r="N45" s="622"/>
      <c r="O45" s="622"/>
      <c r="P45" s="622"/>
      <c r="Q45" s="623"/>
      <c r="R45" s="623"/>
      <c r="S45" s="623"/>
      <c r="T45" s="623"/>
      <c r="U45" s="623"/>
      <c r="V45" s="624"/>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7"/>
      <c r="G46" s="523" t="s">
        <v>3486</v>
      </c>
      <c r="H46" s="621">
        <f>453+22</f>
        <v>475</v>
      </c>
      <c r="I46" s="621">
        <v>1.08</v>
      </c>
      <c r="J46" s="633">
        <v>0.21</v>
      </c>
      <c r="K46" s="628">
        <v>0</v>
      </c>
      <c r="L46" s="622"/>
      <c r="M46" s="622"/>
      <c r="N46" s="622"/>
      <c r="O46" s="622"/>
      <c r="P46" s="622"/>
      <c r="Q46" s="623"/>
      <c r="R46" s="623"/>
      <c r="S46" s="623"/>
      <c r="T46" s="623"/>
      <c r="U46" s="623"/>
      <c r="V46" s="624"/>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7"/>
      <c r="G47" s="523" t="s">
        <v>44</v>
      </c>
      <c r="H47" s="621">
        <f>676+22</f>
        <v>698</v>
      </c>
      <c r="I47" s="621">
        <v>1.1000000000000001</v>
      </c>
      <c r="J47" s="621">
        <v>0</v>
      </c>
      <c r="K47" s="628">
        <v>0</v>
      </c>
      <c r="L47" s="622"/>
      <c r="M47" s="622"/>
      <c r="N47" s="622"/>
      <c r="O47" s="622"/>
      <c r="P47" s="622"/>
      <c r="Q47" s="623"/>
      <c r="R47" s="623"/>
      <c r="S47" s="623"/>
      <c r="T47" s="623"/>
      <c r="U47" s="623"/>
      <c r="V47" s="624"/>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7"/>
      <c r="G48" s="523" t="s">
        <v>3484</v>
      </c>
      <c r="H48" s="621">
        <f>1209+22</f>
        <v>1231</v>
      </c>
      <c r="I48" s="621">
        <v>0.93</v>
      </c>
      <c r="J48" s="628">
        <v>0.11</v>
      </c>
      <c r="K48" s="628">
        <v>0</v>
      </c>
      <c r="L48" s="622"/>
      <c r="M48" s="622"/>
      <c r="N48" s="622"/>
      <c r="O48" s="622"/>
      <c r="P48" s="622"/>
      <c r="Q48" s="623"/>
      <c r="R48" s="623"/>
      <c r="S48" s="623"/>
      <c r="T48" s="623"/>
      <c r="U48" s="623"/>
      <c r="V48" s="624"/>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7"/>
      <c r="G49" s="523" t="s">
        <v>3485</v>
      </c>
      <c r="H49" s="621">
        <f>674+22</f>
        <v>696</v>
      </c>
      <c r="I49" s="621">
        <v>0.95</v>
      </c>
      <c r="J49" s="628">
        <v>0.34300000000000003</v>
      </c>
      <c r="K49" s="628">
        <v>0.6</v>
      </c>
      <c r="L49" s="622"/>
      <c r="M49" s="622"/>
      <c r="N49" s="622"/>
      <c r="O49" s="622"/>
      <c r="P49" s="622"/>
      <c r="Q49" s="623"/>
      <c r="R49" s="623"/>
      <c r="S49" s="623"/>
      <c r="T49" s="623"/>
      <c r="U49" s="623"/>
      <c r="V49" s="624"/>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7"/>
      <c r="G50" s="625" t="s">
        <v>69</v>
      </c>
      <c r="H50" s="621">
        <f>1083+22</f>
        <v>1105</v>
      </c>
      <c r="I50" s="621">
        <v>0.97</v>
      </c>
      <c r="J50" s="626">
        <v>0.27600000000000002</v>
      </c>
      <c r="K50" s="628">
        <v>0</v>
      </c>
      <c r="L50" s="622"/>
      <c r="M50" s="622"/>
      <c r="N50" s="622"/>
      <c r="O50" s="622"/>
      <c r="P50" s="622"/>
      <c r="Q50" s="623"/>
      <c r="R50" s="623"/>
      <c r="S50" s="623"/>
      <c r="T50" s="623"/>
      <c r="U50" s="623"/>
      <c r="V50" s="624"/>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7"/>
      <c r="G51" s="627" t="s">
        <v>2911</v>
      </c>
      <c r="H51" s="621">
        <f>830+30</f>
        <v>860</v>
      </c>
      <c r="I51" s="621">
        <v>0.7</v>
      </c>
      <c r="J51" s="633">
        <v>0.46</v>
      </c>
      <c r="K51" s="628">
        <v>1</v>
      </c>
      <c r="L51" s="622"/>
      <c r="M51" s="622"/>
      <c r="N51" s="622"/>
      <c r="O51" s="622"/>
      <c r="Q51" s="623"/>
      <c r="R51" s="623"/>
      <c r="S51" s="623"/>
      <c r="T51" s="623"/>
      <c r="U51" s="623"/>
      <c r="V51" s="624"/>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7"/>
      <c r="G52" s="627" t="s">
        <v>2547</v>
      </c>
      <c r="H52" s="621">
        <f>621+22</f>
        <v>643</v>
      </c>
      <c r="I52" s="621">
        <v>1.32</v>
      </c>
      <c r="J52" s="628">
        <v>0.32</v>
      </c>
      <c r="K52" s="628">
        <v>0.35</v>
      </c>
      <c r="L52" s="622"/>
      <c r="M52" s="622"/>
      <c r="N52" s="622"/>
      <c r="O52" s="622"/>
      <c r="P52" s="28"/>
      <c r="Q52" s="623"/>
      <c r="R52" s="623"/>
      <c r="S52" s="623"/>
      <c r="T52" s="623"/>
      <c r="U52" s="623"/>
      <c r="V52" s="624"/>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7"/>
      <c r="R53" s="629"/>
      <c r="S53" s="629"/>
      <c r="T53" s="629"/>
      <c r="U53" s="629"/>
      <c r="V53" s="624"/>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7"/>
      <c r="H54" s="28"/>
      <c r="I54" s="28"/>
      <c r="J54" s="630"/>
      <c r="K54" s="630"/>
      <c r="L54" s="630"/>
      <c r="M54" s="630"/>
      <c r="N54" s="630"/>
      <c r="O54" s="630"/>
      <c r="Q54" s="630"/>
      <c r="R54" s="629"/>
      <c r="S54" s="629"/>
      <c r="T54" s="629"/>
      <c r="U54" s="629"/>
      <c r="V54" s="624"/>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7"/>
      <c r="O55" s="622"/>
      <c r="Q55" s="623"/>
      <c r="R55" s="623"/>
      <c r="S55" s="623"/>
      <c r="T55" s="623"/>
      <c r="U55" s="623"/>
      <c r="V55" s="624"/>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7"/>
      <c r="O56" s="622"/>
      <c r="P56" s="622"/>
      <c r="Q56" s="623"/>
      <c r="R56" s="623"/>
      <c r="S56" s="623"/>
      <c r="T56" s="623"/>
      <c r="U56" s="623"/>
      <c r="V56" s="624"/>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7"/>
      <c r="O57" s="622"/>
      <c r="P57" s="622"/>
      <c r="Q57" s="623"/>
      <c r="R57" s="623"/>
      <c r="S57" s="623"/>
      <c r="T57" s="623"/>
      <c r="U57" s="623"/>
      <c r="V57" s="624"/>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7"/>
      <c r="O58" s="622"/>
      <c r="P58" s="622"/>
      <c r="Q58" s="623"/>
      <c r="R58" s="623"/>
      <c r="S58" s="623"/>
      <c r="T58" s="623"/>
      <c r="U58" s="623"/>
      <c r="V58" s="624"/>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5.0999999999999996" customHeight="1" outlineLevel="1" x14ac:dyDescent="0.25">
      <c r="A59" s="7"/>
      <c r="B59" s="8"/>
      <c r="C59" s="18"/>
      <c r="D59" s="18"/>
      <c r="E59" s="18"/>
      <c r="F59" s="33"/>
      <c r="G59" s="34"/>
      <c r="H59" s="34"/>
      <c r="I59" s="34"/>
      <c r="J59" s="35"/>
      <c r="K59" s="35"/>
      <c r="L59" s="35"/>
      <c r="M59" s="35"/>
      <c r="N59" s="35"/>
      <c r="O59" s="35"/>
      <c r="P59" s="35"/>
      <c r="Q59" s="35"/>
      <c r="R59" s="35"/>
      <c r="S59" s="35"/>
      <c r="T59" s="35"/>
      <c r="U59" s="35"/>
      <c r="V59" s="2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25.35" customHeight="1" outlineLevel="1" x14ac:dyDescent="0.25">
      <c r="A60" s="7"/>
      <c r="B60" s="8"/>
      <c r="C60" s="36"/>
      <c r="D60" s="36"/>
      <c r="E60" s="36"/>
      <c r="F60" s="36"/>
      <c r="G60" s="37" t="str">
        <f>G37</f>
        <v>Fert info</v>
      </c>
      <c r="H60" s="36"/>
      <c r="I60" s="36"/>
      <c r="J60" s="36"/>
      <c r="K60" s="36"/>
      <c r="L60" s="36"/>
      <c r="M60" s="36"/>
      <c r="N60" s="36"/>
      <c r="O60" s="36"/>
      <c r="P60" s="36"/>
      <c r="Q60" s="36"/>
      <c r="R60" s="36"/>
      <c r="S60" s="36"/>
      <c r="T60" s="36"/>
      <c r="U60" s="36"/>
      <c r="V60" s="36"/>
      <c r="W60" s="38" t="s">
        <v>91</v>
      </c>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12" customHeight="1" outlineLevel="1" x14ac:dyDescent="0.25">
      <c r="A61" s="7"/>
      <c r="B61" s="8"/>
      <c r="C61" s="8"/>
      <c r="D61" s="8"/>
      <c r="E61" s="8"/>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x14ac:dyDescent="0.25"/>
    <row r="64" spans="1:68" x14ac:dyDescent="0.25">
      <c r="G64" t="s">
        <v>2296</v>
      </c>
      <c r="I64" t="s">
        <v>2297</v>
      </c>
      <c r="K64" t="s">
        <v>2705</v>
      </c>
      <c r="M64" t="s">
        <v>2706</v>
      </c>
    </row>
    <row r="65" spans="7:13" x14ac:dyDescent="0.25">
      <c r="G65" s="338" t="s">
        <v>4</v>
      </c>
      <c r="I65" s="338" t="s">
        <v>2298</v>
      </c>
      <c r="K65" s="338" t="s">
        <v>45</v>
      </c>
      <c r="M65" s="432" t="s">
        <v>2707</v>
      </c>
    </row>
    <row r="66" spans="7:13" x14ac:dyDescent="0.25">
      <c r="G66" s="339" t="s">
        <v>2290</v>
      </c>
      <c r="I66" s="339" t="s">
        <v>2564</v>
      </c>
      <c r="K66" s="339" t="s">
        <v>2912</v>
      </c>
      <c r="M66" s="433" t="s">
        <v>2708</v>
      </c>
    </row>
    <row r="67" spans="7:13" ht="45" x14ac:dyDescent="0.25">
      <c r="G67" s="339" t="s">
        <v>10</v>
      </c>
      <c r="I67" s="339" t="s">
        <v>4</v>
      </c>
      <c r="K67" s="339" t="s">
        <v>2697</v>
      </c>
      <c r="M67" s="433" t="s">
        <v>2709</v>
      </c>
    </row>
    <row r="68" spans="7:13" ht="30" x14ac:dyDescent="0.25">
      <c r="G68" t="s">
        <v>60</v>
      </c>
      <c r="H68" s="343"/>
      <c r="I68" s="339" t="s">
        <v>2290</v>
      </c>
      <c r="K68" s="339" t="s">
        <v>2698</v>
      </c>
      <c r="M68" s="434" t="s">
        <v>2710</v>
      </c>
    </row>
    <row r="69" spans="7:13" x14ac:dyDescent="0.25">
      <c r="G69" s="339" t="s">
        <v>61</v>
      </c>
      <c r="I69" s="339" t="s">
        <v>10</v>
      </c>
      <c r="K69" s="340" t="s">
        <v>2913</v>
      </c>
    </row>
    <row r="70" spans="7:13" x14ac:dyDescent="0.25">
      <c r="G70" s="339" t="s">
        <v>62</v>
      </c>
      <c r="I70" s="339" t="s">
        <v>60</v>
      </c>
    </row>
    <row r="71" spans="7:13" x14ac:dyDescent="0.25">
      <c r="G71" s="339" t="s">
        <v>7</v>
      </c>
      <c r="I71" s="339" t="s">
        <v>61</v>
      </c>
    </row>
    <row r="72" spans="7:13" x14ac:dyDescent="0.25">
      <c r="G72" s="339" t="s">
        <v>3285</v>
      </c>
      <c r="I72" s="339" t="s">
        <v>2299</v>
      </c>
    </row>
    <row r="73" spans="7:13" x14ac:dyDescent="0.25">
      <c r="G73" s="339" t="s">
        <v>3210</v>
      </c>
      <c r="I73" s="339" t="s">
        <v>107</v>
      </c>
    </row>
    <row r="74" spans="7:13" x14ac:dyDescent="0.25">
      <c r="G74" s="339" t="s">
        <v>6</v>
      </c>
      <c r="I74" s="339" t="s">
        <v>62</v>
      </c>
    </row>
    <row r="75" spans="7:13" x14ac:dyDescent="0.25">
      <c r="G75" s="339" t="s">
        <v>2294</v>
      </c>
      <c r="I75" s="339" t="s">
        <v>7</v>
      </c>
    </row>
    <row r="76" spans="7:13" x14ac:dyDescent="0.25">
      <c r="G76" s="339" t="s">
        <v>72</v>
      </c>
      <c r="I76" s="339" t="s">
        <v>3285</v>
      </c>
    </row>
    <row r="77" spans="7:13" x14ac:dyDescent="0.25">
      <c r="G77" s="339" t="s">
        <v>9</v>
      </c>
      <c r="I77" s="339" t="s">
        <v>113</v>
      </c>
    </row>
    <row r="78" spans="7:13" x14ac:dyDescent="0.25">
      <c r="G78" s="339" t="s">
        <v>2293</v>
      </c>
      <c r="I78" s="339" t="s">
        <v>3210</v>
      </c>
    </row>
    <row r="79" spans="7:13" x14ac:dyDescent="0.25">
      <c r="G79" s="339" t="s">
        <v>63</v>
      </c>
      <c r="I79" s="339" t="s">
        <v>6</v>
      </c>
    </row>
    <row r="80" spans="7:13" x14ac:dyDescent="0.25">
      <c r="G80" s="339" t="s">
        <v>5</v>
      </c>
      <c r="I80" s="339" t="s">
        <v>2294</v>
      </c>
    </row>
    <row r="81" spans="7:9" x14ac:dyDescent="0.25">
      <c r="G81" s="339" t="s">
        <v>2292</v>
      </c>
      <c r="I81" s="339" t="s">
        <v>72</v>
      </c>
    </row>
    <row r="82" spans="7:9" x14ac:dyDescent="0.25">
      <c r="G82" s="339" t="s">
        <v>8</v>
      </c>
      <c r="I82" s="339" t="s">
        <v>9</v>
      </c>
    </row>
    <row r="83" spans="7:9" x14ac:dyDescent="0.25">
      <c r="G83" s="340" t="s">
        <v>2291</v>
      </c>
      <c r="I83" s="339" t="s">
        <v>2293</v>
      </c>
    </row>
    <row r="84" spans="7:9" x14ac:dyDescent="0.25">
      <c r="I84" s="339" t="s">
        <v>2300</v>
      </c>
    </row>
    <row r="85" spans="7:9" x14ac:dyDescent="0.25">
      <c r="I85" s="339" t="s">
        <v>2550</v>
      </c>
    </row>
    <row r="86" spans="7:9" x14ac:dyDescent="0.25">
      <c r="I86" s="339" t="s">
        <v>2301</v>
      </c>
    </row>
    <row r="87" spans="7:9" x14ac:dyDescent="0.25">
      <c r="I87" s="339" t="s">
        <v>106</v>
      </c>
    </row>
    <row r="88" spans="7:9" x14ac:dyDescent="0.25">
      <c r="I88" s="339" t="s">
        <v>2302</v>
      </c>
    </row>
    <row r="89" spans="7:9" x14ac:dyDescent="0.25">
      <c r="I89" s="339" t="s">
        <v>108</v>
      </c>
    </row>
    <row r="90" spans="7:9" x14ac:dyDescent="0.25">
      <c r="I90" s="339" t="s">
        <v>63</v>
      </c>
    </row>
    <row r="91" spans="7:9" x14ac:dyDescent="0.25">
      <c r="I91" s="339" t="s">
        <v>5</v>
      </c>
    </row>
    <row r="92" spans="7:9" x14ac:dyDescent="0.25">
      <c r="I92" s="339" t="s">
        <v>2292</v>
      </c>
    </row>
    <row r="93" spans="7:9" x14ac:dyDescent="0.25">
      <c r="I93" s="339" t="s">
        <v>2303</v>
      </c>
    </row>
    <row r="94" spans="7:9" x14ac:dyDescent="0.25">
      <c r="I94" s="339" t="s">
        <v>109</v>
      </c>
    </row>
    <row r="95" spans="7:9" x14ac:dyDescent="0.25">
      <c r="I95" s="339" t="s">
        <v>8</v>
      </c>
    </row>
    <row r="96" spans="7:9" x14ac:dyDescent="0.25">
      <c r="I96" s="340" t="s">
        <v>2291</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3016</v>
      </c>
    </row>
    <row r="9" spans="1:3" x14ac:dyDescent="0.25">
      <c r="A9" s="341" t="str">
        <f>General!G65</f>
        <v>b</v>
      </c>
      <c r="B9">
        <v>680</v>
      </c>
      <c r="C9" s="1" t="s">
        <v>2890</v>
      </c>
    </row>
    <row r="10" spans="1:3" x14ac:dyDescent="0.25">
      <c r="A10" s="341" t="str">
        <f>General!G66</f>
        <v>bd</v>
      </c>
      <c r="B10">
        <v>680</v>
      </c>
      <c r="C10" s="1" t="s">
        <v>2890</v>
      </c>
    </row>
    <row r="11" spans="1:3" x14ac:dyDescent="0.25">
      <c r="A11" s="341" t="str">
        <f>General!G67</f>
        <v>f</v>
      </c>
      <c r="B11">
        <v>680</v>
      </c>
      <c r="C11" s="1" t="s">
        <v>2890</v>
      </c>
    </row>
    <row r="12" spans="1:3" x14ac:dyDescent="0.25">
      <c r="A12" s="341" t="str">
        <f>General!G68</f>
        <v>h</v>
      </c>
      <c r="B12">
        <v>680</v>
      </c>
      <c r="C12" s="1" t="s">
        <v>2890</v>
      </c>
    </row>
    <row r="13" spans="1:3" x14ac:dyDescent="0.25">
      <c r="A13" s="341" t="str">
        <f>General!G69</f>
        <v>i</v>
      </c>
      <c r="B13">
        <v>680</v>
      </c>
      <c r="C13" s="1" t="s">
        <v>2890</v>
      </c>
    </row>
    <row r="14" spans="1:3" x14ac:dyDescent="0.25">
      <c r="A14" s="341" t="str">
        <f>General!G70</f>
        <v>k</v>
      </c>
      <c r="B14">
        <v>680</v>
      </c>
      <c r="C14" s="1" t="s">
        <v>2890</v>
      </c>
    </row>
    <row r="15" spans="1:3" x14ac:dyDescent="0.25">
      <c r="A15" s="341" t="str">
        <f>General!G71</f>
        <v>l</v>
      </c>
      <c r="B15">
        <v>680</v>
      </c>
      <c r="C15" s="1" t="s">
        <v>2890</v>
      </c>
    </row>
    <row r="16" spans="1:3" x14ac:dyDescent="0.25">
      <c r="A16" s="341" t="str">
        <f>General!G72</f>
        <v>lf</v>
      </c>
      <c r="B16">
        <v>680</v>
      </c>
      <c r="C16" s="1" t="s">
        <v>2890</v>
      </c>
    </row>
    <row r="17" spans="1:3" x14ac:dyDescent="0.25">
      <c r="A17" s="341" t="str">
        <f>General!G73</f>
        <v>ms</v>
      </c>
      <c r="B17">
        <v>680</v>
      </c>
      <c r="C17" s="1" t="s">
        <v>2890</v>
      </c>
    </row>
    <row r="18" spans="1:3" x14ac:dyDescent="0.25">
      <c r="A18" s="341" t="str">
        <f>General!G74</f>
        <v>o</v>
      </c>
      <c r="B18">
        <v>680</v>
      </c>
      <c r="C18" s="1" t="s">
        <v>2890</v>
      </c>
    </row>
    <row r="19" spans="1:3" x14ac:dyDescent="0.25">
      <c r="A19" s="341" t="str">
        <f>General!G75</f>
        <v>od</v>
      </c>
      <c r="B19">
        <v>680</v>
      </c>
      <c r="C19" s="1" t="s">
        <v>2890</v>
      </c>
    </row>
    <row r="20" spans="1:3" x14ac:dyDescent="0.25">
      <c r="A20" s="341" t="str">
        <f>General!G76</f>
        <v>of</v>
      </c>
      <c r="B20">
        <v>680</v>
      </c>
      <c r="C20" s="1" t="s">
        <v>2890</v>
      </c>
    </row>
    <row r="21" spans="1:3" x14ac:dyDescent="0.25">
      <c r="A21" s="341" t="str">
        <f>General!G77</f>
        <v>r</v>
      </c>
      <c r="B21">
        <v>680</v>
      </c>
      <c r="C21" s="1" t="s">
        <v>2890</v>
      </c>
    </row>
    <row r="22" spans="1:3" x14ac:dyDescent="0.25">
      <c r="A22" s="341" t="str">
        <f>General!G78</f>
        <v>rd</v>
      </c>
      <c r="B22">
        <v>680</v>
      </c>
      <c r="C22" s="1" t="s">
        <v>2890</v>
      </c>
    </row>
    <row r="23" spans="1:3" x14ac:dyDescent="0.25">
      <c r="A23" s="341" t="str">
        <f>General!G79</f>
        <v>v</v>
      </c>
      <c r="B23">
        <v>680</v>
      </c>
      <c r="C23" s="1" t="s">
        <v>2890</v>
      </c>
    </row>
    <row r="24" spans="1:3" x14ac:dyDescent="0.25">
      <c r="A24" s="341" t="str">
        <f>General!G80</f>
        <v>w</v>
      </c>
      <c r="B24">
        <v>680</v>
      </c>
      <c r="C24" s="1" t="s">
        <v>2890</v>
      </c>
    </row>
    <row r="25" spans="1:3" x14ac:dyDescent="0.25">
      <c r="A25" s="341" t="str">
        <f>General!G81</f>
        <v>wd</v>
      </c>
      <c r="B25">
        <v>680</v>
      </c>
      <c r="C25" s="1" t="s">
        <v>2890</v>
      </c>
    </row>
    <row r="26" spans="1:3" x14ac:dyDescent="0.25">
      <c r="A26" s="341" t="str">
        <f>General!G82</f>
        <v>z</v>
      </c>
      <c r="B26">
        <v>680</v>
      </c>
      <c r="C26" s="1" t="s">
        <v>2890</v>
      </c>
    </row>
    <row r="27" spans="1:3" x14ac:dyDescent="0.25">
      <c r="A27" s="341" t="str">
        <f>General!G83</f>
        <v>zd</v>
      </c>
      <c r="B27">
        <v>680</v>
      </c>
      <c r="C27" s="1" t="s">
        <v>2890</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2253</v>
      </c>
      <c r="B48">
        <v>50</v>
      </c>
      <c r="K48" s="1" t="s">
        <v>2254</v>
      </c>
    </row>
    <row r="49" spans="1:27" x14ac:dyDescent="0.25">
      <c r="A49" s="3"/>
      <c r="B49" s="3"/>
      <c r="C49" s="3"/>
      <c r="M49" s="613" t="s">
        <v>2304</v>
      </c>
      <c r="N49" s="613"/>
      <c r="O49" s="613"/>
      <c r="P49" s="613"/>
      <c r="Q49" s="613"/>
      <c r="R49" s="613" t="s">
        <v>2308</v>
      </c>
      <c r="S49" s="613"/>
      <c r="T49" s="613"/>
      <c r="U49" s="613"/>
      <c r="V49" s="613"/>
      <c r="W49" s="613" t="s">
        <v>2309</v>
      </c>
      <c r="X49" s="613"/>
      <c r="Y49" s="613"/>
      <c r="Z49" s="613"/>
      <c r="AA49" s="613"/>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3276</v>
      </c>
      <c r="C51" t="s">
        <v>3278</v>
      </c>
      <c r="D51" t="s">
        <v>2255</v>
      </c>
      <c r="E51" t="s">
        <v>64</v>
      </c>
      <c r="F51" t="s">
        <v>65</v>
      </c>
      <c r="G51" t="s">
        <v>3249</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General!G65</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General!G66</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General!G67</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General!G68</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General!G69</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General!G70</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General!G71</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General!G72</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General!G73</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General!G74</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General!G75</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General!G76</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General!G77</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General!G78</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General!G79</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General!G80</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General!G81</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General!G82</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General!G83</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3246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3025</v>
      </c>
    </row>
    <row r="19" spans="1:2" ht="30" x14ac:dyDescent="0.25">
      <c r="A19" s="5" t="s">
        <v>3024</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2559</v>
      </c>
      <c r="K9" s="18"/>
      <c r="L9" s="21" t="s">
        <v>2559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2560</v>
      </c>
      <c r="K10" s="22"/>
      <c r="L10" s="21" t="s">
        <v>2561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2685</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2686</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2688</v>
      </c>
      <c r="K22" s="21"/>
      <c r="L22" s="21" t="s">
        <v>2688</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2689</v>
      </c>
      <c r="K23" s="18"/>
      <c r="L23" s="18" t="s">
        <v>2690</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2687</v>
      </c>
      <c r="K24" s="22"/>
      <c r="L24" s="18" t="s">
        <v>2691</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3280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TRANSPOSE(General!G65:G83)</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3212</v>
      </c>
      <c r="H54" s="28"/>
      <c r="I54" s="41" t="s">
        <v>3211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3215</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TRANSPOSE(General!G65:G83)</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General!G65</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General!G66</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General!G67</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General!G68</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General!G69</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General!G70</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General!G71</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General!G72</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General!G73</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General!G74</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General!G75</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General!G76</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General!G77</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General!G78</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General!G79</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General!G80</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General!G81</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General!G82</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General!G83</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5" t="s">
        <v>3248</v>
      </c>
      <c r="K11" s="636"/>
      <c r="L11" s="636"/>
      <c r="M11" s="636"/>
      <c r="N11" s="636"/>
      <c r="O11" s="636"/>
      <c r="P11" s="636"/>
      <c r="Q11" s="636"/>
      <c r="R11" s="636"/>
      <c r="S11" s="636"/>
      <c r="T11" s="636"/>
      <c r="U11" s="637"/>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8" t="s">
        <v>3247</v>
      </c>
      <c r="K12" s="639"/>
      <c r="L12" s="639"/>
      <c r="M12" s="639"/>
      <c r="N12" s="639"/>
      <c r="O12" s="639"/>
      <c r="P12" s="639"/>
      <c r="Q12" s="639"/>
      <c r="R12" s="639"/>
      <c r="S12" s="639"/>
      <c r="T12" s="639"/>
      <c r="U12" s="640"/>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3027</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3028</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3029</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3030</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3031</v>
      </c>
      <c r="J35" s="28"/>
      <c r="K35" s="14" t="s">
        <v>3032</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3033</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3034</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3035</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3036</v>
      </c>
      <c r="J54" s="513" t="s">
        <v>3037</v>
      </c>
      <c r="K54" s="513" t="s">
        <v>3038</v>
      </c>
      <c r="L54" s="513" t="s">
        <v>3039</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General!G65</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General!G66</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General!G67</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General!G68</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General!G69</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General!G70</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General!G71</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General!G72</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General!G73</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General!G74</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General!G75</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General!G76</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General!G77</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General!G78</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General!G79</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General!G80</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General!G81</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General!G82</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General!G83</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3040</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3028</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2780</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3041</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2305</v>
      </c>
      <c r="I93" s="520" t="s">
        <v>2307</v>
      </c>
      <c r="J93" s="521" t="s">
        <v>2306</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2304</v>
      </c>
      <c r="I94" t="s">
        <v>2308</v>
      </c>
      <c r="J94" t="s">
        <v>2309</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General!G65</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General!G66</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General!G67</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General!G68</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General!G69</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General!G70</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General!G71</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General!G72</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General!G73</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General!G74</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General!G75</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General!G76</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General!G77</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General!G78</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General!G79</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General!G80</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General!G81</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General!G82</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General!G83</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3042</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2304</v>
      </c>
      <c r="I117" t="s">
        <v>2308</v>
      </c>
      <c r="J117" t="s">
        <v>2309</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General!G65</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General!G66</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General!G67</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General!G68</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General!G69</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General!G70</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General!G71</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General!G72</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General!G73</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General!G74</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General!G75</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General!G76</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General!G77</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General!G78</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General!G79</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General!G80</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General!G81</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General!G82</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General!G83</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3043</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2304</v>
      </c>
      <c r="I139" t="s">
        <v>2308</v>
      </c>
      <c r="J139" t="s">
        <v>2309</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General!G65</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General!G66</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General!G67</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General!G68</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General!G69</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General!G70</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General!G71</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General!G72</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General!G73</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General!G74</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General!G75</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General!G76</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General!G77</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General!G78</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General!G79</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General!G80</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General!G81</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General!G82</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General!G83</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3044</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3045</v>
      </c>
      <c r="I161" s="28" t="s">
        <v>3046</v>
      </c>
      <c r="J161" s="28" t="s">
        <v>3047</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General!G65</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General!G66</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General!G67</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General!G68</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General!G69</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General!G70</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General!G71</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General!G72</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General!G73</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General!G74</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General!G75</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General!G76</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General!G77</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General!G78</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General!G79</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General!G80</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General!G81</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General!G82</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General!G83</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3048</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2298</v>
      </c>
      <c r="I186" s="538" t="s">
        <v>4</v>
      </c>
      <c r="J186" s="538" t="s">
        <v>3049</v>
      </c>
      <c r="K186" s="538" t="s">
        <v>531</v>
      </c>
      <c r="L186" s="539" t="s">
        <v>3050</v>
      </c>
      <c r="M186" s="540" t="s">
        <v>10</v>
      </c>
      <c r="N186" s="540" t="s">
        <v>3051</v>
      </c>
      <c r="O186" s="540" t="s">
        <v>60</v>
      </c>
      <c r="P186" s="541" t="s">
        <v>61</v>
      </c>
      <c r="Q186" s="542"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3052</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3053</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3054</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3055</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3056</v>
      </c>
      <c r="K205" s="21" t="s">
        <v>3057</v>
      </c>
      <c r="L205" s="21" t="s">
        <v>3058</v>
      </c>
      <c r="M205" s="21" t="s">
        <v>3059</v>
      </c>
      <c r="N205" s="21" t="s">
        <v>3060</v>
      </c>
      <c r="O205" s="21" t="s">
        <v>3061</v>
      </c>
      <c r="P205" s="21" t="s">
        <v>3062</v>
      </c>
      <c r="Q205" s="21" t="s">
        <v>3063</v>
      </c>
      <c r="R205" s="21" t="s">
        <v>3064</v>
      </c>
      <c r="S205" s="21" t="s">
        <v>3065</v>
      </c>
      <c r="T205" s="21" t="s">
        <v>3066</v>
      </c>
      <c r="U205" s="21" t="s">
        <v>3067</v>
      </c>
      <c r="V205" s="21" t="s">
        <v>3068</v>
      </c>
      <c r="W205" s="21" t="s">
        <v>3069</v>
      </c>
      <c r="X205" s="21" t="s">
        <v>3070</v>
      </c>
      <c r="Y205" s="21" t="s">
        <v>3071</v>
      </c>
      <c r="Z205" s="21" t="s">
        <v>3072</v>
      </c>
      <c r="AA205" s="21" t="s">
        <v>3073</v>
      </c>
      <c r="AB205" s="21" t="s">
        <v>3074</v>
      </c>
      <c r="AC205" s="21" t="s">
        <v>3075</v>
      </c>
      <c r="AD205" s="21" t="s">
        <v>3076</v>
      </c>
      <c r="AE205" s="21" t="s">
        <v>3077</v>
      </c>
      <c r="AF205" s="21" t="s">
        <v>3078</v>
      </c>
      <c r="AG205" s="21" t="s">
        <v>3079</v>
      </c>
      <c r="AH205" s="21" t="s">
        <v>3080</v>
      </c>
      <c r="AI205" s="21" t="s">
        <v>3081</v>
      </c>
      <c r="AJ205" s="21" t="s">
        <v>3082</v>
      </c>
      <c r="AK205" s="21" t="s">
        <v>3083</v>
      </c>
      <c r="AL205" s="21" t="s">
        <v>3084</v>
      </c>
      <c r="AM205" s="21" t="s">
        <v>3085</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3086</v>
      </c>
      <c r="S206" s="548"/>
      <c r="T206" s="548"/>
      <c r="U206" s="548"/>
      <c r="V206" s="548"/>
      <c r="W206" s="548"/>
      <c r="X206" s="548"/>
      <c r="Y206" s="548"/>
      <c r="Z206" s="548"/>
      <c r="AA206" s="548"/>
      <c r="AB206" s="548"/>
      <c r="AC206" s="548"/>
      <c r="AD206" s="548" t="s">
        <v>400</v>
      </c>
      <c r="AE206" s="548"/>
      <c r="AF206" s="548"/>
      <c r="AG206" s="548"/>
      <c r="AH206" s="548"/>
      <c r="AI206" s="548"/>
      <c r="AJ206" s="548" t="s">
        <v>3087</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3088</v>
      </c>
      <c r="K207" s="550" t="s">
        <v>3089</v>
      </c>
      <c r="L207" s="550" t="s">
        <v>3090</v>
      </c>
      <c r="M207" s="550" t="s">
        <v>3090</v>
      </c>
      <c r="N207" s="550" t="s">
        <v>3090</v>
      </c>
      <c r="O207" s="550" t="s">
        <v>3090</v>
      </c>
      <c r="P207" s="550" t="s">
        <v>3090</v>
      </c>
      <c r="Q207" s="550" t="s">
        <v>3091</v>
      </c>
      <c r="R207" s="550" t="s">
        <v>3092</v>
      </c>
      <c r="S207" s="550" t="s">
        <v>3092</v>
      </c>
      <c r="T207" s="550" t="s">
        <v>3093</v>
      </c>
      <c r="U207" s="550" t="s">
        <v>3093</v>
      </c>
      <c r="V207" s="550" t="s">
        <v>3094</v>
      </c>
      <c r="W207" s="550" t="s">
        <v>3094</v>
      </c>
      <c r="X207" s="550" t="s">
        <v>3095</v>
      </c>
      <c r="Y207" s="550" t="s">
        <v>3095</v>
      </c>
      <c r="Z207" s="550" t="s">
        <v>3096</v>
      </c>
      <c r="AA207" s="550" t="s">
        <v>3096</v>
      </c>
      <c r="AB207" s="550" t="s">
        <v>3097</v>
      </c>
      <c r="AC207" s="550" t="s">
        <v>3097</v>
      </c>
      <c r="AD207" s="550" t="s">
        <v>3098</v>
      </c>
      <c r="AE207" s="550" t="s">
        <v>3099</v>
      </c>
      <c r="AF207" s="550" t="s">
        <v>3100</v>
      </c>
      <c r="AG207" s="550" t="s">
        <v>3101</v>
      </c>
      <c r="AH207" s="550" t="s">
        <v>3101</v>
      </c>
      <c r="AI207" s="550" t="s">
        <v>3102</v>
      </c>
      <c r="AJ207" s="549" t="s">
        <v>3103</v>
      </c>
      <c r="AK207" s="549" t="s">
        <v>3103</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3104</v>
      </c>
      <c r="K208" s="550" t="s">
        <v>3104</v>
      </c>
      <c r="L208" s="550" t="s">
        <v>3104</v>
      </c>
      <c r="M208" s="550" t="s">
        <v>3104</v>
      </c>
      <c r="N208" s="550" t="s">
        <v>3104</v>
      </c>
      <c r="O208" s="550" t="s">
        <v>3104</v>
      </c>
      <c r="P208" s="550" t="s">
        <v>3104</v>
      </c>
      <c r="Q208" s="550" t="s">
        <v>3104</v>
      </c>
      <c r="R208" s="550" t="s">
        <v>3105</v>
      </c>
      <c r="S208" s="550" t="s">
        <v>3106</v>
      </c>
      <c r="T208" s="550" t="s">
        <v>3107</v>
      </c>
      <c r="U208" s="550" t="s">
        <v>3108</v>
      </c>
      <c r="V208" s="550" t="s">
        <v>3109</v>
      </c>
      <c r="W208" s="550" t="s">
        <v>3110</v>
      </c>
      <c r="X208" s="550" t="s">
        <v>3111</v>
      </c>
      <c r="Y208" s="550" t="s">
        <v>3112</v>
      </c>
      <c r="Z208" s="550" t="s">
        <v>3113</v>
      </c>
      <c r="AA208" s="550" t="s">
        <v>3104</v>
      </c>
      <c r="AB208" s="550" t="s">
        <v>3113</v>
      </c>
      <c r="AC208" s="550" t="s">
        <v>3104</v>
      </c>
      <c r="AD208" s="550" t="s">
        <v>3114</v>
      </c>
      <c r="AE208" s="550" t="s">
        <v>3114</v>
      </c>
      <c r="AF208" s="550" t="s">
        <v>3114</v>
      </c>
      <c r="AG208" s="550" t="s">
        <v>3114</v>
      </c>
      <c r="AH208" s="550" t="s">
        <v>3115</v>
      </c>
      <c r="AI208" s="550" t="s">
        <v>3114</v>
      </c>
      <c r="AJ208" s="550" t="s">
        <v>3116</v>
      </c>
      <c r="AK208" s="550" t="s">
        <v>3115</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3117</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3118</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3119</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3119</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3120</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3121</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3122</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3123</v>
      </c>
      <c r="I221" s="25"/>
      <c r="J221" s="558" t="s">
        <v>2305</v>
      </c>
      <c r="K221" s="558" t="s">
        <v>2305</v>
      </c>
      <c r="L221" s="558" t="s">
        <v>2305</v>
      </c>
      <c r="M221" s="558" t="s">
        <v>2305</v>
      </c>
      <c r="N221" s="558" t="s">
        <v>2305</v>
      </c>
      <c r="O221" s="558" t="s">
        <v>2305</v>
      </c>
      <c r="P221" s="558" t="s">
        <v>2305</v>
      </c>
      <c r="Q221" s="558" t="s">
        <v>2305</v>
      </c>
      <c r="R221" s="558" t="s">
        <v>3124</v>
      </c>
      <c r="S221" s="558" t="s">
        <v>2305</v>
      </c>
      <c r="T221" s="558" t="s">
        <v>3124</v>
      </c>
      <c r="U221" s="558" t="s">
        <v>2305</v>
      </c>
      <c r="V221" s="558" t="s">
        <v>3124</v>
      </c>
      <c r="W221" s="558" t="s">
        <v>2305</v>
      </c>
      <c r="X221" s="558" t="s">
        <v>3124</v>
      </c>
      <c r="Y221" s="558" t="s">
        <v>2305</v>
      </c>
      <c r="Z221" s="558" t="s">
        <v>3124</v>
      </c>
      <c r="AA221" s="558" t="s">
        <v>2305</v>
      </c>
      <c r="AB221" s="558" t="s">
        <v>3124</v>
      </c>
      <c r="AC221" s="558" t="s">
        <v>2305</v>
      </c>
      <c r="AD221" s="558" t="s">
        <v>2307</v>
      </c>
      <c r="AE221" s="558" t="s">
        <v>2307</v>
      </c>
      <c r="AF221" s="558" t="s">
        <v>2307</v>
      </c>
      <c r="AG221" s="558" t="s">
        <v>2307</v>
      </c>
      <c r="AH221" s="558" t="s">
        <v>2307</v>
      </c>
      <c r="AI221" s="558" t="s">
        <v>2307</v>
      </c>
      <c r="AJ221" s="558" t="s">
        <v>2305</v>
      </c>
      <c r="AK221" s="558" t="s">
        <v>2307</v>
      </c>
      <c r="AL221" s="494"/>
      <c r="AM221" s="494"/>
      <c r="AN221" s="27"/>
      <c r="AO221" s="17"/>
      <c r="AP221" s="9"/>
      <c r="AQ221" s="9"/>
      <c r="AR221" s="9"/>
    </row>
    <row r="222" spans="1:44" customFormat="1" outlineLevel="1" x14ac:dyDescent="0.25">
      <c r="A222" s="7"/>
      <c r="B222" s="8"/>
      <c r="C222" s="18"/>
      <c r="D222" s="18"/>
      <c r="E222" s="18"/>
      <c r="F222" s="24"/>
      <c r="G222" s="25"/>
      <c r="H222" s="25" t="s">
        <v>3125</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3126</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3127</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3128</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3129</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3130</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3131</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3132</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3133</v>
      </c>
      <c r="I230" s="634" t="s">
        <v>3134</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3135</v>
      </c>
      <c r="I231" s="634"/>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3136</v>
      </c>
      <c r="I232" s="634"/>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3137</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3138</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3139</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3140</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3141</v>
      </c>
      <c r="I239" s="16" t="s">
        <v>3142</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3143</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3144</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3145</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3146</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3147</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3148</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3149</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3150</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3151</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3152</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3153</v>
      </c>
      <c r="I251" s="570" t="s">
        <v>3144</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3145</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3146</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3147</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3148</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3149</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3154</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3155</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3130</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3131</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3156</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3133</v>
      </c>
      <c r="I263" s="634" t="s">
        <v>3134</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3135</v>
      </c>
      <c r="I264" s="634"/>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3136</v>
      </c>
      <c r="I265" s="634"/>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3157</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3158</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3159</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3160</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3161</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3162</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2784</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2785</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2786</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2787</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3163</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3164</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3165</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3166</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3167</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3168</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3169</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3170</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3171</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3172</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2352</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3173</v>
      </c>
      <c r="AR296" s="9"/>
    </row>
    <row r="297" spans="1:44" customFormat="1" ht="12" customHeight="1" outlineLevel="1" x14ac:dyDescent="0.25">
      <c r="A297" s="7"/>
      <c r="B297" s="8"/>
      <c r="C297" s="18"/>
      <c r="D297" s="18"/>
      <c r="E297" s="18"/>
      <c r="F297" s="24"/>
      <c r="G297" s="25"/>
      <c r="H297" s="41" t="s">
        <v>3174</v>
      </c>
      <c r="I297" s="580" t="s">
        <v>3175</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3176</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3177</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3178</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3179</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3180</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3181</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3182</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3183</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3184</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3185</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3186</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3187</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3188</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3189</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3190</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3191</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3192</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3193</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3194</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3195</v>
      </c>
      <c r="H320" s="28"/>
      <c r="I320" s="583" t="s">
        <v>3196</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2298</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3049</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3197</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2305</v>
      </c>
      <c r="I326" s="514" t="str">
        <f>General!G65</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General!G66</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General!G67</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General!G68</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General!G69</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General!G70</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General!G71</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General!G72</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General!G73</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General!G74</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General!G75</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General!G76</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General!G77</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General!G78</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General!G79</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General!G80</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General!G81</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General!G82</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General!G83</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2307</v>
      </c>
      <c r="I345" s="514" t="str">
        <f>General!G65</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General!G66</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General!G67</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General!G68</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General!G69</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General!G70</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General!G71</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General!G72</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General!G73</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General!G74</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General!G75</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General!G76</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General!G77</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General!G78</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General!G79</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General!G80</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General!G81</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General!G82</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General!G83</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2306</v>
      </c>
      <c r="I364" s="514" t="str">
        <f>General!G65</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General!G66</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General!G67</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General!G68</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General!G69</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General!G70</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General!G71</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General!G72</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General!G73</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General!G74</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General!G75</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General!G76</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General!G77</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General!G78</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General!G79</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General!G80</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General!G81</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General!G82</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General!G83</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41" t="s">
        <v>2179</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2" t="s">
        <v>2178</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9" activePane="bottomLeft" state="frozen"/>
      <selection pane="bottomLeft" activeCell="J11" sqref="J11:X1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45930.900759259297</v>
      </c>
      <c r="J11" s="645" t="s">
        <v>3789</v>
      </c>
      <c r="K11" s="641"/>
      <c r="L11" s="641"/>
      <c r="M11" s="641"/>
      <c r="N11" s="641"/>
      <c r="O11" s="641"/>
      <c r="P11" s="641"/>
      <c r="Q11" s="641"/>
      <c r="R11" s="641"/>
      <c r="S11" s="641"/>
      <c r="T11" s="641"/>
      <c r="U11" s="641"/>
      <c r="V11" s="641"/>
      <c r="W11" s="641"/>
      <c r="X11" s="641"/>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45931.428264120397</v>
      </c>
      <c r="J12" s="642" t="s">
        <v>3501</v>
      </c>
      <c r="K12" s="643"/>
      <c r="L12" s="643"/>
      <c r="M12" s="643"/>
      <c r="N12" s="643"/>
      <c r="O12" s="643"/>
      <c r="P12" s="643"/>
      <c r="Q12" s="643"/>
      <c r="R12" s="643"/>
      <c r="S12" s="643"/>
      <c r="T12" s="643"/>
      <c r="U12" s="643"/>
      <c r="V12" s="643"/>
      <c r="W12" s="643"/>
      <c r="X12" s="644"/>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hidden="1"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collapsed="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hidden="1"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collapsed="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hidden="1"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hidden="1"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hidden="1"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hidden="1"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hidden="1"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hidden="1" customHeight="1" outlineLevel="2" collapsed="1"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hidden="1"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hidden="1"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collapsed="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hidden="1"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collapsed="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hidden="1"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hidden="1" outlineLevel="2" x14ac:dyDescent="0.25">
      <c r="A44" s="45"/>
      <c r="B44" s="54"/>
      <c r="C44" s="87">
        <f>INT($C$29)+2</f>
        <v>3</v>
      </c>
      <c r="D44" s="73"/>
      <c r="E44" s="70"/>
      <c r="F44" s="70"/>
      <c r="G44" s="73"/>
      <c r="H44" s="76" t="s">
        <v>2563</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hidden="1"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hidden="1"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hidden="1" outlineLevel="2" x14ac:dyDescent="0.25">
      <c r="A47" s="45"/>
      <c r="B47" s="54"/>
      <c r="C47" s="87">
        <f>INT($C$29)+2</f>
        <v>3</v>
      </c>
      <c r="D47" s="73"/>
      <c r="E47" s="70"/>
      <c r="F47" s="70"/>
      <c r="G47" s="73"/>
      <c r="H47" s="76"/>
      <c r="I47" s="76"/>
      <c r="J47" s="95" t="s">
        <v>2719</v>
      </c>
      <c r="K47" s="95"/>
      <c r="L47" s="95"/>
      <c r="M47" s="95"/>
      <c r="N47" s="95"/>
      <c r="O47" s="76"/>
      <c r="P47" s="95" t="s">
        <v>2720</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hidden="1"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3487</v>
      </c>
      <c r="Q48" s="96" t="s">
        <v>3494</v>
      </c>
      <c r="R48" s="96" t="s">
        <v>3488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hidden="1"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hidden="1"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hidden="1"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hidden="1"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hidden="1"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hidden="1"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hidden="1"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collapsed="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hidden="1"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hidden="1"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collapsed="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hidden="1"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collapsed="1"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collapsed="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hidden="1"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hidden="1" outlineLevel="2" x14ac:dyDescent="0.25">
      <c r="A93" s="45"/>
      <c r="B93" s="54"/>
      <c r="C93" s="87">
        <f>INT($C$81)+2</f>
        <v>3</v>
      </c>
      <c r="D93" s="73"/>
      <c r="E93" s="70"/>
      <c r="F93" s="70"/>
      <c r="G93" s="73"/>
      <c r="H93" s="105"/>
      <c r="I93" s="106" t="s">
        <v>2205</v>
      </c>
      <c r="J93" s="107"/>
      <c r="K93" s="76"/>
      <c r="L93" s="76"/>
      <c r="M93" s="107"/>
      <c r="N93" s="106" t="s">
        <v>175</v>
      </c>
      <c r="O93" s="107"/>
      <c r="P93" s="107"/>
      <c r="Q93" s="612" t="s">
        <v>176</v>
      </c>
      <c r="R93" s="611"/>
      <c r="S93" s="611"/>
      <c r="T93" s="611"/>
      <c r="U93" s="611" t="s">
        <v>177</v>
      </c>
      <c r="V93" s="611"/>
      <c r="W93" s="611" t="s">
        <v>178</v>
      </c>
      <c r="X93" s="611"/>
      <c r="Y93" s="106" t="s">
        <v>2693</v>
      </c>
      <c r="Z93" s="107"/>
      <c r="AA93" s="107"/>
      <c r="AB93" s="107"/>
      <c r="AC93" s="107"/>
      <c r="AD93" s="107"/>
      <c r="AE93" s="76"/>
      <c r="AF93" s="76" t="s">
        <v>2692</v>
      </c>
      <c r="AG93" s="76"/>
      <c r="AH93" s="76"/>
      <c r="AI93" s="76"/>
      <c r="AJ93" s="76"/>
      <c r="AK93" s="76"/>
      <c r="AL93" s="76"/>
      <c r="AM93" s="76"/>
      <c r="AN93" s="73"/>
      <c r="AO93" s="57"/>
      <c r="AP93" s="45"/>
      <c r="AQ93" s="45"/>
      <c r="AR93" s="45"/>
      <c r="AS93" s="441"/>
      <c r="AT93" s="441"/>
      <c r="AX93" s="429" t="s">
        <v>2181</v>
      </c>
      <c r="BD93" t="s">
        <v>2234</v>
      </c>
    </row>
    <row r="94" spans="1:65" hidden="1" outlineLevel="2" x14ac:dyDescent="0.25">
      <c r="A94" s="45"/>
      <c r="B94" s="54"/>
      <c r="C94" s="87">
        <f>INT($C$81)+2</f>
        <v>3</v>
      </c>
      <c r="D94" s="73"/>
      <c r="E94" s="70"/>
      <c r="F94" s="70"/>
      <c r="G94" s="73"/>
      <c r="H94" s="76"/>
      <c r="I94" s="95" t="s">
        <v>3281</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3239</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2235</v>
      </c>
    </row>
    <row r="95" spans="1:65" hidden="1"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hidden="1" outlineLevel="3" x14ac:dyDescent="0.25">
      <c r="A96" s="45"/>
      <c r="B96" s="54"/>
      <c r="C96" s="87">
        <f t="shared" si="3"/>
        <v>4</v>
      </c>
      <c r="D96" s="73"/>
      <c r="E96" s="70"/>
      <c r="F96" s="70">
        <f t="shared" ref="F96:F101" si="5">($J99-$J96)/($H99-$H96)</f>
        <v>-3232.0065628113143</v>
      </c>
      <c r="G96" s="73"/>
      <c r="H96" s="79">
        <v>12</v>
      </c>
      <c r="I96" s="604">
        <v>8683.1022294036629</v>
      </c>
      <c r="J96" s="604">
        <v>10165.016407028286</v>
      </c>
      <c r="K96" s="604">
        <v>11506.435536455769</v>
      </c>
      <c r="L96" s="604">
        <v>12777.062587334305</v>
      </c>
      <c r="M96" s="604">
        <v>15594.103265182059</v>
      </c>
      <c r="N96" s="111">
        <f t="shared" ref="N96:W102" si="6">N97</f>
        <v>0</v>
      </c>
      <c r="O96" s="111">
        <f t="shared" si="6"/>
        <v>-1.9178082191780823E-2</v>
      </c>
      <c r="P96" s="111">
        <f t="shared" si="6"/>
        <v>-5.4794520547945202E-2</v>
      </c>
      <c r="Q96" s="608">
        <f t="shared" si="6"/>
        <v>-2.7397260273972601E-2</v>
      </c>
      <c r="R96" s="608">
        <f t="shared" si="6"/>
        <v>-1.0958904109589041E-2</v>
      </c>
      <c r="S96" s="608">
        <f t="shared" si="6"/>
        <v>0</v>
      </c>
      <c r="T96" s="608">
        <f t="shared" si="6"/>
        <v>4.10958904109589E-3</v>
      </c>
      <c r="U96" s="608">
        <f t="shared" si="6"/>
        <v>0</v>
      </c>
      <c r="V96" s="608">
        <f t="shared" si="6"/>
        <v>0</v>
      </c>
      <c r="W96" s="608">
        <f t="shared" si="6"/>
        <v>0</v>
      </c>
      <c r="X96" s="608">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2238</v>
      </c>
      <c r="BD96" s="321" t="s">
        <v>2239</v>
      </c>
      <c r="BE96" s="321" t="s">
        <v>2237</v>
      </c>
      <c r="BF96" s="330" t="s">
        <v>2243</v>
      </c>
      <c r="BG96" s="419" t="s">
        <v>2678</v>
      </c>
      <c r="BK96" s="319" t="s">
        <v>2314</v>
      </c>
      <c r="BL96" s="319" t="s">
        <v>2236</v>
      </c>
      <c r="BM96" s="319" t="s">
        <v>2237</v>
      </c>
    </row>
    <row r="97" spans="1:65" hidden="1" outlineLevel="3" x14ac:dyDescent="0.25">
      <c r="A97" s="45"/>
      <c r="B97" s="54"/>
      <c r="C97" s="87">
        <f t="shared" si="3"/>
        <v>4</v>
      </c>
      <c r="D97" s="73"/>
      <c r="E97" s="70"/>
      <c r="F97" s="70">
        <f t="shared" si="5"/>
        <v>-824.80555555555577</v>
      </c>
      <c r="G97" s="73"/>
      <c r="H97" s="79">
        <v>13.5</v>
      </c>
      <c r="I97" s="604">
        <v>2803</v>
      </c>
      <c r="J97" s="604">
        <v>3100.1750000000002</v>
      </c>
      <c r="K97" s="604">
        <v>5357</v>
      </c>
      <c r="L97" s="604">
        <v>6282.9</v>
      </c>
      <c r="M97" s="604">
        <v>7260.4</v>
      </c>
      <c r="N97" s="287">
        <f t="shared" si="6"/>
        <v>0</v>
      </c>
      <c r="O97" s="287">
        <f t="shared" si="6"/>
        <v>-1.9178082191780823E-2</v>
      </c>
      <c r="P97" s="287">
        <f t="shared" si="6"/>
        <v>-5.4794520547945202E-2</v>
      </c>
      <c r="Q97" s="607">
        <f t="shared" si="6"/>
        <v>-2.7397260273972601E-2</v>
      </c>
      <c r="R97" s="607">
        <f t="shared" si="6"/>
        <v>-1.0958904109589041E-2</v>
      </c>
      <c r="S97" s="607">
        <f t="shared" si="6"/>
        <v>0</v>
      </c>
      <c r="T97" s="607">
        <f t="shared" si="6"/>
        <v>4.10958904109589E-3</v>
      </c>
      <c r="U97" s="607">
        <f t="shared" si="6"/>
        <v>0</v>
      </c>
      <c r="V97" s="607">
        <f t="shared" si="6"/>
        <v>0</v>
      </c>
      <c r="W97" s="607">
        <f t="shared" si="6"/>
        <v>0</v>
      </c>
      <c r="X97" s="607">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43">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hidden="1" outlineLevel="3" x14ac:dyDescent="0.25">
      <c r="A98" s="45"/>
      <c r="B98" s="54"/>
      <c r="C98" s="87">
        <f t="shared" si="3"/>
        <v>4</v>
      </c>
      <c r="D98" s="73"/>
      <c r="E98" s="70"/>
      <c r="F98" s="70">
        <f t="shared" si="5"/>
        <v>-510.12500000000023</v>
      </c>
      <c r="G98" s="73"/>
      <c r="H98" s="79">
        <v>14</v>
      </c>
      <c r="I98" s="604">
        <v>1920.5833333333335</v>
      </c>
      <c r="J98" s="604">
        <v>2623.7500000000005</v>
      </c>
      <c r="K98" s="604">
        <v>3032.5</v>
      </c>
      <c r="L98" s="604">
        <v>3806</v>
      </c>
      <c r="M98" s="604">
        <v>4921</v>
      </c>
      <c r="N98" s="287">
        <f t="shared" si="6"/>
        <v>0</v>
      </c>
      <c r="O98" s="287">
        <f t="shared" si="6"/>
        <v>-1.9178082191780823E-2</v>
      </c>
      <c r="P98" s="287">
        <f t="shared" si="6"/>
        <v>-5.4794520547945202E-2</v>
      </c>
      <c r="Q98" s="607">
        <f t="shared" si="6"/>
        <v>-2.7397260273972601E-2</v>
      </c>
      <c r="R98" s="607">
        <f t="shared" si="6"/>
        <v>-1.0958904109589041E-2</v>
      </c>
      <c r="S98" s="607">
        <f t="shared" si="6"/>
        <v>0</v>
      </c>
      <c r="T98" s="607">
        <f t="shared" si="6"/>
        <v>4.10958904109589E-3</v>
      </c>
      <c r="U98" s="607">
        <f t="shared" si="6"/>
        <v>0</v>
      </c>
      <c r="V98" s="607">
        <f t="shared" si="6"/>
        <v>0</v>
      </c>
      <c r="W98" s="607">
        <f t="shared" si="6"/>
        <v>0</v>
      </c>
      <c r="X98" s="607">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8"/>
        <v>1.017871563475772</v>
      </c>
      <c r="AX98" s="116">
        <f t="shared" si="9"/>
        <v>0.23011496340245774</v>
      </c>
      <c r="AY98" s="116">
        <f t="shared" si="10"/>
        <v>0.59462404032405769</v>
      </c>
      <c r="AZ98" s="116">
        <f t="shared" si="10"/>
        <v>0.40501545452978349</v>
      </c>
      <c r="BC98" s="443">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hidden="1" outlineLevel="3" x14ac:dyDescent="0.25">
      <c r="A99" s="45"/>
      <c r="B99" s="54"/>
      <c r="C99" s="87">
        <f t="shared" si="3"/>
        <v>4</v>
      </c>
      <c r="D99" s="73"/>
      <c r="E99" s="70"/>
      <c r="F99" s="70">
        <f t="shared" si="5"/>
        <v>-213.73999999999987</v>
      </c>
      <c r="G99" s="73"/>
      <c r="H99" s="79">
        <v>14.5</v>
      </c>
      <c r="I99" s="604">
        <v>1726.9924999999998</v>
      </c>
      <c r="J99" s="604">
        <v>2085</v>
      </c>
      <c r="K99" s="604">
        <v>2570.75</v>
      </c>
      <c r="L99" s="604">
        <v>3416.6</v>
      </c>
      <c r="M99" s="604">
        <v>4062.8249999999998</v>
      </c>
      <c r="N99" s="287">
        <f t="shared" si="6"/>
        <v>0</v>
      </c>
      <c r="O99" s="287">
        <f t="shared" si="6"/>
        <v>-1.9178082191780823E-2</v>
      </c>
      <c r="P99" s="287">
        <f t="shared" si="6"/>
        <v>-5.4794520547945202E-2</v>
      </c>
      <c r="Q99" s="607">
        <f t="shared" si="6"/>
        <v>-2.7397260273972601E-2</v>
      </c>
      <c r="R99" s="607">
        <f t="shared" si="6"/>
        <v>-1.0958904109589041E-2</v>
      </c>
      <c r="S99" s="607">
        <f t="shared" si="6"/>
        <v>0</v>
      </c>
      <c r="T99" s="607">
        <f t="shared" si="6"/>
        <v>4.10958904109589E-3</v>
      </c>
      <c r="U99" s="607">
        <f t="shared" si="6"/>
        <v>0</v>
      </c>
      <c r="V99" s="607">
        <f t="shared" si="6"/>
        <v>0</v>
      </c>
      <c r="W99" s="607">
        <f t="shared" si="6"/>
        <v>0</v>
      </c>
      <c r="X99" s="607">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8"/>
        <v>1.0027069468640681</v>
      </c>
      <c r="AX99" s="116">
        <f t="shared" si="9"/>
        <v>9.7042383005294219E-2</v>
      </c>
      <c r="AY99" s="116">
        <f t="shared" si="10"/>
        <v>0.16002820534436513</v>
      </c>
      <c r="AZ99" s="116">
        <f t="shared" si="10"/>
        <v>0.43702152766096458</v>
      </c>
      <c r="BC99" s="443">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hidden="1" outlineLevel="3" x14ac:dyDescent="0.25">
      <c r="A100" s="45"/>
      <c r="B100" s="54"/>
      <c r="C100" s="87">
        <f t="shared" si="3"/>
        <v>4</v>
      </c>
      <c r="D100" s="73"/>
      <c r="E100" s="70"/>
      <c r="F100" s="70">
        <f t="shared" si="5"/>
        <v>-122.36222222222212</v>
      </c>
      <c r="G100" s="73"/>
      <c r="H100" s="79">
        <v>15</v>
      </c>
      <c r="I100" s="604">
        <v>1604.875</v>
      </c>
      <c r="J100" s="604">
        <v>1862.9666666666665</v>
      </c>
      <c r="K100" s="604">
        <v>2423.25</v>
      </c>
      <c r="L100" s="604">
        <v>2865.4</v>
      </c>
      <c r="M100" s="604">
        <v>3540.4458333333328</v>
      </c>
      <c r="N100" s="287">
        <f t="shared" si="6"/>
        <v>0</v>
      </c>
      <c r="O100" s="287">
        <f t="shared" si="6"/>
        <v>-1.9178082191780823E-2</v>
      </c>
      <c r="P100" s="287">
        <f t="shared" si="6"/>
        <v>-5.4794520547945202E-2</v>
      </c>
      <c r="Q100" s="607">
        <f t="shared" si="6"/>
        <v>-2.7397260273972601E-2</v>
      </c>
      <c r="R100" s="607">
        <f t="shared" si="6"/>
        <v>-1.0958904109589041E-2</v>
      </c>
      <c r="S100" s="607">
        <f t="shared" si="6"/>
        <v>0</v>
      </c>
      <c r="T100" s="607">
        <f t="shared" si="6"/>
        <v>4.10958904109589E-3</v>
      </c>
      <c r="U100" s="607">
        <f t="shared" si="6"/>
        <v>0</v>
      </c>
      <c r="V100" s="607">
        <f t="shared" si="6"/>
        <v>0</v>
      </c>
      <c r="W100" s="607">
        <f t="shared" si="6"/>
        <v>0</v>
      </c>
      <c r="X100" s="607">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8"/>
        <v>0.93949365734816614</v>
      </c>
      <c r="AX100" s="116">
        <f t="shared" si="9"/>
        <v>9.1156279973532373E-2</v>
      </c>
      <c r="AY100" s="116">
        <f t="shared" si="10"/>
        <v>0.11097133833206674</v>
      </c>
      <c r="AZ100" s="116">
        <f t="shared" si="10"/>
        <v>0.14393230565930515</v>
      </c>
      <c r="BC100" s="443">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hidden="1" outlineLevel="3" x14ac:dyDescent="0.25">
      <c r="A101" s="45"/>
      <c r="B101" s="54"/>
      <c r="C101" s="87">
        <f t="shared" si="3"/>
        <v>4</v>
      </c>
      <c r="D101" s="73"/>
      <c r="E101" s="70"/>
      <c r="F101" s="70">
        <f t="shared" si="5"/>
        <v>-67.833333333333329</v>
      </c>
      <c r="G101" s="73"/>
      <c r="H101" s="79">
        <v>16</v>
      </c>
      <c r="I101" s="604">
        <v>1446.56</v>
      </c>
      <c r="J101" s="604">
        <v>1603.5</v>
      </c>
      <c r="K101" s="604">
        <v>2149.0666666666666</v>
      </c>
      <c r="L101" s="604">
        <v>2524.7666666666669</v>
      </c>
      <c r="M101" s="604">
        <v>3081.2125000000001</v>
      </c>
      <c r="N101" s="287">
        <f t="shared" si="6"/>
        <v>0</v>
      </c>
      <c r="O101" s="287">
        <f t="shared" si="6"/>
        <v>-1.9178082191780823E-2</v>
      </c>
      <c r="P101" s="287">
        <f t="shared" si="6"/>
        <v>-5.4794520547945202E-2</v>
      </c>
      <c r="Q101" s="607">
        <f t="shared" si="6"/>
        <v>-2.7397260273972601E-2</v>
      </c>
      <c r="R101" s="607">
        <f t="shared" si="6"/>
        <v>-1.0958904109589041E-2</v>
      </c>
      <c r="S101" s="607">
        <f t="shared" si="6"/>
        <v>0</v>
      </c>
      <c r="T101" s="607">
        <f t="shared" si="6"/>
        <v>4.10958904109589E-3</v>
      </c>
      <c r="U101" s="607">
        <f t="shared" si="6"/>
        <v>0</v>
      </c>
      <c r="V101" s="607">
        <f t="shared" si="6"/>
        <v>0</v>
      </c>
      <c r="W101" s="607">
        <f t="shared" si="6"/>
        <v>0</v>
      </c>
      <c r="X101" s="607">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hidden="1" outlineLevel="3" x14ac:dyDescent="0.25">
      <c r="A102" s="45"/>
      <c r="B102" s="54"/>
      <c r="C102" s="87">
        <f t="shared" si="3"/>
        <v>4</v>
      </c>
      <c r="D102" s="73"/>
      <c r="E102" s="70"/>
      <c r="F102" s="70">
        <f t="shared" ref="F102:F109" si="16">($J103-$J102)/($H103-$H102)</f>
        <v>-54.770000000000209</v>
      </c>
      <c r="G102" s="73"/>
      <c r="H102" s="79">
        <v>17</v>
      </c>
      <c r="I102" s="604">
        <v>1313.1</v>
      </c>
      <c r="J102" s="604">
        <v>1550.6500000000003</v>
      </c>
      <c r="K102" s="604">
        <v>1959.2</v>
      </c>
      <c r="L102" s="604">
        <v>2343.35</v>
      </c>
      <c r="M102" s="604">
        <v>2671.9333333333329</v>
      </c>
      <c r="N102" s="287">
        <f t="shared" si="6"/>
        <v>0</v>
      </c>
      <c r="O102" s="287">
        <f t="shared" si="6"/>
        <v>-1.9178082191780823E-2</v>
      </c>
      <c r="P102" s="287">
        <f t="shared" si="6"/>
        <v>-5.4794520547945202E-2</v>
      </c>
      <c r="Q102" s="607">
        <f t="shared" si="6"/>
        <v>-2.7397260273972601E-2</v>
      </c>
      <c r="R102" s="607">
        <f t="shared" si="6"/>
        <v>-1.0958904109589041E-2</v>
      </c>
      <c r="S102" s="607">
        <f t="shared" si="6"/>
        <v>0</v>
      </c>
      <c r="T102" s="607">
        <f t="shared" si="6"/>
        <v>4.10958904109589E-3</v>
      </c>
      <c r="U102" s="607">
        <f t="shared" si="6"/>
        <v>0</v>
      </c>
      <c r="V102" s="607">
        <f t="shared" si="6"/>
        <v>0</v>
      </c>
      <c r="W102" s="607">
        <f t="shared" si="6"/>
        <v>0</v>
      </c>
      <c r="X102" s="607">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hidden="1" outlineLevel="3" x14ac:dyDescent="0.25">
      <c r="A103" s="45"/>
      <c r="B103" s="54"/>
      <c r="C103" s="87">
        <f t="shared" si="3"/>
        <v>4</v>
      </c>
      <c r="D103" s="73"/>
      <c r="E103" s="70"/>
      <c r="F103" s="70">
        <f t="shared" si="16"/>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hidden="1"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5">
        <f t="shared" si="17"/>
        <v>-2.7397260273972601E-2</v>
      </c>
      <c r="R104" s="605">
        <f t="shared" si="17"/>
        <v>-1.0958904109589041E-2</v>
      </c>
      <c r="S104" s="605">
        <f t="shared" si="17"/>
        <v>0</v>
      </c>
      <c r="T104" s="605">
        <f t="shared" si="17"/>
        <v>4.10958904109589E-3</v>
      </c>
      <c r="U104" s="605">
        <f t="shared" si="17"/>
        <v>0</v>
      </c>
      <c r="V104" s="605">
        <f t="shared" si="17"/>
        <v>0</v>
      </c>
      <c r="W104" s="605">
        <f t="shared" si="17"/>
        <v>0</v>
      </c>
      <c r="X104" s="605">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hidden="1" outlineLevel="3" x14ac:dyDescent="0.25">
      <c r="A105" s="45"/>
      <c r="B105" s="54"/>
      <c r="C105" s="87">
        <f t="shared" si="3"/>
        <v>4</v>
      </c>
      <c r="D105" s="73"/>
      <c r="E105" s="70"/>
      <c r="F105" s="70">
        <f t="shared" si="16"/>
        <v>-42</v>
      </c>
      <c r="G105" s="73"/>
      <c r="H105" s="79">
        <v>20</v>
      </c>
      <c r="I105" s="604">
        <v>1165</v>
      </c>
      <c r="J105" s="604">
        <v>1342</v>
      </c>
      <c r="K105" s="604">
        <v>1440</v>
      </c>
      <c r="L105" s="604">
        <v>1627</v>
      </c>
      <c r="M105" s="604">
        <v>2188</v>
      </c>
      <c r="N105" s="289">
        <f t="shared" si="17"/>
        <v>0</v>
      </c>
      <c r="O105" s="289">
        <f t="shared" si="17"/>
        <v>-1.9178082191780823E-2</v>
      </c>
      <c r="P105" s="289">
        <f t="shared" si="17"/>
        <v>-5.4794520547945202E-2</v>
      </c>
      <c r="Q105" s="605">
        <f t="shared" si="17"/>
        <v>-2.7397260273972601E-2</v>
      </c>
      <c r="R105" s="605">
        <f t="shared" si="17"/>
        <v>-1.0958904109589041E-2</v>
      </c>
      <c r="S105" s="605">
        <f t="shared" si="17"/>
        <v>0</v>
      </c>
      <c r="T105" s="605">
        <f t="shared" si="17"/>
        <v>4.10958904109589E-3</v>
      </c>
      <c r="U105" s="605">
        <f t="shared" si="17"/>
        <v>0</v>
      </c>
      <c r="V105" s="605">
        <f t="shared" si="17"/>
        <v>0</v>
      </c>
      <c r="W105" s="605">
        <f t="shared" si="17"/>
        <v>0</v>
      </c>
      <c r="X105" s="605">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hidden="1" outlineLevel="3" x14ac:dyDescent="0.25">
      <c r="A106" s="45"/>
      <c r="B106" s="54"/>
      <c r="C106" s="87">
        <f t="shared" si="3"/>
        <v>4</v>
      </c>
      <c r="D106" s="73"/>
      <c r="E106" s="70"/>
      <c r="F106" s="70">
        <f t="shared" si="16"/>
        <v>-28</v>
      </c>
      <c r="G106" s="73"/>
      <c r="H106" s="79">
        <v>21</v>
      </c>
      <c r="I106" s="604">
        <v>1157</v>
      </c>
      <c r="J106" s="604">
        <v>1300</v>
      </c>
      <c r="K106" s="604">
        <v>1400</v>
      </c>
      <c r="L106" s="604">
        <v>1548</v>
      </c>
      <c r="M106" s="604">
        <v>2178</v>
      </c>
      <c r="N106" s="289">
        <f t="shared" si="17"/>
        <v>0</v>
      </c>
      <c r="O106" s="289">
        <f t="shared" si="17"/>
        <v>-1.9178082191780823E-2</v>
      </c>
      <c r="P106" s="289">
        <f t="shared" si="17"/>
        <v>-5.4794520547945202E-2</v>
      </c>
      <c r="Q106" s="605">
        <f t="shared" si="17"/>
        <v>-2.7397260273972601E-2</v>
      </c>
      <c r="R106" s="605">
        <f t="shared" si="17"/>
        <v>-1.0958904109589041E-2</v>
      </c>
      <c r="S106" s="605">
        <f t="shared" si="17"/>
        <v>0</v>
      </c>
      <c r="T106" s="605">
        <f t="shared" si="17"/>
        <v>4.10958904109589E-3</v>
      </c>
      <c r="U106" s="605">
        <f t="shared" si="17"/>
        <v>0</v>
      </c>
      <c r="V106" s="605">
        <f t="shared" si="17"/>
        <v>0</v>
      </c>
      <c r="W106" s="605">
        <f t="shared" si="17"/>
        <v>0</v>
      </c>
      <c r="X106" s="605">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hidden="1" outlineLevel="3" x14ac:dyDescent="0.25">
      <c r="A107" s="45"/>
      <c r="B107" s="54"/>
      <c r="C107" s="87">
        <f t="shared" si="3"/>
        <v>4</v>
      </c>
      <c r="D107" s="73"/>
      <c r="E107" s="70"/>
      <c r="F107" s="70">
        <f t="shared" si="16"/>
        <v>-65</v>
      </c>
      <c r="G107" s="73"/>
      <c r="H107" s="79">
        <v>22</v>
      </c>
      <c r="I107" s="604">
        <v>1141</v>
      </c>
      <c r="J107" s="604">
        <v>1272</v>
      </c>
      <c r="K107" s="604">
        <v>1375</v>
      </c>
      <c r="L107" s="604">
        <v>1498</v>
      </c>
      <c r="M107" s="604">
        <v>2182</v>
      </c>
      <c r="N107" s="289">
        <f t="shared" si="17"/>
        <v>0</v>
      </c>
      <c r="O107" s="289">
        <f t="shared" si="17"/>
        <v>-1.9178082191780823E-2</v>
      </c>
      <c r="P107" s="289">
        <f t="shared" si="17"/>
        <v>-5.4794520547945202E-2</v>
      </c>
      <c r="Q107" s="605">
        <f t="shared" si="17"/>
        <v>-2.7397260273972601E-2</v>
      </c>
      <c r="R107" s="605">
        <f t="shared" si="17"/>
        <v>-1.0958904109589041E-2</v>
      </c>
      <c r="S107" s="605">
        <f t="shared" si="17"/>
        <v>0</v>
      </c>
      <c r="T107" s="605">
        <f t="shared" si="17"/>
        <v>4.10958904109589E-3</v>
      </c>
      <c r="U107" s="605">
        <f t="shared" si="17"/>
        <v>0</v>
      </c>
      <c r="V107" s="605">
        <f t="shared" si="17"/>
        <v>0</v>
      </c>
      <c r="W107" s="605">
        <f t="shared" si="17"/>
        <v>0</v>
      </c>
      <c r="X107" s="605">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hidden="1" outlineLevel="3" x14ac:dyDescent="0.25">
      <c r="A108" s="45"/>
      <c r="B108" s="54"/>
      <c r="C108" s="87">
        <f t="shared" si="3"/>
        <v>4</v>
      </c>
      <c r="D108" s="73"/>
      <c r="E108" s="70"/>
      <c r="F108" s="70">
        <f t="shared" si="16"/>
        <v>-122.75</v>
      </c>
      <c r="G108" s="73"/>
      <c r="H108" s="79">
        <v>23</v>
      </c>
      <c r="I108" s="604">
        <v>1100.5</v>
      </c>
      <c r="J108" s="604">
        <v>1207</v>
      </c>
      <c r="K108" s="604">
        <v>1264.5</v>
      </c>
      <c r="L108" s="604">
        <v>1419</v>
      </c>
      <c r="M108" s="604">
        <v>2069.5</v>
      </c>
      <c r="N108" s="289">
        <f t="shared" si="17"/>
        <v>0</v>
      </c>
      <c r="O108" s="289">
        <f t="shared" si="17"/>
        <v>-1.9178082191780823E-2</v>
      </c>
      <c r="P108" s="289">
        <f t="shared" si="17"/>
        <v>-5.4794520547945202E-2</v>
      </c>
      <c r="Q108" s="605">
        <f t="shared" si="17"/>
        <v>-2.7397260273972601E-2</v>
      </c>
      <c r="R108" s="605">
        <f t="shared" si="17"/>
        <v>-1.0958904109589041E-2</v>
      </c>
      <c r="S108" s="605">
        <f t="shared" si="17"/>
        <v>0</v>
      </c>
      <c r="T108" s="605">
        <f t="shared" si="17"/>
        <v>4.10958904109589E-3</v>
      </c>
      <c r="U108" s="605">
        <f t="shared" si="17"/>
        <v>0</v>
      </c>
      <c r="V108" s="605">
        <f t="shared" si="17"/>
        <v>0</v>
      </c>
      <c r="W108" s="605">
        <f t="shared" si="17"/>
        <v>0</v>
      </c>
      <c r="X108" s="605">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hidden="1" outlineLevel="3" x14ac:dyDescent="0.25">
      <c r="A109" s="45"/>
      <c r="B109" s="54"/>
      <c r="C109" s="87">
        <f t="shared" si="3"/>
        <v>4</v>
      </c>
      <c r="D109" s="73"/>
      <c r="E109" s="70"/>
      <c r="F109" s="70">
        <f t="shared" si="16"/>
        <v>-93.5</v>
      </c>
      <c r="G109" s="73"/>
      <c r="H109" s="79">
        <v>25</v>
      </c>
      <c r="I109" s="604">
        <v>832.5</v>
      </c>
      <c r="J109" s="604">
        <v>961.5</v>
      </c>
      <c r="K109" s="604">
        <v>1054.5</v>
      </c>
      <c r="L109" s="604">
        <v>1206.5</v>
      </c>
      <c r="M109" s="604">
        <v>1581.5</v>
      </c>
      <c r="N109" s="289">
        <f t="shared" ref="N109:X110" si="24">N108</f>
        <v>0</v>
      </c>
      <c r="O109" s="289">
        <f t="shared" si="24"/>
        <v>-1.9178082191780823E-2</v>
      </c>
      <c r="P109" s="289">
        <f t="shared" si="24"/>
        <v>-5.4794520547945202E-2</v>
      </c>
      <c r="Q109" s="605">
        <f t="shared" si="24"/>
        <v>-2.7397260273972601E-2</v>
      </c>
      <c r="R109" s="605">
        <f t="shared" si="24"/>
        <v>-1.0958904109589041E-2</v>
      </c>
      <c r="S109" s="605">
        <f t="shared" si="24"/>
        <v>0</v>
      </c>
      <c r="T109" s="605">
        <f t="shared" si="24"/>
        <v>4.10958904109589E-3</v>
      </c>
      <c r="U109" s="605">
        <f t="shared" si="24"/>
        <v>0</v>
      </c>
      <c r="V109" s="605">
        <f t="shared" si="24"/>
        <v>0</v>
      </c>
      <c r="W109" s="605">
        <f t="shared" si="24"/>
        <v>0</v>
      </c>
      <c r="X109" s="605">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7">
        <f ca="1">(SUM($BD$99:$BD$112)*(1+$BE109)*$AV109*(1-i_wool_cost_pc)-i_wool_cost_kg*100)*$N$156</f>
        <v>510.82267339850625</v>
      </c>
    </row>
    <row r="110" spans="1:65" hidden="1" outlineLevel="3" x14ac:dyDescent="0.25">
      <c r="A110" s="45"/>
      <c r="B110" s="54"/>
      <c r="C110" s="87">
        <f t="shared" si="3"/>
        <v>4</v>
      </c>
      <c r="D110" s="73"/>
      <c r="E110" s="70"/>
      <c r="F110" s="70">
        <f>($J112-$J110)/($H112-$H110)</f>
        <v>-41.756450994974429</v>
      </c>
      <c r="G110" s="73"/>
      <c r="H110" s="79">
        <v>28</v>
      </c>
      <c r="I110" s="604">
        <v>498</v>
      </c>
      <c r="J110" s="604">
        <v>681</v>
      </c>
      <c r="K110" s="604">
        <v>781</v>
      </c>
      <c r="L110" s="604">
        <v>850</v>
      </c>
      <c r="M110" s="604">
        <v>1191</v>
      </c>
      <c r="N110" s="289">
        <f t="shared" si="24"/>
        <v>0</v>
      </c>
      <c r="O110" s="289">
        <f t="shared" si="24"/>
        <v>-1.9178082191780823E-2</v>
      </c>
      <c r="P110" s="289">
        <f t="shared" si="24"/>
        <v>-5.4794520547945202E-2</v>
      </c>
      <c r="Q110" s="605">
        <f t="shared" si="24"/>
        <v>-2.7397260273972601E-2</v>
      </c>
      <c r="R110" s="605">
        <f t="shared" si="24"/>
        <v>-1.0958904109589041E-2</v>
      </c>
      <c r="S110" s="605">
        <f t="shared" si="24"/>
        <v>0</v>
      </c>
      <c r="T110" s="605">
        <f t="shared" si="24"/>
        <v>4.10958904109589E-3</v>
      </c>
      <c r="U110" s="605">
        <f t="shared" si="24"/>
        <v>0</v>
      </c>
      <c r="V110" s="605">
        <f t="shared" si="24"/>
        <v>0</v>
      </c>
      <c r="W110" s="605">
        <f t="shared" si="24"/>
        <v>0</v>
      </c>
      <c r="X110" s="605">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7">
        <f ca="1">(SUM($BD$99:$BD$112)*(1+$BE110)*$AV110*(1-i_wool_cost_pc)-i_wool_cost_kg*100)*$N$156</f>
        <v>366.16806357600194</v>
      </c>
    </row>
    <row r="111" spans="1:65" hidden="1" outlineLevel="3" x14ac:dyDescent="0.25">
      <c r="A111" s="45"/>
      <c r="B111" s="54"/>
      <c r="C111" s="87">
        <f t="shared" si="3"/>
        <v>4</v>
      </c>
      <c r="D111" s="73"/>
      <c r="E111" s="70"/>
      <c r="F111" s="70"/>
      <c r="G111" s="73"/>
      <c r="H111" s="79">
        <v>32</v>
      </c>
      <c r="I111" s="604">
        <v>425.42270074144187</v>
      </c>
      <c r="J111" s="604">
        <v>498.02808013882316</v>
      </c>
      <c r="K111" s="604">
        <v>563.75</v>
      </c>
      <c r="L111" s="604">
        <v>626.00351001735282</v>
      </c>
      <c r="M111" s="604">
        <v>764.02250617868208</v>
      </c>
      <c r="N111" s="289">
        <f t="shared" ref="N111:AD111" si="25">N109</f>
        <v>0</v>
      </c>
      <c r="O111" s="289">
        <f t="shared" si="25"/>
        <v>-1.9178082191780823E-2</v>
      </c>
      <c r="P111" s="289">
        <f t="shared" si="25"/>
        <v>-5.4794520547945202E-2</v>
      </c>
      <c r="Q111" s="605">
        <f t="shared" si="25"/>
        <v>-2.7397260273972601E-2</v>
      </c>
      <c r="R111" s="605">
        <f t="shared" si="25"/>
        <v>-1.0958904109589041E-2</v>
      </c>
      <c r="S111" s="605">
        <f t="shared" si="25"/>
        <v>0</v>
      </c>
      <c r="T111" s="605">
        <f t="shared" si="25"/>
        <v>4.10958904109589E-3</v>
      </c>
      <c r="U111" s="605">
        <f t="shared" si="25"/>
        <v>0</v>
      </c>
      <c r="V111" s="605">
        <f t="shared" si="25"/>
        <v>0</v>
      </c>
      <c r="W111" s="605">
        <f t="shared" si="25"/>
        <v>0</v>
      </c>
      <c r="X111" s="605">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7">
        <f ca="1">(SUM($BD$99:$BD$112)*(1+$BE111)*$AV111*(1-i_wool_cost_pc)-i_wool_cost_kg*100)*$N$156</f>
        <v>250.89478706389966</v>
      </c>
    </row>
    <row r="112" spans="1:65" hidden="1" outlineLevel="3" x14ac:dyDescent="0.25">
      <c r="A112" s="45"/>
      <c r="B112" s="54"/>
      <c r="C112" s="87">
        <f t="shared" si="3"/>
        <v>4</v>
      </c>
      <c r="D112" s="73"/>
      <c r="E112" s="70"/>
      <c r="F112" s="70"/>
      <c r="G112" s="73"/>
      <c r="H112" s="79">
        <v>35</v>
      </c>
      <c r="I112" s="604">
        <v>332.03722984697902</v>
      </c>
      <c r="J112" s="604">
        <v>388.70484303517901</v>
      </c>
      <c r="K112" s="604">
        <v>440</v>
      </c>
      <c r="L112" s="604">
        <v>488.58810537939735</v>
      </c>
      <c r="M112" s="604">
        <v>596.3102487248251</v>
      </c>
      <c r="N112" s="289">
        <f t="shared" ref="N112:AD112" si="26">N110</f>
        <v>0</v>
      </c>
      <c r="O112" s="289">
        <f t="shared" si="26"/>
        <v>-1.9178082191780823E-2</v>
      </c>
      <c r="P112" s="289">
        <f t="shared" si="26"/>
        <v>-5.4794520547945202E-2</v>
      </c>
      <c r="Q112" s="605">
        <f t="shared" si="26"/>
        <v>-2.7397260273972601E-2</v>
      </c>
      <c r="R112" s="605">
        <f t="shared" si="26"/>
        <v>-1.0958904109589041E-2</v>
      </c>
      <c r="S112" s="605">
        <f t="shared" si="26"/>
        <v>0</v>
      </c>
      <c r="T112" s="605">
        <f t="shared" si="26"/>
        <v>4.10958904109589E-3</v>
      </c>
      <c r="U112" s="605">
        <f t="shared" si="26"/>
        <v>0</v>
      </c>
      <c r="V112" s="605">
        <f t="shared" si="26"/>
        <v>0</v>
      </c>
      <c r="W112" s="605">
        <f t="shared" si="26"/>
        <v>0</v>
      </c>
      <c r="X112" s="605">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7">
        <f ca="1">(SUM($BD$99:$BD$112)*(1+$BE112)*$AV112*(1-i_wool_cost_pc)-i_wool_cost_kg*100)*$N$156</f>
        <v>185.84791428672199</v>
      </c>
    </row>
    <row r="113" spans="1:59" hidden="1"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7">N111</f>
        <v>0</v>
      </c>
      <c r="O113" s="293">
        <f t="shared" si="27"/>
        <v>-1.9178082191780823E-2</v>
      </c>
      <c r="P113" s="293">
        <f t="shared" si="27"/>
        <v>-5.4794520547945202E-2</v>
      </c>
      <c r="Q113" s="603">
        <f t="shared" si="27"/>
        <v>-2.7397260273972601E-2</v>
      </c>
      <c r="R113" s="603">
        <f t="shared" si="27"/>
        <v>-1.0958904109589041E-2</v>
      </c>
      <c r="S113" s="603">
        <f t="shared" si="27"/>
        <v>0</v>
      </c>
      <c r="T113" s="603">
        <f t="shared" si="27"/>
        <v>4.10958904109589E-3</v>
      </c>
      <c r="U113" s="603">
        <f t="shared" si="27"/>
        <v>0</v>
      </c>
      <c r="V113" s="603">
        <f t="shared" si="27"/>
        <v>0</v>
      </c>
      <c r="W113" s="603">
        <f t="shared" si="27"/>
        <v>0</v>
      </c>
      <c r="X113" s="603">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6">
        <f t="shared" ca="1" si="14"/>
        <v>272.29124999999993</v>
      </c>
      <c r="BG113" s="418">
        <f ca="1">(SUM($BD$99:$BD$112)*(1+$BE113)*$AV113*(1-i_wool_cost_pc)-i_wool_cost_kg*100)*$N$156</f>
        <v>120.90389340097958</v>
      </c>
    </row>
    <row r="114" spans="1:59" ht="15.75" hidden="1" outlineLevel="3" thickBot="1" x14ac:dyDescent="0.3">
      <c r="A114" s="45"/>
      <c r="B114" s="54"/>
      <c r="C114" s="87">
        <f>INT($C$81+3)</f>
        <v>4</v>
      </c>
      <c r="D114" s="73"/>
      <c r="E114" s="70"/>
      <c r="F114" s="70"/>
      <c r="G114" s="73"/>
      <c r="H114" s="76" t="s">
        <v>196</v>
      </c>
      <c r="I114" s="595" t="s">
        <v>3238</v>
      </c>
      <c r="J114" s="119"/>
      <c r="K114" s="119"/>
      <c r="L114" s="119"/>
      <c r="M114" s="119"/>
      <c r="N114" s="119" t="s">
        <v>197</v>
      </c>
      <c r="O114" s="119"/>
      <c r="P114" s="119"/>
      <c r="Q114" s="602" t="s">
        <v>3237</v>
      </c>
      <c r="R114" s="602"/>
      <c r="S114" s="602"/>
      <c r="T114" s="602"/>
      <c r="U114" s="602"/>
      <c r="V114" s="602"/>
      <c r="W114" s="602"/>
      <c r="X114" s="602"/>
      <c r="Y114" s="119" t="s">
        <v>2183</v>
      </c>
      <c r="Z114" s="119"/>
      <c r="AA114" s="119"/>
      <c r="AB114" s="119"/>
      <c r="AC114" s="119"/>
      <c r="AD114" s="119"/>
      <c r="AE114" s="76"/>
      <c r="AF114" s="119" t="s">
        <v>3236</v>
      </c>
      <c r="AG114" s="119"/>
      <c r="AH114" s="119"/>
      <c r="AI114" s="119"/>
      <c r="AJ114" s="119"/>
      <c r="AK114" s="76"/>
      <c r="AL114" s="76"/>
      <c r="AM114" s="76"/>
      <c r="AN114" s="73"/>
      <c r="AO114" s="57"/>
      <c r="AP114" s="45"/>
      <c r="AQ114" s="45"/>
      <c r="AR114" s="45"/>
      <c r="AS114" s="441"/>
      <c r="AT114" s="441"/>
    </row>
    <row r="115" spans="1:59" ht="16.5" hidden="1"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2694</v>
      </c>
    </row>
    <row r="116" spans="1:59" ht="15.75" hidden="1"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2696</v>
      </c>
    </row>
    <row r="117" spans="1:59" hidden="1"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2695</v>
      </c>
    </row>
    <row r="118" spans="1:59" hidden="1" outlineLevel="3" x14ac:dyDescent="0.25">
      <c r="A118" s="45"/>
      <c r="B118" s="54"/>
      <c r="C118" s="87">
        <f>INT($C$81+3)</f>
        <v>4</v>
      </c>
      <c r="D118" s="73"/>
      <c r="E118" s="70"/>
      <c r="F118" s="70"/>
      <c r="G118" s="73"/>
      <c r="H118" s="76" t="s">
        <v>202</v>
      </c>
      <c r="I118" s="97">
        <v>50</v>
      </c>
      <c r="J118" s="76" t="s">
        <v>2684</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hidden="1"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collapsed="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hidden="1"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hidden="1"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hidden="1"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hidden="1"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hidden="1"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hidden="1"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hidden="1"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hidden="1" outlineLevel="3" x14ac:dyDescent="0.25">
      <c r="A128" s="45"/>
      <c r="B128" s="54"/>
      <c r="C128" s="87">
        <f>INT($C$81+3)</f>
        <v>4</v>
      </c>
      <c r="D128" s="73"/>
      <c r="E128" s="70"/>
      <c r="F128" s="70"/>
      <c r="G128" s="73"/>
      <c r="H128" s="76"/>
      <c r="I128" s="121" t="s">
        <v>2193</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hidden="1"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hidden="1"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hidden="1"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hidden="1"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hidden="1" outlineLevel="3" x14ac:dyDescent="0.25">
      <c r="A133" s="45"/>
      <c r="B133" s="54"/>
      <c r="C133" s="87">
        <f>INT($C$81+3)</f>
        <v>4</v>
      </c>
      <c r="D133" s="73"/>
      <c r="E133" s="70"/>
      <c r="F133" s="70"/>
      <c r="G133" s="73"/>
      <c r="H133" s="76"/>
      <c r="I133" s="121" t="s">
        <v>2193</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hidden="1"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collapsed="1" x14ac:dyDescent="0.25">
      <c r="A135" s="45"/>
      <c r="B135" s="54"/>
      <c r="C135" s="87">
        <f>INT($C$81)+1</f>
        <v>2</v>
      </c>
      <c r="D135" s="73"/>
      <c r="E135" s="70"/>
      <c r="F135" s="70"/>
      <c r="G135" s="73"/>
      <c r="H135" s="90" t="s">
        <v>3235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hidden="1"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hidden="1" customHeight="1" outlineLevel="3" x14ac:dyDescent="0.25">
      <c r="A137" s="45"/>
      <c r="B137" s="54"/>
      <c r="C137" s="87">
        <f t="shared" ref="C137:C146" si="32">INT($C$81+3)</f>
        <v>4</v>
      </c>
      <c r="D137" s="73"/>
      <c r="E137" s="70"/>
      <c r="F137" s="70"/>
      <c r="G137" s="73"/>
      <c r="H137" s="246" t="s">
        <v>3234</v>
      </c>
      <c r="I137" s="76" t="s">
        <v>2782</v>
      </c>
      <c r="J137" s="76" t="s">
        <v>2783</v>
      </c>
      <c r="K137" s="76" t="s">
        <v>3233</v>
      </c>
      <c r="L137" s="76"/>
      <c r="M137" s="76"/>
      <c r="N137" s="76"/>
      <c r="O137" s="76"/>
      <c r="P137" s="246" t="s">
        <v>3232</v>
      </c>
      <c r="Q137" s="76"/>
      <c r="R137" s="76" t="s">
        <v>3231</v>
      </c>
      <c r="S137" s="76" t="s">
        <v>3230</v>
      </c>
      <c r="T137" s="76" t="s">
        <v>3229</v>
      </c>
      <c r="U137" s="76" t="s">
        <v>3228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hidden="1" customHeight="1" outlineLevel="3" x14ac:dyDescent="0.25">
      <c r="A138" s="45"/>
      <c r="B138" s="54"/>
      <c r="C138" s="87">
        <f t="shared" si="32"/>
        <v>4</v>
      </c>
      <c r="D138" s="73"/>
      <c r="E138" s="70"/>
      <c r="F138" s="70"/>
      <c r="G138" s="73"/>
      <c r="H138" s="76" t="s">
        <v>3227</v>
      </c>
      <c r="I138" s="599">
        <v>-0.10100000000000001</v>
      </c>
      <c r="J138" s="599">
        <v>0</v>
      </c>
      <c r="K138" s="598">
        <v>0</v>
      </c>
      <c r="L138" s="76"/>
      <c r="M138" s="76"/>
      <c r="N138" s="76"/>
      <c r="O138" s="76"/>
      <c r="P138" s="76" t="s">
        <v>3227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hidden="1" customHeight="1" outlineLevel="3" x14ac:dyDescent="0.25">
      <c r="A139" s="45"/>
      <c r="B139" s="54"/>
      <c r="C139" s="87">
        <f t="shared" si="32"/>
        <v>4</v>
      </c>
      <c r="D139" s="73"/>
      <c r="E139" s="70"/>
      <c r="F139" s="70"/>
      <c r="G139" s="73"/>
      <c r="H139" s="76" t="s">
        <v>3226</v>
      </c>
      <c r="I139" s="599">
        <v>0</v>
      </c>
      <c r="J139" s="599">
        <v>0.113</v>
      </c>
      <c r="K139" s="598">
        <v>5.9005989731888203E-3</v>
      </c>
      <c r="L139" s="76"/>
      <c r="M139" s="76"/>
      <c r="N139" s="76"/>
      <c r="O139" s="76"/>
      <c r="P139" s="76" t="s">
        <v>3226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hidden="1" customHeight="1" outlineLevel="3" x14ac:dyDescent="0.25">
      <c r="A140" s="45"/>
      <c r="B140" s="54"/>
      <c r="C140" s="87">
        <f t="shared" si="32"/>
        <v>4</v>
      </c>
      <c r="D140" s="73"/>
      <c r="E140" s="70"/>
      <c r="F140" s="70"/>
      <c r="G140" s="73"/>
      <c r="H140" s="76" t="s">
        <v>3225</v>
      </c>
      <c r="I140" s="599">
        <v>-6.0999999999999999E-2</v>
      </c>
      <c r="J140" s="599">
        <v>5.1999999999999998E-2</v>
      </c>
      <c r="K140" s="598">
        <v>3.5107296137339059E-3</v>
      </c>
      <c r="L140" s="76"/>
      <c r="M140" s="76"/>
      <c r="N140" s="76"/>
      <c r="O140" s="76"/>
      <c r="P140" s="76" t="s">
        <v>3225</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hidden="1" customHeight="1" outlineLevel="3" x14ac:dyDescent="0.25">
      <c r="A141" s="45"/>
      <c r="B141" s="54"/>
      <c r="C141" s="87">
        <f t="shared" si="32"/>
        <v>4</v>
      </c>
      <c r="D141" s="73"/>
      <c r="E141" s="70"/>
      <c r="F141" s="70"/>
      <c r="G141" s="73"/>
      <c r="H141" s="76" t="s">
        <v>3224</v>
      </c>
      <c r="I141" s="356">
        <v>47.809731093905945</v>
      </c>
      <c r="J141" s="365">
        <v>4566.4973039173738</v>
      </c>
      <c r="K141" s="356">
        <v>45.892351332455597</v>
      </c>
      <c r="L141" s="76"/>
      <c r="M141" s="76"/>
      <c r="N141" s="76"/>
      <c r="O141" s="76"/>
      <c r="P141" s="76" t="s">
        <v>3224</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hidden="1" customHeight="1" outlineLevel="3" x14ac:dyDescent="0.25">
      <c r="A142" s="45"/>
      <c r="B142" s="54"/>
      <c r="C142" s="87">
        <f t="shared" si="32"/>
        <v>4</v>
      </c>
      <c r="D142" s="73"/>
      <c r="E142" s="70"/>
      <c r="F142" s="70"/>
      <c r="G142" s="73"/>
      <c r="H142" s="76" t="s">
        <v>3223</v>
      </c>
      <c r="I142" s="442">
        <v>-0.22538711253423788</v>
      </c>
      <c r="J142" s="596">
        <v>-0.50483440440253269</v>
      </c>
      <c r="K142" s="596">
        <v>-0.22213692403040283</v>
      </c>
      <c r="L142" s="76"/>
      <c r="M142" s="76"/>
      <c r="N142" s="76"/>
      <c r="O142" s="76"/>
      <c r="P142" s="76" t="s">
        <v>3223</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hidden="1"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hidden="1" customHeight="1" outlineLevel="3" x14ac:dyDescent="0.25">
      <c r="A144" s="45"/>
      <c r="B144" s="54"/>
      <c r="C144" s="87">
        <f t="shared" si="32"/>
        <v>4</v>
      </c>
      <c r="D144" s="73"/>
      <c r="E144" s="70"/>
      <c r="F144" s="70"/>
      <c r="G144" s="73"/>
      <c r="H144" s="76" t="s">
        <v>3222</v>
      </c>
      <c r="I144" s="76">
        <v>35</v>
      </c>
      <c r="J144" s="76"/>
      <c r="K144" s="76"/>
      <c r="L144" s="76"/>
      <c r="M144" s="76"/>
      <c r="N144" s="76"/>
      <c r="O144" s="76"/>
      <c r="P144" s="76" t="s">
        <v>3221</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hidden="1" customHeight="1" outlineLevel="3" x14ac:dyDescent="0.25">
      <c r="A145" s="45"/>
      <c r="B145" s="54"/>
      <c r="C145" s="87">
        <f t="shared" si="32"/>
        <v>4</v>
      </c>
      <c r="D145" s="73"/>
      <c r="E145" s="70"/>
      <c r="F145" s="70"/>
      <c r="G145" s="73"/>
      <c r="H145" s="76"/>
      <c r="I145" s="76"/>
      <c r="J145" s="76"/>
      <c r="K145" s="76"/>
      <c r="L145" s="76"/>
      <c r="M145" s="76"/>
      <c r="N145" s="76"/>
      <c r="O145" s="76"/>
      <c r="P145" s="76" t="s">
        <v>3220</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hidden="1" customHeight="1" outlineLevel="2" x14ac:dyDescent="0.25">
      <c r="A146" s="45"/>
      <c r="B146" s="54"/>
      <c r="C146" s="87">
        <f t="shared" si="32"/>
        <v>4</v>
      </c>
      <c r="D146" s="73"/>
      <c r="E146" s="70"/>
      <c r="F146" s="70"/>
      <c r="G146" s="73"/>
      <c r="H146" s="76" t="s">
        <v>196</v>
      </c>
      <c r="I146" s="595" t="s">
        <v>3219</v>
      </c>
      <c r="J146" s="119"/>
      <c r="K146" s="119"/>
      <c r="L146" s="119"/>
      <c r="M146" s="119"/>
      <c r="N146" s="119"/>
      <c r="O146" s="76"/>
      <c r="P146" s="76" t="s">
        <v>196</v>
      </c>
      <c r="Q146" s="76"/>
      <c r="R146" s="595" t="s">
        <v>3218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hidden="1"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collapsed="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hidden="1"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hidden="1"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hidden="1"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hidden="1"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hidden="1"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hidden="1"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hidden="1"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2679</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hidden="1"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hidden="1"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hidden="1"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hidden="1"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collapsed="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hidden="1"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hidden="1"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collapsed="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hidden="1"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collapsed="1"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2781</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2551</v>
      </c>
      <c r="AM181" s="95"/>
      <c r="AN181" s="73"/>
      <c r="AO181" s="57"/>
      <c r="AP181" s="45"/>
      <c r="AQ181" s="45"/>
      <c r="AR181" s="45"/>
      <c r="AS181" s="441"/>
      <c r="AT181" s="441"/>
      <c r="AV181" t="s">
        <v>2683</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2782</v>
      </c>
      <c r="P182" s="134" t="s">
        <v>2783</v>
      </c>
      <c r="Q182" s="134" t="s">
        <v>2784</v>
      </c>
      <c r="R182" s="134" t="s">
        <v>2785</v>
      </c>
      <c r="S182" s="134" t="s">
        <v>2786</v>
      </c>
      <c r="T182" s="134" t="s">
        <v>2787</v>
      </c>
      <c r="U182" s="132" t="s">
        <v>232</v>
      </c>
      <c r="V182" s="132" t="s">
        <v>233</v>
      </c>
      <c r="W182" s="133" t="s">
        <v>234</v>
      </c>
      <c r="X182" s="133" t="s">
        <v>2680</v>
      </c>
      <c r="Y182" s="133" t="s">
        <v>2681</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2241</v>
      </c>
      <c r="AX182" t="s">
        <v>2242</v>
      </c>
      <c r="AY182" t="s">
        <v>1173</v>
      </c>
      <c r="AZ182" s="5" t="s">
        <v>2682</v>
      </c>
      <c r="BA182" s="423" t="s">
        <v>272</v>
      </c>
      <c r="BD182" t="s">
        <v>2286</v>
      </c>
    </row>
    <row r="183" spans="1:58" outlineLevel="3" x14ac:dyDescent="0.25">
      <c r="A183" s="45"/>
      <c r="B183" s="54"/>
      <c r="C183" s="87">
        <f>INT($C$167+3)</f>
        <v>4</v>
      </c>
      <c r="D183" s="73"/>
      <c r="E183" s="70">
        <v>0</v>
      </c>
      <c r="F183" s="70"/>
      <c r="G183" s="73"/>
      <c r="H183" s="135" t="s">
        <v>2777</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41"/>
      <c r="AT183" s="441"/>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2778</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41"/>
      <c r="AT184" s="441"/>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2779</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41"/>
      <c r="AT185" s="441"/>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X$189</f>
        <v>3.99</v>
      </c>
      <c r="Y186" s="122">
        <f>X186/(1+AVERAGEIF(INDEX(i_salep_months_priceadj_s7s9p4,1+$E186*2,0),"&lt;&gt;-1"))</f>
        <v>3.6661218629701886</v>
      </c>
      <c r="Z186" s="593">
        <f t="shared" ref="Z186:AD186" si="40">Z$189</f>
        <v>0.63909774436090228</v>
      </c>
      <c r="AA186" s="593">
        <f t="shared" si="40"/>
        <v>0.85964912280701755</v>
      </c>
      <c r="AB186" s="96">
        <v>1</v>
      </c>
      <c r="AC186" s="593">
        <f t="shared" si="40"/>
        <v>1.2656641604010026</v>
      </c>
      <c r="AD186" s="593">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41"/>
      <c r="AT186" s="441"/>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41"/>
      <c r="AT187" s="441"/>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41"/>
      <c r="AT188" s="441"/>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41"/>
      <c r="AT189" s="441"/>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2775</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41"/>
      <c r="AT190" s="441"/>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collapsed="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hidden="1"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hidden="1"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2780</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hidden="1"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hidden="1"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22.2082382083771</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hidden="1"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45.600915787867656</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hidden="1"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52.115332328991606</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hidden="1"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69.289703210136565</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hidden="1" outlineLevel="3" x14ac:dyDescent="0.25">
      <c r="A200" s="45"/>
      <c r="B200" s="54"/>
      <c r="C200" s="87">
        <f t="shared" si="41"/>
        <v>4</v>
      </c>
      <c r="D200" s="73"/>
      <c r="E200" s="70">
        <f t="shared" si="42"/>
        <v>0</v>
      </c>
      <c r="F200" s="70">
        <f t="shared" si="42"/>
        <v>0</v>
      </c>
      <c r="G200" s="73"/>
      <c r="H200" s="97" t="s">
        <v>2553</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76.988559122373957</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hidden="1"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84.687415034611348</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hidden="1"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92.386270946848754</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hidden="1"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100.08512685908615</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hidden="1"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107.78398277132355</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hidden="1"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hidden="1"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hidden="1"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hidden="1" outlineLevel="3" x14ac:dyDescent="0.25">
      <c r="A208" s="45"/>
      <c r="B208" s="54"/>
      <c r="C208" s="87">
        <f t="shared" si="46"/>
        <v>4</v>
      </c>
      <c r="D208" s="73"/>
      <c r="E208" s="70"/>
      <c r="F208" s="70">
        <f t="shared" si="47"/>
        <v>1</v>
      </c>
      <c r="G208" s="73"/>
      <c r="H208" s="97" t="s">
        <v>2554</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2776</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hidden="1"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hidden="1"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hidden="1"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hidden="1"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hidden="1"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hidden="1"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hidden="1"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hidden="1" outlineLevel="3" x14ac:dyDescent="0.25">
      <c r="A216" s="45"/>
      <c r="B216" s="54"/>
      <c r="C216" s="87">
        <f t="shared" si="48"/>
        <v>4</v>
      </c>
      <c r="D216" s="73"/>
      <c r="E216" s="70"/>
      <c r="F216" s="70">
        <f t="shared" si="49"/>
        <v>2</v>
      </c>
      <c r="G216" s="73"/>
      <c r="H216" s="97" t="s">
        <v>2554</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hidden="1"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hidden="1"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hidden="1"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hidden="1"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hidden="1"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hidden="1"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hidden="1"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hidden="1"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hidden="1"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hidden="1"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hidden="1"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hidden="1"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hidden="1"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hidden="1"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hidden="1"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hidden="1"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hidden="1" outlineLevel="3" x14ac:dyDescent="0.25">
      <c r="A233" s="45"/>
      <c r="B233" s="54"/>
      <c r="C233" s="87">
        <f t="shared" si="54"/>
        <v>4</v>
      </c>
      <c r="D233" s="73"/>
      <c r="E233" s="70"/>
      <c r="F233" s="70">
        <f t="shared" si="55"/>
        <v>4</v>
      </c>
      <c r="G233" s="73"/>
      <c r="H233" s="97" t="s">
        <v>2555</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hidden="1"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hidden="1"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hidden="1"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hidden="1"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hidden="1"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hidden="1"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hidden="1"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hidden="1" outlineLevel="3" x14ac:dyDescent="0.25">
      <c r="A241" s="45"/>
      <c r="B241" s="54"/>
      <c r="C241" s="87">
        <f t="shared" si="56"/>
        <v>4</v>
      </c>
      <c r="D241" s="73"/>
      <c r="E241" s="70"/>
      <c r="F241" s="70">
        <f t="shared" si="57"/>
        <v>5</v>
      </c>
      <c r="G241" s="73"/>
      <c r="H241" s="97" t="s">
        <v>2556</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hidden="1"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hidden="1"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hidden="1"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hidden="1"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hidden="1"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hidden="1"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hidden="1"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hidden="1"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hidden="1"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hidden="1"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hidden="1"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hidden="1"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hidden="1"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hidden="1"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hidden="1"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hidden="1"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hidden="1"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hidden="1"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hidden="1"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hidden="1"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hidden="1"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collapsed="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hidden="1"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hidden="1"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hidden="1"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hidden="1"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hidden="1"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hidden="1"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hidden="1"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hidden="1"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hidden="1"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hidden="1"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hidden="1"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hidden="1"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hidden="1"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hidden="1"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hidden="1"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hidden="1"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hidden="1"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hidden="1"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hidden="1"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hidden="1"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hidden="1"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hidden="1"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collapsed="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hidden="1"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hidden="1"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collapsed="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hidden="1"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collapsed="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hidden="1"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hidden="1"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hidden="1"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hidden="1"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hidden="1"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hidden="1" customHeight="1" outlineLevel="2" collapsed="1"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hidden="1"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hidden="1"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collapsed="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hidden="1"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hidden="1"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hidden="1"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hidden="1"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hidden="1"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hidden="1"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hidden="1"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hidden="1"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hidden="1"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hidden="1"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hidden="1"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collapsed="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hidden="1"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hidden="1" outlineLevel="3" x14ac:dyDescent="0.25">
      <c r="A317" s="45"/>
      <c r="B317" s="54"/>
      <c r="C317" s="87">
        <f t="shared" ref="C317:C322" si="65">INT($C$293)+3</f>
        <v>4</v>
      </c>
      <c r="D317" s="73"/>
      <c r="E317" s="70"/>
      <c r="F317" s="70"/>
      <c r="G317" s="73"/>
      <c r="H317" s="187"/>
      <c r="I317" s="76"/>
      <c r="J317" s="270" t="s">
        <v>2140</v>
      </c>
      <c r="K317" s="270" t="s">
        <v>2136</v>
      </c>
      <c r="L317" s="270" t="s">
        <v>2137</v>
      </c>
      <c r="M317" s="270" t="s">
        <v>2954</v>
      </c>
      <c r="N317" s="270" t="s">
        <v>2953</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hidden="1" outlineLevel="3" x14ac:dyDescent="0.25">
      <c r="A318" s="45"/>
      <c r="B318" s="54"/>
      <c r="C318" s="87">
        <f t="shared" si="65"/>
        <v>4</v>
      </c>
      <c r="D318" s="73"/>
      <c r="E318" s="70"/>
      <c r="F318" s="70"/>
      <c r="G318" s="73"/>
      <c r="H318" s="76"/>
      <c r="I318" s="76"/>
      <c r="J318" s="96" t="s">
        <v>2141</v>
      </c>
      <c r="K318" s="96" t="s">
        <v>2138</v>
      </c>
      <c r="L318" s="96" t="s">
        <v>2139</v>
      </c>
      <c r="M318" s="96" t="s">
        <v>2951</v>
      </c>
      <c r="N318" s="96" t="s">
        <v>2952</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hidden="1"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hidden="1"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hidden="1"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hidden="1"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hidden="1"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collapsed="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hidden="1"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hidden="1" outlineLevel="2" x14ac:dyDescent="0.25">
      <c r="A326" s="45"/>
      <c r="B326" s="54"/>
      <c r="C326" s="87">
        <f>INT($C$293)+2</f>
        <v>3</v>
      </c>
      <c r="D326" s="73"/>
      <c r="E326" s="70"/>
      <c r="F326" s="70"/>
      <c r="G326" s="73"/>
      <c r="H326" s="109"/>
      <c r="I326" s="109"/>
      <c r="J326" s="109"/>
      <c r="K326" s="109"/>
      <c r="L326" s="109" t="s">
        <v>3015</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hidden="1"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2972</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hidden="1"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2973</v>
      </c>
      <c r="U328" s="191" t="s">
        <v>2971</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hidden="1" outlineLevel="3" x14ac:dyDescent="0.25">
      <c r="A329" s="45"/>
      <c r="B329" s="54"/>
      <c r="C329" s="87">
        <f>INT($C$293)+3</f>
        <v>4</v>
      </c>
      <c r="D329" s="73"/>
      <c r="E329" s="70"/>
      <c r="F329" s="70"/>
      <c r="G329" s="73"/>
      <c r="H329" s="76" t="s">
        <v>2970</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hidden="1"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hidden="1"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hidden="1"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hidden="1"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hidden="1"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hidden="1"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hidden="1"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2974</v>
      </c>
      <c r="U336" s="194" t="s">
        <v>2974</v>
      </c>
      <c r="V336" s="194"/>
      <c r="W336" s="194"/>
      <c r="X336" s="194" t="s">
        <v>2976</v>
      </c>
      <c r="Y336" s="194" t="s">
        <v>346</v>
      </c>
      <c r="Z336" s="194" t="s">
        <v>347</v>
      </c>
      <c r="AA336" s="194" t="s">
        <v>2976</v>
      </c>
      <c r="AB336" s="194" t="s">
        <v>2975</v>
      </c>
      <c r="AC336" s="194"/>
      <c r="AD336" s="194"/>
      <c r="AE336" s="194"/>
      <c r="AF336" s="194" t="s">
        <v>2977</v>
      </c>
      <c r="AG336" s="194"/>
      <c r="AH336" s="474"/>
      <c r="AI336" s="474"/>
      <c r="AJ336" s="474"/>
      <c r="AK336" s="474"/>
      <c r="AL336" s="474"/>
      <c r="AM336" s="474"/>
      <c r="AN336" s="73"/>
      <c r="AO336" s="57"/>
      <c r="AP336" s="45"/>
      <c r="AQ336" s="45"/>
      <c r="AR336" s="45"/>
      <c r="AS336" s="441"/>
      <c r="AT336" s="441"/>
    </row>
    <row r="337" spans="1:46" ht="5.0999999999999996" hidden="1" customHeight="1" outlineLevel="2" collapsed="1"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hidden="1"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collapsed="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hidden="1"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hidden="1"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hidden="1"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hidden="1"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hidden="1"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hidden="1"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hidden="1"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hidden="1"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hidden="1"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hidden="1"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hidden="1"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hidden="1"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hidden="1"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hidden="1"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hidden="1"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hidden="1"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hidden="1"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hidden="1"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hidden="1"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hidden="1"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hidden="1"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hidden="1"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hidden="1"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hidden="1"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hidden="1"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hidden="1"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hidden="1"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hidden="1"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hidden="1"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hidden="1" outlineLevel="3" x14ac:dyDescent="0.25">
      <c r="A369" s="45"/>
      <c r="B369" s="54"/>
      <c r="C369" s="87">
        <f t="shared" si="71"/>
        <v>4</v>
      </c>
      <c r="D369" s="73"/>
      <c r="E369" s="70"/>
      <c r="F369" s="70"/>
      <c r="G369" s="73"/>
      <c r="H369" s="76" t="s">
        <v>2330</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hidden="1" outlineLevel="3" x14ac:dyDescent="0.25">
      <c r="A370" s="45"/>
      <c r="B370" s="54"/>
      <c r="C370" s="87">
        <f t="shared" si="71"/>
        <v>4</v>
      </c>
      <c r="D370" s="73"/>
      <c r="E370" s="70"/>
      <c r="F370" s="70"/>
      <c r="G370" s="73"/>
      <c r="H370" s="76" t="s">
        <v>2331</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hidden="1"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hidden="1"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hidden="1"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hidden="1"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hidden="1"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hidden="1"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hidden="1"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hidden="1"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hidden="1"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collapsed="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hidden="1"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hidden="1"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collapsed="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hidden="1"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collapsed="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hidden="1"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hidden="1"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hidden="1"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hidden="1"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hidden="1"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hidden="1" customHeight="1" outlineLevel="2" collapsed="1"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hidden="1"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hidden="1"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2676</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96">
        <v>0</v>
      </c>
      <c r="K400" s="96">
        <v>1</v>
      </c>
      <c r="L400" s="96">
        <v>2</v>
      </c>
      <c r="M400" s="96" t="s">
        <v>2815</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3252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2879</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collapsed="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hidden="1"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hidden="1"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2883</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2880</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2884</v>
      </c>
      <c r="J10" s="18"/>
      <c r="K10" s="18" t="s">
        <v>2885</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2886</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2881</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2882</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2991</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2992</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2887</v>
      </c>
      <c r="J33" s="24"/>
      <c r="L33" s="632">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2888</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2889</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2981</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2980</v>
      </c>
      <c r="J37" s="24"/>
      <c r="L37" s="631">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2993</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2994</v>
      </c>
      <c r="J40" s="24"/>
      <c r="L40" s="384">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2996</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2995</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3012</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3013</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3014</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2705</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3478</v>
      </c>
      <c r="J50" s="24"/>
      <c r="M50" s="384">
        <v>2.8999999999999998E-3</v>
      </c>
      <c r="N50" s="384">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3479</v>
      </c>
      <c r="J51" s="24"/>
      <c r="L51" s="384">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3480</v>
      </c>
      <c r="J52" s="24"/>
      <c r="M52" s="384">
        <f>i_ef_fert_crop_r1</f>
        <v>2.8999999999999998E-3</v>
      </c>
      <c r="N52" s="384">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3481</v>
      </c>
      <c r="J53" s="24"/>
      <c r="L53" s="384">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4" t="s">
        <v>3017</v>
      </c>
      <c r="J54" s="24"/>
      <c r="L54" s="384">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4" t="s">
        <v>3018</v>
      </c>
      <c r="J55" s="24"/>
      <c r="L55" s="384">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4" t="s">
        <v>3019</v>
      </c>
      <c r="J56" s="24"/>
      <c r="L56" s="384">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3002</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3007</v>
      </c>
      <c r="X68" s="21"/>
      <c r="Y68" s="18" t="s">
        <v>3007</v>
      </c>
      <c r="Z68" s="18"/>
      <c r="AA68" s="18"/>
      <c r="AB68" s="21"/>
      <c r="AC68" s="21"/>
      <c r="AD68" s="21"/>
      <c r="AE68" s="17"/>
      <c r="AF68" s="9"/>
      <c r="AG68" s="9"/>
      <c r="AH68" s="9"/>
    </row>
    <row r="69" spans="1:34" ht="12" customHeight="1" x14ac:dyDescent="0.25">
      <c r="A69" s="7"/>
      <c r="B69" s="8"/>
      <c r="C69" s="18"/>
      <c r="D69" s="18"/>
      <c r="E69" s="18"/>
      <c r="F69" s="18"/>
      <c r="G69" s="18" t="s">
        <v>2999</v>
      </c>
      <c r="H69" s="18"/>
      <c r="I69" s="18" t="s">
        <v>3001</v>
      </c>
      <c r="J69" s="18"/>
      <c r="K69" s="18"/>
      <c r="L69" s="18" t="s">
        <v>3000</v>
      </c>
      <c r="M69" s="18"/>
      <c r="N69" s="18" t="s">
        <v>2997</v>
      </c>
      <c r="O69" s="18"/>
      <c r="P69" s="18" t="s">
        <v>2998</v>
      </c>
      <c r="Q69" s="18"/>
      <c r="R69" s="18"/>
      <c r="S69" s="18"/>
      <c r="T69" s="18"/>
      <c r="U69" s="18" t="s">
        <v>3004</v>
      </c>
      <c r="V69" s="21"/>
      <c r="W69" s="18" t="s">
        <v>3005</v>
      </c>
      <c r="X69" s="21"/>
      <c r="Y69" s="18" t="s">
        <v>3006</v>
      </c>
      <c r="Z69" s="18"/>
      <c r="AA69" s="18" t="s">
        <v>3003</v>
      </c>
      <c r="AB69" s="21"/>
      <c r="AC69" s="21"/>
      <c r="AD69" s="21"/>
      <c r="AE69" s="17"/>
      <c r="AF69" s="9"/>
      <c r="AG69" s="9"/>
      <c r="AH69" s="9"/>
    </row>
    <row r="70" spans="1:34" ht="12" customHeight="1" x14ac:dyDescent="0.25">
      <c r="A70" s="7"/>
      <c r="B70" s="8"/>
      <c r="C70" s="18"/>
      <c r="D70" s="18"/>
      <c r="E70" s="18"/>
      <c r="F70" s="24"/>
      <c r="G70" s="384">
        <v>0.01</v>
      </c>
      <c r="H70" s="24"/>
      <c r="I70" s="384">
        <v>6.0000000000000001E-3</v>
      </c>
      <c r="J70" s="24"/>
      <c r="K70" s="24"/>
      <c r="L70" s="384">
        <v>0.4</v>
      </c>
      <c r="N70" s="384">
        <v>0.96</v>
      </c>
      <c r="O70" s="24"/>
      <c r="P70" s="514" t="str">
        <f>General!G65</f>
        <v>b</v>
      </c>
      <c r="Q70" s="384">
        <v>0.32</v>
      </c>
      <c r="R70" s="24"/>
      <c r="S70" s="24"/>
      <c r="T70" t="s">
        <v>3008</v>
      </c>
      <c r="U70" s="477">
        <v>0.4</v>
      </c>
      <c r="V70" s="24"/>
      <c r="W70" s="478">
        <v>1.4999999999999999E-2</v>
      </c>
      <c r="X70" s="488"/>
      <c r="Y70" s="478">
        <v>1.2E-2</v>
      </c>
      <c r="Z70" s="24"/>
      <c r="AA70" s="384">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General!G66</f>
        <v>bd</v>
      </c>
      <c r="Q71" s="384">
        <v>0.32</v>
      </c>
      <c r="R71" s="24"/>
      <c r="S71" s="24"/>
      <c r="T71" t="s">
        <v>3009</v>
      </c>
      <c r="U71" s="477">
        <v>0.4</v>
      </c>
      <c r="V71" s="24"/>
      <c r="W71" s="478">
        <v>2.7E-2</v>
      </c>
      <c r="X71" s="488"/>
      <c r="Y71" s="478">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General!G67</f>
        <v>f</v>
      </c>
      <c r="Q72" s="384">
        <v>0.51</v>
      </c>
      <c r="R72" s="24"/>
      <c r="S72" s="24"/>
      <c r="T72" t="s">
        <v>3010</v>
      </c>
      <c r="U72" s="477">
        <v>0.8</v>
      </c>
      <c r="V72" s="24"/>
      <c r="W72" s="478">
        <v>1.4999999999999999E-2</v>
      </c>
      <c r="X72" s="488"/>
      <c r="Y72" s="478">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General!G68</f>
        <v>h</v>
      </c>
      <c r="Q73" s="384">
        <v>0.43</v>
      </c>
      <c r="R73" s="24"/>
      <c r="S73" s="24"/>
      <c r="T73" t="s">
        <v>3011</v>
      </c>
      <c r="U73" s="477">
        <v>0.4</v>
      </c>
      <c r="V73" s="24"/>
      <c r="W73" s="478">
        <v>1.4999999999999999E-2</v>
      </c>
      <c r="X73" s="488"/>
      <c r="Y73" s="478">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General!G69</f>
        <v>i</v>
      </c>
      <c r="Q74" s="384">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General!G70</f>
        <v>k</v>
      </c>
      <c r="Q75" s="384">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General!G71</f>
        <v>l</v>
      </c>
      <c r="Q76" s="384">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General!G72</f>
        <v>lf</v>
      </c>
      <c r="Q77" s="384">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General!G73</f>
        <v>ms</v>
      </c>
      <c r="Q78" s="528">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General!G74</f>
        <v>o</v>
      </c>
      <c r="Q79" s="384">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General!G75</f>
        <v>od</v>
      </c>
      <c r="Q80" s="384">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General!G76</f>
        <v>of</v>
      </c>
      <c r="Q81" s="384">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General!G77</f>
        <v>r</v>
      </c>
      <c r="Q82" s="384">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General!G78</f>
        <v>rd</v>
      </c>
      <c r="Q83" s="384">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General!G79</f>
        <v>v</v>
      </c>
      <c r="Q84" s="384">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4" t="str">
        <f>General!G80</f>
        <v>w</v>
      </c>
      <c r="Q85" s="384">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4" t="str">
        <f>General!G81</f>
        <v>wd</v>
      </c>
      <c r="Q86" s="384">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4" t="str">
        <f>General!G82</f>
        <v>z</v>
      </c>
      <c r="Q87" s="384">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4"/>
      <c r="I88" s="484"/>
      <c r="J88" s="24"/>
      <c r="K88" s="484"/>
      <c r="N88" s="484"/>
      <c r="O88" s="24"/>
      <c r="P88" s="514" t="str">
        <f>General!G83</f>
        <v>zd</v>
      </c>
      <c r="Q88" s="384">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7"/>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2982</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2989</v>
      </c>
      <c r="M101" s="18"/>
      <c r="N101" s="18" t="s">
        <v>2988</v>
      </c>
      <c r="O101" s="18"/>
      <c r="P101" s="18" t="s">
        <v>2990</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83" t="s">
        <v>2984</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4" t="s">
        <v>2985</v>
      </c>
      <c r="J103" s="24"/>
      <c r="K103" s="484"/>
      <c r="L103" s="478">
        <v>0.21</v>
      </c>
      <c r="M103" s="24"/>
      <c r="N103" s="478">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4"/>
      <c r="J104" s="24"/>
      <c r="K104" s="484"/>
      <c r="L104" s="484"/>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3" t="s">
        <v>2983</v>
      </c>
      <c r="I105" s="484"/>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4"/>
      <c r="I106" s="484" t="s">
        <v>2986</v>
      </c>
      <c r="J106" s="24"/>
      <c r="K106" s="484"/>
      <c r="L106" s="384">
        <v>1</v>
      </c>
      <c r="M106" s="24"/>
      <c r="N106" s="384">
        <v>1</v>
      </c>
      <c r="O106" s="24"/>
      <c r="P106" s="384">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484" t="s">
        <v>2987</v>
      </c>
      <c r="J107" s="24"/>
      <c r="K107" s="484"/>
      <c r="L107" s="384">
        <v>0.24</v>
      </c>
      <c r="M107" s="24"/>
      <c r="N107" s="384">
        <v>0.24</v>
      </c>
      <c r="O107" s="24"/>
      <c r="P107" s="384">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5"/>
      <c r="I108" s="485"/>
      <c r="J108" s="24"/>
      <c r="K108" s="484"/>
      <c r="L108" s="484"/>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6"/>
      <c r="I109" s="485"/>
      <c r="J109" s="24"/>
      <c r="K109" s="484"/>
      <c r="L109" s="484"/>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45" t="s">
        <v>3020</v>
      </c>
      <c r="J110" s="24"/>
      <c r="K110" s="484"/>
      <c r="L110" s="484"/>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325" t="s">
        <v>3021</v>
      </c>
      <c r="J111" s="24"/>
      <c r="K111" s="484"/>
      <c r="L111" s="484"/>
      <c r="M111" s="24"/>
      <c r="N111" s="384">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4"/>
      <c r="I112" s="325" t="s">
        <v>3022</v>
      </c>
      <c r="J112" s="24"/>
      <c r="K112" s="484"/>
      <c r="L112" s="484"/>
      <c r="M112" s="24"/>
      <c r="N112" s="384">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4"/>
      <c r="I113" s="325" t="s">
        <v>3023</v>
      </c>
      <c r="J113" s="24"/>
      <c r="K113" s="484"/>
      <c r="L113" s="484"/>
      <c r="M113" s="24"/>
      <c r="N113" s="384">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4"/>
      <c r="I114" s="484"/>
      <c r="J114" s="24"/>
      <c r="K114" s="484"/>
      <c r="L114" s="484"/>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7"/>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abSelected="1" topLeftCell="A3" zoomScale="85" zoomScaleNormal="85" workbookViewId="0">
      <pane xSplit="9" ySplit="36" topLeftCell="J1702" activePane="bottomRight" state="frozen"/>
      <selection activeCell="A3" sqref="A3"/>
      <selection pane="topRight" activeCell="J3" sqref="J3"/>
      <selection pane="bottomLeft" activeCell="A39" sqref="A39"/>
      <selection pane="bottomRight" activeCell="U1707" sqref="U1707"/>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45934.592494791701</v>
      </c>
      <c r="J11" s="635" t="s">
        <v>3792</v>
      </c>
      <c r="K11" s="636"/>
      <c r="L11" s="636"/>
      <c r="M11" s="636"/>
      <c r="N11" s="636"/>
      <c r="O11" s="636"/>
      <c r="P11" s="636"/>
      <c r="Q11" s="636"/>
      <c r="R11" s="636"/>
      <c r="S11" s="636"/>
      <c r="T11" s="636"/>
      <c r="U11" s="636"/>
      <c r="V11" s="636"/>
      <c r="W11" s="636"/>
      <c r="X11" s="636"/>
      <c r="Y11" s="636"/>
      <c r="Z11" s="636"/>
      <c r="AA11" s="636"/>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45934.820085532403</v>
      </c>
      <c r="J12" s="646" t="s">
        <v>3793</v>
      </c>
      <c r="K12" s="647"/>
      <c r="L12" s="647"/>
      <c r="M12" s="647"/>
      <c r="N12" s="647"/>
      <c r="O12" s="647"/>
      <c r="P12" s="647"/>
      <c r="Q12" s="647"/>
      <c r="R12" s="647"/>
      <c r="S12" s="647"/>
      <c r="T12" s="647"/>
      <c r="U12" s="647"/>
      <c r="V12" s="647"/>
      <c r="W12" s="647"/>
      <c r="X12" s="647"/>
      <c r="Y12" s="647"/>
      <c r="Z12" s="647"/>
      <c r="AA12" s="647"/>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2948</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3291</v>
      </c>
      <c r="X35" s="617" t="s">
        <v>3292</v>
      </c>
      <c r="Y35" s="72" t="s">
        <v>3290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3302</v>
      </c>
      <c r="G44" s="73"/>
      <c r="H44" s="129" t="s">
        <v>2968</v>
      </c>
      <c r="I44" s="96" t="s">
        <v>692</v>
      </c>
      <c r="J44" s="96"/>
      <c r="K44" s="76"/>
      <c r="L44" s="76"/>
      <c r="M44" s="76"/>
      <c r="N44" s="76"/>
      <c r="O44" s="76"/>
      <c r="P44" s="76"/>
      <c r="Q44" s="76"/>
      <c r="R44" s="76"/>
      <c r="S44" s="76"/>
      <c r="T44" s="76" t="s">
        <v>3299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2950</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2967</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3301</v>
      </c>
      <c r="G50" s="73"/>
      <c r="H50" s="129" t="s">
        <v>464</v>
      </c>
      <c r="I50" s="96" t="s">
        <v>465</v>
      </c>
      <c r="J50" s="96"/>
      <c r="K50" s="76"/>
      <c r="L50" s="76"/>
      <c r="M50" s="76"/>
      <c r="N50" s="76"/>
      <c r="O50" s="76"/>
      <c r="P50" s="76"/>
      <c r="Q50" s="76"/>
      <c r="R50" s="76"/>
      <c r="S50" s="76"/>
      <c r="T50" s="76" t="s">
        <v>3299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3300</v>
      </c>
      <c r="G51" s="73"/>
      <c r="H51" s="129" t="s">
        <v>466</v>
      </c>
      <c r="I51" s="96" t="s">
        <v>1403</v>
      </c>
      <c r="J51" s="96"/>
      <c r="K51" s="76"/>
      <c r="L51" s="76"/>
      <c r="M51" s="76"/>
      <c r="N51" s="76"/>
      <c r="O51" s="76"/>
      <c r="P51" s="76"/>
      <c r="Q51" s="76"/>
      <c r="R51" s="76"/>
      <c r="S51" s="76"/>
      <c r="T51" s="76" t="s">
        <v>3299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2958</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2959</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2960</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2961</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2962</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2963</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2522</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2548</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2549</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2724</v>
      </c>
      <c r="I60" s="96" t="s">
        <v>2366</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2519</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2723</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2722</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2723</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2723</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2742</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2571</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2949</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2764</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2914</v>
      </c>
      <c r="G111" s="73"/>
      <c r="H111" s="76" t="s">
        <v>2915</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2916</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2917</v>
      </c>
      <c r="G112" s="73" t="s">
        <v>131</v>
      </c>
      <c r="H112" s="76" t="s">
        <v>2918</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2916</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2919</v>
      </c>
      <c r="G113" s="73" t="s">
        <v>131</v>
      </c>
      <c r="H113" s="76" t="s">
        <v>2920</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2921</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2922</v>
      </c>
      <c r="G114" s="73" t="s">
        <v>131</v>
      </c>
      <c r="H114" s="76" t="s">
        <v>2923</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2924</v>
      </c>
      <c r="G115" s="73" t="s">
        <v>131</v>
      </c>
      <c r="H115" s="76" t="s">
        <v>2925</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2926</v>
      </c>
      <c r="G116" s="73" t="s">
        <v>131</v>
      </c>
      <c r="H116" s="76" t="s">
        <v>2927</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2928</v>
      </c>
      <c r="G117" s="73" t="s">
        <v>131</v>
      </c>
      <c r="H117" s="76" t="s">
        <v>2929</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2930</v>
      </c>
      <c r="G118" s="73" t="s">
        <v>131</v>
      </c>
      <c r="H118" s="76" t="s">
        <v>2931</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2932</v>
      </c>
      <c r="G119" s="73" t="s">
        <v>131</v>
      </c>
      <c r="H119" s="76" t="s">
        <v>2933</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2934</v>
      </c>
      <c r="G120" s="73" t="s">
        <v>131</v>
      </c>
      <c r="H120" s="76" t="s">
        <v>2935</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2936</v>
      </c>
      <c r="G121" s="73" t="s">
        <v>131</v>
      </c>
      <c r="H121" s="76" t="s">
        <v>2937</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2938</v>
      </c>
      <c r="G122" s="73" t="s">
        <v>131</v>
      </c>
      <c r="H122" s="76" t="s">
        <v>2939</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2940</v>
      </c>
      <c r="G123" s="73" t="s">
        <v>131</v>
      </c>
      <c r="H123" s="76" t="s">
        <v>2941</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2942</v>
      </c>
      <c r="G124" s="73" t="s">
        <v>131</v>
      </c>
      <c r="H124" s="76" t="s">
        <v>2943</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2944</v>
      </c>
      <c r="G125" s="73" t="s">
        <v>131</v>
      </c>
      <c r="H125" s="76" t="s">
        <v>2945</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2834</v>
      </c>
      <c r="S175" s="76" t="s">
        <v>2834</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2834</v>
      </c>
      <c r="S176" s="76" t="s">
        <v>2834</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2833</v>
      </c>
      <c r="I177" s="96" t="s">
        <v>502</v>
      </c>
      <c r="J177" s="96"/>
      <c r="K177" s="97">
        <v>0.85</v>
      </c>
      <c r="L177" s="97">
        <v>0.85</v>
      </c>
      <c r="M177" s="97">
        <v>0.85</v>
      </c>
      <c r="N177" s="97">
        <v>0.85</v>
      </c>
      <c r="O177" s="97">
        <v>0.85</v>
      </c>
      <c r="P177" s="97">
        <v>0.85</v>
      </c>
      <c r="Q177" s="76"/>
      <c r="R177" s="76" t="s">
        <v>2834</v>
      </c>
      <c r="S177" s="76" t="s">
        <v>2834</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2836</v>
      </c>
      <c r="S178" s="76" t="s">
        <v>2836</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2834</v>
      </c>
      <c r="S179" s="76" t="s">
        <v>2834</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2834</v>
      </c>
      <c r="S180" s="76" t="s">
        <v>2834</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2837</v>
      </c>
      <c r="S181" s="76" t="s">
        <v>2837</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2834</v>
      </c>
      <c r="S182" s="76" t="s">
        <v>2834</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2834</v>
      </c>
      <c r="S183" s="76" t="s">
        <v>2834</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2834</v>
      </c>
      <c r="S184" s="76" t="s">
        <v>2834</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2834</v>
      </c>
      <c r="S185" s="76" t="s">
        <v>2834</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2835</v>
      </c>
      <c r="I186" s="96" t="s">
        <v>502</v>
      </c>
      <c r="J186" s="96"/>
      <c r="K186" s="97">
        <v>0.7</v>
      </c>
      <c r="L186" s="97">
        <v>0.7</v>
      </c>
      <c r="M186" s="97">
        <v>0.7</v>
      </c>
      <c r="N186" s="97">
        <v>0.7</v>
      </c>
      <c r="O186" s="97">
        <v>0.7</v>
      </c>
      <c r="P186" s="97">
        <v>0.7</v>
      </c>
      <c r="Q186" s="76"/>
      <c r="R186" s="76" t="s">
        <v>2834</v>
      </c>
      <c r="S186" s="76" t="s">
        <v>2834</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2834</v>
      </c>
      <c r="S187" s="76" t="s">
        <v>2834</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2834</v>
      </c>
      <c r="S188" s="76" t="s">
        <v>2834</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2834</v>
      </c>
      <c r="S189" s="76" t="s">
        <v>2834</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2834</v>
      </c>
      <c r="S190" s="76" t="s">
        <v>2834</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3253</v>
      </c>
      <c r="I191" s="96" t="s">
        <v>626</v>
      </c>
      <c r="J191" s="96"/>
      <c r="K191" s="97">
        <v>0.43</v>
      </c>
      <c r="L191" s="97">
        <v>0.43</v>
      </c>
      <c r="M191" s="76"/>
      <c r="N191" s="76"/>
      <c r="O191" s="76"/>
      <c r="P191" s="76"/>
      <c r="Q191" s="76"/>
      <c r="R191" s="76" t="s">
        <v>2834</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2820</v>
      </c>
      <c r="G192" s="73"/>
      <c r="H192" s="76" t="s">
        <v>3201</v>
      </c>
      <c r="I192" s="96" t="s">
        <v>2832</v>
      </c>
      <c r="J192" s="96"/>
      <c r="K192" s="97">
        <v>8.9999999999999993E-3</v>
      </c>
      <c r="L192" s="97">
        <v>8.9999999999999993E-3</v>
      </c>
      <c r="M192" s="97">
        <v>8.9999999999999993E-3</v>
      </c>
      <c r="N192" s="97">
        <v>8.9999999999999993E-3</v>
      </c>
      <c r="O192" s="97">
        <v>8.9999999999999993E-3</v>
      </c>
      <c r="P192" s="97">
        <v>8.9999999999999993E-3</v>
      </c>
      <c r="Q192" s="76"/>
      <c r="R192" s="76" t="s">
        <v>3198</v>
      </c>
      <c r="S192" s="76" t="s">
        <v>3198</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2821</v>
      </c>
      <c r="G193" s="73"/>
      <c r="H193" s="76" t="s">
        <v>3202</v>
      </c>
      <c r="I193" s="96" t="s">
        <v>2832</v>
      </c>
      <c r="J193" s="96"/>
      <c r="K193" s="97">
        <v>7.6536</v>
      </c>
      <c r="L193" s="97">
        <v>7.6536</v>
      </c>
      <c r="M193" s="97">
        <v>7.6536</v>
      </c>
      <c r="N193" s="97">
        <v>7.6536</v>
      </c>
      <c r="O193" s="97">
        <v>7.6536</v>
      </c>
      <c r="P193" s="97">
        <v>7.6536</v>
      </c>
      <c r="Q193" s="76"/>
      <c r="R193" s="76" t="s">
        <v>3198</v>
      </c>
      <c r="S193" s="76" t="s">
        <v>3198</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2825</v>
      </c>
      <c r="G194" s="73"/>
      <c r="H194" s="76" t="s">
        <v>2872</v>
      </c>
      <c r="I194" s="96" t="s">
        <v>2832</v>
      </c>
      <c r="J194" s="96"/>
      <c r="K194" s="97">
        <v>0.43</v>
      </c>
      <c r="L194" s="97">
        <v>0.43</v>
      </c>
      <c r="M194" s="97">
        <v>0.43</v>
      </c>
      <c r="N194" s="97">
        <v>0.43</v>
      </c>
      <c r="O194" s="97">
        <v>0.43</v>
      </c>
      <c r="P194" s="97">
        <v>0.43</v>
      </c>
      <c r="Q194" s="76"/>
      <c r="R194" s="76" t="s">
        <v>2831</v>
      </c>
      <c r="S194" s="76" t="s">
        <v>2831</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2826</v>
      </c>
      <c r="G195" s="73"/>
      <c r="H195" s="76" t="s">
        <v>2873</v>
      </c>
      <c r="I195" s="96" t="s">
        <v>2832</v>
      </c>
      <c r="J195" s="96"/>
      <c r="K195" s="97">
        <f>1/0.4-1</f>
        <v>1.5</v>
      </c>
      <c r="L195" s="97">
        <f t="shared" ref="L195:P196" si="31">K195</f>
        <v>1.5</v>
      </c>
      <c r="M195" s="97">
        <f t="shared" si="31"/>
        <v>1.5</v>
      </c>
      <c r="N195" s="97">
        <f t="shared" si="31"/>
        <v>1.5</v>
      </c>
      <c r="O195" s="97">
        <f t="shared" si="31"/>
        <v>1.5</v>
      </c>
      <c r="P195" s="97">
        <f t="shared" si="31"/>
        <v>1.5</v>
      </c>
      <c r="Q195" s="76"/>
      <c r="R195" s="76" t="s">
        <v>2831</v>
      </c>
      <c r="S195" s="76" t="s">
        <v>2831</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2822</v>
      </c>
      <c r="G196" s="73"/>
      <c r="H196" s="76" t="s">
        <v>2874</v>
      </c>
      <c r="I196" s="96" t="s">
        <v>2832</v>
      </c>
      <c r="J196" s="96"/>
      <c r="K196" s="97">
        <f>1/0.4-1</f>
        <v>1.5</v>
      </c>
      <c r="L196" s="97">
        <f t="shared" si="31"/>
        <v>1.5</v>
      </c>
      <c r="M196" s="97">
        <f t="shared" si="31"/>
        <v>1.5</v>
      </c>
      <c r="N196" s="97">
        <f t="shared" si="31"/>
        <v>1.5</v>
      </c>
      <c r="O196" s="97">
        <f t="shared" si="31"/>
        <v>1.5</v>
      </c>
      <c r="P196" s="97">
        <f t="shared" si="31"/>
        <v>1.5</v>
      </c>
      <c r="Q196" s="76"/>
      <c r="R196" s="76" t="s">
        <v>2831</v>
      </c>
      <c r="S196" s="76" t="s">
        <v>2831</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2823</v>
      </c>
      <c r="G197" s="73"/>
      <c r="H197" s="76" t="s">
        <v>2875</v>
      </c>
      <c r="I197" s="96" t="s">
        <v>2832</v>
      </c>
      <c r="J197" s="96"/>
      <c r="K197" s="97">
        <f>1/0.4-1</f>
        <v>1.5</v>
      </c>
      <c r="L197" s="334">
        <f>K197</f>
        <v>1.5</v>
      </c>
      <c r="M197" s="76"/>
      <c r="N197" s="76"/>
      <c r="O197" s="76"/>
      <c r="P197" s="76"/>
      <c r="Q197" s="76"/>
      <c r="R197" s="76" t="s">
        <v>2831</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2824</v>
      </c>
      <c r="G198" s="73"/>
      <c r="H198" s="76" t="s">
        <v>3199</v>
      </c>
      <c r="I198" s="96" t="s">
        <v>2832</v>
      </c>
      <c r="J198" s="96"/>
      <c r="K198" s="97">
        <f t="shared" ref="K198:P198" si="33">1/0.2-1</f>
        <v>4</v>
      </c>
      <c r="L198" s="97">
        <f t="shared" si="33"/>
        <v>4</v>
      </c>
      <c r="M198" s="97">
        <f t="shared" si="33"/>
        <v>4</v>
      </c>
      <c r="N198" s="97">
        <f t="shared" si="33"/>
        <v>4</v>
      </c>
      <c r="O198" s="97">
        <f t="shared" si="33"/>
        <v>4</v>
      </c>
      <c r="P198" s="97">
        <f t="shared" si="33"/>
        <v>4</v>
      </c>
      <c r="Q198" s="76"/>
      <c r="R198" s="76" t="s">
        <v>3198</v>
      </c>
      <c r="S198" s="76" t="s">
        <v>3198</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2827</v>
      </c>
      <c r="G199" s="73"/>
      <c r="H199" s="76" t="s">
        <v>3200</v>
      </c>
      <c r="I199" s="96" t="s">
        <v>2832</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3198</v>
      </c>
      <c r="S199" s="76" t="s">
        <v>3198</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2828</v>
      </c>
      <c r="G200" s="73"/>
      <c r="H200" s="76" t="s">
        <v>2876</v>
      </c>
      <c r="I200" s="96" t="s">
        <v>2832</v>
      </c>
      <c r="J200" s="96"/>
      <c r="K200" s="97">
        <v>0</v>
      </c>
      <c r="L200" s="97">
        <v>0</v>
      </c>
      <c r="M200" s="97">
        <v>0</v>
      </c>
      <c r="N200" s="97">
        <v>0</v>
      </c>
      <c r="O200" s="97">
        <v>0</v>
      </c>
      <c r="P200" s="97">
        <v>0</v>
      </c>
      <c r="Q200" s="76"/>
      <c r="R200" s="76" t="s">
        <v>2831</v>
      </c>
      <c r="S200" s="76" t="s">
        <v>2831</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2829</v>
      </c>
      <c r="G201" s="73"/>
      <c r="H201" s="76" t="s">
        <v>2877</v>
      </c>
      <c r="I201" s="96" t="s">
        <v>2832</v>
      </c>
      <c r="J201" s="96"/>
      <c r="K201" s="97">
        <v>0</v>
      </c>
      <c r="L201" s="97">
        <v>0</v>
      </c>
      <c r="M201" s="97">
        <v>0</v>
      </c>
      <c r="N201" s="97">
        <v>0</v>
      </c>
      <c r="O201" s="97">
        <v>0</v>
      </c>
      <c r="P201" s="97">
        <v>0</v>
      </c>
      <c r="Q201" s="76"/>
      <c r="R201" s="76" t="s">
        <v>2831</v>
      </c>
      <c r="S201" s="76" t="s">
        <v>2831</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2830</v>
      </c>
      <c r="G202" s="73"/>
      <c r="H202" s="76" t="s">
        <v>2878</v>
      </c>
      <c r="I202" s="96" t="s">
        <v>2832</v>
      </c>
      <c r="J202" s="96"/>
      <c r="K202" s="97">
        <v>0</v>
      </c>
      <c r="L202" s="97">
        <v>0</v>
      </c>
      <c r="M202" s="97">
        <v>0</v>
      </c>
      <c r="N202" s="97">
        <v>0</v>
      </c>
      <c r="O202" s="97">
        <v>0</v>
      </c>
      <c r="P202" s="97">
        <v>0</v>
      </c>
      <c r="Q202" s="76"/>
      <c r="R202" s="76" t="s">
        <v>2831</v>
      </c>
      <c r="S202" s="76" t="s">
        <v>2831</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3254</v>
      </c>
      <c r="G203" s="73"/>
      <c r="H203" s="76" t="s">
        <v>3262</v>
      </c>
      <c r="I203" s="96" t="s">
        <v>626</v>
      </c>
      <c r="J203" s="96"/>
      <c r="K203" s="281">
        <f>K$179 / 0.7</f>
        <v>0.57142857142857151</v>
      </c>
      <c r="L203" s="281">
        <f t="shared" ref="L203:L209" si="35">K203</f>
        <v>0.57142857142857151</v>
      </c>
      <c r="M203" s="76"/>
      <c r="N203" s="76"/>
      <c r="O203" s="76"/>
      <c r="P203" s="76"/>
      <c r="Q203" s="76"/>
      <c r="R203" s="76" t="s">
        <v>2834</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3255</v>
      </c>
      <c r="G204" s="73"/>
      <c r="H204" s="76" t="s">
        <v>3263</v>
      </c>
      <c r="I204" s="96" t="s">
        <v>626</v>
      </c>
      <c r="J204" s="96"/>
      <c r="K204" s="281">
        <f>K$180 / 0.7</f>
        <v>2.8571428571428574E-2</v>
      </c>
      <c r="L204" s="281">
        <f t="shared" si="35"/>
        <v>2.8571428571428574E-2</v>
      </c>
      <c r="M204" s="76"/>
      <c r="N204" s="76"/>
      <c r="O204" s="76"/>
      <c r="P204" s="76"/>
      <c r="Q204" s="76"/>
      <c r="R204" s="76" t="s">
        <v>2834</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3256</v>
      </c>
      <c r="G205" s="73"/>
      <c r="H205" s="76" t="s">
        <v>3264</v>
      </c>
      <c r="I205" s="96" t="s">
        <v>626</v>
      </c>
      <c r="J205" s="96"/>
      <c r="K205" s="281">
        <f>K$182 / 0.7</f>
        <v>0.19000000000000003</v>
      </c>
      <c r="L205" s="281">
        <f t="shared" si="35"/>
        <v>0.19000000000000003</v>
      </c>
      <c r="M205" s="76"/>
      <c r="N205" s="76"/>
      <c r="O205" s="76"/>
      <c r="P205" s="76"/>
      <c r="Q205" s="76"/>
      <c r="R205" s="76" t="s">
        <v>2834</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3257</v>
      </c>
      <c r="G206" s="73"/>
      <c r="H206" s="76" t="s">
        <v>3265</v>
      </c>
      <c r="I206" s="96" t="s">
        <v>626</v>
      </c>
      <c r="J206" s="96"/>
      <c r="K206" s="281">
        <f>1/(1+K$194)</f>
        <v>0.69930069930069938</v>
      </c>
      <c r="L206" s="281">
        <f t="shared" si="35"/>
        <v>0.69930069930069938</v>
      </c>
      <c r="M206" s="76"/>
      <c r="N206" s="76"/>
      <c r="O206" s="76"/>
      <c r="P206" s="76"/>
      <c r="Q206" s="76"/>
      <c r="R206" s="76" t="s">
        <v>3269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3259</v>
      </c>
      <c r="G207" s="73"/>
      <c r="H207" s="76" t="s">
        <v>3266</v>
      </c>
      <c r="I207" s="96" t="s">
        <v>626</v>
      </c>
      <c r="J207" s="96"/>
      <c r="K207" s="258">
        <v>1</v>
      </c>
      <c r="L207" s="258">
        <f t="shared" si="35"/>
        <v>1</v>
      </c>
      <c r="M207" s="76"/>
      <c r="N207" s="76"/>
      <c r="O207" s="76"/>
      <c r="P207" s="76"/>
      <c r="Q207" s="76"/>
      <c r="R207" s="76" t="s">
        <v>3269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3258</v>
      </c>
      <c r="G208" s="73"/>
      <c r="H208" s="76" t="s">
        <v>3267</v>
      </c>
      <c r="I208" s="96" t="s">
        <v>626</v>
      </c>
      <c r="J208" s="96"/>
      <c r="K208" s="281">
        <f>1/(1+K$195)</f>
        <v>0.4</v>
      </c>
      <c r="L208" s="281">
        <f t="shared" si="35"/>
        <v>0.4</v>
      </c>
      <c r="M208" s="76"/>
      <c r="N208" s="76"/>
      <c r="O208" s="76"/>
      <c r="P208" s="76"/>
      <c r="Q208" s="76"/>
      <c r="R208" s="76" t="s">
        <v>3269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3260</v>
      </c>
      <c r="G209" s="73"/>
      <c r="H209" s="76" t="s">
        <v>3268</v>
      </c>
      <c r="I209" s="96" t="s">
        <v>626</v>
      </c>
      <c r="J209" s="96"/>
      <c r="K209" s="258">
        <v>1</v>
      </c>
      <c r="L209" s="258">
        <f t="shared" si="35"/>
        <v>1</v>
      </c>
      <c r="M209" s="76"/>
      <c r="N209" s="76"/>
      <c r="O209" s="76"/>
      <c r="P209" s="76"/>
      <c r="Q209" s="76"/>
      <c r="R209" s="76" t="s">
        <v>3269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3261</v>
      </c>
      <c r="G210" s="73"/>
      <c r="H210" s="76" t="s">
        <v>3271</v>
      </c>
      <c r="I210" s="96" t="s">
        <v>502</v>
      </c>
      <c r="J210" s="96"/>
      <c r="K210" s="97">
        <v>0.7</v>
      </c>
      <c r="L210" s="97">
        <v>0.7</v>
      </c>
      <c r="M210" s="97">
        <v>0.7</v>
      </c>
      <c r="N210" s="97">
        <v>0.7</v>
      </c>
      <c r="O210" s="97">
        <v>0.7</v>
      </c>
      <c r="P210" s="97">
        <v>0.7</v>
      </c>
      <c r="Q210" s="76"/>
      <c r="R210" s="76" t="s">
        <v>2834</v>
      </c>
      <c r="S210" s="76" t="s">
        <v>2834</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3270</v>
      </c>
      <c r="G211" s="73"/>
      <c r="H211" s="76" t="s">
        <v>3287</v>
      </c>
      <c r="I211" s="96" t="s">
        <v>626</v>
      </c>
      <c r="J211" s="96"/>
      <c r="K211" s="281">
        <f>0.448*K$175</f>
        <v>0.224</v>
      </c>
      <c r="L211" s="281">
        <f>K211</f>
        <v>0.224</v>
      </c>
      <c r="M211" s="76"/>
      <c r="N211" s="76"/>
      <c r="O211" s="76"/>
      <c r="P211" s="76"/>
      <c r="Q211" s="76"/>
      <c r="R211" s="76" t="s">
        <v>3289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3286</v>
      </c>
      <c r="G212" s="73"/>
      <c r="H212" s="76" t="s">
        <v>3288</v>
      </c>
      <c r="I212" s="96" t="s">
        <v>626</v>
      </c>
      <c r="J212" s="96"/>
      <c r="K212" s="281">
        <f>0.448*K$176</f>
        <v>8.9600000000000009E-3</v>
      </c>
      <c r="L212" s="281">
        <f>K212</f>
        <v>8.9600000000000009E-3</v>
      </c>
      <c r="M212" s="76"/>
      <c r="N212" s="76"/>
      <c r="O212" s="76"/>
      <c r="P212" s="76"/>
      <c r="Q212" s="76"/>
      <c r="R212" s="76" t="s">
        <v>3289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2838</v>
      </c>
      <c r="G234" s="73"/>
      <c r="H234" s="76" t="s">
        <v>3203</v>
      </c>
      <c r="I234" s="96" t="s">
        <v>2841</v>
      </c>
      <c r="J234" s="96"/>
      <c r="K234" s="97">
        <v>0</v>
      </c>
      <c r="L234" s="97">
        <v>0</v>
      </c>
      <c r="M234" s="97">
        <v>0</v>
      </c>
      <c r="N234" s="97">
        <v>0</v>
      </c>
      <c r="O234" s="97">
        <v>0</v>
      </c>
      <c r="P234" s="97">
        <v>0</v>
      </c>
      <c r="Q234" s="76"/>
      <c r="R234" s="76" t="s">
        <v>3209</v>
      </c>
      <c r="S234" s="76" t="s">
        <v>3209</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2839</v>
      </c>
      <c r="G235" s="73"/>
      <c r="H235" s="76" t="s">
        <v>2842</v>
      </c>
      <c r="I235" s="96" t="s">
        <v>2841</v>
      </c>
      <c r="J235" s="96"/>
      <c r="K235" s="97">
        <v>1.9E-2</v>
      </c>
      <c r="L235" s="97">
        <v>1.9E-2</v>
      </c>
      <c r="M235" s="97">
        <v>1.9E-2</v>
      </c>
      <c r="N235" s="97">
        <v>1.9E-2</v>
      </c>
      <c r="O235" s="97">
        <v>1.9E-2</v>
      </c>
      <c r="P235" s="97">
        <v>1.9E-2</v>
      </c>
      <c r="Q235" s="76"/>
      <c r="R235" s="76" t="s">
        <v>3209</v>
      </c>
      <c r="S235" s="76" t="s">
        <v>3209</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2840</v>
      </c>
      <c r="G236" s="73"/>
      <c r="H236" s="76" t="s">
        <v>2843</v>
      </c>
      <c r="I236" s="96" t="s">
        <v>2841</v>
      </c>
      <c r="J236" s="96"/>
      <c r="K236" s="97">
        <v>0.185</v>
      </c>
      <c r="L236" s="97">
        <v>0.185</v>
      </c>
      <c r="M236" s="97">
        <v>0.185</v>
      </c>
      <c r="N236" s="97">
        <v>0.185</v>
      </c>
      <c r="O236" s="97">
        <v>0.185</v>
      </c>
      <c r="P236" s="97">
        <v>0.185</v>
      </c>
      <c r="Q236" s="76"/>
      <c r="R236" s="76" t="s">
        <v>3209</v>
      </c>
      <c r="S236" s="76" t="s">
        <v>3209</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3204</v>
      </c>
      <c r="G237" s="73"/>
      <c r="H237" s="76" t="s">
        <v>662</v>
      </c>
      <c r="I237" s="96" t="s">
        <v>502</v>
      </c>
      <c r="J237" s="96"/>
      <c r="K237" s="97">
        <v>0.106</v>
      </c>
      <c r="L237" s="97">
        <v>0.106</v>
      </c>
      <c r="M237" s="97">
        <v>0.106</v>
      </c>
      <c r="N237" s="97">
        <v>0.106</v>
      </c>
      <c r="O237" s="97">
        <v>0.106</v>
      </c>
      <c r="P237" s="97">
        <v>0.106</v>
      </c>
      <c r="Q237" s="76"/>
      <c r="R237" s="76" t="s">
        <v>3208</v>
      </c>
      <c r="S237" s="76" t="s">
        <v>3208</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3205</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3208</v>
      </c>
      <c r="S238" s="76" t="s">
        <v>3208</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3207</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3208</v>
      </c>
      <c r="S239" s="76" t="s">
        <v>3208</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3206</v>
      </c>
      <c r="G240" s="73"/>
      <c r="H240" s="76" t="s">
        <v>671</v>
      </c>
      <c r="I240" s="96" t="s">
        <v>502</v>
      </c>
      <c r="J240" s="96"/>
      <c r="K240" s="97">
        <v>0.39</v>
      </c>
      <c r="L240" s="97">
        <v>0.39</v>
      </c>
      <c r="M240" s="97">
        <v>0.39</v>
      </c>
      <c r="N240" s="97">
        <v>0.39</v>
      </c>
      <c r="O240" s="97">
        <v>0.39</v>
      </c>
      <c r="P240" s="97">
        <v>0.39</v>
      </c>
      <c r="Q240" s="76"/>
      <c r="R240" s="76" t="s">
        <v>3208</v>
      </c>
      <c r="S240" s="76" t="s">
        <v>3208</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3282</v>
      </c>
      <c r="G277" s="73"/>
      <c r="H277" s="76" t="s">
        <v>3283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2859</v>
      </c>
      <c r="G278" s="73"/>
      <c r="H278" s="76" t="s">
        <v>2862</v>
      </c>
      <c r="I278" s="96"/>
      <c r="J278" s="96"/>
      <c r="K278" s="97">
        <v>5.9630000000000001</v>
      </c>
      <c r="L278" s="97">
        <v>5.9630000000000001</v>
      </c>
      <c r="M278" s="97"/>
      <c r="N278" s="97"/>
      <c r="O278" s="97"/>
      <c r="P278" s="97"/>
      <c r="Q278" s="76"/>
      <c r="R278" s="76" t="s">
        <v>2865</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2860</v>
      </c>
      <c r="G279" s="73"/>
      <c r="H279" s="76" t="s">
        <v>2863</v>
      </c>
      <c r="I279" s="96"/>
      <c r="J279" s="96"/>
      <c r="K279" s="97">
        <v>11.2</v>
      </c>
      <c r="L279" s="97">
        <v>11.2</v>
      </c>
      <c r="M279" s="97"/>
      <c r="N279" s="97"/>
      <c r="O279" s="97"/>
      <c r="P279" s="97"/>
      <c r="Q279" s="76"/>
      <c r="R279" s="76" t="s">
        <v>2865</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2861</v>
      </c>
      <c r="G280" s="73"/>
      <c r="H280" s="76" t="s">
        <v>2864</v>
      </c>
      <c r="I280" s="96"/>
      <c r="J280" s="96"/>
      <c r="K280" s="97">
        <v>9.4500000000000001E-3</v>
      </c>
      <c r="L280" s="97">
        <v>9.4500000000000001E-3</v>
      </c>
      <c r="M280" s="97"/>
      <c r="N280" s="97"/>
      <c r="O280" s="97"/>
      <c r="P280" s="97"/>
      <c r="Q280" s="76"/>
      <c r="R280" s="76" t="s">
        <v>2865</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2866</v>
      </c>
      <c r="G281" s="73"/>
      <c r="H281" s="76" t="s">
        <v>2867</v>
      </c>
      <c r="I281" s="96"/>
      <c r="J281" s="96"/>
      <c r="K281" s="97">
        <v>0</v>
      </c>
      <c r="L281" s="97">
        <v>0</v>
      </c>
      <c r="M281" s="97"/>
      <c r="N281" s="97"/>
      <c r="O281" s="97"/>
      <c r="P281" s="97"/>
      <c r="Q281" s="76"/>
      <c r="R281" s="76" t="s">
        <v>2865</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2577</v>
      </c>
      <c r="G283" s="73"/>
      <c r="H283" s="76" t="s">
        <v>791</v>
      </c>
      <c r="I283" s="96" t="s">
        <v>665</v>
      </c>
      <c r="J283" s="96"/>
      <c r="K283" s="76"/>
      <c r="L283" s="76"/>
      <c r="M283" s="76"/>
      <c r="N283" s="76"/>
      <c r="O283" s="76"/>
      <c r="P283" s="76"/>
      <c r="Q283" s="76"/>
      <c r="R283" s="76"/>
      <c r="S283" s="76"/>
      <c r="T283" s="76" t="s">
        <v>3299</v>
      </c>
      <c r="U283" s="97">
        <v>1</v>
      </c>
      <c r="V283" s="97">
        <v>1</v>
      </c>
      <c r="W283" s="97">
        <v>0.92001599999999994</v>
      </c>
      <c r="X283" s="97">
        <v>1.06843</v>
      </c>
      <c r="Y283" s="97">
        <v>1</v>
      </c>
      <c r="Z283" s="97">
        <v>1.25</v>
      </c>
      <c r="AA283" s="97">
        <v>1.25</v>
      </c>
      <c r="AB283" s="97">
        <v>1.25</v>
      </c>
      <c r="AC283" s="97">
        <v>1.25</v>
      </c>
      <c r="AD283" s="97">
        <v>1.25</v>
      </c>
      <c r="AE283" s="76"/>
      <c r="AF283" s="97" t="s">
        <v>2576</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3240</v>
      </c>
      <c r="I310" s="96" t="s">
        <v>3242</v>
      </c>
      <c r="J310" s="96"/>
      <c r="K310" s="97">
        <v>31.7</v>
      </c>
      <c r="L310" s="97">
        <v>31.7</v>
      </c>
      <c r="M310" s="76"/>
      <c r="N310" s="76"/>
      <c r="O310" s="76"/>
      <c r="P310" s="76"/>
      <c r="Q310" s="76"/>
      <c r="R310" s="76" t="s">
        <v>3241</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2834</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2869</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2858</v>
      </c>
      <c r="G330" s="73"/>
      <c r="H330" s="76" t="s">
        <v>2966</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2868</v>
      </c>
      <c r="G331" s="73"/>
      <c r="H331" s="76" t="s">
        <v>2316</v>
      </c>
      <c r="I331" s="96" t="s">
        <v>2869</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2870</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3243</v>
      </c>
      <c r="G332" s="73"/>
      <c r="H332" s="76" t="s">
        <v>3244</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3245</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3303</v>
      </c>
      <c r="G333" s="73"/>
      <c r="H333" s="76" t="s">
        <v>3306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3305</v>
      </c>
      <c r="G334" s="73"/>
      <c r="H334" s="76" t="s">
        <v>3308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3307</v>
      </c>
      <c r="G335" s="73"/>
      <c r="H335" s="76" t="s">
        <v>3311</v>
      </c>
      <c r="I335" s="96"/>
      <c r="J335" s="96"/>
      <c r="K335" s="76"/>
      <c r="L335" s="76"/>
      <c r="M335" s="76"/>
      <c r="N335" s="76"/>
      <c r="O335" s="76"/>
      <c r="P335" s="76"/>
      <c r="Q335" s="76"/>
      <c r="R335" s="76"/>
      <c r="S335" s="76"/>
      <c r="T335" s="76" t="s">
        <v>3299</v>
      </c>
      <c r="U335" s="97">
        <v>0.85</v>
      </c>
      <c r="V335" s="97">
        <v>0.85</v>
      </c>
      <c r="W335" s="97">
        <v>0.85</v>
      </c>
      <c r="X335" s="97">
        <v>0.85</v>
      </c>
      <c r="Y335" s="97">
        <v>0.85</v>
      </c>
      <c r="Z335" s="97">
        <v>0.85</v>
      </c>
      <c r="AA335" s="97">
        <v>0.85</v>
      </c>
      <c r="AB335" s="97">
        <v>0.85</v>
      </c>
      <c r="AC335" s="97">
        <v>0.85</v>
      </c>
      <c r="AD335" s="97">
        <v>0.85</v>
      </c>
      <c r="AE335" s="76"/>
      <c r="AF335" s="97" t="s">
        <v>3304</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3310</v>
      </c>
      <c r="G336" s="73"/>
      <c r="H336" s="76" t="s">
        <v>3312</v>
      </c>
      <c r="I336" s="96"/>
      <c r="J336" s="96"/>
      <c r="K336" s="76"/>
      <c r="L336" s="76"/>
      <c r="M336" s="76"/>
      <c r="N336" s="76"/>
      <c r="O336" s="76"/>
      <c r="P336" s="76"/>
      <c r="Q336" s="76"/>
      <c r="R336" s="76"/>
      <c r="S336" s="76"/>
      <c r="T336" s="76" t="s">
        <v>3299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2871</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2357</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3299</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2357</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2969</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2809</v>
      </c>
      <c r="I377" s="96" t="s">
        <v>2969</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2810</v>
      </c>
      <c r="I378" s="96" t="s">
        <v>2969</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2803</v>
      </c>
      <c r="G379" s="73"/>
      <c r="H379" s="76" t="s">
        <v>2811</v>
      </c>
      <c r="I379" s="96" t="s">
        <v>2969</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2804</v>
      </c>
      <c r="G380" s="73"/>
      <c r="H380" s="76" t="s">
        <v>2818</v>
      </c>
      <c r="I380" s="96" t="s">
        <v>2969</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2805</v>
      </c>
      <c r="G381" s="73"/>
      <c r="H381" s="76" t="s">
        <v>2819</v>
      </c>
      <c r="I381" s="96" t="s">
        <v>2969</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2806</v>
      </c>
      <c r="G382" s="73"/>
      <c r="H382" s="76" t="s">
        <v>971</v>
      </c>
      <c r="I382" s="96" t="s">
        <v>502</v>
      </c>
      <c r="J382" s="96"/>
      <c r="K382" s="97">
        <v>1</v>
      </c>
      <c r="L382" s="97">
        <v>1</v>
      </c>
      <c r="M382" s="97">
        <v>1</v>
      </c>
      <c r="N382" s="97">
        <v>1</v>
      </c>
      <c r="O382" s="97">
        <v>1</v>
      </c>
      <c r="P382" s="97">
        <v>1</v>
      </c>
      <c r="Q382" s="76"/>
      <c r="R382" s="76" t="s">
        <v>2964</v>
      </c>
      <c r="S382" s="76" t="s">
        <v>2965</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2807</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2808</v>
      </c>
      <c r="G384" s="73"/>
      <c r="H384" s="76" t="s">
        <v>2813</v>
      </c>
      <c r="I384" s="96" t="s">
        <v>502</v>
      </c>
      <c r="J384" s="96"/>
      <c r="K384" s="97">
        <v>0.157</v>
      </c>
      <c r="L384" s="97">
        <v>0.157</v>
      </c>
      <c r="M384" s="97">
        <v>0.157</v>
      </c>
      <c r="N384" s="97">
        <v>0.157</v>
      </c>
      <c r="O384" s="97">
        <v>0.157</v>
      </c>
      <c r="P384" s="97">
        <v>0.157</v>
      </c>
      <c r="Q384" s="76"/>
      <c r="R384" s="76" t="s">
        <v>2814</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2817</v>
      </c>
      <c r="G385" s="73"/>
      <c r="H385" s="76" t="s">
        <v>2812</v>
      </c>
      <c r="I385" s="96" t="s">
        <v>502</v>
      </c>
      <c r="J385" s="96"/>
      <c r="K385" s="97">
        <v>0.85</v>
      </c>
      <c r="L385" s="97">
        <v>0.85</v>
      </c>
      <c r="M385" s="97"/>
      <c r="N385" s="97"/>
      <c r="O385" s="97"/>
      <c r="P385" s="97"/>
      <c r="Q385" s="76"/>
      <c r="R385" s="76" t="s">
        <v>2816</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2844</v>
      </c>
      <c r="G386" s="73"/>
      <c r="H386" s="76" t="s">
        <v>2818</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2845</v>
      </c>
      <c r="G387" s="73"/>
      <c r="H387" s="76" t="s">
        <v>2819</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2846</v>
      </c>
      <c r="G388" s="73"/>
      <c r="H388" s="76" t="s">
        <v>2854</v>
      </c>
      <c r="I388" s="96" t="s">
        <v>502</v>
      </c>
      <c r="J388" s="96"/>
      <c r="K388" s="97">
        <v>0.22600000000000001</v>
      </c>
      <c r="L388" s="97">
        <v>0.22600000000000001</v>
      </c>
      <c r="M388" s="97">
        <v>0.22600000000000001</v>
      </c>
      <c r="N388" s="97">
        <v>0.22600000000000001</v>
      </c>
      <c r="O388" s="97">
        <v>0.22600000000000001</v>
      </c>
      <c r="P388" s="97">
        <v>0.22600000000000001</v>
      </c>
      <c r="Q388" s="76"/>
      <c r="R388" s="76" t="s">
        <v>2831</v>
      </c>
      <c r="S388" s="76" t="s">
        <v>2831</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2847</v>
      </c>
      <c r="G389" s="73"/>
      <c r="H389" s="76" t="s">
        <v>2852</v>
      </c>
      <c r="I389" s="96" t="s">
        <v>502</v>
      </c>
      <c r="J389" s="96"/>
      <c r="K389" s="97">
        <v>0.05</v>
      </c>
      <c r="L389" s="97">
        <v>0.05</v>
      </c>
      <c r="M389" s="97">
        <v>0.05</v>
      </c>
      <c r="N389" s="97">
        <v>0.05</v>
      </c>
      <c r="O389" s="97">
        <v>0.05</v>
      </c>
      <c r="P389" s="97">
        <v>0.05</v>
      </c>
      <c r="Q389" s="76"/>
      <c r="R389" s="76" t="s">
        <v>2831</v>
      </c>
      <c r="S389" s="76" t="s">
        <v>2831</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2848</v>
      </c>
      <c r="G390" s="73"/>
      <c r="H390" s="76" t="s">
        <v>2853</v>
      </c>
      <c r="I390" s="96" t="s">
        <v>502</v>
      </c>
      <c r="J390" s="96"/>
      <c r="K390" s="97">
        <v>0.24859999999999999</v>
      </c>
      <c r="L390" s="97">
        <v>0.24859999999999999</v>
      </c>
      <c r="M390" s="97">
        <v>0.24859999999999999</v>
      </c>
      <c r="N390" s="97">
        <v>0.24859999999999999</v>
      </c>
      <c r="O390" s="97">
        <v>0.24859999999999999</v>
      </c>
      <c r="P390" s="97">
        <v>0.24859999999999999</v>
      </c>
      <c r="Q390" s="76"/>
      <c r="R390" s="76" t="s">
        <v>2831</v>
      </c>
      <c r="S390" s="76" t="s">
        <v>2831</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2849</v>
      </c>
      <c r="G391" s="73"/>
      <c r="H391" s="76" t="s">
        <v>2855</v>
      </c>
      <c r="I391" s="96" t="s">
        <v>502</v>
      </c>
      <c r="J391" s="96"/>
      <c r="K391" s="97">
        <v>0.67600000000000005</v>
      </c>
      <c r="L391" s="97">
        <v>0.67600000000000005</v>
      </c>
      <c r="M391" s="97">
        <v>0.67600000000000005</v>
      </c>
      <c r="N391" s="97">
        <v>0.67600000000000005</v>
      </c>
      <c r="O391" s="97">
        <v>0.67600000000000005</v>
      </c>
      <c r="P391" s="97">
        <v>0.67600000000000005</v>
      </c>
      <c r="Q391" s="76"/>
      <c r="R391" s="76" t="s">
        <v>2831</v>
      </c>
      <c r="S391" s="76" t="s">
        <v>2831</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2850</v>
      </c>
      <c r="G392" s="73"/>
      <c r="H392" s="76" t="s">
        <v>2856</v>
      </c>
      <c r="I392" s="96" t="s">
        <v>502</v>
      </c>
      <c r="J392" s="96"/>
      <c r="K392" s="97">
        <v>2.0609999999999999</v>
      </c>
      <c r="L392" s="97">
        <v>2.0609999999999999</v>
      </c>
      <c r="M392" s="97">
        <v>2.0609999999999999</v>
      </c>
      <c r="N392" s="97">
        <v>2.0609999999999999</v>
      </c>
      <c r="O392" s="97">
        <v>2.0609999999999999</v>
      </c>
      <c r="P392" s="97">
        <v>2.0609999999999999</v>
      </c>
      <c r="Q392" s="76"/>
      <c r="R392" s="76" t="s">
        <v>2831</v>
      </c>
      <c r="S392" s="76" t="s">
        <v>2831</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2851</v>
      </c>
      <c r="G393" s="73"/>
      <c r="H393" s="76" t="s">
        <v>2857</v>
      </c>
      <c r="I393" s="96" t="s">
        <v>502</v>
      </c>
      <c r="J393" s="96"/>
      <c r="K393" s="97">
        <v>-0.53</v>
      </c>
      <c r="L393" s="97">
        <v>-0.53</v>
      </c>
      <c r="M393" s="97">
        <v>-0.53</v>
      </c>
      <c r="N393" s="97">
        <v>-0.53</v>
      </c>
      <c r="O393" s="97">
        <v>-0.53</v>
      </c>
      <c r="P393" s="97">
        <v>-0.53</v>
      </c>
      <c r="Q393" s="76"/>
      <c r="R393" s="76" t="s">
        <v>2831</v>
      </c>
      <c r="S393" s="76" t="s">
        <v>2831</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3250</v>
      </c>
      <c r="G394" s="73"/>
      <c r="H394" s="76" t="s">
        <v>3273</v>
      </c>
      <c r="I394" s="96" t="s">
        <v>502</v>
      </c>
      <c r="J394" s="96"/>
      <c r="K394" s="281">
        <v>0.1</v>
      </c>
      <c r="L394" s="281">
        <v>0.1</v>
      </c>
      <c r="M394" s="281">
        <v>0.1</v>
      </c>
      <c r="N394" s="281">
        <v>0.1</v>
      </c>
      <c r="O394" s="281">
        <v>0.1</v>
      </c>
      <c r="P394" s="281">
        <v>0.1</v>
      </c>
      <c r="Q394" s="76"/>
      <c r="R394" s="76" t="s">
        <v>3251</v>
      </c>
      <c r="S394" s="76" t="s">
        <v>3251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3275</v>
      </c>
      <c r="G395" s="73"/>
      <c r="H395" s="76" t="s">
        <v>3272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3274</v>
      </c>
      <c r="S395" s="76" t="s">
        <v>3251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2358</v>
      </c>
      <c r="I398" s="96" t="s">
        <v>2979</v>
      </c>
      <c r="J398" s="96"/>
      <c r="K398" s="97">
        <v>1.84E-2</v>
      </c>
      <c r="L398" s="97">
        <v>1.84E-2</v>
      </c>
      <c r="M398" s="97">
        <v>1.84E-2</v>
      </c>
      <c r="N398" s="97">
        <v>1.84E-2</v>
      </c>
      <c r="O398" s="97">
        <v>1.84E-2</v>
      </c>
      <c r="P398" s="97">
        <v>1.84E-2</v>
      </c>
      <c r="Q398" s="76"/>
      <c r="R398" s="76" t="s">
        <v>2978</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2362</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2359</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2360</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2361</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2575</v>
      </c>
      <c r="G405" s="73"/>
      <c r="H405" s="76" t="s">
        <v>2365</v>
      </c>
      <c r="I405" s="96" t="s">
        <v>502</v>
      </c>
      <c r="J405" s="96"/>
      <c r="K405" s="97">
        <v>9.375E-2</v>
      </c>
      <c r="L405" s="97">
        <v>0.20499999999999999</v>
      </c>
      <c r="M405" s="97">
        <v>0</v>
      </c>
      <c r="N405" s="97">
        <v>0</v>
      </c>
      <c r="O405" s="97">
        <v>0</v>
      </c>
      <c r="P405" s="97">
        <v>0</v>
      </c>
      <c r="Q405" s="76"/>
      <c r="R405" s="97" t="s">
        <v>2569</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2740</v>
      </c>
      <c r="S412" s="76" t="s">
        <v>550</v>
      </c>
      <c r="T412" s="76" t="s">
        <v>3299</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2741</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2572</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3489</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2572</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3493</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3490</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2572</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3491</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2572</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3492</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2572</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2568</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2578</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2579</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2580</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2581</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2582</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2583</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2584</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2585</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2573</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2586</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2587</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2588</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2589</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2590</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2591</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2592</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2593</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2594</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2595</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2596</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2597</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2598</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2599</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2600</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2601</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2602</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2603</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2604</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2605</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2677</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2606</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2704</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2607</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2608</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2609</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2610</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2611</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2612</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2613</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2614</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2615</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2616</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2617</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2618</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2619</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2620</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2621</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2622</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2623</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2624</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2625</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2626</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2636</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2637</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2638</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2639</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2640</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2641</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2642</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2643</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2644</v>
      </c>
      <c r="G599" s="73"/>
      <c r="H599" s="76" t="s">
        <v>2668</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2645</v>
      </c>
      <c r="G600" s="73"/>
      <c r="H600" s="76" t="s">
        <v>2669</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2646</v>
      </c>
      <c r="G601" s="73"/>
      <c r="H601" s="76" t="s">
        <v>2670</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2647</v>
      </c>
      <c r="G602" s="73"/>
      <c r="H602" s="76" t="s">
        <v>2671</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2648</v>
      </c>
      <c r="G603" s="73"/>
      <c r="H603" s="76" t="s">
        <v>2672</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2649</v>
      </c>
      <c r="G604" s="73"/>
      <c r="H604" s="76" t="s">
        <v>2673</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2650</v>
      </c>
      <c r="G605" s="73"/>
      <c r="H605" s="76" t="s">
        <v>2674</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2651</v>
      </c>
      <c r="G606" s="73"/>
      <c r="H606" s="76" t="s">
        <v>2675</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2652</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2653</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2654</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2655</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2656</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2657</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2658</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2659</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2660</v>
      </c>
      <c r="G615" s="73"/>
      <c r="H615" s="76" t="s">
        <v>2753</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2661</v>
      </c>
      <c r="G616" s="73"/>
      <c r="H616" s="76" t="s">
        <v>2669</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2662</v>
      </c>
      <c r="G617" s="73"/>
      <c r="H617" s="76" t="s">
        <v>2670</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2663</v>
      </c>
      <c r="G618" s="73"/>
      <c r="H618" s="76" t="s">
        <v>2671</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2664</v>
      </c>
      <c r="G619" s="73"/>
      <c r="H619" s="76" t="s">
        <v>2672</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2665</v>
      </c>
      <c r="G620" s="73"/>
      <c r="H620" s="76" t="s">
        <v>2673</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2666</v>
      </c>
      <c r="G621" s="73"/>
      <c r="H621" s="76" t="s">
        <v>2674</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2667</v>
      </c>
      <c r="G622" s="73"/>
      <c r="H622" s="76" t="s">
        <v>2675</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2755</v>
      </c>
      <c r="G623" s="73"/>
      <c r="H623" s="76" t="s">
        <v>2754</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3500</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2756</v>
      </c>
      <c r="G624" s="73"/>
      <c r="H624" s="76" t="s">
        <v>2669</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3499</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2757</v>
      </c>
      <c r="G625" s="73"/>
      <c r="H625" s="76" t="s">
        <v>2670</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2758</v>
      </c>
      <c r="G626" s="73"/>
      <c r="H626" s="76" t="s">
        <v>2671</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2759</v>
      </c>
      <c r="G627" s="73"/>
      <c r="H627" s="76" t="s">
        <v>2672</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2760</v>
      </c>
      <c r="G628" s="73"/>
      <c r="H628" s="76" t="s">
        <v>2673</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2761</v>
      </c>
      <c r="G629" s="73"/>
      <c r="H629" s="76" t="s">
        <v>2674</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2762</v>
      </c>
      <c r="G630" s="73"/>
      <c r="H630" s="76" t="s">
        <v>2675</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2627</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2628</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2627</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2565</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2628</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2629</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2630</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2631</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2632</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2955</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2956</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2957</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2631</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2632</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2631</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2329</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2631</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2632</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2631</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2632</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2631</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2629</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2630</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2629</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2630</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2946</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2947</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2629</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1298</v>
      </c>
      <c r="G700" s="73"/>
      <c r="H700" s="76" t="s">
        <v>2630</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2711</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2717</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2712</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2713</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2714</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2715</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2716</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2570</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2566</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2721</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2718</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2703</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2489</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2490</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2491</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2492</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2493</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2494</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2495</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2496</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2497</v>
      </c>
      <c r="G908" s="73"/>
      <c r="H908" s="76" t="s">
        <v>2699</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2498</v>
      </c>
      <c r="G909" s="73"/>
      <c r="H909" s="76" t="s">
        <v>2701</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2499</v>
      </c>
      <c r="G910" s="73"/>
      <c r="H910" s="76" t="s">
        <v>2700</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2500</v>
      </c>
      <c r="G911" s="73"/>
      <c r="H911" s="76" t="s">
        <v>2702</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2501</v>
      </c>
      <c r="G912" s="73"/>
      <c r="H912" s="76" t="s">
        <v>2752</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2763</v>
      </c>
      <c r="AG912" s="76"/>
      <c r="AH912" s="76">
        <v>1</v>
      </c>
      <c r="AI912" s="76">
        <v>1</v>
      </c>
      <c r="AJ912" s="73"/>
      <c r="AK912" s="57"/>
      <c r="AL912" s="45"/>
      <c r="AM912" s="45"/>
      <c r="AN912" s="45"/>
    </row>
    <row r="913" spans="1:40" outlineLevel="2" x14ac:dyDescent="0.25">
      <c r="A913" s="45"/>
      <c r="B913" s="54"/>
      <c r="C913" s="47">
        <f t="shared" si="171"/>
        <v>3</v>
      </c>
      <c r="D913" s="73"/>
      <c r="E913" s="70"/>
      <c r="F913" s="70" t="s">
        <v>2502</v>
      </c>
      <c r="G913" s="73"/>
      <c r="H913" s="76" t="s">
        <v>2701</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2802</v>
      </c>
      <c r="AG913" s="76"/>
      <c r="AH913" s="97">
        <v>1</v>
      </c>
      <c r="AI913" s="97">
        <v>1</v>
      </c>
      <c r="AJ913" s="73"/>
      <c r="AK913" s="57"/>
      <c r="AL913" s="45"/>
      <c r="AM913" s="45"/>
      <c r="AN913" s="45"/>
    </row>
    <row r="914" spans="1:40" outlineLevel="2" x14ac:dyDescent="0.25">
      <c r="A914" s="45"/>
      <c r="B914" s="54"/>
      <c r="C914" s="47">
        <f t="shared" si="171"/>
        <v>3</v>
      </c>
      <c r="D914" s="73"/>
      <c r="E914" s="70"/>
      <c r="F914" s="70" t="s">
        <v>2503</v>
      </c>
      <c r="G914" s="73"/>
      <c r="H914" s="76" t="s">
        <v>2700</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2504</v>
      </c>
      <c r="G915" s="73"/>
      <c r="H915" s="76" t="s">
        <v>2702</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2505</v>
      </c>
      <c r="G916" s="73"/>
      <c r="H916" s="76" t="s">
        <v>2513</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2521</v>
      </c>
      <c r="AG916" s="76"/>
      <c r="AH916" s="76">
        <v>1</v>
      </c>
      <c r="AI916" s="76">
        <v>1</v>
      </c>
      <c r="AJ916" s="73"/>
      <c r="AK916" s="57"/>
      <c r="AL916" s="45"/>
      <c r="AM916" s="45"/>
      <c r="AN916" s="45"/>
    </row>
    <row r="917" spans="1:40" outlineLevel="2" x14ac:dyDescent="0.25">
      <c r="A917" s="45"/>
      <c r="B917" s="54"/>
      <c r="C917" s="47">
        <f t="shared" si="171"/>
        <v>3</v>
      </c>
      <c r="D917" s="73"/>
      <c r="E917" s="70"/>
      <c r="F917" s="70" t="s">
        <v>2506</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2517</v>
      </c>
      <c r="AG917" s="76"/>
      <c r="AH917" s="97">
        <v>1</v>
      </c>
      <c r="AI917" s="97">
        <v>1</v>
      </c>
      <c r="AJ917" s="73"/>
      <c r="AK917" s="57"/>
      <c r="AL917" s="45"/>
      <c r="AM917" s="45"/>
      <c r="AN917" s="45"/>
    </row>
    <row r="918" spans="1:40" outlineLevel="2" x14ac:dyDescent="0.25">
      <c r="A918" s="45"/>
      <c r="B918" s="54"/>
      <c r="C918" s="47">
        <f t="shared" si="171"/>
        <v>3</v>
      </c>
      <c r="D918" s="73"/>
      <c r="E918" s="70"/>
      <c r="F918" s="70" t="s">
        <v>2507</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2508</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2520</v>
      </c>
      <c r="AG919" s="76"/>
      <c r="AH919" s="76">
        <v>1</v>
      </c>
      <c r="AI919" s="76">
        <v>1</v>
      </c>
      <c r="AJ919" s="73"/>
      <c r="AK919" s="57"/>
      <c r="AL919" s="45"/>
      <c r="AM919" s="45"/>
      <c r="AN919" s="45"/>
    </row>
    <row r="920" spans="1:40" outlineLevel="2" x14ac:dyDescent="0.25">
      <c r="A920" s="45"/>
      <c r="B920" s="54"/>
      <c r="C920" s="47">
        <f t="shared" si="171"/>
        <v>3</v>
      </c>
      <c r="D920" s="73"/>
      <c r="E920" s="70"/>
      <c r="F920" s="70" t="s">
        <v>2509</v>
      </c>
      <c r="G920" s="73"/>
      <c r="H920" s="76" t="s">
        <v>3326</v>
      </c>
      <c r="I920" s="96" t="s">
        <v>502</v>
      </c>
      <c r="J920" s="96"/>
      <c r="K920" s="76"/>
      <c r="L920" s="76"/>
      <c r="M920" s="76"/>
      <c r="N920" s="76"/>
      <c r="O920" s="76"/>
      <c r="P920" s="76"/>
      <c r="Q920" s="76"/>
      <c r="R920" s="76"/>
      <c r="S920" s="76"/>
      <c r="T920" s="76" t="s">
        <v>3299</v>
      </c>
      <c r="U920" s="97">
        <v>0</v>
      </c>
      <c r="V920" s="255">
        <f>U920</f>
        <v>0</v>
      </c>
      <c r="W920" s="648">
        <f>W924</f>
        <v>1.80097</v>
      </c>
      <c r="X920" s="648">
        <f t="shared" ref="X920:Y920" si="183">X924</f>
        <v>1.9570099999999999</v>
      </c>
      <c r="Y920" s="648">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2734</v>
      </c>
      <c r="AG920" s="76"/>
      <c r="AH920" s="76">
        <v>1</v>
      </c>
      <c r="AI920" s="76">
        <v>1</v>
      </c>
      <c r="AJ920" s="73"/>
      <c r="AK920" s="57"/>
      <c r="AL920" s="45"/>
      <c r="AM920" s="45"/>
      <c r="AN920" s="45"/>
    </row>
    <row r="921" spans="1:40" outlineLevel="2" x14ac:dyDescent="0.25">
      <c r="A921" s="45"/>
      <c r="B921" s="54"/>
      <c r="C921" s="47">
        <f t="shared" si="171"/>
        <v>3</v>
      </c>
      <c r="D921" s="73"/>
      <c r="E921" s="70"/>
      <c r="F921" s="70" t="s">
        <v>2510</v>
      </c>
      <c r="G921" s="73"/>
      <c r="H921" s="76" t="s">
        <v>2514</v>
      </c>
      <c r="I921" s="96" t="s">
        <v>502</v>
      </c>
      <c r="J921" s="96"/>
      <c r="K921" s="76"/>
      <c r="L921" s="76"/>
      <c r="M921" s="76"/>
      <c r="N921" s="76"/>
      <c r="O921" s="76"/>
      <c r="P921" s="76"/>
      <c r="Q921" s="76"/>
      <c r="R921" s="76"/>
      <c r="S921" s="76"/>
      <c r="T921" s="76" t="s">
        <v>3299</v>
      </c>
      <c r="U921" s="97">
        <v>3.8066000000000004</v>
      </c>
      <c r="V921" s="255">
        <f>U921</f>
        <v>3.8066000000000004</v>
      </c>
      <c r="W921" s="648">
        <f t="shared" ref="W921:Y921" si="188">W925</f>
        <v>5.2321099999999996</v>
      </c>
      <c r="X921" s="648">
        <f t="shared" si="188"/>
        <v>5.3830999999999998</v>
      </c>
      <c r="Y921" s="648">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outlineLevel="2" x14ac:dyDescent="0.25">
      <c r="A922" s="45"/>
      <c r="B922" s="54"/>
      <c r="C922" s="47">
        <f t="shared" si="171"/>
        <v>3</v>
      </c>
      <c r="D922" s="73"/>
      <c r="E922" s="70"/>
      <c r="F922" s="70" t="s">
        <v>2511</v>
      </c>
      <c r="G922" s="73"/>
      <c r="H922" s="76" t="s">
        <v>2515</v>
      </c>
      <c r="I922" s="96" t="s">
        <v>502</v>
      </c>
      <c r="J922" s="96"/>
      <c r="K922" s="76"/>
      <c r="L922" s="76"/>
      <c r="M922" s="76"/>
      <c r="N922" s="76"/>
      <c r="O922" s="76"/>
      <c r="P922" s="76"/>
      <c r="Q922" s="76"/>
      <c r="R922" s="76"/>
      <c r="S922" s="76"/>
      <c r="T922" s="76"/>
      <c r="U922" s="97">
        <v>7.3066000000000004</v>
      </c>
      <c r="V922" s="255">
        <f>U922</f>
        <v>7.3066000000000004</v>
      </c>
      <c r="W922" s="648">
        <f t="shared" ref="W922:Y922" si="189">W926</f>
        <v>7.9349999999999996</v>
      </c>
      <c r="X922" s="648">
        <f t="shared" si="189"/>
        <v>7.9349999999999996</v>
      </c>
      <c r="Y922" s="648">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2766</v>
      </c>
      <c r="AG922" s="76"/>
      <c r="AH922" s="97">
        <v>1</v>
      </c>
      <c r="AI922" s="97">
        <v>1</v>
      </c>
      <c r="AJ922" s="73"/>
      <c r="AK922" s="57"/>
      <c r="AL922" s="45"/>
      <c r="AM922" s="45"/>
      <c r="AN922" s="45"/>
    </row>
    <row r="923" spans="1:40" outlineLevel="2" x14ac:dyDescent="0.25">
      <c r="A923" s="45"/>
      <c r="B923" s="54"/>
      <c r="C923" s="47">
        <f t="shared" si="171"/>
        <v>3</v>
      </c>
      <c r="D923" s="73"/>
      <c r="E923" s="70"/>
      <c r="F923" s="70" t="s">
        <v>2512</v>
      </c>
      <c r="G923" s="73"/>
      <c r="H923" s="76" t="s">
        <v>2516</v>
      </c>
      <c r="I923" s="96" t="s">
        <v>502</v>
      </c>
      <c r="J923" s="96"/>
      <c r="K923" s="76"/>
      <c r="L923" s="76"/>
      <c r="M923" s="76"/>
      <c r="N923" s="76"/>
      <c r="O923" s="76"/>
      <c r="P923" s="76"/>
      <c r="Q923" s="76"/>
      <c r="R923" s="76"/>
      <c r="S923" s="76"/>
      <c r="T923" s="76"/>
      <c r="U923" s="76">
        <v>100</v>
      </c>
      <c r="V923" s="76">
        <f t="shared" si="179"/>
        <v>100</v>
      </c>
      <c r="W923" s="648">
        <f t="shared" ref="W923:Y923" si="190">W927</f>
        <v>100</v>
      </c>
      <c r="X923" s="648">
        <f t="shared" si="190"/>
        <v>100</v>
      </c>
      <c r="Y923" s="648">
        <f t="shared" si="190"/>
        <v>100</v>
      </c>
      <c r="Z923" s="76">
        <f t="shared" si="184"/>
        <v>100</v>
      </c>
      <c r="AA923" s="76">
        <v>100</v>
      </c>
      <c r="AB923" s="76">
        <f t="shared" si="185"/>
        <v>100</v>
      </c>
      <c r="AC923" s="76">
        <f t="shared" si="186"/>
        <v>100</v>
      </c>
      <c r="AD923" s="76">
        <f t="shared" si="187"/>
        <v>100</v>
      </c>
      <c r="AE923" s="76"/>
      <c r="AF923" s="264" t="s">
        <v>2520</v>
      </c>
      <c r="AG923" s="76"/>
      <c r="AH923" s="76">
        <v>1</v>
      </c>
      <c r="AI923" s="76">
        <v>1</v>
      </c>
      <c r="AJ923" s="73"/>
      <c r="AK923" s="57"/>
      <c r="AL923" s="45"/>
      <c r="AM923" s="45"/>
      <c r="AN923" s="45"/>
    </row>
    <row r="924" spans="1:40" outlineLevel="2" x14ac:dyDescent="0.25">
      <c r="A924" s="45"/>
      <c r="B924" s="54"/>
      <c r="C924" s="47">
        <f t="shared" si="171"/>
        <v>3</v>
      </c>
      <c r="D924" s="73"/>
      <c r="E924" s="70"/>
      <c r="F924" s="70" t="s">
        <v>3331</v>
      </c>
      <c r="G924" s="73"/>
      <c r="H924" s="76" t="s">
        <v>2574</v>
      </c>
      <c r="I924" s="96" t="s">
        <v>502</v>
      </c>
      <c r="J924" s="96"/>
      <c r="K924" s="76"/>
      <c r="L924" s="76"/>
      <c r="M924" s="76"/>
      <c r="N924" s="76"/>
      <c r="O924" s="76"/>
      <c r="P924" s="76"/>
      <c r="Q924" s="76"/>
      <c r="R924" s="76"/>
      <c r="S924" s="76"/>
      <c r="T924" s="76" t="s">
        <v>3299</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2734</v>
      </c>
      <c r="AG924" s="76"/>
      <c r="AH924" s="76">
        <v>1</v>
      </c>
      <c r="AI924" s="76">
        <v>1</v>
      </c>
      <c r="AJ924" s="73"/>
      <c r="AK924" s="57"/>
      <c r="AL924" s="45"/>
      <c r="AM924" s="45"/>
      <c r="AN924" s="45"/>
    </row>
    <row r="925" spans="1:40" outlineLevel="2" x14ac:dyDescent="0.25">
      <c r="A925" s="45"/>
      <c r="B925" s="54"/>
      <c r="C925" s="47">
        <f t="shared" si="171"/>
        <v>3</v>
      </c>
      <c r="D925" s="73"/>
      <c r="E925" s="70"/>
      <c r="F925" s="70" t="s">
        <v>3332</v>
      </c>
      <c r="G925" s="73"/>
      <c r="H925" s="76" t="s">
        <v>2514</v>
      </c>
      <c r="I925" s="96" t="s">
        <v>502</v>
      </c>
      <c r="J925" s="96"/>
      <c r="K925" s="76"/>
      <c r="L925" s="76"/>
      <c r="M925" s="76"/>
      <c r="N925" s="76"/>
      <c r="O925" s="76"/>
      <c r="P925" s="76"/>
      <c r="Q925" s="76"/>
      <c r="R925" s="76"/>
      <c r="S925" s="76"/>
      <c r="T925" s="76" t="s">
        <v>3299</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3333</v>
      </c>
      <c r="G926" s="73"/>
      <c r="H926" s="76" t="s">
        <v>2515</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2766</v>
      </c>
      <c r="AG926" s="76"/>
      <c r="AH926" s="97">
        <v>1</v>
      </c>
      <c r="AI926" s="97">
        <v>1</v>
      </c>
      <c r="AJ926" s="73"/>
      <c r="AK926" s="57"/>
      <c r="AL926" s="45"/>
      <c r="AM926" s="45"/>
      <c r="AN926" s="45"/>
    </row>
    <row r="927" spans="1:40" outlineLevel="2" x14ac:dyDescent="0.25">
      <c r="A927" s="45"/>
      <c r="B927" s="54"/>
      <c r="C927" s="47">
        <f t="shared" si="171"/>
        <v>3</v>
      </c>
      <c r="D927" s="73"/>
      <c r="E927" s="70"/>
      <c r="F927" s="70" t="s">
        <v>3334</v>
      </c>
      <c r="G927" s="73"/>
      <c r="H927" s="76" t="s">
        <v>2516</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2520</v>
      </c>
      <c r="AG927" s="76"/>
      <c r="AH927" s="76">
        <v>1</v>
      </c>
      <c r="AI927" s="76">
        <v>1</v>
      </c>
      <c r="AJ927" s="73"/>
      <c r="AK927" s="57"/>
      <c r="AL927" s="45"/>
      <c r="AM927" s="45"/>
      <c r="AN927" s="45"/>
    </row>
    <row r="928" spans="1:40" outlineLevel="2" x14ac:dyDescent="0.25">
      <c r="A928" s="45"/>
      <c r="B928" s="54"/>
      <c r="C928" s="47">
        <f t="shared" si="171"/>
        <v>3</v>
      </c>
      <c r="D928" s="73"/>
      <c r="E928" s="70"/>
      <c r="F928" s="70" t="s">
        <v>3381</v>
      </c>
      <c r="G928" s="73"/>
      <c r="H928" s="76" t="s">
        <v>3755</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3380</v>
      </c>
      <c r="AG928" s="76"/>
      <c r="AH928" s="76">
        <v>1</v>
      </c>
      <c r="AI928" s="76">
        <v>1</v>
      </c>
      <c r="AJ928" s="73"/>
      <c r="AK928" s="57"/>
      <c r="AL928" s="45"/>
      <c r="AM928" s="45"/>
      <c r="AN928" s="45"/>
    </row>
    <row r="929" spans="1:40" outlineLevel="2" x14ac:dyDescent="0.25">
      <c r="A929" s="45"/>
      <c r="B929" s="54"/>
      <c r="C929" s="47">
        <f t="shared" si="171"/>
        <v>3</v>
      </c>
      <c r="D929" s="73"/>
      <c r="E929" s="70"/>
      <c r="F929" s="70" t="s">
        <v>3382</v>
      </c>
      <c r="G929" s="73"/>
      <c r="H929" s="76" t="s">
        <v>2514</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3760</v>
      </c>
      <c r="AG929" s="76"/>
      <c r="AH929" s="97">
        <v>1</v>
      </c>
      <c r="AI929" s="97">
        <v>1</v>
      </c>
      <c r="AJ929" s="73"/>
      <c r="AK929" s="57"/>
      <c r="AL929" s="45"/>
      <c r="AM929" s="45"/>
      <c r="AN929" s="45"/>
    </row>
    <row r="930" spans="1:40" outlineLevel="2" x14ac:dyDescent="0.25">
      <c r="A930" s="45"/>
      <c r="B930" s="54"/>
      <c r="C930" s="47">
        <f t="shared" si="171"/>
        <v>3</v>
      </c>
      <c r="D930" s="73"/>
      <c r="E930" s="70"/>
      <c r="F930" s="70" t="s">
        <v>3383</v>
      </c>
      <c r="G930" s="73"/>
      <c r="H930" s="76" t="s">
        <v>2515</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3384</v>
      </c>
      <c r="G931" s="73"/>
      <c r="H931" s="76" t="s">
        <v>2516</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3379</v>
      </c>
      <c r="AG931" s="76"/>
      <c r="AH931" s="76">
        <v>1</v>
      </c>
      <c r="AI931" s="76">
        <v>1</v>
      </c>
      <c r="AJ931" s="73"/>
      <c r="AK931" s="57"/>
      <c r="AL931" s="45"/>
      <c r="AM931" s="45"/>
      <c r="AN931" s="45"/>
    </row>
    <row r="932" spans="1:40" outlineLevel="2" x14ac:dyDescent="0.25">
      <c r="A932" s="45"/>
      <c r="B932" s="54"/>
      <c r="C932" s="47">
        <f t="shared" si="171"/>
        <v>3</v>
      </c>
      <c r="D932" s="73"/>
      <c r="E932" s="70"/>
      <c r="F932" s="70" t="s">
        <v>3385</v>
      </c>
      <c r="G932" s="73"/>
      <c r="H932" s="76" t="s">
        <v>3756</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3380</v>
      </c>
      <c r="AG932" s="76"/>
      <c r="AH932" s="76">
        <v>1</v>
      </c>
      <c r="AI932" s="76">
        <v>1</v>
      </c>
      <c r="AJ932" s="73"/>
      <c r="AK932" s="57"/>
      <c r="AL932" s="45"/>
      <c r="AM932" s="45"/>
      <c r="AN932" s="45"/>
    </row>
    <row r="933" spans="1:40" outlineLevel="2" x14ac:dyDescent="0.25">
      <c r="A933" s="45"/>
      <c r="B933" s="54"/>
      <c r="C933" s="47">
        <f t="shared" si="171"/>
        <v>3</v>
      </c>
      <c r="D933" s="73"/>
      <c r="E933" s="70"/>
      <c r="F933" s="70" t="s">
        <v>3386</v>
      </c>
      <c r="G933" s="73"/>
      <c r="H933" s="76" t="s">
        <v>2514</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3760</v>
      </c>
      <c r="AG933" s="76"/>
      <c r="AH933" s="97">
        <v>1</v>
      </c>
      <c r="AI933" s="97">
        <v>1</v>
      </c>
      <c r="AJ933" s="73"/>
      <c r="AK933" s="57"/>
      <c r="AL933" s="45"/>
      <c r="AM933" s="45"/>
      <c r="AN933" s="45"/>
    </row>
    <row r="934" spans="1:40" outlineLevel="2" x14ac:dyDescent="0.25">
      <c r="A934" s="45"/>
      <c r="B934" s="54"/>
      <c r="C934" s="47">
        <f t="shared" si="171"/>
        <v>3</v>
      </c>
      <c r="D934" s="73"/>
      <c r="E934" s="70"/>
      <c r="F934" s="70" t="s">
        <v>3387</v>
      </c>
      <c r="G934" s="73"/>
      <c r="H934" s="76" t="s">
        <v>2515</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3388</v>
      </c>
      <c r="G935" s="73"/>
      <c r="H935" s="76" t="s">
        <v>2516</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3379</v>
      </c>
      <c r="AG935" s="76"/>
      <c r="AH935" s="76">
        <v>1</v>
      </c>
      <c r="AI935" s="76">
        <v>1</v>
      </c>
      <c r="AJ935" s="73"/>
      <c r="AK935" s="57"/>
      <c r="AL935" s="45"/>
      <c r="AM935" s="45"/>
      <c r="AN935" s="45"/>
    </row>
    <row r="936" spans="1:40" outlineLevel="2" x14ac:dyDescent="0.25">
      <c r="A936" s="45"/>
      <c r="B936" s="54"/>
      <c r="C936" s="47">
        <f t="shared" si="171"/>
        <v>3</v>
      </c>
      <c r="D936" s="73"/>
      <c r="E936" s="70"/>
      <c r="F936" s="70" t="s">
        <v>3389</v>
      </c>
      <c r="G936" s="73"/>
      <c r="H936" s="76" t="s">
        <v>3757</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3380</v>
      </c>
      <c r="AG936" s="76"/>
      <c r="AH936" s="76">
        <v>1</v>
      </c>
      <c r="AI936" s="76">
        <v>1</v>
      </c>
      <c r="AJ936" s="73"/>
      <c r="AK936" s="57"/>
      <c r="AL936" s="45"/>
      <c r="AM936" s="45"/>
      <c r="AN936" s="45"/>
    </row>
    <row r="937" spans="1:40" outlineLevel="2" x14ac:dyDescent="0.25">
      <c r="A937" s="45"/>
      <c r="B937" s="54"/>
      <c r="C937" s="47">
        <f t="shared" si="171"/>
        <v>3</v>
      </c>
      <c r="D937" s="73"/>
      <c r="E937" s="70"/>
      <c r="F937" s="70" t="s">
        <v>3390</v>
      </c>
      <c r="G937" s="73"/>
      <c r="H937" s="76" t="s">
        <v>2514</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3760</v>
      </c>
      <c r="AG937" s="76"/>
      <c r="AH937" s="97">
        <v>1</v>
      </c>
      <c r="AI937" s="97">
        <v>1</v>
      </c>
      <c r="AJ937" s="73"/>
      <c r="AK937" s="57"/>
      <c r="AL937" s="45"/>
      <c r="AM937" s="45"/>
      <c r="AN937" s="45"/>
    </row>
    <row r="938" spans="1:40" outlineLevel="2" x14ac:dyDescent="0.25">
      <c r="A938" s="45"/>
      <c r="B938" s="54"/>
      <c r="C938" s="47">
        <f t="shared" si="171"/>
        <v>3</v>
      </c>
      <c r="D938" s="73"/>
      <c r="E938" s="70"/>
      <c r="F938" s="70" t="s">
        <v>3391</v>
      </c>
      <c r="G938" s="73"/>
      <c r="H938" s="76" t="s">
        <v>2515</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3392</v>
      </c>
      <c r="G939" s="73"/>
      <c r="H939" s="76" t="s">
        <v>2516</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3379</v>
      </c>
      <c r="AG939" s="76"/>
      <c r="AH939" s="76">
        <v>1</v>
      </c>
      <c r="AI939" s="76">
        <v>1</v>
      </c>
      <c r="AJ939" s="73"/>
      <c r="AK939" s="57"/>
      <c r="AL939" s="45"/>
      <c r="AM939" s="45"/>
      <c r="AN939" s="45"/>
    </row>
    <row r="940" spans="1:40" outlineLevel="2" x14ac:dyDescent="0.25">
      <c r="A940" s="45"/>
      <c r="B940" s="54"/>
      <c r="C940" s="47">
        <f t="shared" si="171"/>
        <v>3</v>
      </c>
      <c r="D940" s="73"/>
      <c r="E940" s="70"/>
      <c r="F940" s="70" t="s">
        <v>3393</v>
      </c>
      <c r="G940" s="73"/>
      <c r="H940" s="76" t="s">
        <v>3758</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3380</v>
      </c>
      <c r="AG940" s="76"/>
      <c r="AH940" s="76">
        <v>1</v>
      </c>
      <c r="AI940" s="76">
        <v>1</v>
      </c>
      <c r="AJ940" s="73"/>
      <c r="AK940" s="57"/>
      <c r="AL940" s="45"/>
      <c r="AM940" s="45"/>
      <c r="AN940" s="45"/>
    </row>
    <row r="941" spans="1:40" outlineLevel="2" x14ac:dyDescent="0.25">
      <c r="A941" s="45"/>
      <c r="B941" s="54"/>
      <c r="C941" s="47">
        <f t="shared" si="171"/>
        <v>3</v>
      </c>
      <c r="D941" s="73"/>
      <c r="E941" s="70"/>
      <c r="F941" s="70" t="s">
        <v>3394</v>
      </c>
      <c r="G941" s="73"/>
      <c r="H941" s="76" t="s">
        <v>2514</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3760</v>
      </c>
      <c r="AG941" s="76"/>
      <c r="AH941" s="97">
        <v>1</v>
      </c>
      <c r="AI941" s="97">
        <v>1</v>
      </c>
      <c r="AJ941" s="73"/>
      <c r="AK941" s="57"/>
      <c r="AL941" s="45"/>
      <c r="AM941" s="45"/>
      <c r="AN941" s="45"/>
    </row>
    <row r="942" spans="1:40" outlineLevel="2" x14ac:dyDescent="0.25">
      <c r="A942" s="45"/>
      <c r="B942" s="54"/>
      <c r="C942" s="47">
        <f t="shared" si="171"/>
        <v>3</v>
      </c>
      <c r="D942" s="73"/>
      <c r="E942" s="70"/>
      <c r="F942" s="70" t="s">
        <v>3395</v>
      </c>
      <c r="G942" s="73"/>
      <c r="H942" s="76" t="s">
        <v>2515</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25">
      <c r="A943" s="45"/>
      <c r="B943" s="54"/>
      <c r="C943" s="47">
        <f t="shared" si="171"/>
        <v>3</v>
      </c>
      <c r="D943" s="73"/>
      <c r="E943" s="70"/>
      <c r="F943" s="70" t="s">
        <v>3396</v>
      </c>
      <c r="G943" s="73"/>
      <c r="H943" s="76" t="s">
        <v>2516</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3379</v>
      </c>
      <c r="AG943" s="76"/>
      <c r="AH943" s="76">
        <v>1</v>
      </c>
      <c r="AI943" s="76">
        <v>1</v>
      </c>
      <c r="AJ943" s="73"/>
      <c r="AK943" s="57"/>
      <c r="AL943" s="45"/>
      <c r="AM943" s="45"/>
      <c r="AN943" s="45"/>
    </row>
    <row r="944" spans="1:40" outlineLevel="2" x14ac:dyDescent="0.25">
      <c r="A944" s="45"/>
      <c r="B944" s="54"/>
      <c r="C944" s="47">
        <f t="shared" si="171"/>
        <v>3</v>
      </c>
      <c r="D944" s="73"/>
      <c r="E944" s="70"/>
      <c r="F944" s="70" t="s">
        <v>3398</v>
      </c>
      <c r="G944" s="73"/>
      <c r="H944" s="76" t="s">
        <v>3759</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3380</v>
      </c>
      <c r="AG944" s="76"/>
      <c r="AH944" s="76">
        <v>1</v>
      </c>
      <c r="AI944" s="76">
        <v>1</v>
      </c>
      <c r="AJ944" s="73"/>
      <c r="AK944" s="57"/>
      <c r="AL944" s="45"/>
      <c r="AM944" s="45"/>
      <c r="AN944" s="45"/>
    </row>
    <row r="945" spans="1:40" outlineLevel="2" x14ac:dyDescent="0.25">
      <c r="A945" s="45"/>
      <c r="B945" s="54"/>
      <c r="C945" s="47">
        <f t="shared" ref="C945:C983" si="235">INT($C$29)+2</f>
        <v>3</v>
      </c>
      <c r="D945" s="73"/>
      <c r="E945" s="70"/>
      <c r="F945" s="70" t="s">
        <v>3399</v>
      </c>
      <c r="G945" s="73"/>
      <c r="H945" s="76" t="s">
        <v>2514</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3760</v>
      </c>
      <c r="AG945" s="76"/>
      <c r="AH945" s="97">
        <v>1</v>
      </c>
      <c r="AI945" s="97">
        <v>1</v>
      </c>
      <c r="AJ945" s="73"/>
      <c r="AK945" s="57"/>
      <c r="AL945" s="45"/>
      <c r="AM945" s="45"/>
      <c r="AN945" s="45"/>
    </row>
    <row r="946" spans="1:40" outlineLevel="2" x14ac:dyDescent="0.25">
      <c r="A946" s="45"/>
      <c r="B946" s="54"/>
      <c r="C946" s="47">
        <f t="shared" si="235"/>
        <v>3</v>
      </c>
      <c r="D946" s="73"/>
      <c r="E946" s="70"/>
      <c r="F946" s="70" t="s">
        <v>3400</v>
      </c>
      <c r="G946" s="73"/>
      <c r="H946" s="76" t="s">
        <v>2515</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25">
      <c r="A947" s="45"/>
      <c r="B947" s="54"/>
      <c r="C947" s="47">
        <f t="shared" si="235"/>
        <v>3</v>
      </c>
      <c r="D947" s="73"/>
      <c r="E947" s="70"/>
      <c r="F947" s="70" t="s">
        <v>3401</v>
      </c>
      <c r="G947" s="73"/>
      <c r="H947" s="76" t="s">
        <v>2516</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25">
      <c r="A948" s="45"/>
      <c r="B948" s="54"/>
      <c r="C948" s="47">
        <f t="shared" si="235"/>
        <v>3</v>
      </c>
      <c r="D948" s="73"/>
      <c r="E948" s="70"/>
      <c r="F948" s="70" t="s">
        <v>3402</v>
      </c>
      <c r="G948" s="73"/>
      <c r="H948" s="76" t="s">
        <v>3762</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3380</v>
      </c>
      <c r="AG948" s="76"/>
      <c r="AH948" s="76">
        <v>1</v>
      </c>
      <c r="AI948" s="76">
        <v>1</v>
      </c>
      <c r="AJ948" s="73"/>
      <c r="AK948" s="57"/>
      <c r="AL948" s="45"/>
      <c r="AM948" s="45"/>
      <c r="AN948" s="45"/>
    </row>
    <row r="949" spans="1:40" outlineLevel="2" x14ac:dyDescent="0.25">
      <c r="A949" s="45"/>
      <c r="B949" s="54"/>
      <c r="C949" s="47">
        <f t="shared" si="235"/>
        <v>3</v>
      </c>
      <c r="D949" s="73"/>
      <c r="E949" s="70"/>
      <c r="F949" s="70" t="s">
        <v>3403</v>
      </c>
      <c r="G949" s="73"/>
      <c r="H949" s="76" t="s">
        <v>2514</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3397</v>
      </c>
      <c r="AG949" s="76"/>
      <c r="AH949" s="97">
        <v>1</v>
      </c>
      <c r="AI949" s="97">
        <v>1</v>
      </c>
      <c r="AJ949" s="73"/>
      <c r="AK949" s="57"/>
      <c r="AL949" s="45"/>
      <c r="AM949" s="45"/>
      <c r="AN949" s="45"/>
    </row>
    <row r="950" spans="1:40" outlineLevel="2" x14ac:dyDescent="0.25">
      <c r="A950" s="45"/>
      <c r="B950" s="54"/>
      <c r="C950" s="47">
        <f t="shared" si="235"/>
        <v>3</v>
      </c>
      <c r="D950" s="73"/>
      <c r="E950" s="70"/>
      <c r="F950" s="70" t="s">
        <v>3404</v>
      </c>
      <c r="G950" s="73"/>
      <c r="H950" s="76" t="s">
        <v>2515</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25">
      <c r="A951" s="45"/>
      <c r="B951" s="54"/>
      <c r="C951" s="47">
        <f t="shared" si="235"/>
        <v>3</v>
      </c>
      <c r="D951" s="73"/>
      <c r="E951" s="70"/>
      <c r="F951" s="70" t="s">
        <v>3405</v>
      </c>
      <c r="G951" s="73"/>
      <c r="H951" s="76" t="s">
        <v>2516</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3379</v>
      </c>
      <c r="AG951" s="76"/>
      <c r="AH951" s="76">
        <v>1</v>
      </c>
      <c r="AI951" s="76">
        <v>1</v>
      </c>
      <c r="AJ951" s="73"/>
      <c r="AK951" s="57"/>
      <c r="AL951" s="45"/>
      <c r="AM951" s="45"/>
      <c r="AN951" s="45"/>
    </row>
    <row r="952" spans="1:40" outlineLevel="2" x14ac:dyDescent="0.25">
      <c r="A952" s="45"/>
      <c r="B952" s="54"/>
      <c r="C952" s="47">
        <f t="shared" si="235"/>
        <v>3</v>
      </c>
      <c r="D952" s="73"/>
      <c r="E952" s="70"/>
      <c r="F952" s="70" t="s">
        <v>3406</v>
      </c>
      <c r="G952" s="73"/>
      <c r="H952" s="76" t="s">
        <v>3763</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3380</v>
      </c>
      <c r="AG952" s="76"/>
      <c r="AH952" s="76">
        <v>1</v>
      </c>
      <c r="AI952" s="76">
        <v>1</v>
      </c>
      <c r="AJ952" s="73"/>
      <c r="AK952" s="57"/>
      <c r="AL952" s="45"/>
      <c r="AM952" s="45"/>
      <c r="AN952" s="45"/>
    </row>
    <row r="953" spans="1:40" outlineLevel="2" x14ac:dyDescent="0.25">
      <c r="A953" s="45"/>
      <c r="B953" s="54"/>
      <c r="C953" s="47">
        <f t="shared" si="235"/>
        <v>3</v>
      </c>
      <c r="D953" s="73"/>
      <c r="E953" s="70"/>
      <c r="F953" s="70" t="s">
        <v>3407</v>
      </c>
      <c r="G953" s="73"/>
      <c r="H953" s="76" t="s">
        <v>2514</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3397</v>
      </c>
      <c r="AG953" s="76"/>
      <c r="AH953" s="97">
        <v>1</v>
      </c>
      <c r="AI953" s="97">
        <v>1</v>
      </c>
      <c r="AJ953" s="73"/>
      <c r="AK953" s="57"/>
      <c r="AL953" s="45"/>
      <c r="AM953" s="45"/>
      <c r="AN953" s="45"/>
    </row>
    <row r="954" spans="1:40" outlineLevel="2" x14ac:dyDescent="0.25">
      <c r="A954" s="45"/>
      <c r="B954" s="54"/>
      <c r="C954" s="47">
        <f t="shared" si="235"/>
        <v>3</v>
      </c>
      <c r="D954" s="73"/>
      <c r="E954" s="70"/>
      <c r="F954" s="70" t="s">
        <v>3408</v>
      </c>
      <c r="G954" s="73"/>
      <c r="H954" s="76" t="s">
        <v>2515</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25">
      <c r="A955" s="45"/>
      <c r="B955" s="54"/>
      <c r="C955" s="47">
        <f t="shared" si="235"/>
        <v>3</v>
      </c>
      <c r="D955" s="73"/>
      <c r="E955" s="70"/>
      <c r="F955" s="70" t="s">
        <v>3409</v>
      </c>
      <c r="G955" s="73"/>
      <c r="H955" s="76" t="s">
        <v>2516</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3379</v>
      </c>
      <c r="AG955" s="76"/>
      <c r="AH955" s="76">
        <v>1</v>
      </c>
      <c r="AI955" s="76">
        <v>1</v>
      </c>
      <c r="AJ955" s="73"/>
      <c r="AK955" s="57"/>
      <c r="AL955" s="45"/>
      <c r="AM955" s="45"/>
      <c r="AN955" s="45"/>
    </row>
    <row r="956" spans="1:40" outlineLevel="2" x14ac:dyDescent="0.25">
      <c r="A956" s="45"/>
      <c r="B956" s="54"/>
      <c r="C956" s="47">
        <f t="shared" si="235"/>
        <v>3</v>
      </c>
      <c r="D956" s="73"/>
      <c r="E956" s="70"/>
      <c r="F956" s="70" t="s">
        <v>3410</v>
      </c>
      <c r="G956" s="73"/>
      <c r="H956" s="76" t="s">
        <v>3764</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3380</v>
      </c>
      <c r="AG956" s="76"/>
      <c r="AH956" s="76">
        <v>1</v>
      </c>
      <c r="AI956" s="76">
        <v>1</v>
      </c>
      <c r="AJ956" s="73"/>
      <c r="AK956" s="57"/>
      <c r="AL956" s="45"/>
      <c r="AM956" s="45"/>
      <c r="AN956" s="45"/>
    </row>
    <row r="957" spans="1:40" outlineLevel="2" x14ac:dyDescent="0.25">
      <c r="A957" s="45"/>
      <c r="B957" s="54"/>
      <c r="C957" s="47">
        <f t="shared" si="235"/>
        <v>3</v>
      </c>
      <c r="D957" s="73"/>
      <c r="E957" s="70"/>
      <c r="F957" s="70" t="s">
        <v>3411</v>
      </c>
      <c r="G957" s="73"/>
      <c r="H957" s="76" t="s">
        <v>2514</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3397</v>
      </c>
      <c r="AG957" s="76"/>
      <c r="AH957" s="97">
        <v>1</v>
      </c>
      <c r="AI957" s="97">
        <v>1</v>
      </c>
      <c r="AJ957" s="73"/>
      <c r="AK957" s="57"/>
      <c r="AL957" s="45"/>
      <c r="AM957" s="45"/>
      <c r="AN957" s="45"/>
    </row>
    <row r="958" spans="1:40" outlineLevel="2" x14ac:dyDescent="0.25">
      <c r="A958" s="45"/>
      <c r="B958" s="54"/>
      <c r="C958" s="47">
        <f t="shared" si="235"/>
        <v>3</v>
      </c>
      <c r="D958" s="73"/>
      <c r="E958" s="70"/>
      <c r="F958" s="70" t="s">
        <v>3412</v>
      </c>
      <c r="G958" s="73"/>
      <c r="H958" s="76" t="s">
        <v>2515</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25">
      <c r="A959" s="45"/>
      <c r="B959" s="54"/>
      <c r="C959" s="47">
        <f t="shared" si="235"/>
        <v>3</v>
      </c>
      <c r="D959" s="73"/>
      <c r="E959" s="70"/>
      <c r="F959" s="70" t="s">
        <v>3413</v>
      </c>
      <c r="G959" s="73"/>
      <c r="H959" s="76" t="s">
        <v>2516</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3379</v>
      </c>
      <c r="AG959" s="76"/>
      <c r="AH959" s="76">
        <v>1</v>
      </c>
      <c r="AI959" s="76">
        <v>1</v>
      </c>
      <c r="AJ959" s="73"/>
      <c r="AK959" s="57"/>
      <c r="AL959" s="45"/>
      <c r="AM959" s="45"/>
      <c r="AN959" s="45"/>
    </row>
    <row r="960" spans="1:40" outlineLevel="2" x14ac:dyDescent="0.25">
      <c r="A960" s="45"/>
      <c r="B960" s="54"/>
      <c r="C960" s="47">
        <f t="shared" si="235"/>
        <v>3</v>
      </c>
      <c r="D960" s="73"/>
      <c r="E960" s="70"/>
      <c r="F960" s="70" t="s">
        <v>3414</v>
      </c>
      <c r="G960" s="73"/>
      <c r="H960" s="76" t="s">
        <v>3765</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3380</v>
      </c>
      <c r="AG960" s="76"/>
      <c r="AH960" s="76">
        <v>1</v>
      </c>
      <c r="AI960" s="76">
        <v>1</v>
      </c>
      <c r="AJ960" s="73"/>
      <c r="AK960" s="57"/>
      <c r="AL960" s="45"/>
      <c r="AM960" s="45"/>
      <c r="AN960" s="45"/>
    </row>
    <row r="961" spans="1:40" outlineLevel="2" x14ac:dyDescent="0.25">
      <c r="A961" s="45"/>
      <c r="B961" s="54"/>
      <c r="C961" s="47">
        <f t="shared" si="235"/>
        <v>3</v>
      </c>
      <c r="D961" s="73"/>
      <c r="E961" s="70"/>
      <c r="F961" s="70" t="s">
        <v>3415</v>
      </c>
      <c r="G961" s="73"/>
      <c r="H961" s="76" t="s">
        <v>2514</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3397</v>
      </c>
      <c r="AG961" s="76"/>
      <c r="AH961" s="97">
        <v>1</v>
      </c>
      <c r="AI961" s="97">
        <v>1</v>
      </c>
      <c r="AJ961" s="73"/>
      <c r="AK961" s="57"/>
      <c r="AL961" s="45"/>
      <c r="AM961" s="45"/>
      <c r="AN961" s="45"/>
    </row>
    <row r="962" spans="1:40" outlineLevel="2" x14ac:dyDescent="0.25">
      <c r="A962" s="45"/>
      <c r="B962" s="54"/>
      <c r="C962" s="47">
        <f t="shared" si="235"/>
        <v>3</v>
      </c>
      <c r="D962" s="73"/>
      <c r="E962" s="70"/>
      <c r="F962" s="70" t="s">
        <v>3416</v>
      </c>
      <c r="G962" s="73"/>
      <c r="H962" s="76" t="s">
        <v>2515</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25">
      <c r="A963" s="45"/>
      <c r="B963" s="54"/>
      <c r="C963" s="47">
        <f t="shared" si="235"/>
        <v>3</v>
      </c>
      <c r="D963" s="73"/>
      <c r="E963" s="70"/>
      <c r="F963" s="70" t="s">
        <v>3417</v>
      </c>
      <c r="G963" s="73"/>
      <c r="H963" s="76" t="s">
        <v>2516</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3379</v>
      </c>
      <c r="AG963" s="76"/>
      <c r="AH963" s="76">
        <v>1</v>
      </c>
      <c r="AI963" s="76">
        <v>1</v>
      </c>
      <c r="AJ963" s="73"/>
      <c r="AK963" s="57"/>
      <c r="AL963" s="45"/>
      <c r="AM963" s="45"/>
      <c r="AN963" s="45"/>
    </row>
    <row r="964" spans="1:40" outlineLevel="2" x14ac:dyDescent="0.25">
      <c r="A964" s="45"/>
      <c r="B964" s="54"/>
      <c r="C964" s="47">
        <f t="shared" si="235"/>
        <v>3</v>
      </c>
      <c r="D964" s="73"/>
      <c r="E964" s="70"/>
      <c r="F964" s="70" t="s">
        <v>3418</v>
      </c>
      <c r="G964" s="73"/>
      <c r="H964" s="76" t="s">
        <v>3766</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3380</v>
      </c>
      <c r="AG964" s="76"/>
      <c r="AH964" s="76">
        <v>1</v>
      </c>
      <c r="AI964" s="76">
        <v>1</v>
      </c>
      <c r="AJ964" s="73"/>
      <c r="AK964" s="57"/>
      <c r="AL964" s="45"/>
      <c r="AM964" s="45"/>
      <c r="AN964" s="45"/>
    </row>
    <row r="965" spans="1:40" outlineLevel="2" x14ac:dyDescent="0.25">
      <c r="A965" s="45"/>
      <c r="B965" s="54"/>
      <c r="C965" s="47">
        <f t="shared" si="235"/>
        <v>3</v>
      </c>
      <c r="D965" s="73"/>
      <c r="E965" s="70"/>
      <c r="F965" s="70" t="s">
        <v>3419</v>
      </c>
      <c r="G965" s="73"/>
      <c r="H965" s="76" t="s">
        <v>2514</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3397</v>
      </c>
      <c r="AG965" s="76"/>
      <c r="AH965" s="97">
        <v>1</v>
      </c>
      <c r="AI965" s="97">
        <v>1</v>
      </c>
      <c r="AJ965" s="73"/>
      <c r="AK965" s="57"/>
      <c r="AL965" s="45"/>
      <c r="AM965" s="45"/>
      <c r="AN965" s="45"/>
    </row>
    <row r="966" spans="1:40" outlineLevel="2" x14ac:dyDescent="0.25">
      <c r="A966" s="45"/>
      <c r="B966" s="54"/>
      <c r="C966" s="47">
        <f t="shared" si="235"/>
        <v>3</v>
      </c>
      <c r="D966" s="73"/>
      <c r="E966" s="70"/>
      <c r="F966" s="70" t="s">
        <v>3420</v>
      </c>
      <c r="G966" s="73"/>
      <c r="H966" s="76" t="s">
        <v>2515</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25">
      <c r="A967" s="45"/>
      <c r="B967" s="54"/>
      <c r="C967" s="47">
        <f t="shared" si="235"/>
        <v>3</v>
      </c>
      <c r="D967" s="73"/>
      <c r="E967" s="70"/>
      <c r="F967" s="70" t="s">
        <v>3421</v>
      </c>
      <c r="G967" s="73"/>
      <c r="H967" s="76" t="s">
        <v>2516</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3379</v>
      </c>
      <c r="AG967" s="76"/>
      <c r="AH967" s="76">
        <v>1</v>
      </c>
      <c r="AI967" s="76">
        <v>1</v>
      </c>
      <c r="AJ967" s="73"/>
      <c r="AK967" s="57"/>
      <c r="AL967" s="45"/>
      <c r="AM967" s="45"/>
      <c r="AN967" s="45"/>
    </row>
    <row r="968" spans="1:40" outlineLevel="2" x14ac:dyDescent="0.25">
      <c r="A968" s="45"/>
      <c r="B968" s="54"/>
      <c r="C968" s="47">
        <f t="shared" si="235"/>
        <v>3</v>
      </c>
      <c r="D968" s="73"/>
      <c r="E968" s="70"/>
      <c r="F968" s="70" t="s">
        <v>3422</v>
      </c>
      <c r="G968" s="73"/>
      <c r="H968" s="76" t="s">
        <v>3767</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3380</v>
      </c>
      <c r="AG968" s="76"/>
      <c r="AH968" s="76">
        <v>1</v>
      </c>
      <c r="AI968" s="76">
        <v>1</v>
      </c>
      <c r="AJ968" s="73"/>
      <c r="AK968" s="57"/>
      <c r="AL968" s="45"/>
      <c r="AM968" s="45"/>
      <c r="AN968" s="45"/>
    </row>
    <row r="969" spans="1:40" outlineLevel="2" x14ac:dyDescent="0.25">
      <c r="A969" s="45"/>
      <c r="B969" s="54"/>
      <c r="C969" s="47">
        <f t="shared" si="235"/>
        <v>3</v>
      </c>
      <c r="D969" s="73"/>
      <c r="E969" s="70"/>
      <c r="F969" s="70" t="s">
        <v>3423</v>
      </c>
      <c r="G969" s="73"/>
      <c r="H969" s="76" t="s">
        <v>2514</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3397</v>
      </c>
      <c r="AG969" s="76"/>
      <c r="AH969" s="97">
        <v>1</v>
      </c>
      <c r="AI969" s="97">
        <v>1</v>
      </c>
      <c r="AJ969" s="73"/>
      <c r="AK969" s="57"/>
      <c r="AL969" s="45"/>
      <c r="AM969" s="45"/>
      <c r="AN969" s="45"/>
    </row>
    <row r="970" spans="1:40" outlineLevel="2" x14ac:dyDescent="0.25">
      <c r="A970" s="45"/>
      <c r="B970" s="54"/>
      <c r="C970" s="47">
        <f t="shared" si="235"/>
        <v>3</v>
      </c>
      <c r="D970" s="73"/>
      <c r="E970" s="70"/>
      <c r="F970" s="70" t="s">
        <v>3424</v>
      </c>
      <c r="G970" s="73"/>
      <c r="H970" s="76" t="s">
        <v>2515</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25">
      <c r="A971" s="45"/>
      <c r="B971" s="54"/>
      <c r="C971" s="47">
        <f t="shared" si="235"/>
        <v>3</v>
      </c>
      <c r="D971" s="73"/>
      <c r="E971" s="70"/>
      <c r="F971" s="70" t="s">
        <v>3425</v>
      </c>
      <c r="G971" s="73"/>
      <c r="H971" s="76" t="s">
        <v>2516</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3379</v>
      </c>
      <c r="AG971" s="76"/>
      <c r="AH971" s="76">
        <v>1</v>
      </c>
      <c r="AI971" s="76">
        <v>1</v>
      </c>
      <c r="AJ971" s="73"/>
      <c r="AK971" s="57"/>
      <c r="AL971" s="45"/>
      <c r="AM971" s="45"/>
      <c r="AN971" s="45"/>
    </row>
    <row r="972" spans="1:40" outlineLevel="2" x14ac:dyDescent="0.25">
      <c r="A972" s="45"/>
      <c r="B972" s="54"/>
      <c r="C972" s="47">
        <f t="shared" si="235"/>
        <v>3</v>
      </c>
      <c r="D972" s="73"/>
      <c r="E972" s="70"/>
      <c r="F972" s="70" t="s">
        <v>3746</v>
      </c>
      <c r="G972" s="73"/>
      <c r="H972" s="76" t="s">
        <v>3768</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3380</v>
      </c>
      <c r="AG972" s="76"/>
      <c r="AH972" s="76">
        <v>1</v>
      </c>
      <c r="AI972" s="76">
        <v>1</v>
      </c>
      <c r="AJ972" s="73"/>
      <c r="AK972" s="57"/>
      <c r="AL972" s="45"/>
      <c r="AM972" s="45"/>
      <c r="AN972" s="45"/>
    </row>
    <row r="973" spans="1:40" outlineLevel="2" x14ac:dyDescent="0.25">
      <c r="A973" s="45"/>
      <c r="B973" s="54"/>
      <c r="C973" s="47">
        <f t="shared" si="235"/>
        <v>3</v>
      </c>
      <c r="D973" s="73"/>
      <c r="E973" s="70"/>
      <c r="F973" s="70" t="s">
        <v>3747</v>
      </c>
      <c r="G973" s="73"/>
      <c r="H973" s="76" t="s">
        <v>2514</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3397</v>
      </c>
      <c r="AG973" s="76"/>
      <c r="AH973" s="97">
        <v>1</v>
      </c>
      <c r="AI973" s="97">
        <v>1</v>
      </c>
      <c r="AJ973" s="73"/>
      <c r="AK973" s="57"/>
      <c r="AL973" s="45"/>
      <c r="AM973" s="45"/>
      <c r="AN973" s="45"/>
    </row>
    <row r="974" spans="1:40" outlineLevel="2" x14ac:dyDescent="0.25">
      <c r="A974" s="45"/>
      <c r="B974" s="54"/>
      <c r="C974" s="47">
        <f t="shared" si="235"/>
        <v>3</v>
      </c>
      <c r="D974" s="73"/>
      <c r="E974" s="70"/>
      <c r="F974" s="70" t="s">
        <v>3748</v>
      </c>
      <c r="G974" s="73"/>
      <c r="H974" s="76" t="s">
        <v>2515</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25">
      <c r="A975" s="45"/>
      <c r="B975" s="54"/>
      <c r="C975" s="47">
        <f t="shared" si="235"/>
        <v>3</v>
      </c>
      <c r="D975" s="73"/>
      <c r="E975" s="70"/>
      <c r="F975" s="70" t="s">
        <v>3749</v>
      </c>
      <c r="G975" s="73"/>
      <c r="H975" s="76" t="s">
        <v>2516</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3379</v>
      </c>
      <c r="AG975" s="76"/>
      <c r="AH975" s="76">
        <v>1</v>
      </c>
      <c r="AI975" s="76">
        <v>1</v>
      </c>
      <c r="AJ975" s="73"/>
      <c r="AK975" s="57"/>
      <c r="AL975" s="45"/>
      <c r="AM975" s="45"/>
      <c r="AN975" s="45"/>
    </row>
    <row r="976" spans="1:40" outlineLevel="2" x14ac:dyDescent="0.25">
      <c r="A976" s="45"/>
      <c r="B976" s="54"/>
      <c r="C976" s="47">
        <f t="shared" si="235"/>
        <v>3</v>
      </c>
      <c r="D976" s="73"/>
      <c r="E976" s="70"/>
      <c r="F976" s="70" t="s">
        <v>3769</v>
      </c>
      <c r="G976" s="73"/>
      <c r="H976" s="76" t="s">
        <v>3779</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3777</v>
      </c>
      <c r="AG976" s="76"/>
      <c r="AH976" s="76">
        <v>1</v>
      </c>
      <c r="AI976" s="76">
        <v>1</v>
      </c>
      <c r="AJ976" s="73"/>
      <c r="AK976" s="57"/>
      <c r="AL976" s="45"/>
      <c r="AM976" s="45"/>
      <c r="AN976" s="45"/>
    </row>
    <row r="977" spans="1:40" outlineLevel="2" x14ac:dyDescent="0.25">
      <c r="A977" s="45"/>
      <c r="B977" s="54"/>
      <c r="C977" s="47">
        <f t="shared" si="235"/>
        <v>3</v>
      </c>
      <c r="D977" s="73"/>
      <c r="E977" s="70"/>
      <c r="F977" s="70" t="s">
        <v>3770</v>
      </c>
      <c r="G977" s="73"/>
      <c r="H977" s="76" t="s">
        <v>2514</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3778</v>
      </c>
      <c r="AG977" s="76"/>
      <c r="AH977" s="97">
        <v>1</v>
      </c>
      <c r="AI977" s="97">
        <v>1</v>
      </c>
      <c r="AJ977" s="73"/>
      <c r="AK977" s="57"/>
      <c r="AL977" s="45"/>
      <c r="AM977" s="45"/>
      <c r="AN977" s="45"/>
    </row>
    <row r="978" spans="1:40" outlineLevel="2" x14ac:dyDescent="0.25">
      <c r="A978" s="45"/>
      <c r="B978" s="54"/>
      <c r="C978" s="47">
        <f t="shared" si="235"/>
        <v>3</v>
      </c>
      <c r="D978" s="73"/>
      <c r="E978" s="70"/>
      <c r="F978" s="70" t="s">
        <v>3771</v>
      </c>
      <c r="G978" s="73"/>
      <c r="H978" s="76" t="s">
        <v>2515</v>
      </c>
      <c r="I978" s="96" t="s">
        <v>502</v>
      </c>
      <c r="J978" s="96"/>
      <c r="K978" s="76"/>
      <c r="L978" s="76"/>
      <c r="M978" s="76"/>
      <c r="N978" s="76"/>
      <c r="O978" s="76"/>
      <c r="P978" s="76"/>
      <c r="Q978" s="76"/>
      <c r="R978" s="76"/>
      <c r="S978" s="76"/>
      <c r="T978" s="76"/>
      <c r="U978" s="97">
        <v>4.4000000000000004</v>
      </c>
      <c r="V978" s="255">
        <f t="shared" si="285"/>
        <v>4.4000000000000004</v>
      </c>
      <c r="W978" s="255">
        <f>U978</f>
        <v>4.4000000000000004</v>
      </c>
      <c r="X978" s="255">
        <f>V978</f>
        <v>4.4000000000000004</v>
      </c>
      <c r="Y978" s="255">
        <f>V978</f>
        <v>4.4000000000000004</v>
      </c>
      <c r="Z978" s="255">
        <f t="shared" si="289"/>
        <v>4.4000000000000004</v>
      </c>
      <c r="AA978" s="97">
        <f t="shared" si="293"/>
        <v>4.4000000000000004</v>
      </c>
      <c r="AB978" s="255">
        <f t="shared" si="290"/>
        <v>4.4000000000000004</v>
      </c>
      <c r="AC978" s="255">
        <f t="shared" si="291"/>
        <v>4.4000000000000004</v>
      </c>
      <c r="AD978" s="255">
        <f t="shared" si="292"/>
        <v>4.4000000000000004</v>
      </c>
      <c r="AE978" s="76"/>
      <c r="AF978" s="97"/>
      <c r="AG978" s="76"/>
      <c r="AH978" s="97">
        <v>1</v>
      </c>
      <c r="AI978" s="97">
        <v>1</v>
      </c>
      <c r="AJ978" s="73"/>
      <c r="AK978" s="57"/>
      <c r="AL978" s="45"/>
      <c r="AM978" s="45"/>
      <c r="AN978" s="45"/>
    </row>
    <row r="979" spans="1:40" outlineLevel="2" x14ac:dyDescent="0.25">
      <c r="A979" s="45"/>
      <c r="B979" s="54"/>
      <c r="C979" s="47">
        <f t="shared" si="235"/>
        <v>3</v>
      </c>
      <c r="D979" s="73"/>
      <c r="E979" s="70"/>
      <c r="F979" s="70" t="s">
        <v>3772</v>
      </c>
      <c r="G979" s="73"/>
      <c r="H979" s="76" t="s">
        <v>2516</v>
      </c>
      <c r="I979" s="96" t="s">
        <v>502</v>
      </c>
      <c r="J979" s="96"/>
      <c r="K979" s="76"/>
      <c r="L979" s="76"/>
      <c r="M979" s="76"/>
      <c r="N979" s="76"/>
      <c r="O979" s="76"/>
      <c r="P979" s="76"/>
      <c r="Q979" s="76"/>
      <c r="R979" s="76"/>
      <c r="S979" s="76"/>
      <c r="T979" s="76"/>
      <c r="U979" s="253">
        <f>U978</f>
        <v>4.4000000000000004</v>
      </c>
      <c r="V979" s="76">
        <f t="shared" si="285"/>
        <v>4.4000000000000004</v>
      </c>
      <c r="W979" s="76">
        <f>U979</f>
        <v>4.4000000000000004</v>
      </c>
      <c r="X979" s="76">
        <f>V979</f>
        <v>4.4000000000000004</v>
      </c>
      <c r="Y979" s="76">
        <f>V979</f>
        <v>4.4000000000000004</v>
      </c>
      <c r="Z979" s="76">
        <f t="shared" si="289"/>
        <v>4.4000000000000004</v>
      </c>
      <c r="AA979" s="253">
        <f>AA978</f>
        <v>4.4000000000000004</v>
      </c>
      <c r="AB979" s="76">
        <f t="shared" si="290"/>
        <v>4.4000000000000004</v>
      </c>
      <c r="AC979" s="76">
        <f t="shared" si="291"/>
        <v>4.4000000000000004</v>
      </c>
      <c r="AD979" s="76">
        <f t="shared" si="292"/>
        <v>4.4000000000000004</v>
      </c>
      <c r="AE979" s="76"/>
      <c r="AF979" s="264" t="s">
        <v>3379</v>
      </c>
      <c r="AG979" s="76"/>
      <c r="AH979" s="76">
        <v>1</v>
      </c>
      <c r="AI979" s="76">
        <v>1</v>
      </c>
      <c r="AJ979" s="73"/>
      <c r="AK979" s="57"/>
      <c r="AL979" s="45"/>
      <c r="AM979" s="45"/>
      <c r="AN979" s="45"/>
    </row>
    <row r="980" spans="1:40" outlineLevel="2" x14ac:dyDescent="0.25">
      <c r="A980" s="45"/>
      <c r="B980" s="54"/>
      <c r="C980" s="47">
        <f t="shared" si="235"/>
        <v>3</v>
      </c>
      <c r="D980" s="73"/>
      <c r="E980" s="70"/>
      <c r="F980" s="70" t="s">
        <v>3773</v>
      </c>
      <c r="G980" s="73"/>
      <c r="H980" s="76" t="s">
        <v>3780</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3777</v>
      </c>
      <c r="AG980" s="76"/>
      <c r="AH980" s="76">
        <v>1</v>
      </c>
      <c r="AI980" s="76">
        <v>1</v>
      </c>
      <c r="AJ980" s="73"/>
      <c r="AK980" s="57"/>
      <c r="AL980" s="45"/>
      <c r="AM980" s="45"/>
      <c r="AN980" s="45"/>
    </row>
    <row r="981" spans="1:40" outlineLevel="2" x14ac:dyDescent="0.25">
      <c r="A981" s="45"/>
      <c r="B981" s="54"/>
      <c r="C981" s="47">
        <f t="shared" si="235"/>
        <v>3</v>
      </c>
      <c r="D981" s="73"/>
      <c r="E981" s="70"/>
      <c r="F981" s="70" t="s">
        <v>3774</v>
      </c>
      <c r="G981" s="73"/>
      <c r="H981" s="76" t="s">
        <v>2514</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3778</v>
      </c>
      <c r="AG981" s="76"/>
      <c r="AH981" s="97">
        <v>1</v>
      </c>
      <c r="AI981" s="97">
        <v>1</v>
      </c>
      <c r="AJ981" s="73"/>
      <c r="AK981" s="57"/>
      <c r="AL981" s="45"/>
      <c r="AM981" s="45"/>
      <c r="AN981" s="45"/>
    </row>
    <row r="982" spans="1:40" outlineLevel="2" x14ac:dyDescent="0.25">
      <c r="A982" s="45"/>
      <c r="B982" s="54"/>
      <c r="C982" s="47">
        <f t="shared" si="235"/>
        <v>3</v>
      </c>
      <c r="D982" s="73"/>
      <c r="E982" s="70"/>
      <c r="F982" s="70" t="s">
        <v>3775</v>
      </c>
      <c r="G982" s="73"/>
      <c r="H982" s="76" t="s">
        <v>2515</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25">
      <c r="A983" s="45"/>
      <c r="B983" s="54"/>
      <c r="C983" s="47">
        <f t="shared" si="235"/>
        <v>3</v>
      </c>
      <c r="D983" s="73"/>
      <c r="E983" s="70"/>
      <c r="F983" s="70" t="s">
        <v>3776</v>
      </c>
      <c r="G983" s="73"/>
      <c r="H983" s="76" t="s">
        <v>2516</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3379</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8">INT($C$29)+3</f>
        <v>4</v>
      </c>
      <c r="D1065" s="73"/>
      <c r="E1065" s="70"/>
      <c r="F1065" s="70" t="s">
        <v>2523</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8"/>
        <v>4</v>
      </c>
      <c r="D1066" s="73"/>
      <c r="E1066" s="70"/>
      <c r="F1066" s="70" t="s">
        <v>2524</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2525</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2526</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2527</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2528</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2529</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2530</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2531</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2532</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2533</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2534</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2535</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2536</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2537</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2538</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2539</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2540</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2541</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2542</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2543</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2544</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2545</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2546</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3327</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3328</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3329</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3330</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3426</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3427</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3428</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3429</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3430</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3431</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3432</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3433</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3434</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3435</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3436</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3437</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3438</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3439</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3440</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3441</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3442</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3443</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3444</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3445</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3446</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3447</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3448</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3449</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3450</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3451</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3452</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3453</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3454</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3455</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3456</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3457</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3458</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3459</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3460</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3461</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9">INT($C$29)+3</f>
        <v>4</v>
      </c>
      <c r="D1129" s="73"/>
      <c r="E1129" s="70"/>
      <c r="F1129" s="70" t="s">
        <v>3462</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9"/>
        <v>4</v>
      </c>
      <c r="D1130" s="73"/>
      <c r="E1130" s="70"/>
      <c r="F1130" s="70" t="s">
        <v>3463</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3464</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3465</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3466</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3467</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3468</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3469</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3750</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3751</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3752</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3753</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3785</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3786</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3787</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3788</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3781</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3782</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3783</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3784</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2765</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12">INT($C$29)+2</f>
        <v>3</v>
      </c>
      <c r="D1156" s="73"/>
      <c r="E1156" s="70"/>
      <c r="F1156" s="70" t="s">
        <v>1718</v>
      </c>
      <c r="G1156" s="73"/>
      <c r="H1156" s="76" t="s">
        <v>3495</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12"/>
        <v>3</v>
      </c>
      <c r="D1157" s="73"/>
      <c r="E1157" s="70"/>
      <c r="F1157" s="70" t="s">
        <v>3506</v>
      </c>
      <c r="G1157" s="73"/>
      <c r="H1157" s="76" t="s">
        <v>3502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1719</v>
      </c>
      <c r="G1158" s="73"/>
      <c r="H1158" s="76" t="s">
        <v>3503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3507</v>
      </c>
      <c r="G1159" s="73"/>
      <c r="H1159" s="76" t="s">
        <v>3504</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1722</v>
      </c>
      <c r="G1160" s="73"/>
      <c r="H1160" s="76" t="s">
        <v>3505</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3508</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402"/>
      <c r="F1283" s="402"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6"/>
      <c r="F1284" s="406" t="s">
        <v>1866</v>
      </c>
      <c r="G1284" s="407"/>
      <c r="H1284" s="181" t="s">
        <v>1867</v>
      </c>
      <c r="I1284" s="151"/>
      <c r="J1284" s="151"/>
      <c r="K1284" s="181"/>
      <c r="L1284" s="181"/>
      <c r="M1284" s="181"/>
      <c r="N1284" s="181"/>
      <c r="O1284" s="181"/>
      <c r="P1284" s="181"/>
      <c r="Q1284" s="181"/>
      <c r="R1284" s="181"/>
      <c r="S1284" s="181"/>
      <c r="T1284" s="181"/>
      <c r="U1284" s="408">
        <v>3.024E-2</v>
      </c>
      <c r="V1284" s="409">
        <f>U1284</f>
        <v>3.024E-2</v>
      </c>
      <c r="W1284" s="409">
        <f>U1284</f>
        <v>3.024E-2</v>
      </c>
      <c r="X1284" s="409">
        <f>V1284</f>
        <v>3.024E-2</v>
      </c>
      <c r="Y1284" s="409">
        <f>V1284</f>
        <v>3.024E-2</v>
      </c>
      <c r="Z1284" s="409">
        <f>AA1284</f>
        <v>2.248E-2</v>
      </c>
      <c r="AA1284" s="408">
        <v>2.248E-2</v>
      </c>
      <c r="AB1284" s="409">
        <f>AA1284</f>
        <v>2.248E-2</v>
      </c>
      <c r="AC1284" s="409">
        <f>AB1284</f>
        <v>2.248E-2</v>
      </c>
      <c r="AD1284" s="409">
        <f>AC1284</f>
        <v>2.248E-2</v>
      </c>
      <c r="AE1284" s="181"/>
      <c r="AF1284" s="408" t="s">
        <v>1868</v>
      </c>
      <c r="AG1284" s="181"/>
      <c r="AH1284" s="408">
        <v>1</v>
      </c>
      <c r="AI1284" s="408">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4">
        <f>U1286</f>
        <v>8.5699999999999995E-3</v>
      </c>
      <c r="W1286" s="404">
        <f>U1286</f>
        <v>8.5699999999999995E-3</v>
      </c>
      <c r="X1286" s="404">
        <f>V1286</f>
        <v>8.5699999999999995E-3</v>
      </c>
      <c r="Y1286" s="404">
        <f>V1286</f>
        <v>8.5699999999999995E-3</v>
      </c>
      <c r="Z1286" s="404">
        <f>AA1286</f>
        <v>2.7799999999999999E-3</v>
      </c>
      <c r="AA1286" s="97">
        <v>2.7799999999999999E-3</v>
      </c>
      <c r="AB1286" s="404">
        <f t="shared" ref="AB1286:AD1287" si="323">AA1286</f>
        <v>2.7799999999999999E-3</v>
      </c>
      <c r="AC1286" s="404">
        <f t="shared" si="323"/>
        <v>2.7799999999999999E-3</v>
      </c>
      <c r="AD1286" s="404">
        <f t="shared" si="323"/>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4">
        <f>U1287</f>
        <v>1.626E-2</v>
      </c>
      <c r="W1287" s="404">
        <f>U1287</f>
        <v>1.626E-2</v>
      </c>
      <c r="X1287" s="404">
        <f>V1287</f>
        <v>1.626E-2</v>
      </c>
      <c r="Y1287" s="404">
        <f>V1287</f>
        <v>1.626E-2</v>
      </c>
      <c r="Z1287" s="404">
        <f>AA1287</f>
        <v>1.6129999999999999E-2</v>
      </c>
      <c r="AA1287" s="97">
        <v>1.6129999999999999E-2</v>
      </c>
      <c r="AB1287" s="404">
        <f t="shared" si="323"/>
        <v>1.6129999999999999E-2</v>
      </c>
      <c r="AC1287" s="404">
        <f t="shared" si="323"/>
        <v>1.6129999999999999E-2</v>
      </c>
      <c r="AD1287" s="404">
        <f t="shared" si="323"/>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4">INT($C$29)+2</f>
        <v>3</v>
      </c>
      <c r="D1291" s="73"/>
      <c r="E1291" s="410"/>
      <c r="F1291" s="410" t="s">
        <v>1881</v>
      </c>
      <c r="G1291" s="411"/>
      <c r="H1291" s="184" t="s">
        <v>1882</v>
      </c>
      <c r="I1291" s="184"/>
      <c r="J1291" s="184"/>
      <c r="K1291" s="184"/>
      <c r="L1291" s="184"/>
      <c r="M1291" s="184"/>
      <c r="N1291" s="184"/>
      <c r="O1291" s="184"/>
      <c r="P1291" s="184"/>
      <c r="Q1291" s="184"/>
      <c r="R1291" s="184"/>
      <c r="S1291" s="184"/>
      <c r="T1291" s="184"/>
      <c r="U1291" s="412">
        <v>3.496</v>
      </c>
      <c r="V1291" s="412">
        <v>3.496</v>
      </c>
      <c r="W1291" s="412">
        <v>3.496</v>
      </c>
      <c r="X1291" s="412">
        <v>3.496</v>
      </c>
      <c r="Y1291" s="412">
        <v>3.496</v>
      </c>
      <c r="Z1291" s="415">
        <f>AA1291</f>
        <v>4.2411000000000003</v>
      </c>
      <c r="AA1291" s="416">
        <v>4.2411000000000003</v>
      </c>
      <c r="AB1291" s="415">
        <f t="shared" ref="AB1291:AD1292" si="325">AA1291</f>
        <v>4.2411000000000003</v>
      </c>
      <c r="AC1291" s="415">
        <f t="shared" si="325"/>
        <v>4.2411000000000003</v>
      </c>
      <c r="AD1291" s="415">
        <f t="shared" si="325"/>
        <v>4.2411000000000003</v>
      </c>
      <c r="AE1291" s="184"/>
      <c r="AF1291" s="184"/>
      <c r="AG1291" s="184"/>
      <c r="AH1291" s="413">
        <v>1</v>
      </c>
      <c r="AI1291" s="413">
        <v>1</v>
      </c>
      <c r="AJ1291" s="73"/>
      <c r="AK1291" s="57"/>
      <c r="AL1291" s="45"/>
      <c r="AM1291" s="45"/>
      <c r="AN1291" s="45"/>
    </row>
    <row r="1292" spans="1:40" hidden="1" outlineLevel="2" x14ac:dyDescent="0.25">
      <c r="A1292" s="45"/>
      <c r="B1292" s="54"/>
      <c r="C1292" s="47">
        <f t="shared" si="324"/>
        <v>3</v>
      </c>
      <c r="D1292" s="73"/>
      <c r="E1292" s="403"/>
      <c r="F1292" s="403"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5">
        <f>AA1292</f>
        <v>0.13919999999999999</v>
      </c>
      <c r="AA1292" s="119">
        <v>0.13919999999999999</v>
      </c>
      <c r="AB1292" s="405">
        <f t="shared" si="325"/>
        <v>0.13919999999999999</v>
      </c>
      <c r="AC1292" s="405">
        <f t="shared" si="325"/>
        <v>0.13919999999999999</v>
      </c>
      <c r="AD1292" s="405">
        <f t="shared" si="325"/>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6"/>
      <c r="F1308" s="406" t="s">
        <v>3349</v>
      </c>
      <c r="G1308" s="407"/>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3350</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3351</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3352</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3353</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3354</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3355</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32">INT($C$29)+2</f>
        <v>3</v>
      </c>
      <c r="D1315" s="73"/>
      <c r="E1315" s="410"/>
      <c r="F1315" s="410" t="s">
        <v>3356</v>
      </c>
      <c r="G1315" s="411"/>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2633</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33">INT($C$29)+3</f>
        <v>4</v>
      </c>
      <c r="D1317" s="73"/>
      <c r="E1317" s="70"/>
      <c r="F1317" s="70" t="s">
        <v>1910</v>
      </c>
      <c r="G1317" s="73"/>
      <c r="H1317" s="76" t="s">
        <v>3496</v>
      </c>
      <c r="I1317" s="96" t="s">
        <v>2332</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33"/>
        <v>4</v>
      </c>
      <c r="D1318" s="73"/>
      <c r="E1318" s="70"/>
      <c r="F1318" s="70" t="s">
        <v>1911</v>
      </c>
      <c r="G1318" s="73"/>
      <c r="H1318" s="76" t="s">
        <v>1912</v>
      </c>
      <c r="I1318" s="96" t="s">
        <v>2333</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1913</v>
      </c>
      <c r="G1319" s="73"/>
      <c r="H1319" s="76" t="s">
        <v>1914</v>
      </c>
      <c r="I1319" s="96" t="s">
        <v>2334</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1915</v>
      </c>
      <c r="G1320" s="73"/>
      <c r="H1320" s="76" t="s">
        <v>2367</v>
      </c>
      <c r="I1320" s="96" t="s">
        <v>2368</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1917</v>
      </c>
      <c r="G1321" s="73"/>
      <c r="H1321" s="76" t="s">
        <v>1916</v>
      </c>
      <c r="I1321" s="96" t="s">
        <v>2335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2373</v>
      </c>
      <c r="G1322" s="73"/>
      <c r="H1322" s="76" t="s">
        <v>1918</v>
      </c>
      <c r="I1322" s="96" t="s">
        <v>2336</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2374</v>
      </c>
      <c r="G1323" s="73"/>
      <c r="H1323" s="76" t="s">
        <v>2369</v>
      </c>
      <c r="I1323" s="96" t="s">
        <v>2370</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2375</v>
      </c>
      <c r="G1324" s="73"/>
      <c r="H1324" s="76" t="s">
        <v>2371</v>
      </c>
      <c r="I1324" s="96" t="s">
        <v>2372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tr">
        <f>SUBSTITUTE(F1321,",4)",",8)")</f>
        <v>C(U2,0,8)</v>
      </c>
      <c r="G1325" s="73"/>
      <c r="H1325" s="76" t="s">
        <v>2725</v>
      </c>
      <c r="I1325" s="96" t="s">
        <v>2729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SUBSTITUTE(F1322,",5)",",9)")</f>
        <v>C(U2,0,9)</v>
      </c>
      <c r="G1326" s="73"/>
      <c r="H1326" s="76" t="s">
        <v>2726</v>
      </c>
      <c r="I1326" s="96" t="s">
        <v>2730</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SUBSTITUTE(F1323,",6)",",10)")</f>
        <v>C(U2,0,10)</v>
      </c>
      <c r="G1327" s="73"/>
      <c r="H1327" s="76" t="s">
        <v>2727</v>
      </c>
      <c r="I1327" s="96" t="s">
        <v>2731</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SUBSTITUTE(F1324,",7)",",11)")</f>
        <v>C(U2,0,11)</v>
      </c>
      <c r="G1328" s="73"/>
      <c r="H1328" s="76" t="s">
        <v>2728</v>
      </c>
      <c r="I1328" s="96" t="s">
        <v>2732</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SUBSTITUTE(F1324,",7)",",12)")</f>
        <v>C(U2,0,12)</v>
      </c>
      <c r="G1329" s="73"/>
      <c r="H1329" s="76" t="s">
        <v>3343</v>
      </c>
      <c r="I1329" s="96" t="s">
        <v>2731</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SUBSTITUTE(F1324,",7)",",13)")</f>
        <v>C(U2,0,13)</v>
      </c>
      <c r="G1330" s="73"/>
      <c r="H1330" s="76" t="s">
        <v>3344</v>
      </c>
      <c r="I1330" s="96" t="s">
        <v>2732</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
        <v>1919</v>
      </c>
      <c r="G1331" s="73"/>
      <c r="H1331" s="76" t="s">
        <v>1920</v>
      </c>
      <c r="I1331" s="96" t="s">
        <v>2337</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2376</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2377</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2378</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2379</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2380</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2381</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2382</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2383</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2384</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2406</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2407</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2408</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2409</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2410</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2411</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2414</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2415</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2416</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402"/>
      <c r="F1436" s="402"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6"/>
      <c r="F1437" s="406" t="s">
        <v>1963</v>
      </c>
      <c r="G1437" s="407"/>
      <c r="H1437" s="181" t="s">
        <v>1964</v>
      </c>
      <c r="I1437" s="181"/>
      <c r="J1437" s="181"/>
      <c r="K1437" s="181"/>
      <c r="L1437" s="181"/>
      <c r="M1437" s="181"/>
      <c r="N1437" s="181"/>
      <c r="O1437" s="181"/>
      <c r="P1437" s="181"/>
      <c r="Q1437" s="181"/>
      <c r="R1437" s="181"/>
      <c r="S1437" s="181"/>
      <c r="T1437" s="181"/>
      <c r="U1437" s="408">
        <v>3.157</v>
      </c>
      <c r="V1437" s="409">
        <f>U1437</f>
        <v>3.157</v>
      </c>
      <c r="W1437" s="409">
        <f t="shared" ref="W1437:X1439" si="341">U1437</f>
        <v>3.157</v>
      </c>
      <c r="X1437" s="409">
        <f t="shared" si="341"/>
        <v>3.157</v>
      </c>
      <c r="Y1437" s="409">
        <f>V1437</f>
        <v>3.157</v>
      </c>
      <c r="Z1437" s="409">
        <f>AA1437</f>
        <v>2.9750000000000001</v>
      </c>
      <c r="AA1437" s="408">
        <v>2.9750000000000001</v>
      </c>
      <c r="AB1437" s="409">
        <f t="shared" ref="AB1437:AD1439" si="342">AA1437</f>
        <v>2.9750000000000001</v>
      </c>
      <c r="AC1437" s="409">
        <f t="shared" si="342"/>
        <v>2.9750000000000001</v>
      </c>
      <c r="AD1437" s="409">
        <f t="shared" si="342"/>
        <v>2.9750000000000001</v>
      </c>
      <c r="AE1437" s="181"/>
      <c r="AF1437" s="408" t="s">
        <v>2567</v>
      </c>
      <c r="AG1437" s="181"/>
      <c r="AH1437" s="408">
        <v>1</v>
      </c>
      <c r="AI1437" s="408">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4">
        <f>AA1438</f>
        <v>-0.23649999999999999</v>
      </c>
      <c r="AA1438" s="97">
        <v>-0.23649999999999999</v>
      </c>
      <c r="AB1438" s="404">
        <f t="shared" si="342"/>
        <v>-0.23649999999999999</v>
      </c>
      <c r="AC1438" s="404">
        <f t="shared" si="342"/>
        <v>-0.23649999999999999</v>
      </c>
      <c r="AD1438" s="404">
        <f t="shared" si="342"/>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4">
        <f>AA1439</f>
        <v>-1.761E-3</v>
      </c>
      <c r="AA1439" s="97">
        <v>-1.761E-3</v>
      </c>
      <c r="AB1439" s="404">
        <f t="shared" si="342"/>
        <v>-1.761E-3</v>
      </c>
      <c r="AC1439" s="404">
        <f t="shared" si="342"/>
        <v>-1.761E-3</v>
      </c>
      <c r="AD1439" s="404">
        <f t="shared" si="342"/>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2470</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4">
        <f>AA1441</f>
        <v>0</v>
      </c>
      <c r="AA1441" s="97">
        <v>0</v>
      </c>
      <c r="AB1441" s="404">
        <f t="shared" ref="AB1441:AD1442" si="343">AA1441</f>
        <v>0</v>
      </c>
      <c r="AC1441" s="404">
        <f t="shared" si="343"/>
        <v>0</v>
      </c>
      <c r="AD1441" s="404">
        <f t="shared" si="343"/>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2473</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4">
        <f>AA1442</f>
        <v>0</v>
      </c>
      <c r="AA1442" s="97">
        <v>0</v>
      </c>
      <c r="AB1442" s="404">
        <f t="shared" si="343"/>
        <v>0</v>
      </c>
      <c r="AC1442" s="404">
        <f t="shared" si="343"/>
        <v>0</v>
      </c>
      <c r="AD1442" s="404">
        <f t="shared" si="343"/>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4">INT($C$29)+3</f>
        <v>4</v>
      </c>
      <c r="D1443" s="73"/>
      <c r="E1443" s="70"/>
      <c r="F1443" s="70" t="s">
        <v>2474</v>
      </c>
      <c r="G1443" s="234"/>
      <c r="H1443" s="76" t="s">
        <v>2471</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4"/>
        <v>4</v>
      </c>
      <c r="D1444" s="73"/>
      <c r="E1444" s="70"/>
      <c r="F1444" s="70" t="s">
        <v>2475</v>
      </c>
      <c r="G1444" s="234"/>
      <c r="H1444" s="76" t="s">
        <v>2472</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tr">
        <f>SUBSTITUTE(F1441,",4)",",8)")</f>
        <v>C(U2,8,8)</v>
      </c>
      <c r="G1445" s="73"/>
      <c r="H1445" s="76" t="s">
        <v>2725</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SUBSTITUTE(F1442,",5)",",9)")</f>
        <v>C(U2,8,9)</v>
      </c>
      <c r="G1446" s="73"/>
      <c r="H1446" s="76" t="s">
        <v>2726</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SUBSTITUTE(F1443,",6)",",10)")</f>
        <v>C(U2,8,10)</v>
      </c>
      <c r="G1447" s="73"/>
      <c r="H1447" s="76" t="s">
        <v>2727</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SUBSTITUTE(F1444,",7)",",11)")</f>
        <v>C(U2,8,11)</v>
      </c>
      <c r="G1448" s="73"/>
      <c r="H1448" s="76" t="s">
        <v>2728</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10"/>
      <c r="F1451" s="410" t="s">
        <v>1973</v>
      </c>
      <c r="G1451" s="411"/>
      <c r="H1451" s="184" t="s">
        <v>2634</v>
      </c>
      <c r="I1451" s="184"/>
      <c r="J1451" s="184"/>
      <c r="K1451" s="184"/>
      <c r="L1451" s="184"/>
      <c r="M1451" s="184"/>
      <c r="N1451" s="184"/>
      <c r="O1451" s="184"/>
      <c r="P1451" s="184"/>
      <c r="Q1451" s="184"/>
      <c r="R1451" s="184"/>
      <c r="S1451" s="184"/>
      <c r="T1451" s="184" t="s">
        <v>3299</v>
      </c>
      <c r="U1451" s="413">
        <v>1.7397800000000001</v>
      </c>
      <c r="V1451" s="414">
        <f>U1451</f>
        <v>1.7397800000000001</v>
      </c>
      <c r="W1451" s="413">
        <v>1.88365</v>
      </c>
      <c r="X1451" s="413">
        <v>1.74003</v>
      </c>
      <c r="Y1451" s="413">
        <v>1.966477</v>
      </c>
      <c r="Z1451" s="414">
        <f>AA1451</f>
        <v>-4.3544999999999998</v>
      </c>
      <c r="AA1451" s="413">
        <v>-4.3544999999999998</v>
      </c>
      <c r="AB1451" s="414">
        <f>AA1451</f>
        <v>-4.3544999999999998</v>
      </c>
      <c r="AC1451" s="414">
        <f>AB1451</f>
        <v>-4.3544999999999998</v>
      </c>
      <c r="AD1451" s="414">
        <f>AC1451</f>
        <v>-4.3544999999999998</v>
      </c>
      <c r="AE1451" s="184"/>
      <c r="AF1451" s="184"/>
      <c r="AG1451" s="184"/>
      <c r="AH1451" s="413">
        <v>1</v>
      </c>
      <c r="AI1451" s="413">
        <v>1</v>
      </c>
      <c r="AJ1451" s="73"/>
      <c r="AK1451" s="57"/>
      <c r="AL1451" s="45"/>
      <c r="AM1451" s="45"/>
      <c r="AN1451" s="45"/>
    </row>
    <row r="1452" spans="1:40" hidden="1" outlineLevel="3" x14ac:dyDescent="0.25">
      <c r="A1452" s="45"/>
      <c r="B1452" s="54"/>
      <c r="C1452" s="47">
        <f>INT($C$29)+3</f>
        <v>4</v>
      </c>
      <c r="D1452" s="73"/>
      <c r="E1452" s="403"/>
      <c r="F1452" s="403"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2418</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2419</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2420</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2421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2423</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2424</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2425</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2426</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2427</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2428</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2429</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2430</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2431</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2432</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2433</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2434</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2435</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2436</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2437</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2438</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2440</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2441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2442</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2443</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2444</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2445</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2446</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2447</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2448</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2449</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2450</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7" t="s">
        <v>2464</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2469</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7">INT($C$29)+3</f>
        <v>4</v>
      </c>
      <c r="D1623" s="73"/>
      <c r="E1623" s="70"/>
      <c r="F1623" s="70" t="s">
        <v>2467</v>
      </c>
      <c r="G1623" s="73"/>
      <c r="H1623" s="377" t="s">
        <v>2465</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7"/>
        <v>4</v>
      </c>
      <c r="D1624" s="73"/>
      <c r="E1624" s="70"/>
      <c r="F1624" s="70" t="s">
        <v>2468</v>
      </c>
      <c r="G1624" s="73"/>
      <c r="H1624" s="377" t="s">
        <v>2466</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tr">
        <f>SUBSTITUTE(F1621,",4)",",8)")</f>
        <v>C(U2,20,8)</v>
      </c>
      <c r="G1625" s="73"/>
      <c r="H1625" s="76" t="s">
        <v>2725</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SUBSTITUTE(F1622,",5)",",9)")</f>
        <v>C(U2,20,9)</v>
      </c>
      <c r="G1626" s="73"/>
      <c r="H1626" s="76" t="s">
        <v>2726</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SUBSTITUTE(F1623,",6)",",10)")</f>
        <v>C(U2,20,10)</v>
      </c>
      <c r="G1627" s="73"/>
      <c r="H1627" s="76" t="s">
        <v>2727</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SUBSTITUTE(F1624,",7)",",11)")</f>
        <v>C(U2,20,11)</v>
      </c>
      <c r="G1628" s="73"/>
      <c r="H1628" s="76" t="s">
        <v>2728</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2451</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2452</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2453</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2743</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2744</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2476</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60">INT($C$29)+3</f>
        <v>4</v>
      </c>
      <c r="D1649" s="73"/>
      <c r="E1649" s="70"/>
      <c r="F1649" s="70" t="s">
        <v>2061</v>
      </c>
      <c r="G1649" s="73"/>
      <c r="H1649" s="377" t="s">
        <v>2483</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60"/>
        <v>4</v>
      </c>
      <c r="D1650" s="73"/>
      <c r="E1650" s="70"/>
      <c r="F1650" s="70" t="s">
        <v>2062</v>
      </c>
      <c r="G1650" s="73"/>
      <c r="H1650" s="377" t="s">
        <v>2484</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2063</v>
      </c>
      <c r="G1651" s="73"/>
      <c r="H1651" s="377" t="s">
        <v>2485</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2385</v>
      </c>
      <c r="G1652" s="73"/>
      <c r="H1652" s="377" t="s">
        <v>2486</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2386</v>
      </c>
      <c r="G1653" s="73"/>
      <c r="H1653" s="377" t="s">
        <v>2487</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2387</v>
      </c>
      <c r="G1654" s="73"/>
      <c r="H1654" s="377" t="s">
        <v>2488</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tr">
        <f>SUBSTITUTE(F1651,",4)",",8)")</f>
        <v>C(U2,22,8)</v>
      </c>
      <c r="G1655" s="73"/>
      <c r="H1655" s="377" t="s">
        <v>2749</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SUBSTITUTE(F1652,",5)",",9)")</f>
        <v>C(U2,22,9)</v>
      </c>
      <c r="G1656" s="73"/>
      <c r="H1656" s="377" t="s">
        <v>2750</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SUBSTITUTE(F1653,",6)",",10)")</f>
        <v>C(U2,22,10)</v>
      </c>
      <c r="G1657" s="73"/>
      <c r="H1657" s="377" t="s">
        <v>2751</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SUBSTITUTE(F1654,",7)",",11)")</f>
        <v>C(U2,22,11)</v>
      </c>
      <c r="G1658" s="73"/>
      <c r="H1658" s="377" t="s">
        <v>3346</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SUBSTITUTE(F1653,",6)",",12)")</f>
        <v>C(U2,22,12)</v>
      </c>
      <c r="G1659" s="73"/>
      <c r="H1659" s="377" t="s">
        <v>3347</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SUBSTITUTE(F1654,",7)",",13)")</f>
        <v>C(U2,22,13)</v>
      </c>
      <c r="G1660" s="73"/>
      <c r="H1660" s="377" t="s">
        <v>3348</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2635</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2388</v>
      </c>
      <c r="G1662" s="73"/>
      <c r="H1662" s="76" t="s">
        <v>2745</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3345</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2389</v>
      </c>
      <c r="G1663" s="73"/>
      <c r="H1663" s="76" t="s">
        <v>2476</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63">INT($C$29)+3</f>
        <v>4</v>
      </c>
      <c r="D1664" s="73"/>
      <c r="E1664" s="70"/>
      <c r="F1664" s="70" t="s">
        <v>2390</v>
      </c>
      <c r="G1664" s="73"/>
      <c r="H1664" s="378" t="s">
        <v>2746</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63"/>
        <v>4</v>
      </c>
      <c r="D1665" s="73"/>
      <c r="E1665" s="70"/>
      <c r="F1665" s="70" t="s">
        <v>2391</v>
      </c>
      <c r="G1665" s="73"/>
      <c r="H1665" s="378" t="s">
        <v>2747</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63"/>
        <v>4</v>
      </c>
      <c r="D1666" s="73"/>
      <c r="E1666" s="70"/>
      <c r="F1666" s="70" t="s">
        <v>2392</v>
      </c>
      <c r="G1666" s="73"/>
      <c r="H1666" s="377" t="s">
        <v>2485</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2393</v>
      </c>
      <c r="G1667" s="73"/>
      <c r="H1667" s="377" t="s">
        <v>2486</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2394</v>
      </c>
      <c r="G1668" s="73"/>
      <c r="H1668" s="377" t="s">
        <v>2487</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2395</v>
      </c>
      <c r="G1669" s="73"/>
      <c r="H1669" s="377" t="s">
        <v>2488</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tr">
        <f>SUBSTITUTE(F1666,",4)",",8)")</f>
        <v>C(U2,23,8)</v>
      </c>
      <c r="G1670" s="73"/>
      <c r="H1670" s="377" t="s">
        <v>2749</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SUBSTITUTE(F1667,",5)",",9)")</f>
        <v>C(U2,23,9)</v>
      </c>
      <c r="G1671" s="73"/>
      <c r="H1671" s="377" t="s">
        <v>2750</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SUBSTITUTE(F1668,",6)",",10)")</f>
        <v>C(U2,23,10)</v>
      </c>
      <c r="G1672" s="73"/>
      <c r="H1672" s="377" t="s">
        <v>2751</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SUBSTITUTE(F1669,",7)",",11)")</f>
        <v>C(U2,23,11)</v>
      </c>
      <c r="G1673" s="73"/>
      <c r="H1673" s="377" t="s">
        <v>3346</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SUBSTITUTE(F1668,",6)",",12)")</f>
        <v>C(U2,23,12)</v>
      </c>
      <c r="G1674" s="73"/>
      <c r="H1674" s="377" t="s">
        <v>3497</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25">
      <c r="A1675" s="45"/>
      <c r="B1675" s="54"/>
      <c r="C1675" s="47">
        <f t="shared" si="363"/>
        <v>4</v>
      </c>
      <c r="D1675" s="73"/>
      <c r="E1675" s="70"/>
      <c r="F1675" s="70" t="s">
        <v>3498</v>
      </c>
      <c r="G1675" s="73"/>
      <c r="H1675" s="378" t="s">
        <v>2801</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2396</v>
      </c>
      <c r="G1676" s="73"/>
      <c r="H1676" s="76" t="s">
        <v>2748</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2397</v>
      </c>
      <c r="G1677" s="73"/>
      <c r="H1677" s="76" t="s">
        <v>2463</v>
      </c>
      <c r="I1677" s="76"/>
      <c r="J1677" s="76"/>
      <c r="K1677" s="76"/>
      <c r="L1677" s="76"/>
      <c r="M1677" s="76"/>
      <c r="N1677" s="76"/>
      <c r="O1677" s="76"/>
      <c r="P1677" s="76"/>
      <c r="Q1677" s="76"/>
      <c r="R1677" s="76"/>
      <c r="S1677" s="76"/>
      <c r="T1677" s="76"/>
      <c r="U1677" s="97">
        <v>-0.43659999999999999</v>
      </c>
      <c r="V1677" s="255">
        <f t="shared" si="365"/>
        <v>-0.43659999999999999</v>
      </c>
      <c r="W1677" s="255">
        <f t="shared" si="366"/>
        <v>-0.43659999999999999</v>
      </c>
      <c r="X1677" s="255">
        <f t="shared" si="366"/>
        <v>-0.43659999999999999</v>
      </c>
      <c r="Y1677" s="255">
        <f t="shared" si="367"/>
        <v>-0.43659999999999999</v>
      </c>
      <c r="Z1677" s="255">
        <f t="shared" si="368"/>
        <v>-0.54688000000000003</v>
      </c>
      <c r="AA1677" s="97">
        <v>-0.54688000000000003</v>
      </c>
      <c r="AB1677" s="255">
        <f t="shared" si="369"/>
        <v>-0.54688000000000003</v>
      </c>
      <c r="AC1677" s="255">
        <f t="shared" si="369"/>
        <v>-0.54688000000000003</v>
      </c>
      <c r="AD1677" s="255">
        <f t="shared" si="369"/>
        <v>-0.54688000000000003</v>
      </c>
      <c r="AE1677" s="76"/>
      <c r="AF1677" s="97" t="s">
        <v>2562</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2398</v>
      </c>
      <c r="G1678" s="73"/>
      <c r="H1678" s="76" t="s">
        <v>2477</v>
      </c>
      <c r="I1678" s="76"/>
      <c r="J1678" s="76"/>
      <c r="K1678" s="76"/>
      <c r="L1678" s="76"/>
      <c r="M1678" s="76"/>
      <c r="N1678" s="76"/>
      <c r="O1678" s="76"/>
      <c r="P1678" s="76"/>
      <c r="Q1678" s="76"/>
      <c r="R1678" s="76"/>
      <c r="S1678" s="76"/>
      <c r="T1678" s="76"/>
      <c r="U1678" s="97">
        <v>3.7190000000000001E-3</v>
      </c>
      <c r="V1678" s="255">
        <f t="shared" si="365"/>
        <v>3.7190000000000001E-3</v>
      </c>
      <c r="W1678" s="255">
        <f t="shared" si="366"/>
        <v>3.7190000000000001E-3</v>
      </c>
      <c r="X1678" s="255">
        <f t="shared" si="366"/>
        <v>3.7190000000000001E-3</v>
      </c>
      <c r="Y1678" s="255">
        <f t="shared" si="367"/>
        <v>3.7190000000000001E-3</v>
      </c>
      <c r="Z1678" s="255">
        <f t="shared" si="368"/>
        <v>5.4739999999999997E-3</v>
      </c>
      <c r="AA1678" s="97">
        <v>5.4739999999999997E-3</v>
      </c>
      <c r="AB1678" s="255">
        <f t="shared" si="369"/>
        <v>5.4739999999999997E-3</v>
      </c>
      <c r="AC1678" s="255">
        <f t="shared" si="369"/>
        <v>5.4739999999999997E-3</v>
      </c>
      <c r="AD1678" s="255">
        <f t="shared" si="369"/>
        <v>5.4739999999999997E-3</v>
      </c>
      <c r="AE1678" s="76"/>
      <c r="AF1678" s="97" t="s">
        <v>3791</v>
      </c>
      <c r="AG1678" s="76"/>
      <c r="AH1678" s="97">
        <v>1</v>
      </c>
      <c r="AI1678" s="97">
        <v>1</v>
      </c>
      <c r="AJ1678" s="73"/>
      <c r="AK1678" s="57"/>
      <c r="AL1678" s="45"/>
      <c r="AM1678" s="45"/>
      <c r="AN1678" s="45"/>
    </row>
    <row r="1679" spans="1:40" outlineLevel="2" collapsed="1" x14ac:dyDescent="0.25">
      <c r="A1679" s="45"/>
      <c r="B1679" s="54"/>
      <c r="C1679" s="47">
        <f t="shared" ref="C1679:C1690" si="370">INT($C$29)+3</f>
        <v>4</v>
      </c>
      <c r="D1679" s="73"/>
      <c r="E1679" s="70"/>
      <c r="F1679" s="70" t="s">
        <v>2399</v>
      </c>
      <c r="G1679" s="73"/>
      <c r="H1679" s="378" t="s">
        <v>2796</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25">
      <c r="A1680" s="45"/>
      <c r="B1680" s="54"/>
      <c r="C1680" s="47">
        <f t="shared" si="370"/>
        <v>4</v>
      </c>
      <c r="D1680" s="73"/>
      <c r="E1680" s="70"/>
      <c r="F1680" s="70" t="s">
        <v>2400</v>
      </c>
      <c r="G1680" s="73"/>
      <c r="H1680" s="377" t="s">
        <v>2797</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25">
      <c r="A1681" s="45"/>
      <c r="B1681" s="54"/>
      <c r="C1681" s="47">
        <f t="shared" si="370"/>
        <v>4</v>
      </c>
      <c r="D1681" s="73"/>
      <c r="E1681" s="70"/>
      <c r="F1681" s="70" t="s">
        <v>2401</v>
      </c>
      <c r="G1681" s="73"/>
      <c r="H1681" s="378" t="s">
        <v>2794</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25">
      <c r="A1682" s="45"/>
      <c r="B1682" s="54"/>
      <c r="C1682" s="47">
        <f t="shared" si="370"/>
        <v>4</v>
      </c>
      <c r="D1682" s="73"/>
      <c r="E1682" s="70"/>
      <c r="F1682" s="70" t="s">
        <v>2402</v>
      </c>
      <c r="G1682" s="73"/>
      <c r="H1682" s="378" t="s">
        <v>2795</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25">
      <c r="A1683" s="45"/>
      <c r="B1683" s="54"/>
      <c r="C1683" s="47">
        <f t="shared" si="370"/>
        <v>4</v>
      </c>
      <c r="D1683" s="73"/>
      <c r="E1683" s="70"/>
      <c r="F1683" s="70" t="s">
        <v>2403</v>
      </c>
      <c r="G1683" s="73"/>
      <c r="H1683" s="378" t="s">
        <v>2798</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70"/>
        <v>4</v>
      </c>
      <c r="D1684" s="73"/>
      <c r="E1684" s="70"/>
      <c r="F1684" s="70" t="s">
        <v>2404</v>
      </c>
      <c r="G1684" s="73"/>
      <c r="H1684" s="377" t="s">
        <v>2799</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70"/>
        <v>4</v>
      </c>
      <c r="D1685" s="73"/>
      <c r="E1685" s="70"/>
      <c r="F1685" s="70" t="str">
        <f>SUBSTITUTE(F1679,",4)",",8)")</f>
        <v>C(U2,24,2)</v>
      </c>
      <c r="G1685" s="73"/>
      <c r="H1685" s="378" t="s">
        <v>2793</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SUBSTITUTE(F1680,",5)",",9)")</f>
        <v>C(U2,24,3)</v>
      </c>
      <c r="G1686" s="73"/>
      <c r="H1686" s="378" t="s">
        <v>2790</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SUBSTITUTE(F1683,",6)",",10)")</f>
        <v>C(U2,24,10)</v>
      </c>
      <c r="G1687" s="73"/>
      <c r="H1687" s="378" t="s">
        <v>2791</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SUBSTITUTE(F1684,",7)",",11)")</f>
        <v>C(U2,24,11)</v>
      </c>
      <c r="G1688" s="73"/>
      <c r="H1688" s="378" t="s">
        <v>2792</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70"/>
        <v>4</v>
      </c>
      <c r="D1689" s="73"/>
      <c r="E1689" s="70"/>
      <c r="F1689" s="70" t="s">
        <v>3339</v>
      </c>
      <c r="G1689" s="73"/>
      <c r="H1689" s="378" t="s">
        <v>3338</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70"/>
        <v>4</v>
      </c>
      <c r="D1690" s="73"/>
      <c r="E1690" s="70"/>
      <c r="F1690" s="70" t="s">
        <v>3340</v>
      </c>
      <c r="G1690" s="73"/>
      <c r="H1690" s="378" t="s">
        <v>3337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2405</v>
      </c>
      <c r="G1691" s="73"/>
      <c r="H1691" s="76" t="s">
        <v>2800</v>
      </c>
      <c r="I1691" s="76"/>
      <c r="J1691" s="76"/>
      <c r="K1691" s="76"/>
      <c r="L1691" s="76"/>
      <c r="M1691" s="76"/>
      <c r="N1691" s="76"/>
      <c r="O1691" s="76"/>
      <c r="P1691" s="76"/>
      <c r="Q1691" s="76"/>
      <c r="R1691" s="76"/>
      <c r="S1691" s="76"/>
      <c r="T1691" s="76"/>
      <c r="U1691" s="97">
        <v>19.582999999999998</v>
      </c>
      <c r="V1691" s="255">
        <f>U1691</f>
        <v>19.582999999999998</v>
      </c>
      <c r="W1691" s="255">
        <f t="shared" ref="W1691:X1711" si="371">U1691</f>
        <v>19.582999999999998</v>
      </c>
      <c r="X1691" s="255">
        <f t="shared" si="371"/>
        <v>19.582999999999998</v>
      </c>
      <c r="Y1691" s="255">
        <f>V1691</f>
        <v>19.582999999999998</v>
      </c>
      <c r="Z1691" s="255">
        <f>AA1691</f>
        <v>16.702999999999999</v>
      </c>
      <c r="AA1691" s="97">
        <v>16.702999999999999</v>
      </c>
      <c r="AB1691" s="255">
        <f t="shared" ref="AB1691:AD1711" si="372">AA1691</f>
        <v>16.702999999999999</v>
      </c>
      <c r="AC1691" s="255">
        <f t="shared" si="372"/>
        <v>16.702999999999999</v>
      </c>
      <c r="AD1691" s="255">
        <f t="shared" si="372"/>
        <v>16.702999999999999</v>
      </c>
      <c r="AE1691" s="76"/>
      <c r="AF1691" s="76"/>
      <c r="AG1691" s="76"/>
      <c r="AH1691" s="97">
        <v>1</v>
      </c>
      <c r="AI1691" s="97">
        <v>1</v>
      </c>
      <c r="AJ1691" s="73"/>
      <c r="AK1691" s="57"/>
      <c r="AL1691" s="45"/>
      <c r="AM1691" s="45"/>
      <c r="AN1691" s="45"/>
    </row>
    <row r="1692" spans="1:40" outlineLevel="2" collapsed="1" x14ac:dyDescent="0.25">
      <c r="A1692" s="45"/>
      <c r="B1692" s="54"/>
      <c r="C1692" s="47">
        <f>INT($C$29)+2</f>
        <v>3</v>
      </c>
      <c r="D1692" s="73"/>
      <c r="E1692" s="70"/>
      <c r="F1692" s="70" t="s">
        <v>2454</v>
      </c>
      <c r="G1692" s="73"/>
      <c r="H1692" s="76" t="s">
        <v>3794</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48">
        <f>W1707</f>
        <v>-9.8000000000000004E-2</v>
      </c>
      <c r="X1692" s="648">
        <f t="shared" ref="X1692:Y1692" si="374">X1707</f>
        <v>-9.8000000000000004E-2</v>
      </c>
      <c r="Y1692" s="648">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3790</v>
      </c>
      <c r="AG1692" s="76"/>
      <c r="AH1692" s="97">
        <v>1</v>
      </c>
      <c r="AI1692" s="97">
        <v>1</v>
      </c>
      <c r="AJ1692" s="73"/>
      <c r="AK1692" s="57"/>
      <c r="AL1692" s="45"/>
      <c r="AM1692" s="45"/>
      <c r="AN1692" s="45"/>
    </row>
    <row r="1693" spans="1:40" hidden="1" outlineLevel="3" x14ac:dyDescent="0.25">
      <c r="A1693" s="45"/>
      <c r="B1693" s="54"/>
      <c r="C1693" s="47">
        <f>INT($C$29)+2</f>
        <v>3</v>
      </c>
      <c r="D1693" s="73"/>
      <c r="E1693" s="70"/>
      <c r="F1693" s="70" t="s">
        <v>2455</v>
      </c>
      <c r="G1693" s="73"/>
      <c r="H1693" s="76" t="s">
        <v>2478</v>
      </c>
      <c r="I1693" s="76"/>
      <c r="J1693" s="76"/>
      <c r="K1693" s="76"/>
      <c r="L1693" s="76"/>
      <c r="M1693" s="76"/>
      <c r="N1693" s="76"/>
      <c r="O1693" s="76"/>
      <c r="P1693" s="76"/>
      <c r="Q1693" s="76"/>
      <c r="R1693" s="76"/>
      <c r="S1693" s="76"/>
      <c r="T1693" s="76"/>
      <c r="U1693" s="76">
        <v>0</v>
      </c>
      <c r="V1693" s="76">
        <v>0</v>
      </c>
      <c r="W1693" s="648">
        <f t="shared" ref="W1693:Y1693" si="375">W1708</f>
        <v>0</v>
      </c>
      <c r="X1693" s="648">
        <f t="shared" si="375"/>
        <v>0</v>
      </c>
      <c r="Y1693" s="648">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25">
      <c r="A1694" s="45"/>
      <c r="B1694" s="54"/>
      <c r="C1694" s="47">
        <f t="shared" ref="C1694:C1705" si="377">INT($C$29)+3</f>
        <v>4</v>
      </c>
      <c r="D1694" s="73"/>
      <c r="E1694" s="70"/>
      <c r="F1694" s="70" t="s">
        <v>2456</v>
      </c>
      <c r="G1694" s="73"/>
      <c r="H1694" s="378" t="s">
        <v>2480</v>
      </c>
      <c r="I1694" s="76"/>
      <c r="J1694" s="76"/>
      <c r="K1694" s="76"/>
      <c r="L1694" s="76"/>
      <c r="M1694" s="76"/>
      <c r="N1694" s="76"/>
      <c r="O1694" s="76"/>
      <c r="P1694" s="76"/>
      <c r="Q1694" s="76"/>
      <c r="R1694" s="76"/>
      <c r="S1694" s="76"/>
      <c r="T1694" s="76"/>
      <c r="U1694" s="97">
        <v>-2.4811702000000001E-3</v>
      </c>
      <c r="V1694" s="255">
        <f>U1694</f>
        <v>-2.4811702000000001E-3</v>
      </c>
      <c r="W1694" s="648">
        <f t="shared" ref="W1694:Y1694" si="378">W1709</f>
        <v>0</v>
      </c>
      <c r="X1694" s="648">
        <f t="shared" si="378"/>
        <v>0</v>
      </c>
      <c r="Y1694" s="648">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25">
      <c r="A1695" s="45"/>
      <c r="B1695" s="54"/>
      <c r="C1695" s="47">
        <f t="shared" si="377"/>
        <v>4</v>
      </c>
      <c r="D1695" s="73"/>
      <c r="E1695" s="70"/>
      <c r="F1695" s="70" t="s">
        <v>2457</v>
      </c>
      <c r="G1695" s="73"/>
      <c r="H1695" s="377" t="s">
        <v>2736</v>
      </c>
      <c r="I1695" s="76"/>
      <c r="J1695" s="76"/>
      <c r="K1695" s="76"/>
      <c r="L1695" s="76"/>
      <c r="M1695" s="76"/>
      <c r="N1695" s="76"/>
      <c r="O1695" s="76"/>
      <c r="P1695" s="76"/>
      <c r="Q1695" s="76"/>
      <c r="R1695" s="76"/>
      <c r="S1695" s="76"/>
      <c r="T1695" s="76"/>
      <c r="U1695" s="76">
        <v>0</v>
      </c>
      <c r="V1695" s="76">
        <v>0</v>
      </c>
      <c r="W1695" s="648">
        <f t="shared" ref="W1695:Y1695" si="379">W1710</f>
        <v>0</v>
      </c>
      <c r="X1695" s="648">
        <f t="shared" si="379"/>
        <v>0</v>
      </c>
      <c r="Y1695" s="648">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25">
      <c r="A1696" s="45"/>
      <c r="B1696" s="54"/>
      <c r="C1696" s="47">
        <f t="shared" si="377"/>
        <v>4</v>
      </c>
      <c r="D1696" s="73"/>
      <c r="E1696" s="70"/>
      <c r="F1696" s="70" t="s">
        <v>2458</v>
      </c>
      <c r="G1696" s="73"/>
      <c r="H1696" s="378" t="s">
        <v>2479</v>
      </c>
      <c r="I1696" s="76"/>
      <c r="J1696" s="76"/>
      <c r="K1696" s="76"/>
      <c r="L1696" s="76"/>
      <c r="M1696" s="76"/>
      <c r="N1696" s="76"/>
      <c r="O1696" s="76"/>
      <c r="P1696" s="76"/>
      <c r="Q1696" s="76"/>
      <c r="R1696" s="76"/>
      <c r="S1696" s="76"/>
      <c r="T1696" s="76"/>
      <c r="U1696" s="76">
        <v>0</v>
      </c>
      <c r="V1696" s="76">
        <v>0</v>
      </c>
      <c r="W1696" s="648">
        <f t="shared" ref="W1696:Y1696" si="380">W1711</f>
        <v>0</v>
      </c>
      <c r="X1696" s="648">
        <f t="shared" si="380"/>
        <v>0</v>
      </c>
      <c r="Y1696" s="648">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25">
      <c r="A1697" s="45"/>
      <c r="B1697" s="54"/>
      <c r="C1697" s="47">
        <f t="shared" si="377"/>
        <v>4</v>
      </c>
      <c r="D1697" s="73"/>
      <c r="E1697" s="70"/>
      <c r="F1697" s="70" t="s">
        <v>2459</v>
      </c>
      <c r="G1697" s="73"/>
      <c r="H1697" s="378" t="s">
        <v>2737</v>
      </c>
      <c r="I1697" s="76"/>
      <c r="J1697" s="76"/>
      <c r="K1697" s="76"/>
      <c r="L1697" s="76"/>
      <c r="M1697" s="76"/>
      <c r="N1697" s="76"/>
      <c r="O1697" s="76"/>
      <c r="P1697" s="76"/>
      <c r="Q1697" s="76"/>
      <c r="R1697" s="76"/>
      <c r="S1697" s="76"/>
      <c r="T1697" s="76"/>
      <c r="U1697" s="76">
        <v>0</v>
      </c>
      <c r="V1697" s="76">
        <v>0</v>
      </c>
      <c r="W1697" s="648">
        <f t="shared" ref="W1697:Y1697" si="381">W1712</f>
        <v>0</v>
      </c>
      <c r="X1697" s="648">
        <f t="shared" si="381"/>
        <v>0</v>
      </c>
      <c r="Y1697" s="648">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77"/>
        <v>4</v>
      </c>
      <c r="D1698" s="73"/>
      <c r="E1698" s="70"/>
      <c r="F1698" s="70" t="s">
        <v>2460</v>
      </c>
      <c r="G1698" s="73"/>
      <c r="H1698" s="378" t="s">
        <v>2481</v>
      </c>
      <c r="I1698" s="76"/>
      <c r="J1698" s="76"/>
      <c r="K1698" s="76"/>
      <c r="L1698" s="76"/>
      <c r="M1698" s="76"/>
      <c r="N1698" s="76"/>
      <c r="O1698" s="76"/>
      <c r="P1698" s="76"/>
      <c r="Q1698" s="76"/>
      <c r="R1698" s="76"/>
      <c r="S1698" s="76"/>
      <c r="T1698" s="76"/>
      <c r="U1698" s="97">
        <v>-3.6999999999999998E-2</v>
      </c>
      <c r="V1698" s="255">
        <f t="shared" si="373"/>
        <v>-3.6999999999999998E-2</v>
      </c>
      <c r="W1698" s="648">
        <f t="shared" ref="W1698:Y1698" si="382">W1713</f>
        <v>-3.7749999999999999E-2</v>
      </c>
      <c r="X1698" s="648">
        <f t="shared" si="382"/>
        <v>-3.7749999999999999E-2</v>
      </c>
      <c r="Y1698" s="648">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25">
      <c r="A1699" s="45"/>
      <c r="B1699" s="54"/>
      <c r="C1699" s="47">
        <f t="shared" si="377"/>
        <v>4</v>
      </c>
      <c r="D1699" s="73"/>
      <c r="E1699" s="70"/>
      <c r="F1699" s="70" t="s">
        <v>2461</v>
      </c>
      <c r="G1699" s="73"/>
      <c r="H1699" s="377" t="s">
        <v>2738</v>
      </c>
      <c r="I1699" s="76"/>
      <c r="J1699" s="76"/>
      <c r="K1699" s="76"/>
      <c r="L1699" s="76"/>
      <c r="M1699" s="76"/>
      <c r="N1699" s="76"/>
      <c r="O1699" s="76"/>
      <c r="P1699" s="76"/>
      <c r="Q1699" s="76"/>
      <c r="R1699" s="76"/>
      <c r="S1699" s="76"/>
      <c r="T1699" s="76"/>
      <c r="U1699" s="76">
        <v>0</v>
      </c>
      <c r="V1699" s="255">
        <f t="shared" si="373"/>
        <v>0</v>
      </c>
      <c r="W1699" s="648">
        <f t="shared" ref="W1699:Y1699" si="383">W1714</f>
        <v>0</v>
      </c>
      <c r="X1699" s="648">
        <f t="shared" si="383"/>
        <v>0</v>
      </c>
      <c r="Y1699" s="648">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77"/>
        <v>4</v>
      </c>
      <c r="D1700" s="73"/>
      <c r="E1700" s="70"/>
      <c r="F1700" s="70" t="str">
        <f>SUBSTITUTE(F1694,",4)",",8)")</f>
        <v>C(U2,25,2)</v>
      </c>
      <c r="G1700" s="73"/>
      <c r="H1700" s="378" t="s">
        <v>2733</v>
      </c>
      <c r="I1700" s="96"/>
      <c r="J1700" s="76"/>
      <c r="K1700" s="76"/>
      <c r="L1700" s="76"/>
      <c r="M1700" s="76"/>
      <c r="N1700" s="76"/>
      <c r="O1700" s="76"/>
      <c r="P1700" s="76"/>
      <c r="Q1700" s="76"/>
      <c r="R1700" s="76"/>
      <c r="S1700" s="76"/>
      <c r="T1700" s="76"/>
      <c r="U1700" s="76">
        <v>0</v>
      </c>
      <c r="V1700" s="76">
        <v>0</v>
      </c>
      <c r="W1700" s="648">
        <f t="shared" ref="W1700:Y1700" si="384">W1715</f>
        <v>0.05</v>
      </c>
      <c r="X1700" s="648">
        <f t="shared" si="384"/>
        <v>0.05</v>
      </c>
      <c r="Y1700" s="648">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77"/>
        <v>4</v>
      </c>
      <c r="D1701" s="73"/>
      <c r="E1701" s="70"/>
      <c r="F1701" s="70" t="str">
        <f>SUBSTITUTE(F1695,",5)",",9)")</f>
        <v>C(U2,25,3)</v>
      </c>
      <c r="G1701" s="73"/>
      <c r="H1701" s="378" t="s">
        <v>2789</v>
      </c>
      <c r="I1701" s="96"/>
      <c r="J1701" s="76"/>
      <c r="K1701" s="76"/>
      <c r="L1701" s="76"/>
      <c r="M1701" s="76"/>
      <c r="N1701" s="76"/>
      <c r="O1701" s="76"/>
      <c r="P1701" s="76"/>
      <c r="Q1701" s="76"/>
      <c r="R1701" s="76"/>
      <c r="S1701" s="76"/>
      <c r="T1701" s="76"/>
      <c r="U1701" s="97">
        <v>-9.3500000000000007E-3</v>
      </c>
      <c r="V1701" s="255">
        <f t="shared" si="373"/>
        <v>-9.3500000000000007E-3</v>
      </c>
      <c r="W1701" s="648">
        <f t="shared" ref="W1701:Y1701" si="385">W1716</f>
        <v>-9.3500000000000007E-3</v>
      </c>
      <c r="X1701" s="648">
        <f t="shared" si="385"/>
        <v>-9.3500000000000007E-3</v>
      </c>
      <c r="Y1701" s="648">
        <f t="shared" si="385"/>
        <v>-9.3500000000000007E-3</v>
      </c>
      <c r="Z1701" s="255">
        <f>AA1701</f>
        <v>-9.3500000000000007E-3</v>
      </c>
      <c r="AA1701" s="97">
        <f t="shared" si="376"/>
        <v>-9.3500000000000007E-3</v>
      </c>
      <c r="AB1701" s="255">
        <f t="shared" ref="AB1700:AB1706" si="386">AA1701</f>
        <v>-9.3500000000000007E-3</v>
      </c>
      <c r="AC1701" s="255">
        <f t="shared" ref="AC1700:AC1706" si="387">AB1701</f>
        <v>-9.3500000000000007E-3</v>
      </c>
      <c r="AD1701" s="255">
        <f t="shared" ref="AD1700:AD1706" si="388">AC1701</f>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77"/>
        <v>4</v>
      </c>
      <c r="D1702" s="73"/>
      <c r="E1702" s="70"/>
      <c r="F1702" s="70" t="str">
        <f>SUBSTITUTE(F1698,",6)",",10)")</f>
        <v>C(U2,25,10)</v>
      </c>
      <c r="G1702" s="73"/>
      <c r="H1702" s="378" t="s">
        <v>2788</v>
      </c>
      <c r="I1702" s="96"/>
      <c r="J1702" s="76"/>
      <c r="K1702" s="76"/>
      <c r="L1702" s="76"/>
      <c r="M1702" s="76"/>
      <c r="N1702" s="76"/>
      <c r="O1702" s="76"/>
      <c r="P1702" s="76"/>
      <c r="Q1702" s="76"/>
      <c r="R1702" s="76"/>
      <c r="S1702" s="76"/>
      <c r="T1702" s="76"/>
      <c r="U1702" s="97">
        <v>-7.0369200000000003E-3</v>
      </c>
      <c r="V1702" s="255">
        <f t="shared" si="373"/>
        <v>-7.0369200000000003E-3</v>
      </c>
      <c r="W1702" s="648">
        <f t="shared" ref="W1702:Y1702" si="389">W1717</f>
        <v>-7.0369200000000003E-3</v>
      </c>
      <c r="X1702" s="648">
        <f t="shared" si="389"/>
        <v>-7.0369200000000003E-3</v>
      </c>
      <c r="Y1702" s="648">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77"/>
        <v>4</v>
      </c>
      <c r="D1703" s="73"/>
      <c r="E1703" s="70"/>
      <c r="F1703" s="70" t="str">
        <f>SUBSTITUTE(F1699,",7)",",11)")</f>
        <v>C(U2,25,11)</v>
      </c>
      <c r="G1703" s="73"/>
      <c r="H1703" s="378" t="s">
        <v>2739</v>
      </c>
      <c r="I1703" s="96"/>
      <c r="J1703" s="76"/>
      <c r="K1703" s="76"/>
      <c r="L1703" s="76"/>
      <c r="M1703" s="76"/>
      <c r="N1703" s="76"/>
      <c r="O1703" s="76"/>
      <c r="P1703" s="76"/>
      <c r="Q1703" s="76"/>
      <c r="R1703" s="76"/>
      <c r="S1703" s="76"/>
      <c r="T1703" s="76"/>
      <c r="U1703" s="97">
        <v>7.4569999999999999E-5</v>
      </c>
      <c r="V1703" s="255">
        <f t="shared" si="373"/>
        <v>7.4569999999999999E-5</v>
      </c>
      <c r="W1703" s="648">
        <f t="shared" ref="W1703:Y1703" si="390">W1718</f>
        <v>7.4569999999999999E-5</v>
      </c>
      <c r="X1703" s="648">
        <f t="shared" si="390"/>
        <v>7.4569999999999999E-5</v>
      </c>
      <c r="Y1703" s="648">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25">
      <c r="A1704" s="45"/>
      <c r="B1704" s="54"/>
      <c r="C1704" s="47">
        <f t="shared" si="377"/>
        <v>4</v>
      </c>
      <c r="D1704" s="73"/>
      <c r="E1704" s="70"/>
      <c r="F1704" s="70" t="s">
        <v>3341</v>
      </c>
      <c r="G1704" s="73"/>
      <c r="H1704" s="378" t="s">
        <v>3338</v>
      </c>
      <c r="I1704" s="96"/>
      <c r="J1704" s="76"/>
      <c r="K1704" s="76"/>
      <c r="L1704" s="76"/>
      <c r="M1704" s="76"/>
      <c r="N1704" s="76"/>
      <c r="O1704" s="76"/>
      <c r="P1704" s="76"/>
      <c r="Q1704" s="76"/>
      <c r="R1704" s="76"/>
      <c r="S1704" s="76"/>
      <c r="T1704" s="76"/>
      <c r="U1704" s="97">
        <v>-0.90035560000000003</v>
      </c>
      <c r="V1704" s="255">
        <f t="shared" si="373"/>
        <v>-0.90035560000000003</v>
      </c>
      <c r="W1704" s="648">
        <f t="shared" ref="W1704:Y1705" si="391">W1719</f>
        <v>0</v>
      </c>
      <c r="X1704" s="648">
        <f t="shared" si="391"/>
        <v>0</v>
      </c>
      <c r="Y1704" s="648">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25">
      <c r="A1705" s="45"/>
      <c r="B1705" s="54"/>
      <c r="C1705" s="47">
        <f t="shared" si="377"/>
        <v>4</v>
      </c>
      <c r="D1705" s="73"/>
      <c r="E1705" s="70"/>
      <c r="F1705" s="70" t="s">
        <v>3342</v>
      </c>
      <c r="G1705" s="73"/>
      <c r="H1705" s="378" t="s">
        <v>3337</v>
      </c>
      <c r="I1705" s="96"/>
      <c r="J1705" s="76"/>
      <c r="K1705" s="76"/>
      <c r="L1705" s="76"/>
      <c r="M1705" s="76"/>
      <c r="N1705" s="76"/>
      <c r="O1705" s="76"/>
      <c r="P1705" s="76"/>
      <c r="Q1705" s="76"/>
      <c r="R1705" s="76"/>
      <c r="S1705" s="76"/>
      <c r="T1705" s="76"/>
      <c r="U1705" s="76">
        <v>0</v>
      </c>
      <c r="V1705" s="76">
        <v>0</v>
      </c>
      <c r="W1705" s="648">
        <f t="shared" si="391"/>
        <v>0</v>
      </c>
      <c r="X1705" s="648">
        <f t="shared" si="391"/>
        <v>0</v>
      </c>
      <c r="Y1705" s="648">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2462</v>
      </c>
      <c r="G1706" s="73"/>
      <c r="H1706" s="76" t="s">
        <v>2482</v>
      </c>
      <c r="I1706" s="76"/>
      <c r="J1706" s="76"/>
      <c r="K1706" s="76"/>
      <c r="L1706" s="76"/>
      <c r="M1706" s="76"/>
      <c r="N1706" s="76"/>
      <c r="O1706" s="76"/>
      <c r="P1706" s="76"/>
      <c r="Q1706" s="76"/>
      <c r="R1706" s="76"/>
      <c r="S1706" s="76"/>
      <c r="T1706" s="76"/>
      <c r="U1706" s="97">
        <v>4.0463148000000002</v>
      </c>
      <c r="V1706" s="255">
        <f t="shared" si="373"/>
        <v>4.0463148000000002</v>
      </c>
      <c r="W1706" s="648">
        <f t="shared" ref="W1706:Y1706" si="392">W1721</f>
        <v>-1.8110552</v>
      </c>
      <c r="X1706" s="648">
        <f t="shared" si="392"/>
        <v>-1.8110552</v>
      </c>
      <c r="Y1706" s="648">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2735</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3313</v>
      </c>
      <c r="G1707" s="73"/>
      <c r="H1707" s="76" t="s">
        <v>2518</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3796</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3315</v>
      </c>
      <c r="G1708" s="73"/>
      <c r="H1708" s="76" t="s">
        <v>2478</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3795</v>
      </c>
      <c r="AG1708" s="76"/>
      <c r="AH1708" s="97">
        <v>1</v>
      </c>
      <c r="AI1708" s="97">
        <v>1</v>
      </c>
      <c r="AJ1708" s="73"/>
      <c r="AK1708" s="57"/>
      <c r="AL1708" s="45"/>
      <c r="AM1708" s="45"/>
      <c r="AN1708" s="45"/>
    </row>
    <row r="1709" spans="1:40" hidden="1" outlineLevel="3" collapsed="1" x14ac:dyDescent="0.25">
      <c r="A1709" s="45"/>
      <c r="B1709" s="54"/>
      <c r="C1709" s="47">
        <f t="shared" ref="C1709:C1720" si="393">INT($C$29)+3</f>
        <v>4</v>
      </c>
      <c r="D1709" s="73"/>
      <c r="E1709" s="70"/>
      <c r="F1709" s="70" t="s">
        <v>3314</v>
      </c>
      <c r="G1709" s="73"/>
      <c r="H1709" s="378" t="s">
        <v>2480</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25">
      <c r="A1710" s="45"/>
      <c r="B1710" s="54"/>
      <c r="C1710" s="47">
        <f t="shared" si="393"/>
        <v>4</v>
      </c>
      <c r="D1710" s="73"/>
      <c r="E1710" s="70"/>
      <c r="F1710" s="70" t="s">
        <v>3316</v>
      </c>
      <c r="G1710" s="73"/>
      <c r="H1710" s="377" t="s">
        <v>2736</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25">
      <c r="A1711" s="45"/>
      <c r="B1711" s="54"/>
      <c r="C1711" s="47">
        <f t="shared" si="393"/>
        <v>4</v>
      </c>
      <c r="D1711" s="73"/>
      <c r="E1711" s="70"/>
      <c r="F1711" s="70" t="s">
        <v>3317</v>
      </c>
      <c r="G1711" s="73"/>
      <c r="H1711" s="378" t="s">
        <v>2479</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25">
      <c r="A1712" s="45"/>
      <c r="B1712" s="54"/>
      <c r="C1712" s="47">
        <f t="shared" si="393"/>
        <v>4</v>
      </c>
      <c r="D1712" s="73"/>
      <c r="E1712" s="70"/>
      <c r="F1712" s="70" t="s">
        <v>3318</v>
      </c>
      <c r="G1712" s="73"/>
      <c r="H1712" s="378" t="s">
        <v>2737</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393"/>
        <v>4</v>
      </c>
      <c r="D1713" s="73"/>
      <c r="E1713" s="70"/>
      <c r="F1713" s="70" t="s">
        <v>3319</v>
      </c>
      <c r="G1713" s="73"/>
      <c r="H1713" s="378" t="s">
        <v>2481</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393"/>
        <v>4</v>
      </c>
      <c r="D1714" s="73"/>
      <c r="E1714" s="70"/>
      <c r="F1714" s="70" t="s">
        <v>3320</v>
      </c>
      <c r="G1714" s="73"/>
      <c r="H1714" s="377" t="s">
        <v>2738</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393"/>
        <v>4</v>
      </c>
      <c r="D1715" s="73"/>
      <c r="E1715" s="70"/>
      <c r="F1715" s="70" t="s">
        <v>3321</v>
      </c>
      <c r="G1715" s="73"/>
      <c r="H1715" s="378" t="s">
        <v>2733</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25">
      <c r="A1716" s="45"/>
      <c r="B1716" s="54"/>
      <c r="C1716" s="47">
        <f t="shared" si="393"/>
        <v>4</v>
      </c>
      <c r="D1716" s="73"/>
      <c r="E1716" s="70"/>
      <c r="F1716" s="70" t="s">
        <v>3322</v>
      </c>
      <c r="G1716" s="73"/>
      <c r="H1716" s="378" t="s">
        <v>2789</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393"/>
        <v>4</v>
      </c>
      <c r="D1717" s="73"/>
      <c r="E1717" s="70"/>
      <c r="F1717" s="70" t="s">
        <v>3323</v>
      </c>
      <c r="G1717" s="73"/>
      <c r="H1717" s="378" t="s">
        <v>2788</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25">
      <c r="A1718" s="45"/>
      <c r="B1718" s="54"/>
      <c r="C1718" s="47">
        <f t="shared" si="393"/>
        <v>4</v>
      </c>
      <c r="D1718" s="73"/>
      <c r="E1718" s="70"/>
      <c r="F1718" s="70" t="s">
        <v>3324</v>
      </c>
      <c r="G1718" s="73"/>
      <c r="H1718" s="378" t="s">
        <v>2739</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25">
      <c r="A1719" s="45"/>
      <c r="B1719" s="54"/>
      <c r="C1719" s="47">
        <f t="shared" si="393"/>
        <v>4</v>
      </c>
      <c r="D1719" s="73"/>
      <c r="E1719" s="70"/>
      <c r="F1719" s="70" t="s">
        <v>3335</v>
      </c>
      <c r="G1719" s="73"/>
      <c r="H1719" s="378" t="s">
        <v>3338</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25">
      <c r="A1720" s="45"/>
      <c r="B1720" s="54"/>
      <c r="C1720" s="47">
        <f t="shared" si="393"/>
        <v>4</v>
      </c>
      <c r="D1720" s="73"/>
      <c r="E1720" s="70"/>
      <c r="F1720" s="70" t="s">
        <v>3336</v>
      </c>
      <c r="G1720" s="73"/>
      <c r="H1720" s="378" t="s">
        <v>3337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3325</v>
      </c>
      <c r="G1721" s="73"/>
      <c r="H1721" s="76" t="s">
        <v>2482</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3357</v>
      </c>
      <c r="G1722" s="73"/>
      <c r="H1722" s="76" t="s">
        <v>3366</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3610</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3358</v>
      </c>
      <c r="G1723" s="73"/>
      <c r="H1723" s="76" t="s">
        <v>3367</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3368</v>
      </c>
      <c r="AG1723" s="76"/>
      <c r="AH1723" s="76">
        <v>1</v>
      </c>
      <c r="AI1723" s="76">
        <v>1</v>
      </c>
      <c r="AJ1723" s="73"/>
      <c r="AK1723" s="57"/>
      <c r="AL1723" s="45"/>
      <c r="AM1723" s="45"/>
      <c r="AN1723" s="45"/>
    </row>
    <row r="1724" spans="1:40" outlineLevel="2" x14ac:dyDescent="0.25">
      <c r="A1724" s="45"/>
      <c r="B1724" s="54"/>
      <c r="C1724" s="47">
        <f t="shared" ref="C1724:C1735" si="397">INT($C$29)+3</f>
        <v>4</v>
      </c>
      <c r="D1724" s="73"/>
      <c r="E1724" s="70"/>
      <c r="F1724" s="70" t="s">
        <v>3359</v>
      </c>
      <c r="G1724" s="73"/>
      <c r="H1724" s="76" t="s">
        <v>3606</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3369</v>
      </c>
      <c r="AG1724" s="76"/>
      <c r="AH1724" s="97">
        <v>1</v>
      </c>
      <c r="AI1724" s="97">
        <v>1</v>
      </c>
      <c r="AJ1724" s="73"/>
      <c r="AK1724" s="57"/>
      <c r="AL1724" s="45"/>
      <c r="AM1724" s="45"/>
      <c r="AN1724" s="45"/>
    </row>
    <row r="1725" spans="1:40" outlineLevel="2" collapsed="1" x14ac:dyDescent="0.25">
      <c r="A1725" s="45"/>
      <c r="B1725" s="54"/>
      <c r="C1725" s="47">
        <f t="shared" si="397"/>
        <v>4</v>
      </c>
      <c r="D1725" s="73"/>
      <c r="E1725" s="70"/>
      <c r="F1725" s="70" t="s">
        <v>3360</v>
      </c>
      <c r="G1725" s="73"/>
      <c r="H1725" s="76" t="s">
        <v>3607</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397"/>
        <v>4</v>
      </c>
      <c r="D1726" s="73"/>
      <c r="E1726" s="70"/>
      <c r="F1726" s="70" t="s">
        <v>3361</v>
      </c>
      <c r="G1726" s="73"/>
      <c r="H1726" s="76" t="s">
        <v>3608</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397"/>
        <v>4</v>
      </c>
      <c r="D1727" s="73"/>
      <c r="E1727" s="70"/>
      <c r="F1727" s="70" t="s">
        <v>3362</v>
      </c>
      <c r="G1727" s="73"/>
      <c r="H1727" s="76" t="s">
        <v>3609</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397"/>
        <v>4</v>
      </c>
      <c r="D1728" s="73"/>
      <c r="E1728" s="70"/>
      <c r="F1728" s="70" t="s">
        <v>3363</v>
      </c>
      <c r="G1728" s="73"/>
      <c r="H1728" s="377" t="s">
        <v>3370</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397"/>
        <v>4</v>
      </c>
      <c r="D1729" s="73"/>
      <c r="E1729" s="70"/>
      <c r="F1729" s="70" t="s">
        <v>3364</v>
      </c>
      <c r="G1729" s="73"/>
      <c r="H1729" s="377" t="s">
        <v>3371</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397"/>
        <v>4</v>
      </c>
      <c r="D1730" s="73"/>
      <c r="E1730" s="70"/>
      <c r="F1730" s="70" t="str">
        <f>SUBSTITUTE(F1726,",4)",",8)")</f>
        <v>C(U2,27,8)</v>
      </c>
      <c r="G1730" s="73"/>
      <c r="H1730" s="377" t="s">
        <v>3372</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397"/>
        <v>4</v>
      </c>
      <c r="D1731" s="73"/>
      <c r="E1731" s="70"/>
      <c r="F1731" s="70" t="str">
        <f>SUBSTITUTE(F1727,",5)",",9)")</f>
        <v>C(U2,27,9)</v>
      </c>
      <c r="G1731" s="73"/>
      <c r="H1731" s="377" t="s">
        <v>3373</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397"/>
        <v>4</v>
      </c>
      <c r="D1732" s="73"/>
      <c r="E1732" s="70"/>
      <c r="F1732" s="70" t="str">
        <f>SUBSTITUTE(F1728,",6)",",10)")</f>
        <v>C(U2,27,10)</v>
      </c>
      <c r="G1732" s="73"/>
      <c r="H1732" s="377" t="s">
        <v>3374</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397"/>
        <v>4</v>
      </c>
      <c r="D1733" s="73"/>
      <c r="E1733" s="70"/>
      <c r="F1733" s="70" t="str">
        <f>SUBSTITUTE(F1729,",7)",",11)")</f>
        <v>C(U2,27,11)</v>
      </c>
      <c r="G1733" s="73"/>
      <c r="H1733" s="377" t="s">
        <v>3375</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397"/>
        <v>4</v>
      </c>
      <c r="D1734" s="73"/>
      <c r="E1734" s="70"/>
      <c r="F1734" s="70" t="str">
        <f>SUBSTITUTE(F1728,",6)",",12)")</f>
        <v>C(U2,27,12)</v>
      </c>
      <c r="G1734" s="73"/>
      <c r="H1734" s="377" t="s">
        <v>3376</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397"/>
        <v>4</v>
      </c>
      <c r="D1735" s="73"/>
      <c r="E1735" s="70"/>
      <c r="F1735" s="70" t="str">
        <f>SUBSTITUTE(F1729,",7)",",13)")</f>
        <v>C(U2,27,13)</v>
      </c>
      <c r="G1735" s="73"/>
      <c r="H1735" s="377" t="s">
        <v>3377</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3365</v>
      </c>
      <c r="G1736" s="73"/>
      <c r="H1736" s="76" t="s">
        <v>3378</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collapsed="1" x14ac:dyDescent="0.25">
      <c r="A1737" s="45"/>
      <c r="B1737" s="54"/>
      <c r="C1737" s="47">
        <f>INT($C$29)+1</f>
        <v>2</v>
      </c>
      <c r="D1737" s="73"/>
      <c r="E1737" s="70"/>
      <c r="F1737" s="265" t="s">
        <v>1703</v>
      </c>
      <c r="G1737" s="73"/>
      <c r="H1737" s="267" t="s">
        <v>3754</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hidden="1" outlineLevel="2" collapsed="1" x14ac:dyDescent="0.25">
      <c r="A1738" s="45"/>
      <c r="B1738" s="54"/>
      <c r="C1738" s="47">
        <f t="shared" ref="C1738:C1757" si="423">INT($C$29)+3</f>
        <v>4</v>
      </c>
      <c r="D1738" s="73"/>
      <c r="E1738" s="70"/>
      <c r="F1738" s="70" t="s">
        <v>3525</v>
      </c>
      <c r="G1738" s="73"/>
      <c r="H1738" s="76" t="s">
        <v>3521</v>
      </c>
      <c r="I1738" s="96" t="s">
        <v>2332</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23"/>
        <v>4</v>
      </c>
      <c r="D1739" s="73"/>
      <c r="E1739" s="70"/>
      <c r="F1739" s="70" t="s">
        <v>3526</v>
      </c>
      <c r="G1739" s="73"/>
      <c r="H1739" s="76" t="s">
        <v>3509</v>
      </c>
      <c r="I1739" s="96" t="s">
        <v>2333</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23"/>
        <v>4</v>
      </c>
      <c r="D1740" s="73"/>
      <c r="E1740" s="70"/>
      <c r="F1740" s="70" t="s">
        <v>3527</v>
      </c>
      <c r="G1740" s="73"/>
      <c r="H1740" s="76" t="s">
        <v>3516</v>
      </c>
      <c r="I1740" s="96" t="s">
        <v>2334</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23"/>
        <v>4</v>
      </c>
      <c r="D1741" s="73"/>
      <c r="E1741" s="70"/>
      <c r="F1741" s="70" t="s">
        <v>3528</v>
      </c>
      <c r="G1741" s="73"/>
      <c r="H1741" s="76" t="s">
        <v>3510</v>
      </c>
      <c r="I1741" s="96" t="s">
        <v>2368</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23"/>
        <v>4</v>
      </c>
      <c r="D1742" s="73"/>
      <c r="E1742" s="70"/>
      <c r="F1742" s="70" t="s">
        <v>3529</v>
      </c>
      <c r="G1742" s="73"/>
      <c r="H1742" s="76" t="s">
        <v>3517</v>
      </c>
      <c r="I1742" s="96" t="s">
        <v>2335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23"/>
        <v>4</v>
      </c>
      <c r="D1743" s="73"/>
      <c r="E1743" s="70"/>
      <c r="F1743" s="70" t="s">
        <v>3530</v>
      </c>
      <c r="G1743" s="73"/>
      <c r="H1743" s="76" t="s">
        <v>3511</v>
      </c>
      <c r="I1743" s="96" t="s">
        <v>2336</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23"/>
        <v>4</v>
      </c>
      <c r="D1744" s="73"/>
      <c r="E1744" s="70"/>
      <c r="F1744" s="70" t="s">
        <v>3531</v>
      </c>
      <c r="G1744" s="73"/>
      <c r="H1744" s="76" t="s">
        <v>3518</v>
      </c>
      <c r="I1744" s="96" t="s">
        <v>2370</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23"/>
        <v>4</v>
      </c>
      <c r="D1745" s="73"/>
      <c r="E1745" s="70"/>
      <c r="F1745" s="70" t="s">
        <v>3532</v>
      </c>
      <c r="G1745" s="73"/>
      <c r="H1745" s="76" t="s">
        <v>3512</v>
      </c>
      <c r="I1745" s="96" t="s">
        <v>2372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23"/>
        <v>4</v>
      </c>
      <c r="D1746" s="73"/>
      <c r="E1746" s="70"/>
      <c r="F1746" s="70" t="str">
        <f>SUBSTITUTE(F1742,",4)",",8)")</f>
        <v>C(U6,0,8)</v>
      </c>
      <c r="G1746" s="73"/>
      <c r="H1746" s="76" t="s">
        <v>3519</v>
      </c>
      <c r="I1746" s="96" t="s">
        <v>2729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23"/>
        <v>4</v>
      </c>
      <c r="D1747" s="73"/>
      <c r="E1747" s="70"/>
      <c r="F1747" s="70" t="str">
        <f>SUBSTITUTE(F1743,",5)",",9)")</f>
        <v>C(U6,0,9)</v>
      </c>
      <c r="G1747" s="73"/>
      <c r="H1747" s="76" t="s">
        <v>3513</v>
      </c>
      <c r="I1747" s="96" t="s">
        <v>2730</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23"/>
        <v>4</v>
      </c>
      <c r="D1748" s="73"/>
      <c r="E1748" s="70"/>
      <c r="F1748" s="70" t="str">
        <f>SUBSTITUTE(F1744,",6)",",10)")</f>
        <v>C(U6,0,10)</v>
      </c>
      <c r="G1748" s="73"/>
      <c r="H1748" s="76" t="s">
        <v>3520</v>
      </c>
      <c r="I1748" s="96" t="s">
        <v>2731</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23"/>
        <v>4</v>
      </c>
      <c r="D1749" s="73"/>
      <c r="E1749" s="70"/>
      <c r="F1749" s="70" t="str">
        <f>SUBSTITUTE(F1745,",7)",",11)")</f>
        <v>C(U6,0,11)</v>
      </c>
      <c r="G1749" s="73"/>
      <c r="H1749" s="76" t="s">
        <v>3514</v>
      </c>
      <c r="I1749" s="96" t="s">
        <v>2732</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23"/>
        <v>4</v>
      </c>
      <c r="D1750" s="73"/>
      <c r="E1750" s="70"/>
      <c r="F1750" s="70" t="str">
        <f>SUBSTITUTE(F1745,",7)",",12)")</f>
        <v>C(U6,0,12)</v>
      </c>
      <c r="G1750" s="73"/>
      <c r="H1750" s="76" t="s">
        <v>3343</v>
      </c>
      <c r="I1750" s="96" t="s">
        <v>2731</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23"/>
        <v>4</v>
      </c>
      <c r="D1751" s="73"/>
      <c r="E1751" s="70"/>
      <c r="F1751" s="70" t="str">
        <f>SUBSTITUTE(F1745,",7)",",13)")</f>
        <v>C(U6,0,13)</v>
      </c>
      <c r="G1751" s="73"/>
      <c r="H1751" s="76" t="s">
        <v>3515</v>
      </c>
      <c r="I1751" s="96" t="s">
        <v>2732</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23"/>
        <v>4</v>
      </c>
      <c r="D1752" s="73"/>
      <c r="E1752" s="70"/>
      <c r="F1752" s="70" t="s">
        <v>3533</v>
      </c>
      <c r="G1752" s="73"/>
      <c r="H1752" s="76" t="s">
        <v>1920</v>
      </c>
      <c r="I1752" s="96" t="s">
        <v>2337</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23"/>
        <v>4</v>
      </c>
      <c r="D1753" s="73"/>
      <c r="E1753" s="70"/>
      <c r="F1753" s="70" t="s">
        <v>3534</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23"/>
        <v>4</v>
      </c>
      <c r="D1754" s="73"/>
      <c r="E1754" s="70"/>
      <c r="F1754" s="70" t="s">
        <v>3535</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23"/>
        <v>4</v>
      </c>
      <c r="D1755" s="73"/>
      <c r="E1755" s="70"/>
      <c r="F1755" s="70" t="s">
        <v>3536</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23"/>
        <v>4</v>
      </c>
      <c r="D1756" s="73"/>
      <c r="E1756" s="70"/>
      <c r="F1756" s="70" t="s">
        <v>3537</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23"/>
        <v>4</v>
      </c>
      <c r="D1757" s="73"/>
      <c r="E1757" s="70"/>
      <c r="F1757" s="70" t="s">
        <v>3538</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3539</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3540</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3541</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24"/>
        <v>4</v>
      </c>
      <c r="D1767" s="73"/>
      <c r="E1767" s="70"/>
      <c r="F1767" s="70" t="s">
        <v>3542</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24"/>
        <v>4</v>
      </c>
      <c r="D1768" s="73"/>
      <c r="E1768" s="70"/>
      <c r="F1768" s="70" t="s">
        <v>3543</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24"/>
        <v>4</v>
      </c>
      <c r="D1769" s="73"/>
      <c r="E1769" s="70"/>
      <c r="F1769" s="70" t="s">
        <v>3544</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24"/>
        <v>4</v>
      </c>
      <c r="D1770" s="73"/>
      <c r="E1770" s="70"/>
      <c r="F1770" s="70" t="s">
        <v>3545</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24"/>
        <v>4</v>
      </c>
      <c r="D1771" s="73"/>
      <c r="E1771" s="70"/>
      <c r="F1771" s="70" t="s">
        <v>3546</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24"/>
        <v>4</v>
      </c>
      <c r="D1772" s="73"/>
      <c r="E1772" s="70"/>
      <c r="F1772" s="70" t="s">
        <v>3547</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3548</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3549</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3550</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25"/>
        <v>4</v>
      </c>
      <c r="D1782" s="73"/>
      <c r="E1782" s="70"/>
      <c r="F1782" s="70" t="s">
        <v>3551</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25"/>
        <v>4</v>
      </c>
      <c r="D1783" s="73"/>
      <c r="E1783" s="70"/>
      <c r="F1783" s="70" t="s">
        <v>3552</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25"/>
        <v>4</v>
      </c>
      <c r="D1784" s="73"/>
      <c r="E1784" s="70"/>
      <c r="F1784" s="70" t="s">
        <v>3553</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25"/>
        <v>4</v>
      </c>
      <c r="D1785" s="73"/>
      <c r="E1785" s="70"/>
      <c r="F1785" s="70" t="s">
        <v>3554</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25"/>
        <v>4</v>
      </c>
      <c r="D1786" s="73"/>
      <c r="E1786" s="70"/>
      <c r="F1786" s="70" t="s">
        <v>3555</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25"/>
        <v>4</v>
      </c>
      <c r="D1787" s="73"/>
      <c r="E1787" s="70"/>
      <c r="F1787" s="70" t="s">
        <v>3556</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3557</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3558</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3559</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26"/>
        <v>4</v>
      </c>
      <c r="D1797" s="73"/>
      <c r="E1797" s="70"/>
      <c r="F1797" s="70" t="s">
        <v>3560</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26"/>
        <v>4</v>
      </c>
      <c r="D1798" s="73"/>
      <c r="E1798" s="70"/>
      <c r="F1798" s="70" t="s">
        <v>3561</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26"/>
        <v>4</v>
      </c>
      <c r="D1799" s="73"/>
      <c r="E1799" s="70"/>
      <c r="F1799" s="70" t="s">
        <v>3562</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26"/>
        <v>4</v>
      </c>
      <c r="D1800" s="73"/>
      <c r="E1800" s="70"/>
      <c r="F1800" s="70" t="s">
        <v>3563</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26"/>
        <v>4</v>
      </c>
      <c r="D1801" s="73"/>
      <c r="E1801" s="70"/>
      <c r="F1801" s="70" t="s">
        <v>3564</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26"/>
        <v>4</v>
      </c>
      <c r="D1802" s="73"/>
      <c r="E1802" s="70"/>
      <c r="F1802" s="70" t="s">
        <v>3565</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3566</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3567</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3568</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27"/>
        <v>4</v>
      </c>
      <c r="D1812" s="73"/>
      <c r="E1812" s="70"/>
      <c r="F1812" s="70" t="s">
        <v>3569</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27"/>
        <v>4</v>
      </c>
      <c r="D1813" s="73"/>
      <c r="E1813" s="70"/>
      <c r="F1813" s="70" t="s">
        <v>3570</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27"/>
        <v>4</v>
      </c>
      <c r="D1814" s="73"/>
      <c r="E1814" s="70"/>
      <c r="F1814" s="70" t="s">
        <v>3571</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27"/>
        <v>4</v>
      </c>
      <c r="D1815" s="73"/>
      <c r="E1815" s="70"/>
      <c r="F1815" s="70" t="s">
        <v>3572</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27"/>
        <v>4</v>
      </c>
      <c r="D1816" s="73"/>
      <c r="E1816" s="70"/>
      <c r="F1816" s="70" t="s">
        <v>3573</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27"/>
        <v>4</v>
      </c>
      <c r="D1817" s="73"/>
      <c r="E1817" s="70"/>
      <c r="F1817" s="70" t="s">
        <v>3574</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3575</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3576</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3577</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28"/>
        <v>4</v>
      </c>
      <c r="D1827" s="73"/>
      <c r="E1827" s="70"/>
      <c r="F1827" s="70" t="s">
        <v>3578</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28"/>
        <v>4</v>
      </c>
      <c r="D1828" s="73"/>
      <c r="E1828" s="70"/>
      <c r="F1828" s="70" t="s">
        <v>3579</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28"/>
        <v>4</v>
      </c>
      <c r="D1829" s="73"/>
      <c r="E1829" s="70"/>
      <c r="F1829" s="70" t="s">
        <v>3580</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28"/>
        <v>4</v>
      </c>
      <c r="D1830" s="73"/>
      <c r="E1830" s="70"/>
      <c r="F1830" s="70" t="s">
        <v>3581</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28"/>
        <v>4</v>
      </c>
      <c r="D1831" s="73"/>
      <c r="E1831" s="70"/>
      <c r="F1831" s="70" t="s">
        <v>3582</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28"/>
        <v>4</v>
      </c>
      <c r="D1832" s="73"/>
      <c r="E1832" s="70"/>
      <c r="F1832" s="70" t="s">
        <v>3583</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3584</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3585</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3586</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29"/>
        <v>4</v>
      </c>
      <c r="D1842" s="73"/>
      <c r="E1842" s="70"/>
      <c r="F1842" s="70" t="s">
        <v>3587</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29"/>
        <v>4</v>
      </c>
      <c r="D1843" s="73"/>
      <c r="E1843" s="70"/>
      <c r="F1843" s="70" t="s">
        <v>3588</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29"/>
        <v>4</v>
      </c>
      <c r="D1844" s="73"/>
      <c r="E1844" s="70"/>
      <c r="F1844" s="70" t="s">
        <v>3589</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29"/>
        <v>4</v>
      </c>
      <c r="D1845" s="73"/>
      <c r="E1845" s="70"/>
      <c r="F1845" s="70" t="s">
        <v>3590</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29"/>
        <v>4</v>
      </c>
      <c r="D1846" s="73"/>
      <c r="E1846" s="70"/>
      <c r="F1846" s="70" t="s">
        <v>3591</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29"/>
        <v>4</v>
      </c>
      <c r="D1847" s="73"/>
      <c r="E1847" s="70"/>
      <c r="F1847" s="70" t="s">
        <v>3592</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3593</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3594</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3595</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402"/>
      <c r="F1857" s="402" t="s">
        <v>3596</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hidden="1" outlineLevel="2" x14ac:dyDescent="0.25">
      <c r="A1858" s="45"/>
      <c r="B1858" s="54"/>
      <c r="C1858" s="47">
        <f>INT($C$29)+2</f>
        <v>3</v>
      </c>
      <c r="D1858" s="73"/>
      <c r="E1858" s="406"/>
      <c r="F1858" s="406" t="s">
        <v>3597</v>
      </c>
      <c r="G1858" s="407"/>
      <c r="H1858" s="181" t="s">
        <v>3761</v>
      </c>
      <c r="I1858" s="181"/>
      <c r="J1858" s="181"/>
      <c r="K1858" s="181"/>
      <c r="L1858" s="181"/>
      <c r="M1858" s="181"/>
      <c r="N1858" s="181"/>
      <c r="O1858" s="181"/>
      <c r="P1858" s="181"/>
      <c r="Q1858" s="181"/>
      <c r="R1858" s="181"/>
      <c r="S1858" s="181"/>
      <c r="T1858" s="181"/>
      <c r="U1858" s="408">
        <v>0.52490000000000003</v>
      </c>
      <c r="V1858" s="409">
        <f>U1858</f>
        <v>0.52490000000000003</v>
      </c>
      <c r="W1858" s="409">
        <f t="shared" ref="W1858:W1859" si="431">U1858</f>
        <v>0.52490000000000003</v>
      </c>
      <c r="X1858" s="409">
        <f t="shared" ref="X1858:X1859" si="432">V1858</f>
        <v>0.52490000000000003</v>
      </c>
      <c r="Y1858" s="409">
        <f>V1858</f>
        <v>0.52490000000000003</v>
      </c>
      <c r="Z1858" s="409">
        <f>AA1858</f>
        <v>0</v>
      </c>
      <c r="AA1858" s="408"/>
      <c r="AB1858" s="409">
        <f t="shared" ref="AB1858:AB1859" si="433">AA1858</f>
        <v>0</v>
      </c>
      <c r="AC1858" s="409">
        <f t="shared" ref="AC1858:AC1859" si="434">AB1858</f>
        <v>0</v>
      </c>
      <c r="AD1858" s="409">
        <f t="shared" ref="AD1858:AD1859" si="435">AC1858</f>
        <v>0</v>
      </c>
      <c r="AE1858" s="181"/>
      <c r="AF1858" s="408" t="s">
        <v>3524</v>
      </c>
      <c r="AG1858" s="181"/>
      <c r="AH1858" s="408">
        <v>1</v>
      </c>
      <c r="AI1858" s="408">
        <v>1</v>
      </c>
      <c r="AJ1858" s="73"/>
      <c r="AK1858" s="57"/>
      <c r="AL1858" s="45"/>
      <c r="AM1858" s="45"/>
      <c r="AN1858" s="45"/>
    </row>
    <row r="1859" spans="1:40" hidden="1" outlineLevel="2" collapsed="1" x14ac:dyDescent="0.25">
      <c r="A1859" s="45"/>
      <c r="B1859" s="54"/>
      <c r="C1859" s="47">
        <f>INT($C$29)+2</f>
        <v>3</v>
      </c>
      <c r="D1859" s="73"/>
      <c r="E1859" s="70"/>
      <c r="F1859" s="70" t="s">
        <v>3598</v>
      </c>
      <c r="G1859" s="234"/>
      <c r="H1859" s="76" t="s">
        <v>3522</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4">
        <f>AA1859</f>
        <v>0</v>
      </c>
      <c r="AA1859" s="97"/>
      <c r="AB1859" s="404">
        <f t="shared" si="433"/>
        <v>0</v>
      </c>
      <c r="AC1859" s="404">
        <f t="shared" si="434"/>
        <v>0</v>
      </c>
      <c r="AD1859" s="404">
        <f t="shared" si="435"/>
        <v>0</v>
      </c>
      <c r="AE1859" s="76"/>
      <c r="AF1859" s="76"/>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3599</v>
      </c>
      <c r="G1860" s="234"/>
      <c r="H1860" s="76" t="s">
        <v>3516</v>
      </c>
      <c r="I1860" s="7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3600</v>
      </c>
      <c r="G1861" s="234"/>
      <c r="H1861" s="76" t="s">
        <v>3510</v>
      </c>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v>1</v>
      </c>
      <c r="AI1861" s="76">
        <v>1</v>
      </c>
      <c r="AJ1861" s="73"/>
      <c r="AK1861" s="57"/>
      <c r="AL1861" s="45"/>
      <c r="AM1861" s="45"/>
      <c r="AN1861" s="45"/>
    </row>
    <row r="1862" spans="1:40" hidden="1" outlineLevel="2" collapsed="1" x14ac:dyDescent="0.25">
      <c r="A1862" s="45"/>
      <c r="B1862" s="54"/>
      <c r="C1862" s="47">
        <f>INT($C$29)+2</f>
        <v>3</v>
      </c>
      <c r="D1862" s="73"/>
      <c r="E1862" s="70"/>
      <c r="F1862" s="70" t="s">
        <v>3601</v>
      </c>
      <c r="G1862" s="234"/>
      <c r="H1862" s="76" t="s">
        <v>3517</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6">U1862</f>
        <v>5.5010000000000003E-2</v>
      </c>
      <c r="X1862" s="255">
        <f t="shared" ref="X1862" si="437">V1862</f>
        <v>5.5010000000000003E-2</v>
      </c>
      <c r="Y1862" s="255">
        <f>V1862</f>
        <v>5.5010000000000003E-2</v>
      </c>
      <c r="Z1862" s="404">
        <f>AA1862</f>
        <v>0</v>
      </c>
      <c r="AA1862" s="97"/>
      <c r="AB1862" s="404">
        <f t="shared" ref="AB1862" si="438">AA1862</f>
        <v>0</v>
      </c>
      <c r="AC1862" s="404">
        <f t="shared" ref="AC1862" si="439">AB1862</f>
        <v>0</v>
      </c>
      <c r="AD1862" s="404">
        <f t="shared" ref="AD1862" si="440">AC1862</f>
        <v>0</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3602</v>
      </c>
      <c r="G1863" s="234"/>
      <c r="H1863" s="76" t="s">
        <v>3511</v>
      </c>
      <c r="I1863" s="76"/>
      <c r="J1863" s="76"/>
      <c r="K1863" s="76"/>
      <c r="L1863" s="76"/>
      <c r="M1863" s="76"/>
      <c r="N1863" s="76"/>
      <c r="O1863" s="76"/>
      <c r="P1863" s="76"/>
      <c r="Q1863" s="76"/>
      <c r="R1863" s="76"/>
      <c r="S1863" s="76"/>
      <c r="T1863" s="76"/>
      <c r="U1863" s="76"/>
      <c r="V1863" s="76"/>
      <c r="W1863" s="76"/>
      <c r="X1863" s="76"/>
      <c r="Y1863" s="76"/>
      <c r="Z1863" s="76"/>
      <c r="AA1863" s="76"/>
      <c r="AB1863" s="76"/>
      <c r="AC1863" s="76"/>
      <c r="AD1863" s="76"/>
      <c r="AE1863" s="76"/>
      <c r="AF1863" s="76"/>
      <c r="AG1863" s="76"/>
      <c r="AH1863" s="76">
        <v>1</v>
      </c>
      <c r="AI1863" s="76">
        <v>1</v>
      </c>
      <c r="AJ1863" s="73"/>
      <c r="AK1863" s="57"/>
      <c r="AL1863" s="45"/>
      <c r="AM1863" s="45"/>
      <c r="AN1863" s="45"/>
    </row>
    <row r="1864" spans="1:40" hidden="1" outlineLevel="2" x14ac:dyDescent="0.25">
      <c r="A1864" s="45"/>
      <c r="B1864" s="54"/>
      <c r="C1864" s="47">
        <f t="shared" ref="C1864:C1871" si="441">INT($C$29)+3</f>
        <v>4</v>
      </c>
      <c r="D1864" s="73"/>
      <c r="E1864" s="70"/>
      <c r="F1864" s="70" t="s">
        <v>3603</v>
      </c>
      <c r="G1864" s="234"/>
      <c r="H1864" s="76" t="s">
        <v>3518</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4">
        <f>AA1864</f>
        <v>0</v>
      </c>
      <c r="AA1864" s="97">
        <v>0</v>
      </c>
      <c r="AB1864" s="404">
        <f t="shared" ref="AB1864:AB1865" si="442">AA1864</f>
        <v>0</v>
      </c>
      <c r="AC1864" s="404">
        <f t="shared" ref="AC1864:AC1865" si="443">AB1864</f>
        <v>0</v>
      </c>
      <c r="AD1864" s="404">
        <f t="shared" ref="AD1864:AD1865" si="444">AC1864</f>
        <v>0</v>
      </c>
      <c r="AE1864" s="76"/>
      <c r="AF1864" s="76"/>
      <c r="AG1864" s="76"/>
      <c r="AH1864" s="97">
        <v>1</v>
      </c>
      <c r="AI1864" s="97">
        <v>1</v>
      </c>
      <c r="AJ1864" s="73"/>
      <c r="AK1864" s="57"/>
      <c r="AL1864" s="45"/>
      <c r="AM1864" s="45"/>
      <c r="AN1864" s="45"/>
    </row>
    <row r="1865" spans="1:40" hidden="1" outlineLevel="2" collapsed="1" x14ac:dyDescent="0.25">
      <c r="A1865" s="45"/>
      <c r="B1865" s="54"/>
      <c r="C1865" s="47">
        <f t="shared" si="441"/>
        <v>4</v>
      </c>
      <c r="D1865" s="73"/>
      <c r="E1865" s="70"/>
      <c r="F1865" s="70" t="s">
        <v>3604</v>
      </c>
      <c r="G1865" s="234"/>
      <c r="H1865" s="76" t="s">
        <v>3512</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4">
        <f>AA1865</f>
        <v>0</v>
      </c>
      <c r="AA1865" s="97">
        <v>0</v>
      </c>
      <c r="AB1865" s="404">
        <f t="shared" si="442"/>
        <v>0</v>
      </c>
      <c r="AC1865" s="404">
        <f t="shared" si="443"/>
        <v>0</v>
      </c>
      <c r="AD1865" s="404">
        <f t="shared" si="444"/>
        <v>0</v>
      </c>
      <c r="AE1865" s="76"/>
      <c r="AF1865" s="76"/>
      <c r="AG1865" s="76"/>
      <c r="AH1865" s="97">
        <v>1</v>
      </c>
      <c r="AI1865" s="97">
        <v>1</v>
      </c>
      <c r="AJ1865" s="73"/>
      <c r="AK1865" s="57"/>
      <c r="AL1865" s="45"/>
      <c r="AM1865" s="45"/>
      <c r="AN1865" s="45"/>
    </row>
    <row r="1866" spans="1:40" hidden="1" outlineLevel="3" x14ac:dyDescent="0.25">
      <c r="A1866" s="45"/>
      <c r="B1866" s="54"/>
      <c r="C1866" s="47">
        <f t="shared" si="441"/>
        <v>4</v>
      </c>
      <c r="D1866" s="73"/>
      <c r="E1866" s="70"/>
      <c r="F1866" s="70" t="str">
        <f>SUBSTITUTE(F1862,",4)",",8)")</f>
        <v>C(U6,8,8)</v>
      </c>
      <c r="G1866" s="73"/>
      <c r="H1866" s="76" t="s">
        <v>3519</v>
      </c>
      <c r="I1866" s="96"/>
      <c r="J1866" s="76"/>
      <c r="K1866" s="76"/>
      <c r="L1866" s="76"/>
      <c r="M1866" s="76"/>
      <c r="N1866" s="76"/>
      <c r="O1866" s="76"/>
      <c r="P1866" s="76"/>
      <c r="Q1866" s="76"/>
      <c r="R1866" s="76"/>
      <c r="S1866" s="76"/>
      <c r="T1866" s="76"/>
      <c r="U1866" s="76"/>
      <c r="V1866" s="76"/>
      <c r="W1866" s="76"/>
      <c r="X1866" s="76"/>
      <c r="Y1866" s="76"/>
      <c r="Z1866" s="76"/>
      <c r="AA1866" s="76"/>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41"/>
        <v>4</v>
      </c>
      <c r="D1867" s="73"/>
      <c r="E1867" s="70"/>
      <c r="F1867" s="70" t="str">
        <f>SUBSTITUTE(F1863,",5)",",9)")</f>
        <v>C(U6,8,9)</v>
      </c>
      <c r="G1867" s="73"/>
      <c r="H1867" s="76" t="s">
        <v>3513</v>
      </c>
      <c r="I1867" s="96"/>
      <c r="J1867" s="76"/>
      <c r="K1867" s="76"/>
      <c r="L1867" s="76"/>
      <c r="M1867" s="76"/>
      <c r="N1867" s="76"/>
      <c r="O1867" s="76"/>
      <c r="P1867" s="76"/>
      <c r="Q1867" s="76"/>
      <c r="R1867" s="76"/>
      <c r="S1867" s="76"/>
      <c r="T1867" s="76"/>
      <c r="U1867" s="76"/>
      <c r="V1867" s="76"/>
      <c r="W1867" s="76"/>
      <c r="X1867" s="76"/>
      <c r="Y1867" s="76"/>
      <c r="Z1867" s="76"/>
      <c r="AA1867" s="76"/>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1"/>
        <v>4</v>
      </c>
      <c r="D1868" s="73"/>
      <c r="E1868" s="70"/>
      <c r="F1868" s="70" t="str">
        <f>SUBSTITUTE(F1864,",6)",",10)")</f>
        <v>C(U6,8,10)</v>
      </c>
      <c r="G1868" s="73"/>
      <c r="H1868" s="76" t="s">
        <v>3520</v>
      </c>
      <c r="I1868" s="96"/>
      <c r="J1868" s="76"/>
      <c r="K1868" s="76"/>
      <c r="L1868" s="76"/>
      <c r="M1868" s="76"/>
      <c r="N1868" s="76"/>
      <c r="O1868" s="76"/>
      <c r="P1868" s="76"/>
      <c r="Q1868" s="76"/>
      <c r="R1868" s="76"/>
      <c r="S1868" s="76"/>
      <c r="T1868" s="76"/>
      <c r="U1868" s="76"/>
      <c r="V1868" s="76"/>
      <c r="W1868" s="76"/>
      <c r="X1868" s="76"/>
      <c r="Y1868" s="76"/>
      <c r="Z1868" s="76"/>
      <c r="AA1868" s="76"/>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1"/>
        <v>4</v>
      </c>
      <c r="D1869" s="73"/>
      <c r="E1869" s="70"/>
      <c r="F1869" s="70" t="str">
        <f>SUBSTITUTE(F1865,",7)",",11)")</f>
        <v>C(U6,8,11)</v>
      </c>
      <c r="G1869" s="73"/>
      <c r="H1869" s="76" t="s">
        <v>3514</v>
      </c>
      <c r="I1869" s="96"/>
      <c r="J1869" s="76"/>
      <c r="K1869" s="76"/>
      <c r="L1869" s="76"/>
      <c r="M1869" s="76"/>
      <c r="N1869" s="76"/>
      <c r="O1869" s="76"/>
      <c r="P1869" s="76"/>
      <c r="Q1869" s="76"/>
      <c r="R1869" s="76"/>
      <c r="S1869" s="76"/>
      <c r="T1869" s="76"/>
      <c r="U1869" s="76"/>
      <c r="V1869" s="76"/>
      <c r="W1869" s="76"/>
      <c r="X1869" s="76"/>
      <c r="Y1869" s="76"/>
      <c r="Z1869" s="76"/>
      <c r="AA1869" s="76"/>
      <c r="AB1869" s="76"/>
      <c r="AC1869" s="76"/>
      <c r="AD1869" s="76"/>
      <c r="AE1869" s="76"/>
      <c r="AF1869" s="76"/>
      <c r="AG1869" s="76"/>
      <c r="AH1869" s="76">
        <v>1</v>
      </c>
      <c r="AI1869" s="76">
        <v>1</v>
      </c>
      <c r="AJ1869" s="73"/>
      <c r="AK1869" s="57"/>
      <c r="AL1869" s="45"/>
      <c r="AM1869" s="45"/>
      <c r="AN1869" s="45"/>
    </row>
    <row r="1870" spans="1:40" hidden="1" outlineLevel="2" collapsed="1" x14ac:dyDescent="0.25">
      <c r="A1870" s="45"/>
      <c r="B1870" s="54"/>
      <c r="C1870" s="47">
        <f t="shared" si="441"/>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5">U1870</f>
        <v>-7.9950000000000004E-3</v>
      </c>
      <c r="X1870" s="255">
        <f t="shared" ref="X1870" si="446">V1870</f>
        <v>-7.9950000000000004E-3</v>
      </c>
      <c r="Y1870" s="255">
        <f>V1870</f>
        <v>-7.9950000000000004E-3</v>
      </c>
      <c r="Z1870" s="404">
        <f>AA1870</f>
        <v>-1.761E-3</v>
      </c>
      <c r="AA1870" s="97">
        <v>-1.761E-3</v>
      </c>
      <c r="AB1870" s="404">
        <f t="shared" ref="AB1870" si="447">AA1870</f>
        <v>-1.761E-3</v>
      </c>
      <c r="AC1870" s="404">
        <f t="shared" ref="AC1870" si="448">AB1870</f>
        <v>-1.761E-3</v>
      </c>
      <c r="AD1870" s="404">
        <f t="shared" ref="AD1870" si="449">AC1870</f>
        <v>-1.761E-3</v>
      </c>
      <c r="AE1870" s="76"/>
      <c r="AF1870" s="76"/>
      <c r="AG1870" s="76"/>
      <c r="AH1870" s="97">
        <v>1</v>
      </c>
      <c r="AI1870" s="97">
        <v>1</v>
      </c>
      <c r="AJ1870" s="73"/>
      <c r="AK1870" s="57"/>
      <c r="AL1870" s="45"/>
      <c r="AM1870" s="45"/>
      <c r="AN1870" s="45"/>
    </row>
    <row r="1871" spans="1:40" hidden="1" outlineLevel="3" x14ac:dyDescent="0.25">
      <c r="A1871" s="45"/>
      <c r="B1871" s="54"/>
      <c r="C1871" s="47">
        <f t="shared" si="441"/>
        <v>4</v>
      </c>
      <c r="D1871" s="73"/>
      <c r="E1871" s="70"/>
      <c r="F1871" s="70" t="str">
        <f>SUBSTITUTE(F1865,",7)",",13)")</f>
        <v>C(U6,8,13)</v>
      </c>
      <c r="G1871" s="73"/>
      <c r="H1871" s="76" t="s">
        <v>2470</v>
      </c>
      <c r="I1871" s="96"/>
      <c r="J1871" s="76"/>
      <c r="K1871" s="76"/>
      <c r="L1871" s="76"/>
      <c r="M1871" s="76"/>
      <c r="N1871" s="76"/>
      <c r="O1871" s="76"/>
      <c r="P1871" s="76"/>
      <c r="Q1871" s="76"/>
      <c r="R1871" s="76"/>
      <c r="S1871" s="76"/>
      <c r="T1871" s="76"/>
      <c r="U1871" s="76"/>
      <c r="V1871" s="76"/>
      <c r="W1871" s="76"/>
      <c r="X1871" s="76"/>
      <c r="Y1871" s="76"/>
      <c r="Z1871" s="76"/>
      <c r="AA1871" s="76"/>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INT($C$29)+2</f>
        <v>3</v>
      </c>
      <c r="D1872" s="73"/>
      <c r="E1872" s="410"/>
      <c r="F1872" s="410" t="s">
        <v>3605</v>
      </c>
      <c r="G1872" s="411"/>
      <c r="H1872" s="184" t="s">
        <v>3523</v>
      </c>
      <c r="I1872" s="184"/>
      <c r="J1872" s="184"/>
      <c r="K1872" s="184"/>
      <c r="L1872" s="184"/>
      <c r="M1872" s="184"/>
      <c r="N1872" s="184"/>
      <c r="O1872" s="184"/>
      <c r="P1872" s="184"/>
      <c r="Q1872" s="184"/>
      <c r="R1872" s="184"/>
      <c r="S1872" s="184"/>
      <c r="T1872" s="184"/>
      <c r="U1872" s="413">
        <v>-6.7655399999999997</v>
      </c>
      <c r="V1872" s="414">
        <f>U1872</f>
        <v>-6.7655399999999997</v>
      </c>
      <c r="W1872" s="414">
        <f t="shared" ref="W1872:Y1872" si="450">V1872</f>
        <v>-6.7655399999999997</v>
      </c>
      <c r="X1872" s="414">
        <f t="shared" si="450"/>
        <v>-6.7655399999999997</v>
      </c>
      <c r="Y1872" s="414">
        <f t="shared" si="450"/>
        <v>-6.7655399999999997</v>
      </c>
      <c r="Z1872" s="414">
        <f>AA1872</f>
        <v>-4.3544999999999998</v>
      </c>
      <c r="AA1872" s="413">
        <v>-4.3544999999999998</v>
      </c>
      <c r="AB1872" s="414">
        <f>AA1872</f>
        <v>-4.3544999999999998</v>
      </c>
      <c r="AC1872" s="414">
        <f>AB1872</f>
        <v>-4.3544999999999998</v>
      </c>
      <c r="AD1872" s="414">
        <f>AC1872</f>
        <v>-4.3544999999999998</v>
      </c>
      <c r="AE1872" s="184"/>
      <c r="AF1872" s="184"/>
      <c r="AG1872" s="184"/>
      <c r="AH1872" s="413">
        <v>1</v>
      </c>
      <c r="AI1872" s="413">
        <v>1</v>
      </c>
      <c r="AJ1872" s="73"/>
      <c r="AK1872" s="57"/>
      <c r="AL1872" s="45"/>
      <c r="AM1872" s="45"/>
      <c r="AN1872" s="45"/>
    </row>
    <row r="1873" spans="1:40" hidden="1" outlineLevel="3" x14ac:dyDescent="0.25">
      <c r="A1873" s="45"/>
      <c r="B1873" s="54"/>
      <c r="C1873" s="47">
        <f t="shared" ref="C1873:C1877" si="451">INT($C$29)+3</f>
        <v>4</v>
      </c>
      <c r="D1873" s="73"/>
      <c r="E1873" s="70"/>
      <c r="F1873" s="70" t="s">
        <v>3611</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51"/>
        <v>4</v>
      </c>
      <c r="D1874" s="73"/>
      <c r="E1874" s="70"/>
      <c r="F1874" s="70" t="s">
        <v>3612</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1"/>
        <v>4</v>
      </c>
      <c r="D1875" s="73"/>
      <c r="E1875" s="70"/>
      <c r="F1875" s="70" t="s">
        <v>3613</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1"/>
        <v>4</v>
      </c>
      <c r="D1876" s="73"/>
      <c r="E1876" s="70"/>
      <c r="F1876" s="70" t="s">
        <v>3614</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1"/>
        <v>4</v>
      </c>
      <c r="D1877" s="73"/>
      <c r="E1877" s="70"/>
      <c r="F1877" s="70" t="s">
        <v>3615</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3616</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3617</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3618</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52">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52"/>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52"/>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52"/>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52"/>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52"/>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52"/>
        <v>4</v>
      </c>
      <c r="D1887" s="73"/>
      <c r="E1887" s="70"/>
      <c r="F1887" s="70" t="s">
        <v>3619</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52"/>
        <v>4</v>
      </c>
      <c r="D1888" s="73"/>
      <c r="E1888" s="70"/>
      <c r="F1888" s="70" t="s">
        <v>3620</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52"/>
        <v>4</v>
      </c>
      <c r="D1889" s="73"/>
      <c r="E1889" s="70"/>
      <c r="F1889" s="70" t="s">
        <v>3621</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52"/>
        <v>4</v>
      </c>
      <c r="D1890" s="73"/>
      <c r="E1890" s="70"/>
      <c r="F1890" s="70" t="s">
        <v>3622</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52"/>
        <v>4</v>
      </c>
      <c r="D1891" s="73"/>
      <c r="E1891" s="70"/>
      <c r="F1891" s="70" t="s">
        <v>3623</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52"/>
        <v>4</v>
      </c>
      <c r="D1892" s="73"/>
      <c r="E1892" s="70"/>
      <c r="F1892" s="70" t="s">
        <v>3624</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3625</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3626</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3627</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53">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53"/>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53"/>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53"/>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53"/>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53"/>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53"/>
        <v>4</v>
      </c>
      <c r="D1902" s="73"/>
      <c r="E1902" s="70"/>
      <c r="F1902" s="70" t="s">
        <v>3628</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53"/>
        <v>4</v>
      </c>
      <c r="D1903" s="73"/>
      <c r="E1903" s="70"/>
      <c r="F1903" s="70" t="s">
        <v>3629</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53"/>
        <v>4</v>
      </c>
      <c r="D1904" s="73"/>
      <c r="E1904" s="70"/>
      <c r="F1904" s="70" t="s">
        <v>3630</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53"/>
        <v>4</v>
      </c>
      <c r="D1905" s="73"/>
      <c r="E1905" s="70"/>
      <c r="F1905" s="70" t="s">
        <v>3631</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53"/>
        <v>4</v>
      </c>
      <c r="D1906" s="73"/>
      <c r="E1906" s="70"/>
      <c r="F1906" s="70" t="s">
        <v>3632</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53"/>
        <v>4</v>
      </c>
      <c r="D1907" s="73"/>
      <c r="E1907" s="70"/>
      <c r="F1907" s="70" t="s">
        <v>3633</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3634</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3635</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3636</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54">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54"/>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54"/>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54"/>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54"/>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54"/>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54"/>
        <v>4</v>
      </c>
      <c r="D1917" s="73"/>
      <c r="E1917" s="70"/>
      <c r="F1917" s="70" t="s">
        <v>3637</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54"/>
        <v>4</v>
      </c>
      <c r="D1918" s="73"/>
      <c r="E1918" s="70"/>
      <c r="F1918" s="70" t="s">
        <v>3638</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54"/>
        <v>4</v>
      </c>
      <c r="D1919" s="73"/>
      <c r="E1919" s="70"/>
      <c r="F1919" s="70" t="s">
        <v>3639</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54"/>
        <v>4</v>
      </c>
      <c r="D1920" s="73"/>
      <c r="E1920" s="70"/>
      <c r="F1920" s="70" t="s">
        <v>3640</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54"/>
        <v>4</v>
      </c>
      <c r="D1921" s="73"/>
      <c r="E1921" s="70"/>
      <c r="F1921" s="70" t="s">
        <v>3641</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54"/>
        <v>4</v>
      </c>
      <c r="D1922" s="73"/>
      <c r="E1922" s="70"/>
      <c r="F1922" s="70" t="s">
        <v>3642</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3643</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3644</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3645</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55">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55"/>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55"/>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55"/>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55"/>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55"/>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55"/>
        <v>4</v>
      </c>
      <c r="D1932" s="73"/>
      <c r="E1932" s="70"/>
      <c r="F1932" s="70" t="s">
        <v>3646</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55"/>
        <v>4</v>
      </c>
      <c r="D1933" s="73"/>
      <c r="E1933" s="70"/>
      <c r="F1933" s="70" t="s">
        <v>3647</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55"/>
        <v>4</v>
      </c>
      <c r="D1934" s="73"/>
      <c r="E1934" s="70"/>
      <c r="F1934" s="70" t="s">
        <v>3648</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55"/>
        <v>4</v>
      </c>
      <c r="D1935" s="73"/>
      <c r="E1935" s="70"/>
      <c r="F1935" s="70" t="s">
        <v>3649</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55"/>
        <v>4</v>
      </c>
      <c r="D1936" s="73"/>
      <c r="E1936" s="70"/>
      <c r="F1936" s="70" t="s">
        <v>3650</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55"/>
        <v>4</v>
      </c>
      <c r="D1937" s="73"/>
      <c r="E1937" s="70"/>
      <c r="F1937" s="70" t="s">
        <v>3651</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3652</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3653</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3654</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56">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56"/>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56"/>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56"/>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56"/>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56"/>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56"/>
        <v>4</v>
      </c>
      <c r="D1947" s="73"/>
      <c r="E1947" s="70"/>
      <c r="F1947" s="70" t="s">
        <v>3655</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56"/>
        <v>4</v>
      </c>
      <c r="D1948" s="73"/>
      <c r="E1948" s="70"/>
      <c r="F1948" s="70" t="s">
        <v>3656</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56"/>
        <v>4</v>
      </c>
      <c r="D1949" s="73"/>
      <c r="E1949" s="70"/>
      <c r="F1949" s="70" t="s">
        <v>3657</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56"/>
        <v>4</v>
      </c>
      <c r="D1950" s="73"/>
      <c r="E1950" s="70"/>
      <c r="F1950" s="70" t="s">
        <v>3658</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56"/>
        <v>4</v>
      </c>
      <c r="D1951" s="73"/>
      <c r="E1951" s="70"/>
      <c r="F1951" s="70" t="s">
        <v>3659</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56"/>
        <v>4</v>
      </c>
      <c r="D1952" s="73"/>
      <c r="E1952" s="70"/>
      <c r="F1952" s="70" t="s">
        <v>3660</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3661</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3662</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3663</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57">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57"/>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57"/>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57"/>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57"/>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57"/>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57"/>
        <v>4</v>
      </c>
      <c r="D1962" s="73"/>
      <c r="E1962" s="70"/>
      <c r="F1962" s="70" t="s">
        <v>3664</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57"/>
        <v>4</v>
      </c>
      <c r="D1963" s="73"/>
      <c r="E1963" s="70"/>
      <c r="F1963" s="70" t="s">
        <v>3665</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57"/>
        <v>4</v>
      </c>
      <c r="D1964" s="73"/>
      <c r="E1964" s="70"/>
      <c r="F1964" s="70" t="s">
        <v>3666</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57"/>
        <v>4</v>
      </c>
      <c r="D1965" s="73"/>
      <c r="E1965" s="70"/>
      <c r="F1965" s="70" t="s">
        <v>3667</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57"/>
        <v>4</v>
      </c>
      <c r="D1966" s="73"/>
      <c r="E1966" s="70"/>
      <c r="F1966" s="70" t="s">
        <v>3668</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57"/>
        <v>4</v>
      </c>
      <c r="D1967" s="73"/>
      <c r="E1967" s="70"/>
      <c r="F1967" s="70" t="s">
        <v>3669</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3670</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3671</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3672</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58">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58"/>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402"/>
      <c r="F1977" s="402" t="s">
        <v>3673</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59">INT($C$29)+3</f>
        <v>4</v>
      </c>
      <c r="D1978" s="73"/>
      <c r="E1978" s="70"/>
      <c r="F1978" s="70" t="s">
        <v>3674</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59"/>
        <v>4</v>
      </c>
      <c r="D1979" s="73"/>
      <c r="E1979" s="70"/>
      <c r="F1979" s="70" t="s">
        <v>3675</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59"/>
        <v>4</v>
      </c>
      <c r="D1980" s="73"/>
      <c r="E1980" s="70"/>
      <c r="F1980" s="70" t="s">
        <v>3676</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59"/>
        <v>4</v>
      </c>
      <c r="D1981" s="73"/>
      <c r="E1981" s="70"/>
      <c r="F1981" s="70" t="s">
        <v>3677</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59"/>
        <v>4</v>
      </c>
      <c r="D1982" s="73"/>
      <c r="E1982" s="70"/>
      <c r="F1982" s="70" t="s">
        <v>3678</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3679</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3680</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3681</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60">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60"/>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0"/>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0"/>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0"/>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0"/>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0"/>
        <v>4</v>
      </c>
      <c r="D1992" s="73"/>
      <c r="E1992" s="70"/>
      <c r="F1992" s="70" t="s">
        <v>3682</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0"/>
        <v>4</v>
      </c>
      <c r="D1993" s="73"/>
      <c r="E1993" s="70"/>
      <c r="F1993" s="70" t="s">
        <v>3683</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0"/>
        <v>4</v>
      </c>
      <c r="D1994" s="73"/>
      <c r="E1994" s="70"/>
      <c r="F1994" s="70" t="s">
        <v>3684</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0"/>
        <v>4</v>
      </c>
      <c r="D1995" s="73"/>
      <c r="E1995" s="70"/>
      <c r="F1995" s="70" t="s">
        <v>3685</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0"/>
        <v>4</v>
      </c>
      <c r="D1996" s="73"/>
      <c r="E1996" s="70"/>
      <c r="F1996" s="70" t="s">
        <v>3686</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0"/>
        <v>4</v>
      </c>
      <c r="D1997" s="73"/>
      <c r="E1997" s="70"/>
      <c r="F1997" s="70" t="s">
        <v>3687</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3688</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3689</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3690</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61">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61"/>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1"/>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1"/>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1"/>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1"/>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1"/>
        <v>4</v>
      </c>
      <c r="D2007" s="73"/>
      <c r="E2007" s="70"/>
      <c r="F2007" s="70" t="s">
        <v>3691</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1"/>
        <v>4</v>
      </c>
      <c r="D2008" s="73"/>
      <c r="E2008" s="70"/>
      <c r="F2008" s="70" t="s">
        <v>3692</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1"/>
        <v>4</v>
      </c>
      <c r="D2009" s="73"/>
      <c r="E2009" s="70"/>
      <c r="F2009" s="70" t="s">
        <v>3693</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1"/>
        <v>4</v>
      </c>
      <c r="D2010" s="73"/>
      <c r="E2010" s="70"/>
      <c r="F2010" s="70" t="s">
        <v>3694</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1"/>
        <v>4</v>
      </c>
      <c r="D2011" s="73"/>
      <c r="E2011" s="70"/>
      <c r="F2011" s="70" t="s">
        <v>3695</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1"/>
        <v>4</v>
      </c>
      <c r="D2012" s="73"/>
      <c r="E2012" s="70"/>
      <c r="F2012" s="70" t="s">
        <v>3696</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3697</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3698</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3699</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62">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62"/>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62"/>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62"/>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62"/>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62"/>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62"/>
        <v>4</v>
      </c>
      <c r="D2022" s="73"/>
      <c r="E2022" s="70"/>
      <c r="F2022" s="70" t="s">
        <v>3700</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62"/>
        <v>4</v>
      </c>
      <c r="D2023" s="73"/>
      <c r="E2023" s="70"/>
      <c r="F2023" s="70" t="s">
        <v>3701</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62"/>
        <v>4</v>
      </c>
      <c r="D2024" s="73"/>
      <c r="E2024" s="70"/>
      <c r="F2024" s="70" t="s">
        <v>3702</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62"/>
        <v>4</v>
      </c>
      <c r="D2025" s="73"/>
      <c r="E2025" s="70"/>
      <c r="F2025" s="70" t="s">
        <v>3703</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62"/>
        <v>4</v>
      </c>
      <c r="D2026" s="73"/>
      <c r="E2026" s="70"/>
      <c r="F2026" s="70" t="s">
        <v>3704</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62"/>
        <v>4</v>
      </c>
      <c r="D2027" s="73"/>
      <c r="E2027" s="70"/>
      <c r="F2027" s="70" t="s">
        <v>3705</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3706</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3707</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3708</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63">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63"/>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63"/>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63"/>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63"/>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63"/>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63"/>
        <v>4</v>
      </c>
      <c r="D2037" s="73"/>
      <c r="E2037" s="70"/>
      <c r="F2037" s="70" t="s">
        <v>3709</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63"/>
        <v>4</v>
      </c>
      <c r="D2038" s="73"/>
      <c r="E2038" s="70"/>
      <c r="F2038" s="70" t="s">
        <v>3710</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63"/>
        <v>4</v>
      </c>
      <c r="D2039" s="73"/>
      <c r="E2039" s="70"/>
      <c r="F2039" s="70" t="s">
        <v>3711</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63"/>
        <v>4</v>
      </c>
      <c r="D2040" s="73"/>
      <c r="E2040" s="70"/>
      <c r="F2040" s="70" t="s">
        <v>3712</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63"/>
        <v>4</v>
      </c>
      <c r="D2041" s="73"/>
      <c r="E2041" s="70"/>
      <c r="F2041" s="70" t="s">
        <v>3713</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63"/>
        <v>4</v>
      </c>
      <c r="D2042" s="73"/>
      <c r="E2042" s="70"/>
      <c r="F2042" s="70" t="s">
        <v>3714</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3715</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3716</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3717</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64">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64"/>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64"/>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64"/>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64"/>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64"/>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64"/>
        <v>4</v>
      </c>
      <c r="D2052" s="73"/>
      <c r="E2052" s="70"/>
      <c r="F2052" s="70" t="s">
        <v>3718</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64"/>
        <v>4</v>
      </c>
      <c r="D2053" s="73"/>
      <c r="E2053" s="70"/>
      <c r="F2053" s="70" t="s">
        <v>3719</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64"/>
        <v>4</v>
      </c>
      <c r="D2054" s="73"/>
      <c r="E2054" s="70"/>
      <c r="F2054" s="70" t="s">
        <v>3720</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64"/>
        <v>4</v>
      </c>
      <c r="D2055" s="73"/>
      <c r="E2055" s="70"/>
      <c r="F2055" s="70" t="s">
        <v>3721</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64"/>
        <v>4</v>
      </c>
      <c r="D2056" s="73"/>
      <c r="E2056" s="70"/>
      <c r="F2056" s="70" t="s">
        <v>3722</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64"/>
        <v>4</v>
      </c>
      <c r="D2057" s="73"/>
      <c r="E2057" s="70"/>
      <c r="F2057" s="70" t="s">
        <v>3723</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3724</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3725</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3726</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65">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65"/>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65"/>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65"/>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65"/>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65"/>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65"/>
        <v>4</v>
      </c>
      <c r="D2067" s="73"/>
      <c r="E2067" s="70"/>
      <c r="F2067" s="70" t="s">
        <v>3727</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65"/>
        <v>4</v>
      </c>
      <c r="D2068" s="73"/>
      <c r="E2068" s="70"/>
      <c r="F2068" s="70" t="s">
        <v>3728</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65"/>
        <v>4</v>
      </c>
      <c r="D2069" s="73"/>
      <c r="E2069" s="70"/>
      <c r="F2069" s="70" t="s">
        <v>3729</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65"/>
        <v>4</v>
      </c>
      <c r="D2070" s="73"/>
      <c r="E2070" s="70"/>
      <c r="F2070" s="70" t="s">
        <v>3730</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65"/>
        <v>4</v>
      </c>
      <c r="D2071" s="73"/>
      <c r="E2071" s="70"/>
      <c r="F2071" s="70" t="s">
        <v>3731</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65"/>
        <v>4</v>
      </c>
      <c r="D2072" s="73"/>
      <c r="E2072" s="70"/>
      <c r="F2072" s="70" t="s">
        <v>3732</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3733</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3734</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3735</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66">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66"/>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402"/>
      <c r="F2082" s="402" t="s">
        <v>3736</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hidden="1" outlineLevel="2" x14ac:dyDescent="0.25">
      <c r="A2083" s="45"/>
      <c r="B2083" s="54"/>
      <c r="C2083" s="47">
        <f>INT($C$29)+2</f>
        <v>3</v>
      </c>
      <c r="D2083" s="73"/>
      <c r="E2083" s="70"/>
      <c r="F2083" s="70" t="s">
        <v>3737</v>
      </c>
      <c r="G2083" s="73"/>
      <c r="H2083" s="76" t="s">
        <v>3366</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7">U2083</f>
        <v>-1.0469999999999999</v>
      </c>
      <c r="X2083" s="255">
        <f t="shared" ref="X2083:X2084" si="468">V2083</f>
        <v>-1.0469999999999999</v>
      </c>
      <c r="Y2083" s="255">
        <f>V2083</f>
        <v>-1.0469999999999999</v>
      </c>
      <c r="Z2083" s="255">
        <f>AA2083</f>
        <v>-1.0469999999999999</v>
      </c>
      <c r="AA2083" s="97">
        <f>U2083</f>
        <v>-1.0469999999999999</v>
      </c>
      <c r="AB2083" s="255">
        <f t="shared" ref="AB2083:AB2084" si="469">AA2083</f>
        <v>-1.0469999999999999</v>
      </c>
      <c r="AC2083" s="255">
        <f t="shared" ref="AC2083:AC2084" si="470">AB2083</f>
        <v>-1.0469999999999999</v>
      </c>
      <c r="AD2083" s="255">
        <f t="shared" ref="AD2083:AD2084" si="471">AC2083</f>
        <v>-1.0469999999999999</v>
      </c>
      <c r="AE2083" s="76"/>
      <c r="AF2083" s="97" t="s">
        <v>3610</v>
      </c>
      <c r="AG2083" s="76"/>
      <c r="AH2083" s="76">
        <v>1</v>
      </c>
      <c r="AI2083" s="76">
        <v>1</v>
      </c>
      <c r="AJ2083" s="73"/>
      <c r="AK2083" s="57"/>
      <c r="AL2083" s="45"/>
      <c r="AM2083" s="45"/>
      <c r="AN2083" s="45"/>
    </row>
    <row r="2084" spans="1:40" hidden="1" outlineLevel="2" collapsed="1" x14ac:dyDescent="0.25">
      <c r="A2084" s="45"/>
      <c r="B2084" s="54"/>
      <c r="C2084" s="47">
        <f>INT($C$29)+2</f>
        <v>3</v>
      </c>
      <c r="D2084" s="73"/>
      <c r="E2084" s="70"/>
      <c r="F2084" s="70" t="s">
        <v>3738</v>
      </c>
      <c r="G2084" s="73"/>
      <c r="H2084" s="76" t="s">
        <v>3367</v>
      </c>
      <c r="I2084" s="76"/>
      <c r="J2084" s="76"/>
      <c r="K2084" s="76"/>
      <c r="L2084" s="76"/>
      <c r="M2084" s="76"/>
      <c r="N2084" s="76"/>
      <c r="O2084" s="76"/>
      <c r="P2084" s="76"/>
      <c r="Q2084" s="76"/>
      <c r="R2084" s="76"/>
      <c r="S2084" s="76"/>
      <c r="T2084" s="76"/>
      <c r="U2084" s="97">
        <v>7.5389999999999997E-3</v>
      </c>
      <c r="V2084" s="255">
        <f>U2084</f>
        <v>7.5389999999999997E-3</v>
      </c>
      <c r="W2084" s="255">
        <f t="shared" si="467"/>
        <v>7.5389999999999997E-3</v>
      </c>
      <c r="X2084" s="255">
        <f t="shared" si="468"/>
        <v>7.5389999999999997E-3</v>
      </c>
      <c r="Y2084" s="255">
        <f>V2084</f>
        <v>7.5389999999999997E-3</v>
      </c>
      <c r="Z2084" s="255">
        <f>AA2084</f>
        <v>7.5389999999999997E-3</v>
      </c>
      <c r="AA2084" s="97">
        <f t="shared" ref="AA2084" si="472">U2084</f>
        <v>7.5389999999999997E-3</v>
      </c>
      <c r="AB2084" s="255">
        <f t="shared" si="469"/>
        <v>7.5389999999999997E-3</v>
      </c>
      <c r="AC2084" s="255">
        <f t="shared" si="470"/>
        <v>7.5389999999999997E-3</v>
      </c>
      <c r="AD2084" s="255">
        <f t="shared" si="471"/>
        <v>7.5389999999999997E-3</v>
      </c>
      <c r="AE2084" s="76"/>
      <c r="AF2084" s="97" t="s">
        <v>3368</v>
      </c>
      <c r="AG2084" s="76"/>
      <c r="AH2084" s="76">
        <v>1</v>
      </c>
      <c r="AI2084" s="76">
        <v>1</v>
      </c>
      <c r="AJ2084" s="73"/>
      <c r="AK2084" s="57"/>
      <c r="AL2084" s="45"/>
      <c r="AM2084" s="45"/>
      <c r="AN2084" s="45"/>
    </row>
    <row r="2085" spans="1:40" hidden="1" outlineLevel="3" x14ac:dyDescent="0.25">
      <c r="A2085" s="45"/>
      <c r="B2085" s="54"/>
      <c r="C2085" s="47">
        <f t="shared" ref="C2085:C2096" si="473">INT($C$29)+3</f>
        <v>4</v>
      </c>
      <c r="D2085" s="73"/>
      <c r="E2085" s="70"/>
      <c r="F2085" s="70" t="s">
        <v>3739</v>
      </c>
      <c r="G2085" s="73"/>
      <c r="H2085" s="377" t="s">
        <v>3516</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73"/>
        <v>4</v>
      </c>
      <c r="D2086" s="73"/>
      <c r="E2086" s="70"/>
      <c r="F2086" s="70" t="s">
        <v>3740</v>
      </c>
      <c r="G2086" s="73"/>
      <c r="H2086" s="377" t="s">
        <v>3510</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2" collapsed="1" x14ac:dyDescent="0.25">
      <c r="A2087" s="45"/>
      <c r="B2087" s="54"/>
      <c r="C2087" s="47">
        <f t="shared" si="473"/>
        <v>4</v>
      </c>
      <c r="D2087" s="73"/>
      <c r="E2087" s="70"/>
      <c r="F2087" s="70" t="s">
        <v>3741</v>
      </c>
      <c r="G2087" s="73"/>
      <c r="H2087" s="76" t="s">
        <v>3606</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4">U2087</f>
        <v>-0.23419999999999999</v>
      </c>
      <c r="X2087" s="255">
        <f t="shared" ref="X2087:X2090" si="475">V2087</f>
        <v>-0.23419999999999999</v>
      </c>
      <c r="Y2087" s="255">
        <f>V2087</f>
        <v>-0.23419999999999999</v>
      </c>
      <c r="Z2087" s="255">
        <f>AA2087</f>
        <v>-0.23419999999999999</v>
      </c>
      <c r="AA2087" s="97">
        <f t="shared" ref="AA2087:AA2090" si="476">U2087</f>
        <v>-0.23419999999999999</v>
      </c>
      <c r="AB2087" s="255">
        <f t="shared" ref="AB2087:AB2090" si="477">AA2087</f>
        <v>-0.23419999999999999</v>
      </c>
      <c r="AC2087" s="255">
        <f t="shared" ref="AC2087:AC2090" si="478">AB2087</f>
        <v>-0.23419999999999999</v>
      </c>
      <c r="AD2087" s="255">
        <f t="shared" ref="AD2087:AD2090" si="479">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73"/>
        <v>4</v>
      </c>
      <c r="D2088" s="73"/>
      <c r="E2088" s="70"/>
      <c r="F2088" s="70" t="s">
        <v>3742</v>
      </c>
      <c r="G2088" s="73"/>
      <c r="H2088" s="76" t="s">
        <v>3607</v>
      </c>
      <c r="I2088" s="76"/>
      <c r="J2088" s="76"/>
      <c r="K2088" s="76"/>
      <c r="L2088" s="76"/>
      <c r="M2088" s="76"/>
      <c r="N2088" s="76"/>
      <c r="O2088" s="76"/>
      <c r="P2088" s="76"/>
      <c r="Q2088" s="76"/>
      <c r="R2088" s="76"/>
      <c r="S2088" s="76"/>
      <c r="T2088" s="76"/>
      <c r="U2088" s="97"/>
      <c r="V2088" s="255">
        <f t="shared" ref="V2088" si="480">U2088</f>
        <v>0</v>
      </c>
      <c r="W2088" s="255">
        <f t="shared" si="474"/>
        <v>0</v>
      </c>
      <c r="X2088" s="255">
        <f t="shared" si="475"/>
        <v>0</v>
      </c>
      <c r="Y2088" s="255">
        <f t="shared" ref="Y2088" si="481">V2088</f>
        <v>0</v>
      </c>
      <c r="Z2088" s="255">
        <f t="shared" ref="Z2088" si="482">AA2088</f>
        <v>0</v>
      </c>
      <c r="AA2088" s="97">
        <f t="shared" si="476"/>
        <v>0</v>
      </c>
      <c r="AB2088" s="255">
        <f t="shared" si="477"/>
        <v>0</v>
      </c>
      <c r="AC2088" s="255">
        <f t="shared" si="478"/>
        <v>0</v>
      </c>
      <c r="AD2088" s="255">
        <f t="shared" si="479"/>
        <v>0</v>
      </c>
      <c r="AE2088" s="76"/>
      <c r="AF2088" s="76"/>
      <c r="AG2088" s="76"/>
      <c r="AH2088" s="76">
        <v>1</v>
      </c>
      <c r="AI2088" s="76">
        <v>1</v>
      </c>
      <c r="AJ2088" s="73"/>
      <c r="AK2088" s="57"/>
      <c r="AL2088" s="45"/>
      <c r="AM2088" s="45"/>
      <c r="AN2088" s="45"/>
    </row>
    <row r="2089" spans="1:40" hidden="1" outlineLevel="2" collapsed="1" x14ac:dyDescent="0.25">
      <c r="A2089" s="45"/>
      <c r="B2089" s="54"/>
      <c r="C2089" s="47">
        <f t="shared" si="473"/>
        <v>4</v>
      </c>
      <c r="D2089" s="73"/>
      <c r="E2089" s="70"/>
      <c r="F2089" s="70" t="s">
        <v>3743</v>
      </c>
      <c r="G2089" s="73"/>
      <c r="H2089" s="76" t="s">
        <v>3608</v>
      </c>
      <c r="I2089" s="76"/>
      <c r="J2089" s="76"/>
      <c r="K2089" s="76"/>
      <c r="L2089" s="76"/>
      <c r="M2089" s="76"/>
      <c r="N2089" s="76"/>
      <c r="O2089" s="76"/>
      <c r="P2089" s="76"/>
      <c r="Q2089" s="76"/>
      <c r="R2089" s="76"/>
      <c r="S2089" s="76"/>
      <c r="T2089" s="76"/>
      <c r="U2089" s="97">
        <v>-0.24959999999999999</v>
      </c>
      <c r="V2089" s="255">
        <f>U2089</f>
        <v>-0.24959999999999999</v>
      </c>
      <c r="W2089" s="255">
        <f t="shared" si="474"/>
        <v>-0.24959999999999999</v>
      </c>
      <c r="X2089" s="255">
        <f t="shared" si="475"/>
        <v>-0.24959999999999999</v>
      </c>
      <c r="Y2089" s="255">
        <f>V2089</f>
        <v>-0.24959999999999999</v>
      </c>
      <c r="Z2089" s="255">
        <f>AA2089</f>
        <v>-0.24959999999999999</v>
      </c>
      <c r="AA2089" s="97">
        <f t="shared" si="476"/>
        <v>-0.24959999999999999</v>
      </c>
      <c r="AB2089" s="255">
        <f t="shared" si="477"/>
        <v>-0.24959999999999999</v>
      </c>
      <c r="AC2089" s="255">
        <f t="shared" si="478"/>
        <v>-0.24959999999999999</v>
      </c>
      <c r="AD2089" s="255">
        <f t="shared" si="479"/>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73"/>
        <v>4</v>
      </c>
      <c r="D2090" s="73"/>
      <c r="E2090" s="70"/>
      <c r="F2090" s="70" t="s">
        <v>3744</v>
      </c>
      <c r="G2090" s="73"/>
      <c r="H2090" s="76" t="s">
        <v>3609</v>
      </c>
      <c r="I2090" s="76"/>
      <c r="J2090" s="76"/>
      <c r="K2090" s="76"/>
      <c r="L2090" s="76"/>
      <c r="M2090" s="76"/>
      <c r="N2090" s="76"/>
      <c r="O2090" s="76"/>
      <c r="P2090" s="76"/>
      <c r="Q2090" s="76"/>
      <c r="R2090" s="76"/>
      <c r="S2090" s="76"/>
      <c r="T2090" s="76"/>
      <c r="U2090" s="97"/>
      <c r="V2090" s="255">
        <f t="shared" ref="V2090" si="483">U2090</f>
        <v>0</v>
      </c>
      <c r="W2090" s="255">
        <f t="shared" si="474"/>
        <v>0</v>
      </c>
      <c r="X2090" s="255">
        <f t="shared" si="475"/>
        <v>0</v>
      </c>
      <c r="Y2090" s="255">
        <f t="shared" ref="Y2090" si="484">V2090</f>
        <v>0</v>
      </c>
      <c r="Z2090" s="255">
        <f t="shared" ref="Z2090" si="485">AA2090</f>
        <v>0</v>
      </c>
      <c r="AA2090" s="97">
        <f t="shared" si="476"/>
        <v>0</v>
      </c>
      <c r="AB2090" s="255">
        <f t="shared" si="477"/>
        <v>0</v>
      </c>
      <c r="AC2090" s="255">
        <f t="shared" si="478"/>
        <v>0</v>
      </c>
      <c r="AD2090" s="255">
        <f t="shared" si="479"/>
        <v>0</v>
      </c>
      <c r="AE2090" s="76"/>
      <c r="AF2090" s="76"/>
      <c r="AG2090" s="76"/>
      <c r="AH2090" s="76">
        <v>1</v>
      </c>
      <c r="AI2090" s="76">
        <v>1</v>
      </c>
      <c r="AJ2090" s="73"/>
      <c r="AK2090" s="57"/>
      <c r="AL2090" s="45"/>
      <c r="AM2090" s="45"/>
      <c r="AN2090" s="45"/>
    </row>
    <row r="2091" spans="1:40" hidden="1" outlineLevel="3" x14ac:dyDescent="0.25">
      <c r="A2091" s="45"/>
      <c r="B2091" s="54"/>
      <c r="C2091" s="47">
        <f t="shared" si="473"/>
        <v>4</v>
      </c>
      <c r="D2091" s="73"/>
      <c r="E2091" s="70"/>
      <c r="F2091" s="70" t="str">
        <f>SUBSTITUTE(F2087,",4)",",8)")</f>
        <v>C(U6,23,8)</v>
      </c>
      <c r="G2091" s="73"/>
      <c r="H2091" s="377" t="s">
        <v>3372</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73"/>
        <v>4</v>
      </c>
      <c r="D2092" s="73"/>
      <c r="E2092" s="70"/>
      <c r="F2092" s="70" t="str">
        <f>SUBSTITUTE(F2088,",5)",",9)")</f>
        <v>C(U6,23,9)</v>
      </c>
      <c r="G2092" s="73"/>
      <c r="H2092" s="377" t="s">
        <v>3373</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73"/>
        <v>4</v>
      </c>
      <c r="D2093" s="73"/>
      <c r="E2093" s="70"/>
      <c r="F2093" s="70" t="str">
        <f>SUBSTITUTE(F2089,",6)",",10)")</f>
        <v>C(U6,23,10)</v>
      </c>
      <c r="G2093" s="73"/>
      <c r="H2093" s="377" t="s">
        <v>3374</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73"/>
        <v>4</v>
      </c>
      <c r="D2094" s="73"/>
      <c r="E2094" s="70"/>
      <c r="F2094" s="70" t="str">
        <f>SUBSTITUTE(F2090,",7)",",11)")</f>
        <v>C(U6,23,11)</v>
      </c>
      <c r="G2094" s="73"/>
      <c r="H2094" s="377" t="s">
        <v>3375</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73"/>
        <v>4</v>
      </c>
      <c r="D2095" s="73"/>
      <c r="E2095" s="70"/>
      <c r="F2095" s="70" t="str">
        <f>SUBSTITUTE(F2089,",6)",",12)")</f>
        <v>C(U6,23,12)</v>
      </c>
      <c r="G2095" s="73"/>
      <c r="H2095" s="377" t="s">
        <v>3376</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73"/>
        <v>4</v>
      </c>
      <c r="D2096" s="73"/>
      <c r="E2096" s="70"/>
      <c r="F2096" s="70" t="str">
        <f>SUBSTITUTE(F2090,",7)",",13)")</f>
        <v>C(U6,23,13)</v>
      </c>
      <c r="G2096" s="73"/>
      <c r="H2096" s="377" t="s">
        <v>3377</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2" x14ac:dyDescent="0.25">
      <c r="A2097" s="45"/>
      <c r="B2097" s="54"/>
      <c r="C2097" s="47">
        <f>INT($C$29)+2</f>
        <v>3</v>
      </c>
      <c r="D2097" s="73"/>
      <c r="E2097" s="70"/>
      <c r="F2097" s="70" t="s">
        <v>3745</v>
      </c>
      <c r="G2097" s="73"/>
      <c r="H2097" s="76" t="s">
        <v>3378</v>
      </c>
      <c r="I2097" s="76"/>
      <c r="J2097" s="76"/>
      <c r="K2097" s="76"/>
      <c r="L2097" s="76"/>
      <c r="M2097" s="76"/>
      <c r="N2097" s="76"/>
      <c r="O2097" s="76"/>
      <c r="P2097" s="76"/>
      <c r="Q2097" s="76"/>
      <c r="R2097" s="76"/>
      <c r="S2097" s="76"/>
      <c r="T2097" s="76"/>
      <c r="U2097" s="97">
        <v>28.52</v>
      </c>
      <c r="V2097" s="255">
        <f t="shared" ref="V2097" si="486">U2097</f>
        <v>28.52</v>
      </c>
      <c r="W2097" s="255">
        <f t="shared" ref="W2097" si="487">U2097</f>
        <v>28.52</v>
      </c>
      <c r="X2097" s="255">
        <f t="shared" ref="X2097" si="488">V2097</f>
        <v>28.52</v>
      </c>
      <c r="Y2097" s="255">
        <f t="shared" ref="Y2097" si="489">V2097</f>
        <v>28.52</v>
      </c>
      <c r="Z2097" s="255">
        <f t="shared" ref="Z2097" si="490">AA2097</f>
        <v>28.52</v>
      </c>
      <c r="AA2097" s="97">
        <f>U2097</f>
        <v>28.52</v>
      </c>
      <c r="AB2097" s="255">
        <f t="shared" ref="AB2097" si="491">AA2097</f>
        <v>28.52</v>
      </c>
      <c r="AC2097" s="255">
        <f t="shared" ref="AC2097" si="492">AB2097</f>
        <v>28.52</v>
      </c>
      <c r="AD2097" s="255">
        <f t="shared" ref="AD2097" si="493">AC2097</f>
        <v>28.52</v>
      </c>
      <c r="AE2097" s="76"/>
      <c r="AF2097" s="97"/>
      <c r="AG2097" s="76"/>
      <c r="AH2097" s="97">
        <v>1</v>
      </c>
      <c r="AI2097" s="97">
        <v>1</v>
      </c>
      <c r="AJ2097" s="73"/>
      <c r="AK2097" s="57"/>
      <c r="AL2097" s="45"/>
      <c r="AM2097" s="45"/>
      <c r="AN2097" s="45"/>
    </row>
    <row r="2098" spans="1:40" hidden="1"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hidden="1"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hidden="1"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hidden="1"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hidden="1"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hidden="1"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5" t="s">
        <v>2353</v>
      </c>
      <c r="K11" s="641"/>
      <c r="L11" s="641"/>
      <c r="M11" s="641"/>
      <c r="N11" s="641"/>
      <c r="O11" s="641"/>
      <c r="P11" s="641"/>
      <c r="Q11" s="641"/>
      <c r="R11" s="641"/>
      <c r="S11" s="641"/>
      <c r="T11" s="641"/>
      <c r="U11" s="641"/>
      <c r="V11" s="641"/>
      <c r="W11" s="641"/>
      <c r="X11" s="641"/>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2" t="s">
        <v>2364</v>
      </c>
      <c r="K12" s="643"/>
      <c r="L12" s="643"/>
      <c r="M12" s="643"/>
      <c r="N12" s="643"/>
      <c r="O12" s="643"/>
      <c r="P12" s="643"/>
      <c r="Q12" s="643"/>
      <c r="R12" s="643"/>
      <c r="S12" s="643"/>
      <c r="T12" s="643"/>
      <c r="U12" s="643"/>
      <c r="V12" s="643"/>
      <c r="W12" s="643"/>
      <c r="X12" s="644"/>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2355</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2338</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2339</v>
      </c>
      <c r="I42" s="76" t="s">
        <v>2340</v>
      </c>
      <c r="J42" s="76"/>
      <c r="K42" s="97">
        <v>200</v>
      </c>
      <c r="L42" s="76"/>
      <c r="M42" s="76"/>
      <c r="N42" s="76"/>
      <c r="O42" s="76"/>
      <c r="P42" s="76"/>
      <c r="Q42" s="76"/>
      <c r="R42" s="97" t="s">
        <v>2363</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2341</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2342</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2343</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2350</v>
      </c>
      <c r="T78" s="76"/>
      <c r="U78" s="76" t="s">
        <v>2351</v>
      </c>
      <c r="V78" s="76" t="s">
        <v>2352</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2344</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2354</v>
      </c>
      <c r="Y82" s="76" t="s">
        <v>2356</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2345</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2346</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2347</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2348</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2349</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2893</v>
      </c>
      <c r="B3" s="491">
        <v>6.9999999999999994E-5</v>
      </c>
      <c r="C3" s="1" t="s">
        <v>2897</v>
      </c>
    </row>
    <row r="4" spans="1:3" x14ac:dyDescent="0.25">
      <c r="A4" t="s">
        <v>2894</v>
      </c>
      <c r="B4" s="491">
        <v>1.2999999999999999E-4</v>
      </c>
      <c r="C4" s="1" t="s">
        <v>2898</v>
      </c>
    </row>
    <row r="5" spans="1:3" x14ac:dyDescent="0.25">
      <c r="A5" t="s">
        <v>2895</v>
      </c>
      <c r="B5" s="491">
        <v>1.9000000000000001E-4</v>
      </c>
      <c r="C5" s="1" t="s">
        <v>2899</v>
      </c>
    </row>
    <row r="6" spans="1:3" x14ac:dyDescent="0.25">
      <c r="A6" t="s">
        <v>2896</v>
      </c>
      <c r="B6" s="491">
        <v>1.9000000000000001E-4</v>
      </c>
      <c r="C6" s="1" t="s">
        <v>2898</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2905</v>
      </c>
      <c r="B14"/>
    </row>
    <row r="15" spans="1:3" x14ac:dyDescent="0.25">
      <c r="A15" s="341" t="str">
        <f>General!G65</f>
        <v>b</v>
      </c>
      <c r="B15">
        <v>20</v>
      </c>
      <c r="C15" s="1" t="s">
        <v>2903</v>
      </c>
    </row>
    <row r="16" spans="1:3" x14ac:dyDescent="0.25">
      <c r="A16" s="341" t="str">
        <f>General!G66</f>
        <v>bd</v>
      </c>
      <c r="B16">
        <v>20</v>
      </c>
      <c r="C16" s="1" t="s">
        <v>2903</v>
      </c>
    </row>
    <row r="17" spans="1:3" x14ac:dyDescent="0.25">
      <c r="A17" s="341" t="str">
        <f>General!G67</f>
        <v>f</v>
      </c>
      <c r="B17">
        <v>7</v>
      </c>
      <c r="C17" s="1" t="s">
        <v>2903</v>
      </c>
    </row>
    <row r="18" spans="1:3" x14ac:dyDescent="0.25">
      <c r="A18" s="341" t="str">
        <f>General!G68</f>
        <v>h</v>
      </c>
      <c r="B18">
        <v>20</v>
      </c>
      <c r="C18" s="1" t="s">
        <v>2903</v>
      </c>
    </row>
    <row r="19" spans="1:3" x14ac:dyDescent="0.25">
      <c r="A19" s="341" t="str">
        <f>General!G69</f>
        <v>i</v>
      </c>
      <c r="B19">
        <v>7</v>
      </c>
      <c r="C19" s="1" t="s">
        <v>2903</v>
      </c>
    </row>
    <row r="20" spans="1:3" x14ac:dyDescent="0.25">
      <c r="A20" s="341" t="str">
        <f>General!G70</f>
        <v>k</v>
      </c>
      <c r="B20">
        <v>7</v>
      </c>
      <c r="C20" s="1" t="s">
        <v>2903</v>
      </c>
    </row>
    <row r="21" spans="1:3" x14ac:dyDescent="0.25">
      <c r="A21" s="341" t="str">
        <f>General!G71</f>
        <v>l</v>
      </c>
      <c r="B21">
        <v>7</v>
      </c>
      <c r="C21" s="1" t="s">
        <v>2903</v>
      </c>
    </row>
    <row r="22" spans="1:3" x14ac:dyDescent="0.25">
      <c r="A22" s="341" t="str">
        <f>General!G72</f>
        <v>lf</v>
      </c>
      <c r="B22">
        <v>7</v>
      </c>
      <c r="C22" s="1" t="s">
        <v>2903</v>
      </c>
    </row>
    <row r="23" spans="1:3" x14ac:dyDescent="0.25">
      <c r="A23" s="341" t="str">
        <f>General!G73</f>
        <v>ms</v>
      </c>
      <c r="B23" s="528">
        <f>0.65*B15+0.35*B21</f>
        <v>15.45</v>
      </c>
      <c r="C23" s="1" t="s">
        <v>2903</v>
      </c>
    </row>
    <row r="24" spans="1:3" x14ac:dyDescent="0.25">
      <c r="A24" s="341" t="str">
        <f>General!G74</f>
        <v>o</v>
      </c>
      <c r="B24">
        <v>20</v>
      </c>
      <c r="C24" s="1" t="s">
        <v>2903</v>
      </c>
    </row>
    <row r="25" spans="1:3" x14ac:dyDescent="0.25">
      <c r="A25" s="341" t="str">
        <f>General!G75</f>
        <v>od</v>
      </c>
      <c r="B25">
        <v>20</v>
      </c>
      <c r="C25" s="1" t="s">
        <v>2903</v>
      </c>
    </row>
    <row r="26" spans="1:3" x14ac:dyDescent="0.25">
      <c r="A26" s="341" t="str">
        <f>General!G76</f>
        <v>of</v>
      </c>
      <c r="B26">
        <v>20</v>
      </c>
      <c r="C26" s="1" t="s">
        <v>2903</v>
      </c>
    </row>
    <row r="27" spans="1:3" x14ac:dyDescent="0.25">
      <c r="A27" s="341" t="str">
        <f>General!G77</f>
        <v>r</v>
      </c>
      <c r="B27">
        <v>7</v>
      </c>
      <c r="C27" s="1" t="s">
        <v>2903</v>
      </c>
    </row>
    <row r="28" spans="1:3" x14ac:dyDescent="0.25">
      <c r="A28" s="341" t="str">
        <f>General!G78</f>
        <v>rd</v>
      </c>
      <c r="B28">
        <v>7</v>
      </c>
      <c r="C28" s="1" t="s">
        <v>2903</v>
      </c>
    </row>
    <row r="29" spans="1:3" x14ac:dyDescent="0.25">
      <c r="A29" s="341" t="str">
        <f>General!G79</f>
        <v>v</v>
      </c>
      <c r="B29">
        <v>7</v>
      </c>
      <c r="C29" s="1" t="s">
        <v>2903</v>
      </c>
    </row>
    <row r="30" spans="1:3" x14ac:dyDescent="0.25">
      <c r="A30" s="341" t="str">
        <f>General!G80</f>
        <v>w</v>
      </c>
      <c r="B30">
        <v>20</v>
      </c>
      <c r="C30" s="1" t="s">
        <v>2903</v>
      </c>
    </row>
    <row r="31" spans="1:3" x14ac:dyDescent="0.25">
      <c r="A31" s="341" t="str">
        <f>General!G81</f>
        <v>wd</v>
      </c>
      <c r="B31">
        <v>20</v>
      </c>
      <c r="C31" s="1" t="s">
        <v>2903</v>
      </c>
    </row>
    <row r="32" spans="1:3" x14ac:dyDescent="0.25">
      <c r="A32" s="341" t="str">
        <f>General!G82</f>
        <v>z</v>
      </c>
      <c r="B32">
        <v>7</v>
      </c>
      <c r="C32" s="1" t="s">
        <v>2903</v>
      </c>
    </row>
    <row r="33" spans="1:3" x14ac:dyDescent="0.25">
      <c r="A33" s="341" t="str">
        <f>General!G83</f>
        <v>zd</v>
      </c>
      <c r="B33">
        <v>7</v>
      </c>
      <c r="C33" s="1" t="s">
        <v>2903</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2900</v>
      </c>
      <c r="F11" t="s">
        <v>2901</v>
      </c>
    </row>
    <row r="12" spans="1:17" x14ac:dyDescent="0.25">
      <c r="A12" t="s">
        <v>2771</v>
      </c>
      <c r="B12">
        <v>188000</v>
      </c>
      <c r="C12" s="44">
        <v>1</v>
      </c>
      <c r="D12" s="44">
        <v>0</v>
      </c>
      <c r="E12" s="44">
        <v>0</v>
      </c>
      <c r="F12" s="44">
        <v>0</v>
      </c>
    </row>
    <row r="13" spans="1:17" x14ac:dyDescent="0.25">
      <c r="A13" t="s">
        <v>2769</v>
      </c>
      <c r="B13">
        <v>87000</v>
      </c>
      <c r="C13" s="44">
        <v>1</v>
      </c>
      <c r="D13" s="44">
        <v>0</v>
      </c>
      <c r="E13" s="44">
        <v>0</v>
      </c>
      <c r="F13" s="44">
        <v>0</v>
      </c>
    </row>
    <row r="14" spans="1:17" x14ac:dyDescent="0.25">
      <c r="A14" t="s">
        <v>2770</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2767</v>
      </c>
      <c r="B30" s="436">
        <v>1</v>
      </c>
    </row>
    <row r="31" spans="1:6" ht="7.35" customHeight="1" x14ac:dyDescent="0.25"/>
    <row r="32" spans="1:6" x14ac:dyDescent="0.25">
      <c r="A32" t="s">
        <v>2907</v>
      </c>
      <c r="B32">
        <v>8.6999999999999993</v>
      </c>
      <c r="C32" s="1" t="s">
        <v>2906</v>
      </c>
    </row>
    <row r="33" spans="1:3" ht="7.15" customHeight="1" x14ac:dyDescent="0.25"/>
    <row r="34" spans="1:3" x14ac:dyDescent="0.25">
      <c r="A34" t="s">
        <v>3293</v>
      </c>
      <c r="B34">
        <v>50</v>
      </c>
      <c r="C34" s="1" t="s">
        <v>2909</v>
      </c>
    </row>
    <row r="35" spans="1:3" ht="7.15" customHeight="1" x14ac:dyDescent="0.25"/>
    <row r="36" spans="1:3" x14ac:dyDescent="0.25">
      <c r="A36" t="s">
        <v>3294</v>
      </c>
      <c r="B36">
        <v>60</v>
      </c>
      <c r="C36" s="1" t="s">
        <v>3296</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5" x14ac:dyDescent="0.25">
      <c r="A65" s="341" t="str">
        <f>General!I91</f>
        <v>w</v>
      </c>
      <c r="B65">
        <v>1</v>
      </c>
    </row>
    <row r="66" spans="1:5" x14ac:dyDescent="0.25">
      <c r="A66" s="341" t="str">
        <f>General!I92</f>
        <v>wd</v>
      </c>
      <c r="B66">
        <v>1</v>
      </c>
    </row>
    <row r="67" spans="1:5" x14ac:dyDescent="0.25">
      <c r="A67" s="341" t="str">
        <f>General!I93</f>
        <v>x</v>
      </c>
      <c r="B67">
        <v>1</v>
      </c>
    </row>
    <row r="68" spans="1:5" x14ac:dyDescent="0.25">
      <c r="A68" s="341" t="str">
        <f>General!I94</f>
        <v>xc</v>
      </c>
      <c r="B68">
        <v>1</v>
      </c>
    </row>
    <row r="69" spans="1:5" x14ac:dyDescent="0.25">
      <c r="A69" s="341" t="str">
        <f>General!I95</f>
        <v>z</v>
      </c>
      <c r="B69">
        <v>1</v>
      </c>
    </row>
    <row r="70" spans="1:5" x14ac:dyDescent="0.25">
      <c r="A70" s="341" t="str">
        <f>General!I96</f>
        <v>zd</v>
      </c>
      <c r="B70">
        <v>1</v>
      </c>
    </row>
    <row r="72" spans="1:5" x14ac:dyDescent="0.25">
      <c r="A72" s="3" t="s">
        <v>35</v>
      </c>
    </row>
    <row r="73" spans="1:5" x14ac:dyDescent="0.25">
      <c r="A73" t="s">
        <v>2768</v>
      </c>
      <c r="B73" s="436">
        <v>1</v>
      </c>
    </row>
    <row r="74" spans="1:5" ht="7.35" customHeight="1" x14ac:dyDescent="0.25"/>
    <row r="75" spans="1:5" x14ac:dyDescent="0.25">
      <c r="A75" t="s">
        <v>2892</v>
      </c>
      <c r="B75">
        <v>63</v>
      </c>
    </row>
    <row r="76" spans="1:5" ht="7.15" customHeight="1" x14ac:dyDescent="0.25"/>
    <row r="77" spans="1:5" x14ac:dyDescent="0.25">
      <c r="A77" t="s">
        <v>3297</v>
      </c>
      <c r="B77">
        <f>0.3*harvest_maint</f>
        <v>16.5</v>
      </c>
      <c r="C77" s="1" t="s">
        <v>3298</v>
      </c>
    </row>
    <row r="78" spans="1:5" ht="7.15" customHeight="1" x14ac:dyDescent="0.25"/>
    <row r="79" spans="1:5" x14ac:dyDescent="0.25">
      <c r="A79" t="s">
        <v>2902</v>
      </c>
      <c r="B79"/>
    </row>
    <row r="80" spans="1:5" x14ac:dyDescent="0.25">
      <c r="A80" s="341" t="str">
        <f>General!G65</f>
        <v>b</v>
      </c>
      <c r="B80">
        <v>20</v>
      </c>
      <c r="C80" s="1" t="s">
        <v>2903</v>
      </c>
      <c r="E80" s="1" t="s">
        <v>2904</v>
      </c>
    </row>
    <row r="81" spans="1:3" x14ac:dyDescent="0.25">
      <c r="A81" s="341" t="str">
        <f>General!G66</f>
        <v>bd</v>
      </c>
      <c r="B81">
        <v>20</v>
      </c>
      <c r="C81" s="1" t="s">
        <v>2903</v>
      </c>
    </row>
    <row r="82" spans="1:3" x14ac:dyDescent="0.25">
      <c r="A82" s="341" t="str">
        <f>General!G67</f>
        <v>f</v>
      </c>
      <c r="B82">
        <v>12</v>
      </c>
      <c r="C82" s="1" t="s">
        <v>2903</v>
      </c>
    </row>
    <row r="83" spans="1:3" x14ac:dyDescent="0.25">
      <c r="A83" s="341" t="str">
        <f>General!G68</f>
        <v>h</v>
      </c>
      <c r="B83">
        <v>20</v>
      </c>
      <c r="C83" s="1" t="s">
        <v>2903</v>
      </c>
    </row>
    <row r="84" spans="1:3" x14ac:dyDescent="0.25">
      <c r="A84" s="341" t="str">
        <f>General!G69</f>
        <v>i</v>
      </c>
      <c r="B84">
        <v>12</v>
      </c>
      <c r="C84" s="1" t="s">
        <v>2903</v>
      </c>
    </row>
    <row r="85" spans="1:3" x14ac:dyDescent="0.25">
      <c r="A85" s="341" t="str">
        <f>General!G70</f>
        <v>k</v>
      </c>
      <c r="B85">
        <v>12</v>
      </c>
      <c r="C85" s="1" t="s">
        <v>2903</v>
      </c>
    </row>
    <row r="86" spans="1:3" x14ac:dyDescent="0.25">
      <c r="A86" s="341" t="str">
        <f>General!G71</f>
        <v>l</v>
      </c>
      <c r="B86">
        <v>12</v>
      </c>
      <c r="C86" s="1" t="s">
        <v>2903</v>
      </c>
    </row>
    <row r="87" spans="1:3" x14ac:dyDescent="0.25">
      <c r="A87" s="341" t="str">
        <f>General!G72</f>
        <v>lf</v>
      </c>
      <c r="B87">
        <v>12</v>
      </c>
      <c r="C87" s="1" t="s">
        <v>2903</v>
      </c>
    </row>
    <row r="88" spans="1:3" x14ac:dyDescent="0.25">
      <c r="A88" s="341" t="str">
        <f>General!G73</f>
        <v>ms</v>
      </c>
      <c r="B88" s="528">
        <f>0.65*B80+0.35*B86</f>
        <v>17.2</v>
      </c>
      <c r="C88" s="1" t="s">
        <v>2903</v>
      </c>
    </row>
    <row r="89" spans="1:3" x14ac:dyDescent="0.25">
      <c r="A89" s="341" t="str">
        <f>General!G74</f>
        <v>o</v>
      </c>
      <c r="B89">
        <v>20</v>
      </c>
      <c r="C89" s="1" t="s">
        <v>2903</v>
      </c>
    </row>
    <row r="90" spans="1:3" x14ac:dyDescent="0.25">
      <c r="A90" s="341" t="str">
        <f>General!G75</f>
        <v>od</v>
      </c>
      <c r="B90">
        <v>20</v>
      </c>
      <c r="C90" s="1" t="s">
        <v>2903</v>
      </c>
    </row>
    <row r="91" spans="1:3" x14ac:dyDescent="0.25">
      <c r="A91" s="341" t="str">
        <f>General!G76</f>
        <v>of</v>
      </c>
      <c r="B91">
        <v>20</v>
      </c>
      <c r="C91" s="1" t="s">
        <v>2903</v>
      </c>
    </row>
    <row r="92" spans="1:3" x14ac:dyDescent="0.25">
      <c r="A92" s="341" t="str">
        <f>General!G77</f>
        <v>r</v>
      </c>
      <c r="B92">
        <v>7</v>
      </c>
      <c r="C92" s="1" t="s">
        <v>2903</v>
      </c>
    </row>
    <row r="93" spans="1:3" x14ac:dyDescent="0.25">
      <c r="A93" s="341" t="str">
        <f>General!G78</f>
        <v>rd</v>
      </c>
      <c r="B93">
        <v>7</v>
      </c>
      <c r="C93" s="1" t="s">
        <v>2903</v>
      </c>
    </row>
    <row r="94" spans="1:3" x14ac:dyDescent="0.25">
      <c r="A94" s="341" t="str">
        <f>General!G79</f>
        <v>v</v>
      </c>
      <c r="B94">
        <v>12</v>
      </c>
      <c r="C94" s="1" t="s">
        <v>2903</v>
      </c>
    </row>
    <row r="95" spans="1:3" x14ac:dyDescent="0.25">
      <c r="A95" s="341" t="str">
        <f>General!G80</f>
        <v>w</v>
      </c>
      <c r="B95">
        <v>20</v>
      </c>
      <c r="C95" s="1" t="s">
        <v>2903</v>
      </c>
    </row>
    <row r="96" spans="1:3" x14ac:dyDescent="0.25">
      <c r="A96" s="341" t="str">
        <f>General!G81</f>
        <v>wd</v>
      </c>
      <c r="B96">
        <v>20</v>
      </c>
      <c r="C96" s="1" t="s">
        <v>2903</v>
      </c>
    </row>
    <row r="97" spans="1:3" x14ac:dyDescent="0.25">
      <c r="A97" s="341" t="str">
        <f>General!G82</f>
        <v>z</v>
      </c>
      <c r="B97">
        <v>7</v>
      </c>
      <c r="C97" s="1" t="s">
        <v>2903</v>
      </c>
    </row>
    <row r="98" spans="1:3" x14ac:dyDescent="0.25">
      <c r="A98" s="341" t="str">
        <f>General!G83</f>
        <v>zd</v>
      </c>
      <c r="B98">
        <v>7</v>
      </c>
      <c r="C98" s="1" t="s">
        <v>2903</v>
      </c>
    </row>
    <row r="100" spans="1:3" x14ac:dyDescent="0.25">
      <c r="A100" t="s">
        <v>37</v>
      </c>
      <c r="B100">
        <v>55</v>
      </c>
      <c r="C100" s="1" t="s">
        <v>2891</v>
      </c>
    </row>
    <row r="101" spans="1:3" ht="9" customHeight="1" x14ac:dyDescent="0.25"/>
    <row r="102" spans="1:3" x14ac:dyDescent="0.25">
      <c r="A102" t="s">
        <v>37</v>
      </c>
      <c r="B102" t="s">
        <v>3295</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2908</v>
      </c>
      <c r="B124">
        <v>33</v>
      </c>
      <c r="C124" s="1" t="s">
        <v>2910</v>
      </c>
    </row>
    <row r="125" spans="1:3" ht="4.1500000000000004" customHeight="1" x14ac:dyDescent="0.25"/>
    <row r="126" spans="1:3" x14ac:dyDescent="0.25">
      <c r="A126" t="s">
        <v>39</v>
      </c>
      <c r="B126">
        <v>30</v>
      </c>
      <c r="C126" s="1" t="s">
        <v>2909</v>
      </c>
    </row>
    <row r="127" spans="1:3" ht="3" customHeight="1" x14ac:dyDescent="0.25"/>
    <row r="128" spans="1:3" x14ac:dyDescent="0.25">
      <c r="A128" t="s">
        <v>40</v>
      </c>
      <c r="B128">
        <v>35</v>
      </c>
      <c r="C128" s="1" t="s">
        <v>3296</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25</v>
      </c>
    </row>
    <row r="136" spans="1:3" x14ac:dyDescent="0.25">
      <c r="A136" s="431" t="s">
        <v>69</v>
      </c>
      <c r="B136" t="str">
        <f>General!K67</f>
        <v>at_seeding</v>
      </c>
      <c r="C136"/>
    </row>
    <row r="137" spans="1:3" x14ac:dyDescent="0.25">
      <c r="A137" s="431" t="s">
        <v>2911</v>
      </c>
      <c r="B137" t="str">
        <f>General!K68</f>
        <v>mid</v>
      </c>
      <c r="C137">
        <v>25</v>
      </c>
    </row>
    <row r="138" spans="1:3" x14ac:dyDescent="0.25">
      <c r="A138" s="431" t="s">
        <v>2547</v>
      </c>
      <c r="B138" t="str">
        <f>General!K69</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3279</v>
      </c>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2900</v>
      </c>
      <c r="F11" t="s">
        <v>2901</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2767</v>
      </c>
      <c r="B29" s="436">
        <v>1</v>
      </c>
    </row>
    <row r="30" spans="1:6" ht="7.35" customHeight="1" x14ac:dyDescent="0.25"/>
    <row r="31" spans="1:6" ht="4.9000000000000004" customHeight="1" x14ac:dyDescent="0.25"/>
    <row r="32" spans="1:6" x14ac:dyDescent="0.25">
      <c r="A32" t="s">
        <v>2907</v>
      </c>
      <c r="B32">
        <v>4</v>
      </c>
      <c r="C32" s="1" t="s">
        <v>2906</v>
      </c>
    </row>
    <row r="33" spans="1:3" ht="7.15" customHeight="1" x14ac:dyDescent="0.25"/>
    <row r="34" spans="1:3" x14ac:dyDescent="0.25">
      <c r="A34" t="s">
        <v>3293</v>
      </c>
      <c r="B34">
        <v>40</v>
      </c>
      <c r="C34" s="1" t="s">
        <v>2909</v>
      </c>
    </row>
    <row r="35" spans="1:3" ht="7.15" customHeight="1" x14ac:dyDescent="0.25"/>
    <row r="36" spans="1:3" x14ac:dyDescent="0.25">
      <c r="A36" t="s">
        <v>3294</v>
      </c>
      <c r="B36">
        <v>35</v>
      </c>
      <c r="C36" s="1" t="s">
        <v>3296</v>
      </c>
    </row>
    <row r="37" spans="1:3" ht="7.15" customHeight="1" x14ac:dyDescent="0.25"/>
    <row r="38" spans="1:3" x14ac:dyDescent="0.25">
      <c r="A38" t="s">
        <v>54</v>
      </c>
      <c r="B38"/>
    </row>
    <row r="39" spans="1:3" x14ac:dyDescent="0.25">
      <c r="A39" s="341" t="str">
        <f>General!I65</f>
        <v>a</v>
      </c>
      <c r="B39">
        <v>1</v>
      </c>
    </row>
    <row r="40" spans="1:3" x14ac:dyDescent="0.25">
      <c r="A40" s="341" t="str">
        <f>General!I66</f>
        <v>a2</v>
      </c>
      <c r="B40">
        <v>1</v>
      </c>
    </row>
    <row r="41" spans="1:3" x14ac:dyDescent="0.25">
      <c r="A41" s="341" t="str">
        <f>General!I67</f>
        <v>b</v>
      </c>
      <c r="B41">
        <v>1</v>
      </c>
    </row>
    <row r="42" spans="1:3" x14ac:dyDescent="0.25">
      <c r="A42" s="341" t="str">
        <f>General!I68</f>
        <v>bd</v>
      </c>
      <c r="B42">
        <v>1</v>
      </c>
    </row>
    <row r="43" spans="1:3" x14ac:dyDescent="0.25">
      <c r="A43" s="341" t="str">
        <f>General!I69</f>
        <v>f</v>
      </c>
      <c r="B43">
        <v>1</v>
      </c>
    </row>
    <row r="44" spans="1:3" x14ac:dyDescent="0.25">
      <c r="A44" s="341" t="str">
        <f>General!I70</f>
        <v>h</v>
      </c>
      <c r="B44">
        <v>1</v>
      </c>
    </row>
    <row r="45" spans="1:3" x14ac:dyDescent="0.25">
      <c r="A45" s="341" t="str">
        <f>General!I71</f>
        <v>i</v>
      </c>
      <c r="B45">
        <v>1</v>
      </c>
    </row>
    <row r="46" spans="1:3" x14ac:dyDescent="0.25">
      <c r="A46" s="341" t="str">
        <f>General!I72</f>
        <v>j</v>
      </c>
      <c r="B46">
        <v>1</v>
      </c>
    </row>
    <row r="47" spans="1:3" x14ac:dyDescent="0.25">
      <c r="A47" s="341" t="str">
        <f>General!I73</f>
        <v>jc</v>
      </c>
      <c r="B47">
        <v>1</v>
      </c>
    </row>
    <row r="48" spans="1:3" x14ac:dyDescent="0.25">
      <c r="A48" s="341" t="str">
        <f>General!I74</f>
        <v>k</v>
      </c>
      <c r="B48">
        <v>1</v>
      </c>
    </row>
    <row r="49" spans="1:2" x14ac:dyDescent="0.25">
      <c r="A49" s="341" t="str">
        <f>General!I75</f>
        <v>l</v>
      </c>
      <c r="B49">
        <v>1</v>
      </c>
    </row>
    <row r="50" spans="1:2" x14ac:dyDescent="0.25">
      <c r="A50" s="341" t="str">
        <f>General!I76</f>
        <v>lf</v>
      </c>
      <c r="B50">
        <v>1</v>
      </c>
    </row>
    <row r="51" spans="1:2" x14ac:dyDescent="0.25">
      <c r="A51" s="341" t="str">
        <f>General!I77</f>
        <v>m</v>
      </c>
      <c r="B51">
        <v>1</v>
      </c>
    </row>
    <row r="52" spans="1:2" x14ac:dyDescent="0.25">
      <c r="A52" s="341" t="str">
        <f>General!I78</f>
        <v>ms</v>
      </c>
      <c r="B52">
        <v>1</v>
      </c>
    </row>
    <row r="53" spans="1:2" x14ac:dyDescent="0.25">
      <c r="A53" s="341" t="str">
        <f>General!I79</f>
        <v>o</v>
      </c>
      <c r="B53">
        <v>1</v>
      </c>
    </row>
    <row r="54" spans="1:2" x14ac:dyDescent="0.25">
      <c r="A54" s="341" t="str">
        <f>General!I80</f>
        <v>od</v>
      </c>
      <c r="B54">
        <v>1</v>
      </c>
    </row>
    <row r="55" spans="1:2" x14ac:dyDescent="0.25">
      <c r="A55" s="341" t="str">
        <f>General!I81</f>
        <v>of</v>
      </c>
      <c r="B55">
        <v>1</v>
      </c>
    </row>
    <row r="56" spans="1:2" x14ac:dyDescent="0.25">
      <c r="A56" s="341" t="str">
        <f>General!I82</f>
        <v>r</v>
      </c>
      <c r="B56">
        <v>1</v>
      </c>
    </row>
    <row r="57" spans="1:2" x14ac:dyDescent="0.25">
      <c r="A57" s="341" t="str">
        <f>General!I83</f>
        <v>rd</v>
      </c>
      <c r="B57">
        <v>1</v>
      </c>
    </row>
    <row r="58" spans="1:2" x14ac:dyDescent="0.25">
      <c r="A58" s="341" t="str">
        <f>General!I84</f>
        <v>s</v>
      </c>
      <c r="B58">
        <v>1</v>
      </c>
    </row>
    <row r="59" spans="1:2" x14ac:dyDescent="0.25">
      <c r="A59" s="341" t="str">
        <f>General!I85</f>
        <v>sp</v>
      </c>
      <c r="B59">
        <v>1</v>
      </c>
    </row>
    <row r="60" spans="1:2" x14ac:dyDescent="0.25">
      <c r="A60" s="341" t="str">
        <f>General!I86</f>
        <v>t</v>
      </c>
      <c r="B60">
        <v>1</v>
      </c>
    </row>
    <row r="61" spans="1:2" x14ac:dyDescent="0.25">
      <c r="A61" s="341" t="str">
        <f>General!I87</f>
        <v>tc</v>
      </c>
      <c r="B61">
        <v>1</v>
      </c>
    </row>
    <row r="62" spans="1:2" x14ac:dyDescent="0.25">
      <c r="A62" s="341" t="str">
        <f>General!I88</f>
        <v>u</v>
      </c>
      <c r="B62">
        <v>1</v>
      </c>
    </row>
    <row r="63" spans="1:2" x14ac:dyDescent="0.25">
      <c r="A63" s="341" t="str">
        <f>General!I89</f>
        <v>uc</v>
      </c>
      <c r="B63">
        <v>1</v>
      </c>
    </row>
    <row r="64" spans="1:2" x14ac:dyDescent="0.25">
      <c r="A64" s="341" t="str">
        <f>General!I90</f>
        <v>v</v>
      </c>
      <c r="B64">
        <v>1</v>
      </c>
    </row>
    <row r="65" spans="1:3" x14ac:dyDescent="0.25">
      <c r="A65" s="341" t="str">
        <f>General!I91</f>
        <v>w</v>
      </c>
      <c r="B65">
        <v>1</v>
      </c>
    </row>
    <row r="66" spans="1:3" x14ac:dyDescent="0.25">
      <c r="A66" s="341" t="str">
        <f>General!I92</f>
        <v>wd</v>
      </c>
      <c r="B66">
        <v>1</v>
      </c>
    </row>
    <row r="67" spans="1:3" x14ac:dyDescent="0.25">
      <c r="A67" s="341" t="str">
        <f>General!I93</f>
        <v>x</v>
      </c>
      <c r="B67">
        <v>1</v>
      </c>
    </row>
    <row r="68" spans="1:3" x14ac:dyDescent="0.25">
      <c r="A68" s="341" t="str">
        <f>General!I94</f>
        <v>xc</v>
      </c>
      <c r="B68">
        <v>1</v>
      </c>
    </row>
    <row r="69" spans="1:3" x14ac:dyDescent="0.25">
      <c r="A69" s="341" t="str">
        <f>General!I95</f>
        <v>z</v>
      </c>
      <c r="B69">
        <v>1</v>
      </c>
    </row>
    <row r="70" spans="1:3" x14ac:dyDescent="0.25">
      <c r="A70" s="341" t="str">
        <f>General!I96</f>
        <v>zd</v>
      </c>
      <c r="B70">
        <v>1</v>
      </c>
    </row>
    <row r="72" spans="1:3" x14ac:dyDescent="0.25">
      <c r="A72" s="3" t="s">
        <v>35</v>
      </c>
    </row>
    <row r="73" spans="1:3" x14ac:dyDescent="0.25">
      <c r="A73" t="s">
        <v>2768</v>
      </c>
      <c r="B73" s="436">
        <v>1</v>
      </c>
    </row>
    <row r="74" spans="1:3" ht="7.35" customHeight="1" x14ac:dyDescent="0.25"/>
    <row r="75" spans="1:3" x14ac:dyDescent="0.25">
      <c r="A75" t="s">
        <v>36</v>
      </c>
      <c r="B75">
        <v>50</v>
      </c>
    </row>
    <row r="76" spans="1:3" ht="7.15" customHeight="1" x14ac:dyDescent="0.25"/>
    <row r="77" spans="1:3" x14ac:dyDescent="0.25">
      <c r="A77" t="s">
        <v>3297</v>
      </c>
      <c r="B77">
        <f>0.3*harvest_maint</f>
        <v>12</v>
      </c>
      <c r="C77" s="1" t="s">
        <v>3298</v>
      </c>
    </row>
    <row r="78" spans="1:3" ht="7.15" customHeight="1" x14ac:dyDescent="0.25"/>
    <row r="79" spans="1:3" x14ac:dyDescent="0.25">
      <c r="A79" t="s">
        <v>2902</v>
      </c>
      <c r="B79"/>
    </row>
    <row r="80" spans="1:3" x14ac:dyDescent="0.25">
      <c r="A80" s="341" t="str">
        <f>General!G65</f>
        <v>b</v>
      </c>
      <c r="B80">
        <f>'Mach 1'!B80*0.66</f>
        <v>13.200000000000001</v>
      </c>
      <c r="C80" s="1" t="s">
        <v>2903</v>
      </c>
    </row>
    <row r="81" spans="1:3" x14ac:dyDescent="0.25">
      <c r="A81" s="341" t="str">
        <f>General!G66</f>
        <v>bd</v>
      </c>
      <c r="B81">
        <f>'Mach 1'!B81*0.66</f>
        <v>13.200000000000001</v>
      </c>
      <c r="C81" s="1" t="s">
        <v>2903</v>
      </c>
    </row>
    <row r="82" spans="1:3" x14ac:dyDescent="0.25">
      <c r="A82" s="341" t="str">
        <f>General!G67</f>
        <v>f</v>
      </c>
      <c r="B82">
        <f>'Mach 1'!B82*0.66</f>
        <v>7.92</v>
      </c>
      <c r="C82" s="1" t="s">
        <v>2903</v>
      </c>
    </row>
    <row r="83" spans="1:3" x14ac:dyDescent="0.25">
      <c r="A83" s="341" t="str">
        <f>General!G68</f>
        <v>h</v>
      </c>
      <c r="B83">
        <f>'Mach 1'!B83*0.66</f>
        <v>13.200000000000001</v>
      </c>
      <c r="C83" s="1" t="s">
        <v>2903</v>
      </c>
    </row>
    <row r="84" spans="1:3" x14ac:dyDescent="0.25">
      <c r="A84" s="341" t="str">
        <f>General!G69</f>
        <v>i</v>
      </c>
      <c r="B84">
        <f>'Mach 1'!B84*0.66</f>
        <v>7.92</v>
      </c>
      <c r="C84" s="1" t="s">
        <v>2903</v>
      </c>
    </row>
    <row r="85" spans="1:3" x14ac:dyDescent="0.25">
      <c r="A85" s="341" t="str">
        <f>General!G70</f>
        <v>k</v>
      </c>
      <c r="B85">
        <f>'Mach 1'!B85*0.66</f>
        <v>7.92</v>
      </c>
      <c r="C85" s="1" t="s">
        <v>2903</v>
      </c>
    </row>
    <row r="86" spans="1:3" x14ac:dyDescent="0.25">
      <c r="A86" s="341" t="str">
        <f>General!G71</f>
        <v>l</v>
      </c>
      <c r="B86">
        <f>'Mach 1'!B86*0.66</f>
        <v>7.92</v>
      </c>
      <c r="C86" s="1" t="s">
        <v>2903</v>
      </c>
    </row>
    <row r="87" spans="1:3" x14ac:dyDescent="0.25">
      <c r="A87" s="341" t="str">
        <f>General!G72</f>
        <v>lf</v>
      </c>
      <c r="B87">
        <f>'Mach 1'!B87*0.66</f>
        <v>7.92</v>
      </c>
      <c r="C87" s="1" t="s">
        <v>2903</v>
      </c>
    </row>
    <row r="88" spans="1:3" x14ac:dyDescent="0.25">
      <c r="A88" s="341" t="str">
        <f>General!G73</f>
        <v>ms</v>
      </c>
      <c r="B88" s="528">
        <f>0.65*B80+0.35*B86</f>
        <v>11.352000000000002</v>
      </c>
      <c r="C88" s="1" t="s">
        <v>2903</v>
      </c>
    </row>
    <row r="89" spans="1:3" x14ac:dyDescent="0.25">
      <c r="A89" s="341" t="str">
        <f>General!G74</f>
        <v>o</v>
      </c>
      <c r="B89">
        <f>'Mach 1'!B89*0.66</f>
        <v>13.200000000000001</v>
      </c>
      <c r="C89" s="1" t="s">
        <v>2903</v>
      </c>
    </row>
    <row r="90" spans="1:3" x14ac:dyDescent="0.25">
      <c r="A90" s="341" t="str">
        <f>General!G75</f>
        <v>od</v>
      </c>
      <c r="B90">
        <f>'Mach 1'!B90*0.66</f>
        <v>13.200000000000001</v>
      </c>
      <c r="C90" s="1" t="s">
        <v>2903</v>
      </c>
    </row>
    <row r="91" spans="1:3" x14ac:dyDescent="0.25">
      <c r="A91" s="341" t="str">
        <f>General!G76</f>
        <v>of</v>
      </c>
      <c r="B91">
        <f>'Mach 1'!B91*0.66</f>
        <v>13.200000000000001</v>
      </c>
      <c r="C91" s="1" t="s">
        <v>2903</v>
      </c>
    </row>
    <row r="92" spans="1:3" x14ac:dyDescent="0.25">
      <c r="A92" s="341" t="str">
        <f>General!G77</f>
        <v>r</v>
      </c>
      <c r="B92">
        <f>'Mach 1'!B92*0.66</f>
        <v>4.62</v>
      </c>
      <c r="C92" s="1" t="s">
        <v>2903</v>
      </c>
    </row>
    <row r="93" spans="1:3" x14ac:dyDescent="0.25">
      <c r="A93" s="341" t="str">
        <f>General!G78</f>
        <v>rd</v>
      </c>
      <c r="B93">
        <f>'Mach 1'!B93*0.66</f>
        <v>4.62</v>
      </c>
      <c r="C93" s="1" t="s">
        <v>2903</v>
      </c>
    </row>
    <row r="94" spans="1:3" x14ac:dyDescent="0.25">
      <c r="A94" s="341" t="str">
        <f>General!G79</f>
        <v>v</v>
      </c>
      <c r="B94">
        <f>'Mach 1'!B94*0.66</f>
        <v>7.92</v>
      </c>
      <c r="C94" s="1" t="s">
        <v>2903</v>
      </c>
    </row>
    <row r="95" spans="1:3" x14ac:dyDescent="0.25">
      <c r="A95" s="341" t="str">
        <f>General!G80</f>
        <v>w</v>
      </c>
      <c r="B95">
        <f>'Mach 1'!B95*0.66</f>
        <v>13.200000000000001</v>
      </c>
      <c r="C95" s="1" t="s">
        <v>2903</v>
      </c>
    </row>
    <row r="96" spans="1:3" x14ac:dyDescent="0.25">
      <c r="A96" s="341" t="str">
        <f>General!G81</f>
        <v>wd</v>
      </c>
      <c r="B96">
        <f>'Mach 1'!B96*0.66</f>
        <v>13.200000000000001</v>
      </c>
      <c r="C96" s="1" t="s">
        <v>2903</v>
      </c>
    </row>
    <row r="97" spans="1:3" x14ac:dyDescent="0.25">
      <c r="A97" s="341" t="str">
        <f>General!G82</f>
        <v>z</v>
      </c>
      <c r="B97">
        <f>'Mach 1'!B97*0.66</f>
        <v>4.62</v>
      </c>
      <c r="C97" s="1" t="s">
        <v>2903</v>
      </c>
    </row>
    <row r="98" spans="1:3" x14ac:dyDescent="0.25">
      <c r="A98" s="341" t="str">
        <f>General!G83</f>
        <v>zd</v>
      </c>
      <c r="B98">
        <f>'Mach 1'!B98*0.66</f>
        <v>4.62</v>
      </c>
      <c r="C98" s="1" t="s">
        <v>2903</v>
      </c>
    </row>
    <row r="100" spans="1:3" x14ac:dyDescent="0.25">
      <c r="A100" t="s">
        <v>37</v>
      </c>
      <c r="B100">
        <v>40</v>
      </c>
      <c r="C100" s="1" t="s">
        <v>2891</v>
      </c>
    </row>
    <row r="102" spans="1:3" x14ac:dyDescent="0.25">
      <c r="A102" t="s">
        <v>37</v>
      </c>
      <c r="B102" t="s">
        <v>3295</v>
      </c>
    </row>
    <row r="103" spans="1:3" x14ac:dyDescent="0.25">
      <c r="A103" s="341" t="str">
        <f>General!G65</f>
        <v>b</v>
      </c>
      <c r="B103" s="326">
        <v>1</v>
      </c>
    </row>
    <row r="104" spans="1:3" x14ac:dyDescent="0.25">
      <c r="A104" s="341" t="str">
        <f>General!G66</f>
        <v>bd</v>
      </c>
      <c r="B104" s="326">
        <v>1</v>
      </c>
    </row>
    <row r="105" spans="1:3" x14ac:dyDescent="0.25">
      <c r="A105" s="341" t="str">
        <f>General!G67</f>
        <v>f</v>
      </c>
      <c r="B105" s="326">
        <f>38/33</f>
        <v>1.1515151515151516</v>
      </c>
    </row>
    <row r="106" spans="1:3" x14ac:dyDescent="0.25">
      <c r="A106" s="341" t="str">
        <f>General!G68</f>
        <v>h</v>
      </c>
      <c r="B106" s="326">
        <v>1</v>
      </c>
    </row>
    <row r="107" spans="1:3" x14ac:dyDescent="0.25">
      <c r="A107" s="341" t="str">
        <f>General!G69</f>
        <v>i</v>
      </c>
      <c r="B107" s="326">
        <f t="shared" ref="B107:B108" si="0">38/33</f>
        <v>1.1515151515151516</v>
      </c>
    </row>
    <row r="108" spans="1:3" x14ac:dyDescent="0.25">
      <c r="A108" s="341" t="str">
        <f>General!G70</f>
        <v>k</v>
      </c>
      <c r="B108" s="326">
        <f t="shared" si="0"/>
        <v>1.1515151515151516</v>
      </c>
    </row>
    <row r="109" spans="1:3" x14ac:dyDescent="0.25">
      <c r="A109" s="341" t="str">
        <f>General!G71</f>
        <v>l</v>
      </c>
      <c r="B109" s="326">
        <v>1</v>
      </c>
    </row>
    <row r="110" spans="1:3" x14ac:dyDescent="0.25">
      <c r="A110" s="341" t="str">
        <f>General!G72</f>
        <v>lf</v>
      </c>
      <c r="B110" s="326">
        <v>1</v>
      </c>
    </row>
    <row r="111" spans="1:3" x14ac:dyDescent="0.25">
      <c r="A111" s="341" t="str">
        <f>General!G73</f>
        <v>ms</v>
      </c>
      <c r="B111" s="618">
        <f>0.65*B103+0.35*B109</f>
        <v>1</v>
      </c>
    </row>
    <row r="112" spans="1:3" x14ac:dyDescent="0.25">
      <c r="A112" s="341" t="str">
        <f>General!G74</f>
        <v>o</v>
      </c>
      <c r="B112" s="326">
        <v>1</v>
      </c>
    </row>
    <row r="113" spans="1:3" x14ac:dyDescent="0.25">
      <c r="A113" s="341" t="str">
        <f>General!G75</f>
        <v>od</v>
      </c>
      <c r="B113" s="326">
        <v>1</v>
      </c>
    </row>
    <row r="114" spans="1:3" x14ac:dyDescent="0.25">
      <c r="A114" s="341" t="str">
        <f>General!G76</f>
        <v>of</v>
      </c>
      <c r="B114" s="326">
        <v>1</v>
      </c>
    </row>
    <row r="115" spans="1:3" x14ac:dyDescent="0.25">
      <c r="A115" s="341" t="str">
        <f>General!G77</f>
        <v>r</v>
      </c>
      <c r="B115" s="326">
        <f t="shared" ref="B115:B117" si="1">38/33</f>
        <v>1.1515151515151516</v>
      </c>
    </row>
    <row r="116" spans="1:3" x14ac:dyDescent="0.25">
      <c r="A116" s="341" t="str">
        <f>General!G78</f>
        <v>rd</v>
      </c>
      <c r="B116" s="326">
        <f t="shared" si="1"/>
        <v>1.1515151515151516</v>
      </c>
    </row>
    <row r="117" spans="1:3" x14ac:dyDescent="0.25">
      <c r="A117" s="341" t="str">
        <f>General!G79</f>
        <v>v</v>
      </c>
      <c r="B117" s="326">
        <f t="shared" si="1"/>
        <v>1.1515151515151516</v>
      </c>
    </row>
    <row r="118" spans="1:3" x14ac:dyDescent="0.25">
      <c r="A118" s="341" t="str">
        <f>General!G80</f>
        <v>w</v>
      </c>
      <c r="B118" s="326">
        <v>1</v>
      </c>
    </row>
    <row r="119" spans="1:3" x14ac:dyDescent="0.25">
      <c r="A119" s="341" t="str">
        <f>General!G81</f>
        <v>wd</v>
      </c>
      <c r="B119" s="326">
        <v>1</v>
      </c>
    </row>
    <row r="120" spans="1:3" x14ac:dyDescent="0.25">
      <c r="A120" s="341" t="str">
        <f>General!G82</f>
        <v>z</v>
      </c>
      <c r="B120" s="326">
        <f t="shared" ref="B120:B121" si="2">38/33</f>
        <v>1.1515151515151516</v>
      </c>
    </row>
    <row r="121" spans="1:3" x14ac:dyDescent="0.25">
      <c r="A121" s="341" t="str">
        <f>General!G83</f>
        <v>zd</v>
      </c>
      <c r="B121" s="326">
        <f t="shared" si="2"/>
        <v>1.1515151515151516</v>
      </c>
    </row>
    <row r="123" spans="1:3" x14ac:dyDescent="0.25">
      <c r="A123" s="3" t="s">
        <v>38</v>
      </c>
    </row>
    <row r="124" spans="1:3" x14ac:dyDescent="0.25">
      <c r="A124" t="s">
        <v>2908</v>
      </c>
      <c r="B124">
        <v>23</v>
      </c>
      <c r="C124" s="1" t="s">
        <v>2910</v>
      </c>
    </row>
    <row r="125" spans="1:3" ht="4.1500000000000004" customHeight="1" x14ac:dyDescent="0.25"/>
    <row r="126" spans="1:3" x14ac:dyDescent="0.25">
      <c r="A126" t="s">
        <v>39</v>
      </c>
      <c r="B126">
        <v>20</v>
      </c>
      <c r="C126" s="1" t="s">
        <v>2909</v>
      </c>
    </row>
    <row r="127" spans="1:3" ht="3" customHeight="1" x14ac:dyDescent="0.25"/>
    <row r="128" spans="1:3" x14ac:dyDescent="0.25">
      <c r="A128" t="s">
        <v>40</v>
      </c>
      <c r="B128">
        <v>22</v>
      </c>
      <c r="C128" s="1" t="s">
        <v>3296</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General!K65</f>
        <v>lime</v>
      </c>
      <c r="C134">
        <v>15</v>
      </c>
    </row>
    <row r="135" spans="1:3" x14ac:dyDescent="0.25">
      <c r="A135" s="431" t="s">
        <v>44</v>
      </c>
      <c r="B135" t="str">
        <f>General!K66</f>
        <v>early</v>
      </c>
      <c r="C135">
        <v>20</v>
      </c>
    </row>
    <row r="136" spans="1:3" x14ac:dyDescent="0.25">
      <c r="A136" s="431" t="s">
        <v>69</v>
      </c>
      <c r="B136" t="str">
        <f>General!K67</f>
        <v>at_seeding</v>
      </c>
      <c r="C136"/>
    </row>
    <row r="137" spans="1:3" x14ac:dyDescent="0.25">
      <c r="A137" s="431" t="s">
        <v>2911</v>
      </c>
      <c r="B137" t="str">
        <f>General!K68</f>
        <v>mid</v>
      </c>
      <c r="C137">
        <v>20</v>
      </c>
    </row>
    <row r="138" spans="1:3" x14ac:dyDescent="0.25">
      <c r="A138" s="431" t="s">
        <v>2547</v>
      </c>
      <c r="B138" t="str">
        <f>General!K69</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General!G65</f>
        <v>b</v>
      </c>
      <c r="B157" s="6">
        <v>1</v>
      </c>
      <c r="C157" s="6">
        <v>1</v>
      </c>
    </row>
    <row r="158" spans="1:3" x14ac:dyDescent="0.25">
      <c r="A158" s="342" t="str">
        <f>General!G66</f>
        <v>bd</v>
      </c>
      <c r="B158" s="6">
        <v>1</v>
      </c>
      <c r="C158" s="6">
        <v>1</v>
      </c>
    </row>
    <row r="159" spans="1:3" x14ac:dyDescent="0.25">
      <c r="A159" s="342" t="str">
        <f>General!G67</f>
        <v>f</v>
      </c>
      <c r="B159" s="6">
        <v>1</v>
      </c>
      <c r="C159" s="6">
        <v>1</v>
      </c>
    </row>
    <row r="160" spans="1:3" x14ac:dyDescent="0.25">
      <c r="A160" s="342" t="str">
        <f>General!G68</f>
        <v>h</v>
      </c>
      <c r="B160" s="6">
        <v>1</v>
      </c>
      <c r="C160" s="6">
        <v>3</v>
      </c>
    </row>
    <row r="161" spans="1:3" x14ac:dyDescent="0.25">
      <c r="A161" s="342" t="str">
        <f>General!G69</f>
        <v>i</v>
      </c>
      <c r="B161" s="6">
        <v>1</v>
      </c>
      <c r="C161" s="6">
        <v>1</v>
      </c>
    </row>
    <row r="162" spans="1:3" x14ac:dyDescent="0.25">
      <c r="A162" s="342" t="str">
        <f>General!G70</f>
        <v>k</v>
      </c>
      <c r="B162" s="6">
        <v>1</v>
      </c>
      <c r="C162" s="6">
        <v>1</v>
      </c>
    </row>
    <row r="163" spans="1:3" x14ac:dyDescent="0.25">
      <c r="A163" s="342" t="str">
        <f>General!G71</f>
        <v>l</v>
      </c>
      <c r="B163" s="6">
        <v>1</v>
      </c>
      <c r="C163" s="6">
        <v>1</v>
      </c>
    </row>
    <row r="164" spans="1:3" x14ac:dyDescent="0.25">
      <c r="A164" s="342" t="str">
        <f>General!G72</f>
        <v>lf</v>
      </c>
      <c r="B164" s="6">
        <v>1</v>
      </c>
      <c r="C164" s="6">
        <v>1</v>
      </c>
    </row>
    <row r="165" spans="1:3" x14ac:dyDescent="0.25">
      <c r="A165" s="342" t="str">
        <f>General!G73</f>
        <v>ms</v>
      </c>
      <c r="B165" s="6">
        <v>1</v>
      </c>
      <c r="C165" s="6">
        <v>1</v>
      </c>
    </row>
    <row r="166" spans="1:3" x14ac:dyDescent="0.25">
      <c r="A166" s="342" t="str">
        <f>General!G74</f>
        <v>o</v>
      </c>
      <c r="B166" s="6">
        <v>1</v>
      </c>
      <c r="C166" s="6">
        <v>1</v>
      </c>
    </row>
    <row r="167" spans="1:3" x14ac:dyDescent="0.25">
      <c r="A167" s="342" t="str">
        <f>General!G75</f>
        <v>od</v>
      </c>
      <c r="B167" s="6">
        <v>1</v>
      </c>
      <c r="C167" s="6">
        <v>1</v>
      </c>
    </row>
    <row r="168" spans="1:3" x14ac:dyDescent="0.25">
      <c r="A168" s="342" t="str">
        <f>General!G76</f>
        <v>of</v>
      </c>
      <c r="B168" s="6">
        <v>1</v>
      </c>
      <c r="C168" s="6">
        <v>1</v>
      </c>
    </row>
    <row r="169" spans="1:3" x14ac:dyDescent="0.25">
      <c r="A169" s="342" t="str">
        <f>General!G77</f>
        <v>r</v>
      </c>
      <c r="B169" s="6">
        <v>1</v>
      </c>
      <c r="C169" s="6">
        <v>1</v>
      </c>
    </row>
    <row r="170" spans="1:3" x14ac:dyDescent="0.25">
      <c r="A170" s="342" t="str">
        <f>General!G78</f>
        <v>rd</v>
      </c>
      <c r="B170" s="6">
        <v>1</v>
      </c>
      <c r="C170" s="6">
        <v>1</v>
      </c>
    </row>
    <row r="171" spans="1:3" x14ac:dyDescent="0.25">
      <c r="A171" s="342" t="str">
        <f>General!G79</f>
        <v>v</v>
      </c>
      <c r="B171" s="6">
        <v>1</v>
      </c>
      <c r="C171" s="6">
        <v>1</v>
      </c>
    </row>
    <row r="172" spans="1:3" x14ac:dyDescent="0.25">
      <c r="A172" s="342" t="str">
        <f>General!G80</f>
        <v>w</v>
      </c>
      <c r="B172" s="6">
        <v>1</v>
      </c>
      <c r="C172" s="6">
        <v>1</v>
      </c>
    </row>
    <row r="173" spans="1:3" x14ac:dyDescent="0.25">
      <c r="A173" s="342" t="str">
        <f>General!G81</f>
        <v>wd</v>
      </c>
      <c r="B173" s="6">
        <v>1</v>
      </c>
      <c r="C173" s="6">
        <v>1</v>
      </c>
    </row>
    <row r="174" spans="1:3" x14ac:dyDescent="0.25">
      <c r="A174" s="342" t="str">
        <f>General!G82</f>
        <v>z</v>
      </c>
      <c r="B174" s="6">
        <v>1</v>
      </c>
      <c r="C174" s="6">
        <v>1</v>
      </c>
    </row>
    <row r="175" spans="1:3" x14ac:dyDescent="0.25">
      <c r="A175" s="342" t="str">
        <f>General!G83</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2900</v>
      </c>
      <c r="F11" t="s">
        <v>2901</v>
      </c>
    </row>
    <row r="12" spans="1:17" x14ac:dyDescent="0.25">
      <c r="A12" t="s">
        <v>2771</v>
      </c>
      <c r="B12">
        <v>250000</v>
      </c>
      <c r="C12" s="44">
        <v>1</v>
      </c>
      <c r="D12" s="44">
        <v>0</v>
      </c>
      <c r="E12" s="44">
        <v>0</v>
      </c>
      <c r="F12" s="44">
        <v>0</v>
      </c>
    </row>
    <row r="13" spans="1:17" x14ac:dyDescent="0.25">
      <c r="A13" t="s">
        <v>2769</v>
      </c>
      <c r="B13">
        <v>115000</v>
      </c>
      <c r="C13" s="44">
        <v>1</v>
      </c>
      <c r="D13" s="44">
        <v>0</v>
      </c>
      <c r="E13" s="44">
        <v>0</v>
      </c>
      <c r="F13" s="44">
        <v>0</v>
      </c>
    </row>
    <row r="14" spans="1:17" x14ac:dyDescent="0.25">
      <c r="A14" t="s">
        <v>2770</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2772</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2774</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2773</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2767</v>
      </c>
      <c r="B29" s="436">
        <v>1</v>
      </c>
    </row>
    <row r="30" spans="1:6" ht="7.35" customHeight="1" x14ac:dyDescent="0.25"/>
    <row r="31" spans="1:6" x14ac:dyDescent="0.25">
      <c r="A31" t="s">
        <v>2907</v>
      </c>
      <c r="B31">
        <v>12.5</v>
      </c>
      <c r="C31" s="1" t="s">
        <v>2906</v>
      </c>
      <c r="D31" s="1" t="s">
        <v>3026</v>
      </c>
    </row>
    <row r="32" spans="1:6" ht="7.15" customHeight="1" x14ac:dyDescent="0.25"/>
    <row r="33" spans="1:3" x14ac:dyDescent="0.25">
      <c r="A33" t="s">
        <v>3293</v>
      </c>
      <c r="B33">
        <v>60</v>
      </c>
      <c r="C33" s="1" t="s">
        <v>2909</v>
      </c>
    </row>
    <row r="34" spans="1:3" ht="7.15" customHeight="1" x14ac:dyDescent="0.25"/>
    <row r="35" spans="1:3" x14ac:dyDescent="0.25">
      <c r="A35" t="s">
        <v>3294</v>
      </c>
      <c r="B35">
        <v>78</v>
      </c>
      <c r="C35" s="1" t="s">
        <v>3296</v>
      </c>
    </row>
    <row r="36" spans="1:3" ht="7.15" customHeight="1" x14ac:dyDescent="0.25"/>
    <row r="37" spans="1:3" x14ac:dyDescent="0.25">
      <c r="A37" t="s">
        <v>54</v>
      </c>
      <c r="B37"/>
    </row>
    <row r="38" spans="1:3" x14ac:dyDescent="0.25">
      <c r="A38" s="341" t="str">
        <f>General!I65</f>
        <v>a</v>
      </c>
      <c r="B38">
        <v>1</v>
      </c>
    </row>
    <row r="39" spans="1:3" x14ac:dyDescent="0.25">
      <c r="A39" s="341" t="str">
        <f>General!I66</f>
        <v>a2</v>
      </c>
      <c r="B39">
        <v>1</v>
      </c>
    </row>
    <row r="40" spans="1:3" x14ac:dyDescent="0.25">
      <c r="A40" s="341" t="str">
        <f>General!I67</f>
        <v>b</v>
      </c>
      <c r="B40">
        <v>1</v>
      </c>
    </row>
    <row r="41" spans="1:3" x14ac:dyDescent="0.25">
      <c r="A41" s="341" t="str">
        <f>General!I68</f>
        <v>bd</v>
      </c>
      <c r="B41">
        <v>1</v>
      </c>
    </row>
    <row r="42" spans="1:3" x14ac:dyDescent="0.25">
      <c r="A42" s="341" t="str">
        <f>General!I69</f>
        <v>f</v>
      </c>
      <c r="B42">
        <v>1</v>
      </c>
    </row>
    <row r="43" spans="1:3" x14ac:dyDescent="0.25">
      <c r="A43" s="341" t="str">
        <f>General!I70</f>
        <v>h</v>
      </c>
      <c r="B43">
        <v>1</v>
      </c>
    </row>
    <row r="44" spans="1:3" x14ac:dyDescent="0.25">
      <c r="A44" s="341" t="str">
        <f>General!I71</f>
        <v>i</v>
      </c>
      <c r="B44">
        <v>1</v>
      </c>
    </row>
    <row r="45" spans="1:3" x14ac:dyDescent="0.25">
      <c r="A45" s="341" t="str">
        <f>General!I72</f>
        <v>j</v>
      </c>
      <c r="B45">
        <v>1</v>
      </c>
    </row>
    <row r="46" spans="1:3" x14ac:dyDescent="0.25">
      <c r="A46" s="341" t="str">
        <f>General!I73</f>
        <v>jc</v>
      </c>
      <c r="B46">
        <v>1</v>
      </c>
    </row>
    <row r="47" spans="1:3" x14ac:dyDescent="0.25">
      <c r="A47" s="341" t="str">
        <f>General!I74</f>
        <v>k</v>
      </c>
      <c r="B47">
        <v>1</v>
      </c>
    </row>
    <row r="48" spans="1:3" x14ac:dyDescent="0.25">
      <c r="A48" s="341" t="str">
        <f>General!I75</f>
        <v>l</v>
      </c>
      <c r="B48">
        <v>1</v>
      </c>
    </row>
    <row r="49" spans="1:2" x14ac:dyDescent="0.25">
      <c r="A49" s="341" t="str">
        <f>General!I76</f>
        <v>lf</v>
      </c>
      <c r="B49">
        <v>1</v>
      </c>
    </row>
    <row r="50" spans="1:2" x14ac:dyDescent="0.25">
      <c r="A50" s="341" t="str">
        <f>General!I77</f>
        <v>m</v>
      </c>
      <c r="B50">
        <v>1</v>
      </c>
    </row>
    <row r="51" spans="1:2" x14ac:dyDescent="0.25">
      <c r="A51" s="341" t="str">
        <f>General!I78</f>
        <v>ms</v>
      </c>
      <c r="B51">
        <v>1</v>
      </c>
    </row>
    <row r="52" spans="1:2" x14ac:dyDescent="0.25">
      <c r="A52" s="341" t="str">
        <f>General!I79</f>
        <v>o</v>
      </c>
      <c r="B52">
        <v>1</v>
      </c>
    </row>
    <row r="53" spans="1:2" x14ac:dyDescent="0.25">
      <c r="A53" s="341" t="str">
        <f>General!I80</f>
        <v>od</v>
      </c>
      <c r="B53">
        <v>1</v>
      </c>
    </row>
    <row r="54" spans="1:2" x14ac:dyDescent="0.25">
      <c r="A54" s="341" t="str">
        <f>General!I81</f>
        <v>of</v>
      </c>
      <c r="B54">
        <v>1</v>
      </c>
    </row>
    <row r="55" spans="1:2" x14ac:dyDescent="0.25">
      <c r="A55" s="341" t="str">
        <f>General!I82</f>
        <v>r</v>
      </c>
      <c r="B55">
        <v>1</v>
      </c>
    </row>
    <row r="56" spans="1:2" x14ac:dyDescent="0.25">
      <c r="A56" s="341" t="str">
        <f>General!I83</f>
        <v>rd</v>
      </c>
      <c r="B56">
        <v>1</v>
      </c>
    </row>
    <row r="57" spans="1:2" x14ac:dyDescent="0.25">
      <c r="A57" s="341" t="str">
        <f>General!I84</f>
        <v>s</v>
      </c>
      <c r="B57">
        <v>1</v>
      </c>
    </row>
    <row r="58" spans="1:2" x14ac:dyDescent="0.25">
      <c r="A58" s="341" t="str">
        <f>General!I85</f>
        <v>sp</v>
      </c>
      <c r="B58">
        <v>1</v>
      </c>
    </row>
    <row r="59" spans="1:2" x14ac:dyDescent="0.25">
      <c r="A59" s="341" t="str">
        <f>General!I86</f>
        <v>t</v>
      </c>
      <c r="B59">
        <v>1</v>
      </c>
    </row>
    <row r="60" spans="1:2" x14ac:dyDescent="0.25">
      <c r="A60" s="341" t="str">
        <f>General!I87</f>
        <v>tc</v>
      </c>
      <c r="B60">
        <v>1</v>
      </c>
    </row>
    <row r="61" spans="1:2" x14ac:dyDescent="0.25">
      <c r="A61" s="341" t="str">
        <f>General!I88</f>
        <v>u</v>
      </c>
      <c r="B61">
        <v>1</v>
      </c>
    </row>
    <row r="62" spans="1:2" x14ac:dyDescent="0.25">
      <c r="A62" s="341" t="str">
        <f>General!I89</f>
        <v>uc</v>
      </c>
      <c r="B62">
        <v>1</v>
      </c>
    </row>
    <row r="63" spans="1:2" x14ac:dyDescent="0.25">
      <c r="A63" s="341" t="str">
        <f>General!I90</f>
        <v>v</v>
      </c>
      <c r="B63">
        <v>1</v>
      </c>
    </row>
    <row r="64" spans="1:2" x14ac:dyDescent="0.25">
      <c r="A64" s="341" t="str">
        <f>General!I91</f>
        <v>w</v>
      </c>
      <c r="B64">
        <v>1</v>
      </c>
    </row>
    <row r="65" spans="1:3" x14ac:dyDescent="0.25">
      <c r="A65" s="341" t="str">
        <f>General!I92</f>
        <v>wd</v>
      </c>
      <c r="B65">
        <v>1</v>
      </c>
    </row>
    <row r="66" spans="1:3" x14ac:dyDescent="0.25">
      <c r="A66" s="341" t="str">
        <f>General!I93</f>
        <v>x</v>
      </c>
      <c r="B66">
        <v>1</v>
      </c>
    </row>
    <row r="67" spans="1:3" x14ac:dyDescent="0.25">
      <c r="A67" s="341" t="str">
        <f>General!I94</f>
        <v>xc</v>
      </c>
      <c r="B67">
        <v>1</v>
      </c>
    </row>
    <row r="68" spans="1:3" x14ac:dyDescent="0.25">
      <c r="A68" s="341" t="str">
        <f>General!I95</f>
        <v>z</v>
      </c>
      <c r="B68">
        <v>1</v>
      </c>
    </row>
    <row r="69" spans="1:3" x14ac:dyDescent="0.25">
      <c r="A69" s="341" t="str">
        <f>General!I96</f>
        <v>zd</v>
      </c>
      <c r="B69">
        <v>1</v>
      </c>
    </row>
    <row r="71" spans="1:3" x14ac:dyDescent="0.25">
      <c r="A71" s="3" t="s">
        <v>35</v>
      </c>
    </row>
    <row r="72" spans="1:3" x14ac:dyDescent="0.25">
      <c r="A72" t="s">
        <v>2768</v>
      </c>
      <c r="B72" s="436">
        <v>1</v>
      </c>
    </row>
    <row r="73" spans="1:3" ht="7.35" customHeight="1" x14ac:dyDescent="0.25"/>
    <row r="74" spans="1:3" x14ac:dyDescent="0.25">
      <c r="A74" t="s">
        <v>2892</v>
      </c>
      <c r="B74">
        <v>63</v>
      </c>
    </row>
    <row r="75" spans="1:3" ht="7.15" customHeight="1" x14ac:dyDescent="0.25"/>
    <row r="76" spans="1:3" x14ac:dyDescent="0.25">
      <c r="A76" t="s">
        <v>3297</v>
      </c>
      <c r="B76">
        <f>0.3*harvest_maint</f>
        <v>24</v>
      </c>
      <c r="C76" s="1" t="s">
        <v>3298</v>
      </c>
    </row>
    <row r="77" spans="1:3" ht="7.15" customHeight="1" x14ac:dyDescent="0.25"/>
    <row r="78" spans="1:3" x14ac:dyDescent="0.25">
      <c r="A78" t="s">
        <v>2902</v>
      </c>
      <c r="B78"/>
    </row>
    <row r="79" spans="1:3" x14ac:dyDescent="0.25">
      <c r="A79" s="341" t="str">
        <f>General!G65</f>
        <v>b</v>
      </c>
      <c r="B79">
        <v>30</v>
      </c>
      <c r="C79" s="1" t="s">
        <v>2903</v>
      </c>
    </row>
    <row r="80" spans="1:3" x14ac:dyDescent="0.25">
      <c r="A80" s="341" t="str">
        <f>General!G66</f>
        <v>bd</v>
      </c>
      <c r="B80">
        <v>30</v>
      </c>
      <c r="C80" s="1" t="s">
        <v>2903</v>
      </c>
    </row>
    <row r="81" spans="1:3" x14ac:dyDescent="0.25">
      <c r="A81" s="341" t="str">
        <f>General!G67</f>
        <v>f</v>
      </c>
      <c r="B81">
        <v>18</v>
      </c>
      <c r="C81" s="1" t="s">
        <v>2903</v>
      </c>
    </row>
    <row r="82" spans="1:3" x14ac:dyDescent="0.25">
      <c r="A82" s="341" t="str">
        <f>General!G68</f>
        <v>h</v>
      </c>
      <c r="B82">
        <v>30</v>
      </c>
      <c r="C82" s="1" t="s">
        <v>2903</v>
      </c>
    </row>
    <row r="83" spans="1:3" x14ac:dyDescent="0.25">
      <c r="A83" s="341" t="str">
        <f>General!G69</f>
        <v>i</v>
      </c>
      <c r="B83">
        <v>18</v>
      </c>
      <c r="C83" s="1" t="s">
        <v>2903</v>
      </c>
    </row>
    <row r="84" spans="1:3" x14ac:dyDescent="0.25">
      <c r="A84" s="341" t="str">
        <f>General!G70</f>
        <v>k</v>
      </c>
      <c r="B84">
        <v>18</v>
      </c>
      <c r="C84" s="1" t="s">
        <v>2903</v>
      </c>
    </row>
    <row r="85" spans="1:3" x14ac:dyDescent="0.25">
      <c r="A85" s="341" t="str">
        <f>General!G71</f>
        <v>l</v>
      </c>
      <c r="B85">
        <v>18</v>
      </c>
      <c r="C85" s="1" t="s">
        <v>2903</v>
      </c>
    </row>
    <row r="86" spans="1:3" x14ac:dyDescent="0.25">
      <c r="A86" s="341" t="str">
        <f>General!G72</f>
        <v>lf</v>
      </c>
      <c r="B86">
        <v>18</v>
      </c>
      <c r="C86" s="1" t="s">
        <v>2903</v>
      </c>
    </row>
    <row r="87" spans="1:3" x14ac:dyDescent="0.25">
      <c r="A87" s="341" t="str">
        <f>General!G73</f>
        <v>ms</v>
      </c>
      <c r="B87" s="528">
        <f>0.65*B79+0.35*B85</f>
        <v>25.8</v>
      </c>
      <c r="C87" s="1" t="s">
        <v>2903</v>
      </c>
    </row>
    <row r="88" spans="1:3" x14ac:dyDescent="0.25">
      <c r="A88" s="341" t="str">
        <f>General!G74</f>
        <v>o</v>
      </c>
      <c r="B88">
        <v>30</v>
      </c>
      <c r="C88" s="1" t="s">
        <v>2903</v>
      </c>
    </row>
    <row r="89" spans="1:3" x14ac:dyDescent="0.25">
      <c r="A89" s="341" t="str">
        <f>General!G75</f>
        <v>od</v>
      </c>
      <c r="B89">
        <v>30</v>
      </c>
      <c r="C89" s="1" t="s">
        <v>2903</v>
      </c>
    </row>
    <row r="90" spans="1:3" x14ac:dyDescent="0.25">
      <c r="A90" s="341" t="str">
        <f>General!G76</f>
        <v>of</v>
      </c>
      <c r="B90">
        <v>30</v>
      </c>
      <c r="C90" s="1" t="s">
        <v>2903</v>
      </c>
    </row>
    <row r="91" spans="1:3" x14ac:dyDescent="0.25">
      <c r="A91" s="341" t="str">
        <f>General!G77</f>
        <v>r</v>
      </c>
      <c r="B91">
        <v>12</v>
      </c>
      <c r="C91" s="1" t="s">
        <v>2903</v>
      </c>
    </row>
    <row r="92" spans="1:3" x14ac:dyDescent="0.25">
      <c r="A92" s="341" t="str">
        <f>General!G78</f>
        <v>rd</v>
      </c>
      <c r="B92">
        <v>12</v>
      </c>
      <c r="C92" s="1" t="s">
        <v>2903</v>
      </c>
    </row>
    <row r="93" spans="1:3" x14ac:dyDescent="0.25">
      <c r="A93" s="341" t="str">
        <f>General!G79</f>
        <v>v</v>
      </c>
      <c r="B93">
        <v>18</v>
      </c>
      <c r="C93" s="1" t="s">
        <v>2903</v>
      </c>
    </row>
    <row r="94" spans="1:3" x14ac:dyDescent="0.25">
      <c r="A94" s="341" t="str">
        <f>General!G80</f>
        <v>w</v>
      </c>
      <c r="B94">
        <v>30</v>
      </c>
      <c r="C94" s="1" t="s">
        <v>2903</v>
      </c>
    </row>
    <row r="95" spans="1:3" x14ac:dyDescent="0.25">
      <c r="A95" s="341" t="str">
        <f>General!G81</f>
        <v>wd</v>
      </c>
      <c r="B95">
        <v>30</v>
      </c>
      <c r="C95" s="1" t="s">
        <v>2903</v>
      </c>
    </row>
    <row r="96" spans="1:3" x14ac:dyDescent="0.25">
      <c r="A96" s="341" t="str">
        <f>General!G82</f>
        <v>z</v>
      </c>
      <c r="B96">
        <v>12</v>
      </c>
      <c r="C96" s="1" t="s">
        <v>2903</v>
      </c>
    </row>
    <row r="97" spans="1:3" x14ac:dyDescent="0.25">
      <c r="A97" s="341" t="str">
        <f>General!G83</f>
        <v>zd</v>
      </c>
      <c r="B97">
        <v>12</v>
      </c>
      <c r="C97" s="1" t="s">
        <v>2903</v>
      </c>
    </row>
    <row r="99" spans="1:3" x14ac:dyDescent="0.25">
      <c r="A99" t="s">
        <v>37</v>
      </c>
      <c r="B99">
        <v>80</v>
      </c>
      <c r="C99" s="1" t="s">
        <v>2891</v>
      </c>
    </row>
    <row r="101" spans="1:3" x14ac:dyDescent="0.25">
      <c r="A101" t="s">
        <v>37</v>
      </c>
      <c r="B101" t="s">
        <v>3295</v>
      </c>
    </row>
    <row r="102" spans="1:3" x14ac:dyDescent="0.25">
      <c r="A102" s="341" t="str">
        <f>General!G65</f>
        <v>b</v>
      </c>
      <c r="B102" s="326">
        <v>1</v>
      </c>
    </row>
    <row r="103" spans="1:3" x14ac:dyDescent="0.25">
      <c r="A103" s="341" t="str">
        <f>General!G66</f>
        <v>bd</v>
      </c>
      <c r="B103" s="326">
        <v>1</v>
      </c>
    </row>
    <row r="104" spans="1:3" x14ac:dyDescent="0.25">
      <c r="A104" s="341" t="str">
        <f>General!G67</f>
        <v>f</v>
      </c>
      <c r="B104" s="326">
        <f>38/33</f>
        <v>1.1515151515151516</v>
      </c>
    </row>
    <row r="105" spans="1:3" x14ac:dyDescent="0.25">
      <c r="A105" s="341" t="str">
        <f>General!G68</f>
        <v>h</v>
      </c>
      <c r="B105" s="326">
        <v>1</v>
      </c>
    </row>
    <row r="106" spans="1:3" x14ac:dyDescent="0.25">
      <c r="A106" s="341" t="str">
        <f>General!G69</f>
        <v>i</v>
      </c>
      <c r="B106" s="326">
        <f t="shared" ref="B106:B107" si="0">38/33</f>
        <v>1.1515151515151516</v>
      </c>
    </row>
    <row r="107" spans="1:3" x14ac:dyDescent="0.25">
      <c r="A107" s="341" t="str">
        <f>General!G70</f>
        <v>k</v>
      </c>
      <c r="B107" s="326">
        <f t="shared" si="0"/>
        <v>1.1515151515151516</v>
      </c>
    </row>
    <row r="108" spans="1:3" x14ac:dyDescent="0.25">
      <c r="A108" s="341" t="str">
        <f>General!G71</f>
        <v>l</v>
      </c>
      <c r="B108" s="326">
        <v>1</v>
      </c>
    </row>
    <row r="109" spans="1:3" x14ac:dyDescent="0.25">
      <c r="A109" s="341" t="str">
        <f>General!G72</f>
        <v>lf</v>
      </c>
      <c r="B109" s="326">
        <v>1</v>
      </c>
    </row>
    <row r="110" spans="1:3" x14ac:dyDescent="0.25">
      <c r="A110" s="341" t="str">
        <f>General!G73</f>
        <v>ms</v>
      </c>
      <c r="B110" s="618">
        <f>0.65*B102+0.35*B108</f>
        <v>1</v>
      </c>
    </row>
    <row r="111" spans="1:3" x14ac:dyDescent="0.25">
      <c r="A111" s="341" t="str">
        <f>General!G74</f>
        <v>o</v>
      </c>
      <c r="B111" s="326">
        <v>1</v>
      </c>
    </row>
    <row r="112" spans="1:3" x14ac:dyDescent="0.25">
      <c r="A112" s="341" t="str">
        <f>General!G75</f>
        <v>od</v>
      </c>
      <c r="B112" s="326">
        <v>1</v>
      </c>
    </row>
    <row r="113" spans="1:3" x14ac:dyDescent="0.25">
      <c r="A113" s="341" t="str">
        <f>General!G76</f>
        <v>of</v>
      </c>
      <c r="B113" s="326">
        <v>1</v>
      </c>
    </row>
    <row r="114" spans="1:3" x14ac:dyDescent="0.25">
      <c r="A114" s="341" t="str">
        <f>General!G77</f>
        <v>r</v>
      </c>
      <c r="B114" s="326">
        <f t="shared" ref="B114:B116" si="1">38/33</f>
        <v>1.1515151515151516</v>
      </c>
    </row>
    <row r="115" spans="1:3" x14ac:dyDescent="0.25">
      <c r="A115" s="341" t="str">
        <f>General!G78</f>
        <v>rd</v>
      </c>
      <c r="B115" s="326">
        <f t="shared" si="1"/>
        <v>1.1515151515151516</v>
      </c>
    </row>
    <row r="116" spans="1:3" x14ac:dyDescent="0.25">
      <c r="A116" s="341" t="str">
        <f>General!G79</f>
        <v>v</v>
      </c>
      <c r="B116" s="326">
        <f t="shared" si="1"/>
        <v>1.1515151515151516</v>
      </c>
    </row>
    <row r="117" spans="1:3" x14ac:dyDescent="0.25">
      <c r="A117" s="341" t="str">
        <f>General!G80</f>
        <v>w</v>
      </c>
      <c r="B117" s="326">
        <v>1</v>
      </c>
    </row>
    <row r="118" spans="1:3" x14ac:dyDescent="0.25">
      <c r="A118" s="341" t="str">
        <f>General!G81</f>
        <v>wd</v>
      </c>
      <c r="B118" s="326">
        <v>1</v>
      </c>
    </row>
    <row r="119" spans="1:3" x14ac:dyDescent="0.25">
      <c r="A119" s="341" t="str">
        <f>General!G82</f>
        <v>z</v>
      </c>
      <c r="B119" s="326">
        <f t="shared" ref="B119:B120" si="2">38/33</f>
        <v>1.1515151515151516</v>
      </c>
    </row>
    <row r="120" spans="1:3" x14ac:dyDescent="0.25">
      <c r="A120" s="341" t="str">
        <f>General!G83</f>
        <v>zd</v>
      </c>
      <c r="B120" s="326">
        <f t="shared" si="2"/>
        <v>1.1515151515151516</v>
      </c>
    </row>
    <row r="122" spans="1:3" x14ac:dyDescent="0.25">
      <c r="A122" s="3" t="s">
        <v>38</v>
      </c>
    </row>
    <row r="123" spans="1:3" x14ac:dyDescent="0.25">
      <c r="A123" t="s">
        <v>2908</v>
      </c>
      <c r="B123">
        <v>50</v>
      </c>
      <c r="C123" s="1" t="s">
        <v>2910</v>
      </c>
    </row>
    <row r="124" spans="1:3" ht="4.1500000000000004" customHeight="1" x14ac:dyDescent="0.25"/>
    <row r="125" spans="1:3" x14ac:dyDescent="0.25">
      <c r="A125" t="s">
        <v>39</v>
      </c>
      <c r="B125">
        <v>40</v>
      </c>
      <c r="C125" s="1" t="s">
        <v>2909</v>
      </c>
    </row>
    <row r="126" spans="1:3" ht="3" customHeight="1" x14ac:dyDescent="0.25"/>
    <row r="127" spans="1:3" x14ac:dyDescent="0.25">
      <c r="A127" t="s">
        <v>40</v>
      </c>
      <c r="B127">
        <v>50</v>
      </c>
      <c r="C127" s="1" t="s">
        <v>3296</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General!K65</f>
        <v>lime</v>
      </c>
      <c r="C133">
        <v>15</v>
      </c>
    </row>
    <row r="134" spans="1:3" x14ac:dyDescent="0.25">
      <c r="A134" s="431" t="s">
        <v>44</v>
      </c>
      <c r="B134" t="str">
        <f>General!K66</f>
        <v>early</v>
      </c>
      <c r="C134">
        <v>25</v>
      </c>
    </row>
    <row r="135" spans="1:3" x14ac:dyDescent="0.25">
      <c r="A135" s="431" t="s">
        <v>69</v>
      </c>
      <c r="B135" t="str">
        <f>General!K67</f>
        <v>at_seeding</v>
      </c>
      <c r="C135"/>
    </row>
    <row r="136" spans="1:3" x14ac:dyDescent="0.25">
      <c r="A136" s="431" t="s">
        <v>2911</v>
      </c>
      <c r="B136" t="str">
        <f>General!K68</f>
        <v>mid</v>
      </c>
      <c r="C136">
        <v>25</v>
      </c>
    </row>
    <row r="137" spans="1:3" x14ac:dyDescent="0.25">
      <c r="A137" s="431" t="s">
        <v>2547</v>
      </c>
      <c r="B137" t="str">
        <f>General!K69</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General!G65</f>
        <v>b</v>
      </c>
      <c r="B156" s="6">
        <v>1</v>
      </c>
      <c r="C156" s="6">
        <v>1</v>
      </c>
    </row>
    <row r="157" spans="1:3" x14ac:dyDescent="0.25">
      <c r="A157" s="342" t="str">
        <f>General!G66</f>
        <v>bd</v>
      </c>
      <c r="B157" s="6">
        <v>1</v>
      </c>
      <c r="C157" s="6">
        <v>1</v>
      </c>
    </row>
    <row r="158" spans="1:3" x14ac:dyDescent="0.25">
      <c r="A158" s="342" t="str">
        <f>General!G67</f>
        <v>f</v>
      </c>
      <c r="B158" s="6">
        <v>1</v>
      </c>
      <c r="C158" s="6">
        <v>1</v>
      </c>
    </row>
    <row r="159" spans="1:3" x14ac:dyDescent="0.25">
      <c r="A159" s="342" t="str">
        <f>General!G68</f>
        <v>h</v>
      </c>
      <c r="B159" s="6">
        <v>1</v>
      </c>
      <c r="C159" s="6">
        <v>3</v>
      </c>
    </row>
    <row r="160" spans="1:3" x14ac:dyDescent="0.25">
      <c r="A160" s="342" t="str">
        <f>General!G69</f>
        <v>i</v>
      </c>
      <c r="B160" s="6">
        <v>1</v>
      </c>
      <c r="C160" s="6">
        <v>1</v>
      </c>
    </row>
    <row r="161" spans="1:3" x14ac:dyDescent="0.25">
      <c r="A161" s="342" t="str">
        <f>General!G70</f>
        <v>k</v>
      </c>
      <c r="B161" s="6">
        <v>1</v>
      </c>
      <c r="C161" s="6">
        <v>1</v>
      </c>
    </row>
    <row r="162" spans="1:3" x14ac:dyDescent="0.25">
      <c r="A162" s="342" t="str">
        <f>General!G71</f>
        <v>l</v>
      </c>
      <c r="B162" s="6">
        <v>1</v>
      </c>
      <c r="C162" s="6">
        <v>1</v>
      </c>
    </row>
    <row r="163" spans="1:3" x14ac:dyDescent="0.25">
      <c r="A163" s="342" t="str">
        <f>General!G72</f>
        <v>lf</v>
      </c>
      <c r="B163" s="6">
        <v>1</v>
      </c>
      <c r="C163" s="6">
        <v>1</v>
      </c>
    </row>
    <row r="164" spans="1:3" x14ac:dyDescent="0.25">
      <c r="A164" s="342" t="str">
        <f>General!G73</f>
        <v>ms</v>
      </c>
      <c r="B164" s="6">
        <v>1</v>
      </c>
      <c r="C164" s="6">
        <v>1</v>
      </c>
    </row>
    <row r="165" spans="1:3" x14ac:dyDescent="0.25">
      <c r="A165" s="342" t="str">
        <f>General!G74</f>
        <v>o</v>
      </c>
      <c r="B165" s="6">
        <v>1</v>
      </c>
      <c r="C165" s="6">
        <v>1</v>
      </c>
    </row>
    <row r="166" spans="1:3" x14ac:dyDescent="0.25">
      <c r="A166" s="342" t="str">
        <f>General!G75</f>
        <v>od</v>
      </c>
      <c r="B166" s="6">
        <v>1</v>
      </c>
      <c r="C166" s="6">
        <v>1</v>
      </c>
    </row>
    <row r="167" spans="1:3" x14ac:dyDescent="0.25">
      <c r="A167" s="342" t="str">
        <f>General!G76</f>
        <v>of</v>
      </c>
      <c r="B167" s="6">
        <v>1</v>
      </c>
      <c r="C167" s="6">
        <v>1</v>
      </c>
    </row>
    <row r="168" spans="1:3" x14ac:dyDescent="0.25">
      <c r="A168" s="342" t="str">
        <f>General!G77</f>
        <v>r</v>
      </c>
      <c r="B168" s="6">
        <v>1</v>
      </c>
      <c r="C168" s="6">
        <v>1</v>
      </c>
    </row>
    <row r="169" spans="1:3" x14ac:dyDescent="0.25">
      <c r="A169" s="342" t="str">
        <f>General!G78</f>
        <v>rd</v>
      </c>
      <c r="B169" s="6">
        <v>1</v>
      </c>
      <c r="C169" s="6">
        <v>1</v>
      </c>
    </row>
    <row r="170" spans="1:3" x14ac:dyDescent="0.25">
      <c r="A170" s="342" t="str">
        <f>General!G79</f>
        <v>v</v>
      </c>
      <c r="B170" s="6">
        <v>1</v>
      </c>
      <c r="C170" s="6">
        <v>1</v>
      </c>
    </row>
    <row r="171" spans="1:3" x14ac:dyDescent="0.25">
      <c r="A171" s="342" t="str">
        <f>General!G80</f>
        <v>w</v>
      </c>
      <c r="B171" s="6">
        <v>1</v>
      </c>
      <c r="C171" s="6">
        <v>1</v>
      </c>
    </row>
    <row r="172" spans="1:3" x14ac:dyDescent="0.25">
      <c r="A172" s="342" t="str">
        <f>General!G81</f>
        <v>wd</v>
      </c>
      <c r="B172" s="6">
        <v>1</v>
      </c>
      <c r="C172" s="6">
        <v>1</v>
      </c>
    </row>
    <row r="173" spans="1:3" x14ac:dyDescent="0.25">
      <c r="A173" s="342" t="str">
        <f>General!G82</f>
        <v>z</v>
      </c>
      <c r="B173" s="6">
        <v>1</v>
      </c>
      <c r="C173" s="6">
        <v>1</v>
      </c>
    </row>
    <row r="174" spans="1:3" x14ac:dyDescent="0.25">
      <c r="A174" s="342" t="str">
        <f>General!G83</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528</vt:i4>
      </vt:variant>
    </vt:vector>
  </HeadingPairs>
  <TitlesOfParts>
    <vt:vector size="542"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2025-10-04T12:34:54Z</dcterms:modified>
</cp:coreProperties>
</file>