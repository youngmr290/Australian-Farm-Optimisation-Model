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071DAC6-7985-4292-958B-F067AC9B6675}" xr6:coauthVersionLast="47" xr6:coauthVersionMax="47" xr10:uidLastSave="{00000000-0000-0000-0000-000000000000}"/>
  <bookViews>
    <workbookView xWindow="1425" yWindow="240" windowWidth="25950" windowHeight="15555"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Parameters!$V$705</definedName>
    <definedName name="i_b0_pos">Parameters!$W$705</definedName>
    <definedName name="i_b0_propn_b0t" localSheetId="4">CropResidue!$J$251:$AK$256</definedName>
    <definedName name="i_b1_pos">Parameters!$W$985</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09" i="24" l="1"/>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D189" i="23" l="1"/>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charset val="1"/>
          </rPr>
          <t>Michael:</t>
        </r>
        <r>
          <rPr>
            <sz val="9"/>
            <color indexed="81"/>
            <rFont val="Tahoma"/>
            <charset val="1"/>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charset val="1"/>
          </rPr>
          <t>John:</t>
        </r>
        <r>
          <rPr>
            <sz val="9"/>
            <color indexed="81"/>
            <rFont val="Tahoma"/>
            <charset val="1"/>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<sst xmlns="http://schemas.openxmlformats.org/spreadsheetml/2006/main" count="6641" uniqueCount="3812">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</sst>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3788</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3785</v>
      </c>
      <c r="R22" s="94"/>
      <c r="S22" s="94"/>
      <c r="T22" s="350" t="s">
        <v>3786</v>
      </c>
      <c r="U22" s="94"/>
      <c r="V22" s="94"/>
      <c r="W22" s="73"/>
      <c r="X22" s="57"/>
      <c r="Y22" s="45"/>
      <c r="Z22" s="45"/>
      <c r="AA22" s="45"/>
    </row>
    <row r="23" spans="1:27" ht="75" outlineLevel="3" x14ac:dyDescent="0.25">
      <c r="A23" s="45"/>
      <c r="B23" s="54"/>
      <c r="C23" s="73"/>
      <c r="D23" s="73"/>
      <c r="E23" s="76"/>
      <c r="F23" s="354" t="s">
        <v>3787</v>
      </c>
      <c r="G23" s="631" t="s">
        <v>3788</v>
      </c>
      <c r="H23" s="76"/>
      <c r="I23" s="76"/>
      <c r="J23" s="76"/>
      <c r="K23" s="354" t="s">
        <v>2321</v>
      </c>
      <c r="L23" s="351">
        <v>1.1999999999999999E-6</v>
      </c>
      <c r="M23" s="76"/>
      <c r="N23" s="354" t="s">
        <v>2322</v>
      </c>
      <c r="O23" s="351">
        <v>0.7</v>
      </c>
      <c r="P23" s="76"/>
      <c r="Q23" s="354" t="s">
        <v>9</v>
      </c>
      <c r="R23" s="351">
        <v>0.64</v>
      </c>
      <c r="S23" s="76"/>
      <c r="T23" s="354" t="s">
        <v>3789</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3790</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3791</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3786</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3463</v>
      </c>
      <c r="H38" s="14"/>
      <c r="I38" s="14" t="s">
        <v>3464</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3465</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3466</v>
      </c>
      <c r="H43" s="18" t="s">
        <v>3467</v>
      </c>
      <c r="I43" s="18" t="s">
        <v>3468</v>
      </c>
      <c r="J43" s="18" t="s">
        <v>3469</v>
      </c>
      <c r="K43" s="18" t="s">
        <v>3470</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3475</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3476</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3479</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3477</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3478</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3" t="s">
        <v>2905</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3" t="s">
        <v>2543</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3279</v>
      </c>
      <c r="I73" s="339" t="s">
        <v>2298</v>
      </c>
    </row>
    <row r="74" spans="7:13" x14ac:dyDescent="0.25">
      <c r="G74" s="339" t="s">
        <v>3204</v>
      </c>
      <c r="I74" s="339" t="s">
        <v>107</v>
      </c>
    </row>
    <row r="75" spans="7:13" x14ac:dyDescent="0.25">
      <c r="G75" s="339" t="s">
        <v>6</v>
      </c>
      <c r="I75" s="339" t="s">
        <v>62</v>
      </c>
    </row>
    <row r="76" spans="7:13" x14ac:dyDescent="0.25">
      <c r="G76" s="339" t="s">
        <v>2293</v>
      </c>
      <c r="I76" s="339" t="s">
        <v>7</v>
      </c>
    </row>
    <row r="77" spans="7:13" x14ac:dyDescent="0.25">
      <c r="G77" s="339" t="s">
        <v>72</v>
      </c>
      <c r="I77" s="339" t="s">
        <v>3279</v>
      </c>
    </row>
    <row r="78" spans="7:13" x14ac:dyDescent="0.25">
      <c r="G78" s="339" t="s">
        <v>9</v>
      </c>
      <c r="I78" s="339" t="s">
        <v>113</v>
      </c>
    </row>
    <row r="79" spans="7:13" x14ac:dyDescent="0.25">
      <c r="G79" s="339" t="s">
        <v>2292</v>
      </c>
      <c r="I79" s="339" t="s">
        <v>3204</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3270</v>
      </c>
      <c r="C51" t="s">
        <v>3272</v>
      </c>
      <c r="D51" t="s">
        <v>2254</v>
      </c>
      <c r="E51" t="s">
        <v>64</v>
      </c>
      <c r="F51" t="s">
        <v>65</v>
      </c>
      <c r="G51" t="s">
        <v>3243</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3240</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3206</v>
      </c>
      <c r="H54" s="28"/>
      <c r="I54" s="41" t="s">
        <v>3205</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3207</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3208</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3209</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3210</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3242</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3241</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0"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0"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0"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3064</v>
      </c>
      <c r="Y205" s="21" t="s">
        <v>3065</v>
      </c>
      <c r="Z205" s="21" t="s">
        <v>3066</v>
      </c>
      <c r="AA205" s="21" t="s">
        <v>3067</v>
      </c>
      <c r="AB205" s="21" t="s">
        <v>3068</v>
      </c>
      <c r="AC205" s="21" t="s">
        <v>3069</v>
      </c>
      <c r="AD205" s="21" t="s">
        <v>3070</v>
      </c>
      <c r="AE205" s="21" t="s">
        <v>3071</v>
      </c>
      <c r="AF205" s="21" t="s">
        <v>3072</v>
      </c>
      <c r="AG205" s="21" t="s">
        <v>3073</v>
      </c>
      <c r="AH205" s="21" t="s">
        <v>3074</v>
      </c>
      <c r="AI205" s="21" t="s">
        <v>3075</v>
      </c>
      <c r="AJ205" s="21" t="s">
        <v>3076</v>
      </c>
      <c r="AK205" s="21" t="s">
        <v>3077</v>
      </c>
      <c r="AL205" s="21" t="s">
        <v>3078</v>
      </c>
      <c r="AM205" s="21" t="s">
        <v>3079</v>
      </c>
      <c r="AN205" s="21"/>
      <c r="AO205" s="17"/>
      <c r="AP205" s="9"/>
      <c r="AQ205" s="9"/>
      <c r="AR205" s="9"/>
    </row>
    <row r="206" spans="1:44"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3080</v>
      </c>
      <c r="S206" s="544"/>
      <c r="T206" s="544"/>
      <c r="U206" s="544"/>
      <c r="V206" s="544"/>
      <c r="W206" s="544"/>
      <c r="X206" s="544"/>
      <c r="Y206" s="544"/>
      <c r="Z206" s="544"/>
      <c r="AA206" s="544"/>
      <c r="AB206" s="544"/>
      <c r="AC206" s="544"/>
      <c r="AD206" s="544" t="s">
        <v>400</v>
      </c>
      <c r="AE206" s="544"/>
      <c r="AF206" s="544"/>
      <c r="AG206" s="544"/>
      <c r="AH206" s="544"/>
      <c r="AI206" s="544"/>
      <c r="AJ206" s="544" t="s">
        <v>3081</v>
      </c>
      <c r="AK206" s="544"/>
      <c r="AL206" s="545"/>
      <c r="AM206" s="545"/>
      <c r="AN206" s="21"/>
      <c r="AO206" s="17"/>
      <c r="AP206" s="9"/>
      <c r="AQ206" s="9"/>
      <c r="AR206" s="9"/>
    </row>
    <row r="207" spans="1:44" customFormat="1" ht="12" customHeight="1" outlineLevel="1" x14ac:dyDescent="0.25">
      <c r="A207" s="7"/>
      <c r="B207" s="8"/>
      <c r="C207" s="18"/>
      <c r="D207" s="18"/>
      <c r="E207" s="18"/>
      <c r="F207" s="18"/>
      <c r="G207" s="18"/>
      <c r="H207" s="18"/>
      <c r="I207" s="18"/>
      <c r="J207" s="546" t="s">
        <v>3082</v>
      </c>
      <c r="K207" s="546" t="s">
        <v>3083</v>
      </c>
      <c r="L207" s="546" t="s">
        <v>3084</v>
      </c>
      <c r="M207" s="546" t="s">
        <v>3084</v>
      </c>
      <c r="N207" s="546" t="s">
        <v>3084</v>
      </c>
      <c r="O207" s="546" t="s">
        <v>3084</v>
      </c>
      <c r="P207" s="546" t="s">
        <v>3084</v>
      </c>
      <c r="Q207" s="546" t="s">
        <v>3085</v>
      </c>
      <c r="R207" s="546" t="s">
        <v>3086</v>
      </c>
      <c r="S207" s="546" t="s">
        <v>3086</v>
      </c>
      <c r="T207" s="546" t="s">
        <v>3087</v>
      </c>
      <c r="U207" s="546" t="s">
        <v>3087</v>
      </c>
      <c r="V207" s="546" t="s">
        <v>3088</v>
      </c>
      <c r="W207" s="546" t="s">
        <v>3088</v>
      </c>
      <c r="X207" s="546" t="s">
        <v>3089</v>
      </c>
      <c r="Y207" s="546" t="s">
        <v>3089</v>
      </c>
      <c r="Z207" s="546" t="s">
        <v>3090</v>
      </c>
      <c r="AA207" s="546" t="s">
        <v>3090</v>
      </c>
      <c r="AB207" s="546" t="s">
        <v>3091</v>
      </c>
      <c r="AC207" s="546" t="s">
        <v>3091</v>
      </c>
      <c r="AD207" s="546" t="s">
        <v>3092</v>
      </c>
      <c r="AE207" s="546" t="s">
        <v>3093</v>
      </c>
      <c r="AF207" s="546" t="s">
        <v>3094</v>
      </c>
      <c r="AG207" s="546" t="s">
        <v>3095</v>
      </c>
      <c r="AH207" s="546" t="s">
        <v>3095</v>
      </c>
      <c r="AI207" s="546" t="s">
        <v>3096</v>
      </c>
      <c r="AJ207" s="545" t="s">
        <v>3097</v>
      </c>
      <c r="AK207" s="545" t="s">
        <v>3097</v>
      </c>
      <c r="AL207" s="545"/>
      <c r="AM207" s="545"/>
      <c r="AN207" s="21"/>
      <c r="AO207" s="17"/>
      <c r="AP207" s="9"/>
      <c r="AQ207" s="9"/>
      <c r="AR207" s="9"/>
    </row>
    <row r="208" spans="1:44" customFormat="1" ht="12" customHeight="1" outlineLevel="1" x14ac:dyDescent="0.25">
      <c r="A208" s="7"/>
      <c r="B208" s="8"/>
      <c r="C208" s="18"/>
      <c r="D208" s="18"/>
      <c r="E208" s="18"/>
      <c r="F208" s="18"/>
      <c r="G208" s="18"/>
      <c r="H208" s="18"/>
      <c r="I208" s="21"/>
      <c r="J208" s="546" t="s">
        <v>3098</v>
      </c>
      <c r="K208" s="546" t="s">
        <v>3098</v>
      </c>
      <c r="L208" s="546" t="s">
        <v>3098</v>
      </c>
      <c r="M208" s="546" t="s">
        <v>3098</v>
      </c>
      <c r="N208" s="546" t="s">
        <v>3098</v>
      </c>
      <c r="O208" s="546" t="s">
        <v>3098</v>
      </c>
      <c r="P208" s="546" t="s">
        <v>3098</v>
      </c>
      <c r="Q208" s="546" t="s">
        <v>3098</v>
      </c>
      <c r="R208" s="546" t="s">
        <v>3099</v>
      </c>
      <c r="S208" s="546" t="s">
        <v>3100</v>
      </c>
      <c r="T208" s="546" t="s">
        <v>3101</v>
      </c>
      <c r="U208" s="546" t="s">
        <v>3102</v>
      </c>
      <c r="V208" s="546" t="s">
        <v>3103</v>
      </c>
      <c r="W208" s="546" t="s">
        <v>3104</v>
      </c>
      <c r="X208" s="546" t="s">
        <v>3105</v>
      </c>
      <c r="Y208" s="546" t="s">
        <v>3106</v>
      </c>
      <c r="Z208" s="546" t="s">
        <v>3107</v>
      </c>
      <c r="AA208" s="546" t="s">
        <v>3098</v>
      </c>
      <c r="AB208" s="546" t="s">
        <v>3107</v>
      </c>
      <c r="AC208" s="546" t="s">
        <v>3098</v>
      </c>
      <c r="AD208" s="546" t="s">
        <v>3108</v>
      </c>
      <c r="AE208" s="546" t="s">
        <v>3108</v>
      </c>
      <c r="AF208" s="546" t="s">
        <v>3108</v>
      </c>
      <c r="AG208" s="546" t="s">
        <v>3108</v>
      </c>
      <c r="AH208" s="546" t="s">
        <v>3109</v>
      </c>
      <c r="AI208" s="546" t="s">
        <v>3108</v>
      </c>
      <c r="AJ208" s="546" t="s">
        <v>3110</v>
      </c>
      <c r="AK208" s="546" t="s">
        <v>3109</v>
      </c>
      <c r="AL208" s="545"/>
      <c r="AM208" s="545"/>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25">
      <c r="A211" s="7"/>
      <c r="B211" s="8"/>
      <c r="C211" s="18"/>
      <c r="D211" s="18"/>
      <c r="E211" s="18"/>
      <c r="F211" s="24"/>
      <c r="G211" s="547" t="s">
        <v>3111</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25">
      <c r="A212" s="7"/>
      <c r="B212" s="8"/>
      <c r="C212" s="18"/>
      <c r="D212" s="18"/>
      <c r="E212" s="18"/>
      <c r="F212" s="24"/>
      <c r="G212" s="25"/>
      <c r="H212" s="25" t="s">
        <v>3112</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25">
      <c r="A214" s="7"/>
      <c r="B214" s="8"/>
      <c r="C214" s="18"/>
      <c r="D214" s="18"/>
      <c r="E214" s="18"/>
      <c r="F214" s="24"/>
      <c r="G214" s="25"/>
      <c r="H214" s="25" t="s">
        <v>3113</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25">
      <c r="A215" s="7"/>
      <c r="B215" s="8"/>
      <c r="C215" s="18"/>
      <c r="D215" s="18"/>
      <c r="E215" s="18"/>
      <c r="F215" s="24"/>
      <c r="G215" s="25"/>
      <c r="H215" s="25" t="s">
        <v>3113</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25">
      <c r="A216" s="7"/>
      <c r="B216" s="8"/>
      <c r="C216" s="18"/>
      <c r="D216" s="18"/>
      <c r="E216" s="18"/>
      <c r="F216" s="24"/>
      <c r="G216" s="28"/>
      <c r="H216" s="25" t="s">
        <v>3114</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25">
      <c r="A217" s="7"/>
      <c r="B217" s="8"/>
      <c r="C217" s="18"/>
      <c r="D217" s="18"/>
      <c r="E217" s="18"/>
      <c r="F217" s="24"/>
      <c r="G217" s="25"/>
      <c r="H217" s="25" t="s">
        <v>3115</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2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25">
      <c r="A219" s="7"/>
      <c r="B219" s="8"/>
      <c r="C219" s="18"/>
      <c r="D219" s="18"/>
      <c r="E219" s="18"/>
      <c r="F219" s="24"/>
      <c r="G219" s="25"/>
      <c r="H219" s="25" t="s">
        <v>3116</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25">
      <c r="A221" s="7"/>
      <c r="B221" s="8"/>
      <c r="C221" s="18"/>
      <c r="D221" s="18"/>
      <c r="E221" s="18"/>
      <c r="F221" s="24"/>
      <c r="G221" s="25"/>
      <c r="H221" s="25" t="s">
        <v>3117</v>
      </c>
      <c r="I221" s="25"/>
      <c r="J221" s="554" t="s">
        <v>2304</v>
      </c>
      <c r="K221" s="554" t="s">
        <v>2304</v>
      </c>
      <c r="L221" s="554" t="s">
        <v>2304</v>
      </c>
      <c r="M221" s="554" t="s">
        <v>2304</v>
      </c>
      <c r="N221" s="554" t="s">
        <v>2304</v>
      </c>
      <c r="O221" s="554" t="s">
        <v>2304</v>
      </c>
      <c r="P221" s="554" t="s">
        <v>2304</v>
      </c>
      <c r="Q221" s="554" t="s">
        <v>2304</v>
      </c>
      <c r="R221" s="554" t="s">
        <v>3118</v>
      </c>
      <c r="S221" s="554" t="s">
        <v>2304</v>
      </c>
      <c r="T221" s="554" t="s">
        <v>3118</v>
      </c>
      <c r="U221" s="554" t="s">
        <v>2304</v>
      </c>
      <c r="V221" s="554" t="s">
        <v>3118</v>
      </c>
      <c r="W221" s="554" t="s">
        <v>2304</v>
      </c>
      <c r="X221" s="554" t="s">
        <v>3118</v>
      </c>
      <c r="Y221" s="554" t="s">
        <v>2304</v>
      </c>
      <c r="Z221" s="554" t="s">
        <v>3118</v>
      </c>
      <c r="AA221" s="554" t="s">
        <v>2304</v>
      </c>
      <c r="AB221" s="554" t="s">
        <v>3118</v>
      </c>
      <c r="AC221" s="554" t="s">
        <v>2304</v>
      </c>
      <c r="AD221" s="554" t="s">
        <v>2306</v>
      </c>
      <c r="AE221" s="554" t="s">
        <v>2306</v>
      </c>
      <c r="AF221" s="554" t="s">
        <v>2306</v>
      </c>
      <c r="AG221" s="554" t="s">
        <v>2306</v>
      </c>
      <c r="AH221" s="554" t="s">
        <v>2306</v>
      </c>
      <c r="AI221" s="554" t="s">
        <v>2306</v>
      </c>
      <c r="AJ221" s="554" t="s">
        <v>2304</v>
      </c>
      <c r="AK221" s="554" t="s">
        <v>2306</v>
      </c>
      <c r="AL221" s="490"/>
      <c r="AM221" s="490"/>
      <c r="AN221" s="27"/>
      <c r="AO221" s="17"/>
      <c r="AP221" s="9"/>
      <c r="AQ221" s="9"/>
      <c r="AR221" s="9"/>
    </row>
    <row r="222" spans="1:44" customFormat="1" outlineLevel="1" x14ac:dyDescent="0.25">
      <c r="A222" s="7"/>
      <c r="B222" s="8"/>
      <c r="C222" s="18"/>
      <c r="D222" s="18"/>
      <c r="E222" s="18"/>
      <c r="F222" s="24"/>
      <c r="G222" s="25"/>
      <c r="H222" s="25" t="s">
        <v>3119</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45" customHeight="1" outlineLevel="1" x14ac:dyDescent="0.25">
      <c r="A223" s="7"/>
      <c r="B223" s="8"/>
      <c r="C223" s="18"/>
      <c r="D223" s="18"/>
      <c r="E223" s="18"/>
      <c r="F223" s="24"/>
      <c r="G223" s="25"/>
      <c r="H223" s="557" t="s">
        <v>3120</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25">
      <c r="A224" s="7"/>
      <c r="B224" s="8"/>
      <c r="C224" s="18"/>
      <c r="D224" s="18"/>
      <c r="E224" s="18"/>
      <c r="F224" s="24"/>
      <c r="G224" s="25"/>
      <c r="H224" s="559" t="s">
        <v>3121</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25">
      <c r="A225" s="7"/>
      <c r="B225" s="8"/>
      <c r="C225" s="18"/>
      <c r="D225" s="18"/>
      <c r="E225" s="18"/>
      <c r="F225" s="24"/>
      <c r="G225" s="547" t="s">
        <v>3122</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25">
      <c r="A226" s="7"/>
      <c r="B226" s="8"/>
      <c r="C226" s="18"/>
      <c r="D226" s="18"/>
      <c r="E226" s="18"/>
      <c r="F226" s="24"/>
      <c r="G226" s="25"/>
      <c r="H226" s="25" t="s">
        <v>3123</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25">
      <c r="A227" s="7"/>
      <c r="B227" s="8"/>
      <c r="C227" s="18"/>
      <c r="D227" s="18"/>
      <c r="E227" s="18"/>
      <c r="F227" s="24"/>
      <c r="G227" s="25"/>
      <c r="H227" s="25" t="s">
        <v>3124</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25">
      <c r="A228" s="7"/>
      <c r="B228" s="8"/>
      <c r="C228" s="18"/>
      <c r="D228" s="18"/>
      <c r="E228" s="18"/>
      <c r="F228" s="24"/>
      <c r="G228" s="25"/>
      <c r="H228" s="25" t="s">
        <v>3125</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25">
      <c r="A229" s="7"/>
      <c r="B229" s="8"/>
      <c r="C229" s="18"/>
      <c r="D229" s="18"/>
      <c r="E229" s="18"/>
      <c r="F229" s="24"/>
      <c r="G229" s="25"/>
      <c r="H229" s="25" t="s">
        <v>3126</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25">
      <c r="A230" s="7"/>
      <c r="B230" s="8"/>
      <c r="C230" s="18"/>
      <c r="D230" s="18"/>
      <c r="E230" s="18"/>
      <c r="F230" s="24"/>
      <c r="G230" s="25"/>
      <c r="H230" s="25" t="s">
        <v>3127</v>
      </c>
      <c r="I230" s="632" t="s">
        <v>3128</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25">
      <c r="A231" s="7"/>
      <c r="B231" s="8"/>
      <c r="C231" s="18"/>
      <c r="D231" s="18"/>
      <c r="E231" s="18"/>
      <c r="F231" s="24"/>
      <c r="G231" s="25"/>
      <c r="H231" s="25" t="s">
        <v>3129</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25">
      <c r="A232" s="7"/>
      <c r="B232" s="8"/>
      <c r="C232" s="18"/>
      <c r="D232" s="18"/>
      <c r="E232" s="18"/>
      <c r="F232" s="24"/>
      <c r="G232" s="25"/>
      <c r="H232" s="25" t="s">
        <v>3130</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25">
      <c r="A233" s="7"/>
      <c r="B233" s="8"/>
      <c r="C233" s="18"/>
      <c r="D233" s="18"/>
      <c r="E233" s="18"/>
      <c r="F233" s="24"/>
      <c r="G233" s="25"/>
      <c r="H233" s="25" t="s">
        <v>3131</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25">
      <c r="A234" s="7"/>
      <c r="B234" s="8"/>
      <c r="C234" s="18"/>
      <c r="D234" s="18"/>
      <c r="E234" s="18"/>
      <c r="F234" s="24"/>
      <c r="G234" s="25"/>
      <c r="H234" s="25" t="s">
        <v>3132</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2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25">
      <c r="A236" s="7"/>
      <c r="B236" s="8"/>
      <c r="C236" s="18"/>
      <c r="D236" s="18"/>
      <c r="E236" s="18"/>
      <c r="F236" s="24"/>
      <c r="G236" s="25"/>
      <c r="H236" s="25" t="s">
        <v>3133</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25">
      <c r="A237" s="7"/>
      <c r="B237" s="8"/>
      <c r="C237" s="18"/>
      <c r="D237" s="18"/>
      <c r="E237" s="18"/>
      <c r="F237" s="24"/>
      <c r="G237" s="25"/>
      <c r="H237" s="25" t="s">
        <v>3134</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2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25">
      <c r="A239" s="7"/>
      <c r="B239" s="8"/>
      <c r="C239" s="18"/>
      <c r="D239" s="18"/>
      <c r="E239" s="18"/>
      <c r="F239" s="24"/>
      <c r="G239" s="25"/>
      <c r="H239" s="25" t="s">
        <v>3135</v>
      </c>
      <c r="I239" s="16" t="s">
        <v>3136</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25">
      <c r="A240" s="7"/>
      <c r="B240" s="8"/>
      <c r="C240" s="18"/>
      <c r="D240" s="18"/>
      <c r="E240" s="18"/>
      <c r="F240" s="24"/>
      <c r="G240" s="25"/>
      <c r="H240" s="25"/>
      <c r="I240" s="566" t="s">
        <v>3137</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25">
      <c r="A241" s="7"/>
      <c r="B241" s="8"/>
      <c r="C241" s="18"/>
      <c r="D241" s="18"/>
      <c r="E241" s="18"/>
      <c r="F241" s="24"/>
      <c r="G241" s="25"/>
      <c r="H241" s="25"/>
      <c r="I241" s="566" t="s">
        <v>3138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25">
      <c r="A242" s="7"/>
      <c r="B242" s="8"/>
      <c r="C242" s="18"/>
      <c r="D242" s="18"/>
      <c r="E242" s="18"/>
      <c r="F242" s="24"/>
      <c r="G242" s="25"/>
      <c r="H242" s="25"/>
      <c r="I242" s="566" t="s">
        <v>3139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25">
      <c r="A243" s="7"/>
      <c r="B243" s="8"/>
      <c r="C243" s="18"/>
      <c r="D243" s="18"/>
      <c r="E243" s="18"/>
      <c r="F243" s="24"/>
      <c r="G243" s="25"/>
      <c r="H243" s="25"/>
      <c r="I243" s="566" t="s">
        <v>3140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25">
      <c r="A244" s="7"/>
      <c r="B244" s="8"/>
      <c r="C244" s="18"/>
      <c r="D244" s="18"/>
      <c r="E244" s="18"/>
      <c r="F244" s="24"/>
      <c r="G244" s="25"/>
      <c r="H244" s="25"/>
      <c r="I244" s="566" t="s">
        <v>3141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25">
      <c r="A245" s="7"/>
      <c r="B245" s="8"/>
      <c r="C245" s="18"/>
      <c r="D245" s="18"/>
      <c r="E245" s="18"/>
      <c r="F245" s="24"/>
      <c r="G245" s="25"/>
      <c r="H245" s="25"/>
      <c r="I245" s="566" t="s">
        <v>3142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25">
      <c r="A246" s="7"/>
      <c r="B246" s="8"/>
      <c r="C246" s="18"/>
      <c r="D246" s="18"/>
      <c r="E246" s="18"/>
      <c r="F246" s="24"/>
      <c r="G246" s="25"/>
      <c r="H246" s="25"/>
      <c r="I246" s="566" t="s">
        <v>3143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25">
      <c r="A247" s="7"/>
      <c r="B247" s="8"/>
      <c r="C247" s="18"/>
      <c r="D247" s="18"/>
      <c r="E247" s="18"/>
      <c r="F247" s="24"/>
      <c r="G247" s="25"/>
      <c r="H247" s="25"/>
      <c r="I247" s="566" t="s">
        <v>3144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25">
      <c r="A248" s="7"/>
      <c r="B248" s="8"/>
      <c r="C248" s="18"/>
      <c r="D248" s="18"/>
      <c r="E248" s="18"/>
      <c r="F248" s="24"/>
      <c r="G248" s="25"/>
      <c r="H248" s="25"/>
      <c r="I248" s="566" t="s">
        <v>3145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25">
      <c r="A249" s="7"/>
      <c r="B249" s="8"/>
      <c r="C249" s="18"/>
      <c r="D249" s="18"/>
      <c r="E249" s="18"/>
      <c r="F249" s="24"/>
      <c r="G249" s="25"/>
      <c r="H249" s="25"/>
      <c r="I249" s="566" t="s">
        <v>3146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2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25">
      <c r="A251" s="7"/>
      <c r="B251" s="8"/>
      <c r="C251" s="18"/>
      <c r="D251" s="18"/>
      <c r="E251" s="18"/>
      <c r="F251" s="24"/>
      <c r="G251" s="25"/>
      <c r="H251" s="25" t="s">
        <v>3147</v>
      </c>
      <c r="I251" s="566" t="s">
        <v>3138</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25">
      <c r="A252" s="7"/>
      <c r="B252" s="8"/>
      <c r="C252" s="18"/>
      <c r="D252" s="18"/>
      <c r="E252" s="18"/>
      <c r="F252" s="24"/>
      <c r="G252" s="25"/>
      <c r="H252" s="25"/>
      <c r="I252" s="566" t="s">
        <v>3139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25">
      <c r="A253" s="7"/>
      <c r="B253" s="8"/>
      <c r="C253" s="18"/>
      <c r="D253" s="18"/>
      <c r="E253" s="18"/>
      <c r="F253" s="24"/>
      <c r="G253" s="25"/>
      <c r="H253" s="25"/>
      <c r="I253" s="566" t="s">
        <v>3140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25">
      <c r="A254" s="7"/>
      <c r="B254" s="8"/>
      <c r="C254" s="18"/>
      <c r="D254" s="18"/>
      <c r="E254" s="18"/>
      <c r="F254" s="24"/>
      <c r="G254" s="25"/>
      <c r="H254" s="25"/>
      <c r="I254" s="566" t="s">
        <v>3141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25">
      <c r="A255" s="7"/>
      <c r="B255" s="8"/>
      <c r="C255" s="18"/>
      <c r="D255" s="18"/>
      <c r="E255" s="18"/>
      <c r="F255" s="24"/>
      <c r="G255" s="25"/>
      <c r="H255" s="25"/>
      <c r="I255" s="566" t="s">
        <v>3142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25">
      <c r="A256" s="7"/>
      <c r="B256" s="8"/>
      <c r="C256" s="18"/>
      <c r="D256" s="18"/>
      <c r="E256" s="18"/>
      <c r="F256" s="24"/>
      <c r="G256" s="25"/>
      <c r="H256" s="25"/>
      <c r="I256" s="566" t="s">
        <v>3143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2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25">
      <c r="A258" s="7"/>
      <c r="B258" s="8"/>
      <c r="C258" s="18"/>
      <c r="D258" s="18"/>
      <c r="E258" s="18"/>
      <c r="F258" s="24"/>
      <c r="G258" s="547" t="s">
        <v>3148</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25">
      <c r="A259" s="7"/>
      <c r="B259" s="8"/>
      <c r="C259" s="18"/>
      <c r="D259" s="18"/>
      <c r="E259" s="18"/>
      <c r="F259" s="24"/>
      <c r="G259" s="25"/>
      <c r="H259" s="25" t="s">
        <v>3149</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25">
      <c r="A260" s="7"/>
      <c r="B260" s="8"/>
      <c r="C260" s="18"/>
      <c r="D260" s="18"/>
      <c r="E260" s="18"/>
      <c r="F260" s="24"/>
      <c r="G260" s="25"/>
      <c r="H260" s="25" t="s">
        <v>3124</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25">
      <c r="A261" s="7"/>
      <c r="B261" s="8"/>
      <c r="C261" s="18"/>
      <c r="D261" s="18"/>
      <c r="E261" s="18"/>
      <c r="F261" s="24"/>
      <c r="G261" s="25"/>
      <c r="H261" s="25" t="s">
        <v>3125</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25">
      <c r="A262" s="7"/>
      <c r="B262" s="8"/>
      <c r="C262" s="18"/>
      <c r="D262" s="18"/>
      <c r="E262" s="18"/>
      <c r="F262" s="24"/>
      <c r="G262" s="25"/>
      <c r="H262" s="25" t="s">
        <v>3150</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25">
      <c r="A263" s="7"/>
      <c r="B263" s="8"/>
      <c r="C263" s="18"/>
      <c r="D263" s="18"/>
      <c r="E263" s="18"/>
      <c r="F263" s="24"/>
      <c r="G263" s="25"/>
      <c r="H263" s="25" t="s">
        <v>3127</v>
      </c>
      <c r="I263" s="632" t="s">
        <v>3128</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25">
      <c r="A264" s="7"/>
      <c r="B264" s="8"/>
      <c r="C264" s="18"/>
      <c r="D264" s="18"/>
      <c r="E264" s="18"/>
      <c r="F264" s="24"/>
      <c r="G264" s="25"/>
      <c r="H264" s="25" t="s">
        <v>3129</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25">
      <c r="A265" s="7"/>
      <c r="B265" s="8"/>
      <c r="C265" s="18"/>
      <c r="D265" s="18"/>
      <c r="E265" s="18"/>
      <c r="F265" s="24"/>
      <c r="G265" s="25"/>
      <c r="H265" s="25" t="s">
        <v>3130</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2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25">
      <c r="A268" s="7"/>
      <c r="B268" s="8"/>
      <c r="C268" s="18"/>
      <c r="D268" s="18"/>
      <c r="E268" s="18"/>
      <c r="F268" s="24"/>
      <c r="G268" s="547" t="s">
        <v>3151</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25">
      <c r="A269" s="7"/>
      <c r="B269" s="8"/>
      <c r="C269" s="18"/>
      <c r="D269" s="18"/>
      <c r="E269" s="18"/>
      <c r="F269" s="24"/>
      <c r="H269" s="503" t="s">
        <v>3152</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25">
      <c r="A270" s="7"/>
      <c r="B270" s="8"/>
      <c r="C270" s="18"/>
      <c r="D270" s="18"/>
      <c r="E270" s="18"/>
      <c r="F270" s="24"/>
      <c r="H270" s="503"/>
      <c r="I270" s="491" t="s">
        <v>3153</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25">
      <c r="A271" s="7"/>
      <c r="B271" s="8"/>
      <c r="C271" s="18"/>
      <c r="D271" s="18"/>
      <c r="E271" s="18"/>
      <c r="F271" s="24"/>
      <c r="H271" s="503"/>
      <c r="I271" s="491" t="s">
        <v>3154</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25">
      <c r="A272" s="7"/>
      <c r="B272" s="8"/>
      <c r="C272" s="18"/>
      <c r="D272" s="18"/>
      <c r="E272" s="18"/>
      <c r="F272" s="24"/>
      <c r="H272" s="503"/>
      <c r="I272" s="491" t="s">
        <v>3155</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2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25">
      <c r="A274" s="7"/>
      <c r="B274" s="8"/>
      <c r="C274" s="18"/>
      <c r="D274" s="18"/>
      <c r="E274" s="18"/>
      <c r="F274" s="24"/>
      <c r="H274" s="503" t="s">
        <v>3156</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25">
      <c r="A275" s="7"/>
      <c r="B275" s="8"/>
      <c r="C275" s="18"/>
      <c r="D275" s="18"/>
      <c r="E275" s="18"/>
      <c r="F275" s="24"/>
      <c r="I275" s="491" t="s">
        <v>2778</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25">
      <c r="A276" s="7"/>
      <c r="B276" s="8"/>
      <c r="C276" s="18"/>
      <c r="D276" s="18"/>
      <c r="E276" s="18"/>
      <c r="F276" s="24"/>
      <c r="G276" s="503"/>
      <c r="H276" s="503"/>
      <c r="I276" s="491" t="s">
        <v>2779</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25">
      <c r="A277" s="7"/>
      <c r="B277" s="8"/>
      <c r="C277" s="18"/>
      <c r="D277" s="18"/>
      <c r="E277" s="18"/>
      <c r="F277" s="24"/>
      <c r="H277" s="503"/>
      <c r="I277" s="491" t="s">
        <v>2780</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25">
      <c r="A278" s="7"/>
      <c r="B278" s="8"/>
      <c r="C278" s="18"/>
      <c r="D278" s="18"/>
      <c r="E278" s="18"/>
      <c r="F278" s="24"/>
      <c r="G278" s="503"/>
      <c r="H278" s="503"/>
      <c r="I278" s="491" t="s">
        <v>2781</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2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25">
      <c r="A280" s="7"/>
      <c r="B280" s="8"/>
      <c r="C280" s="18"/>
      <c r="D280" s="18"/>
      <c r="E280" s="18"/>
      <c r="F280" s="24"/>
      <c r="G280" s="570" t="s">
        <v>3157</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25">
      <c r="A281" s="7"/>
      <c r="B281" s="8"/>
      <c r="C281" s="18"/>
      <c r="D281" s="18"/>
      <c r="E281" s="18"/>
      <c r="F281" s="24"/>
      <c r="G281" s="503"/>
      <c r="H281" s="503" t="s">
        <v>3158</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2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25">
      <c r="A283" s="7"/>
      <c r="B283" s="8"/>
      <c r="C283" s="18"/>
      <c r="D283" s="18"/>
      <c r="E283" s="18"/>
      <c r="F283" s="24"/>
      <c r="G283" s="503"/>
      <c r="H283" s="503" t="s">
        <v>3159</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2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2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25">
      <c r="A287" s="7"/>
      <c r="B287" s="8"/>
      <c r="C287" s="18"/>
      <c r="D287" s="18"/>
      <c r="E287" s="18"/>
      <c r="F287" s="24"/>
      <c r="G287" s="570" t="s">
        <v>3160</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25">
      <c r="A288" s="7"/>
      <c r="B288" s="8"/>
      <c r="C288" s="18"/>
      <c r="D288" s="18"/>
      <c r="E288" s="18"/>
      <c r="F288" s="24"/>
      <c r="G288" s="503"/>
      <c r="H288" s="503" t="s">
        <v>3161</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25">
      <c r="A289" s="7"/>
      <c r="B289" s="8"/>
      <c r="C289" s="18"/>
      <c r="D289" s="18"/>
      <c r="E289" s="18"/>
      <c r="F289" s="24"/>
      <c r="G289" s="503"/>
      <c r="H289" s="503" t="s">
        <v>3162</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25">
      <c r="A290" s="7"/>
      <c r="B290" s="8"/>
      <c r="C290" s="18"/>
      <c r="D290" s="18"/>
      <c r="E290" s="18"/>
      <c r="F290" s="24"/>
      <c r="G290" s="503"/>
      <c r="H290" s="503" t="s">
        <v>3163</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25">
      <c r="A291" s="7"/>
      <c r="B291" s="8"/>
      <c r="C291" s="18"/>
      <c r="D291" s="18"/>
      <c r="E291" s="18"/>
      <c r="F291" s="24"/>
      <c r="G291" s="503"/>
      <c r="H291" s="503" t="s">
        <v>3164</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25">
      <c r="A292" s="7"/>
      <c r="B292" s="8"/>
      <c r="C292" s="18"/>
      <c r="D292" s="18"/>
      <c r="E292" s="18"/>
      <c r="F292" s="24"/>
      <c r="G292" s="503"/>
      <c r="H292" s="503" t="s">
        <v>3165</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2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2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25">
      <c r="A295" s="7"/>
      <c r="B295" s="8"/>
      <c r="C295" s="18"/>
      <c r="D295" s="18"/>
      <c r="E295" s="18"/>
      <c r="F295" s="24"/>
      <c r="G295" s="547" t="s">
        <v>3166</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25">
      <c r="A296" s="7"/>
      <c r="B296" s="8"/>
      <c r="C296" s="18"/>
      <c r="D296" s="18"/>
      <c r="E296" s="18"/>
      <c r="F296" s="24"/>
      <c r="G296" s="25"/>
      <c r="H296" s="28" t="s">
        <v>2349</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3167</v>
      </c>
      <c r="AR296" s="9"/>
    </row>
    <row r="297" spans="1:44" customFormat="1" ht="12" customHeight="1" outlineLevel="1" x14ac:dyDescent="0.25">
      <c r="A297" s="7"/>
      <c r="B297" s="8"/>
      <c r="C297" s="18"/>
      <c r="D297" s="18"/>
      <c r="E297" s="18"/>
      <c r="F297" s="24"/>
      <c r="G297" s="25"/>
      <c r="H297" s="41" t="s">
        <v>3168</v>
      </c>
      <c r="I297" s="576" t="s">
        <v>3169</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25">
      <c r="A298" s="7"/>
      <c r="B298" s="8"/>
      <c r="C298" s="18"/>
      <c r="D298" s="18"/>
      <c r="E298" s="18"/>
      <c r="F298" s="24"/>
      <c r="G298" s="25"/>
      <c r="H298" s="28"/>
      <c r="I298" s="576" t="s">
        <v>3170</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25">
      <c r="A299" s="7"/>
      <c r="B299" s="8"/>
      <c r="C299" s="18"/>
      <c r="D299" s="18"/>
      <c r="E299" s="18"/>
      <c r="F299" s="24"/>
      <c r="G299" s="25"/>
      <c r="H299" s="28"/>
      <c r="I299" s="576" t="s">
        <v>3171</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25">
      <c r="A300" s="7"/>
      <c r="B300" s="8"/>
      <c r="C300" s="18"/>
      <c r="D300" s="18"/>
      <c r="E300" s="18"/>
      <c r="F300" s="24"/>
      <c r="G300" s="25"/>
      <c r="H300" s="28"/>
      <c r="I300" s="576" t="s">
        <v>3172</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25">
      <c r="A301" s="7"/>
      <c r="B301" s="8"/>
      <c r="C301" s="18"/>
      <c r="D301" s="18"/>
      <c r="E301" s="18"/>
      <c r="F301" s="24"/>
      <c r="G301" s="25"/>
      <c r="H301" s="28"/>
      <c r="I301" s="576" t="s">
        <v>3173</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25">
      <c r="A302" s="7"/>
      <c r="B302" s="8"/>
      <c r="C302" s="18"/>
      <c r="D302" s="18"/>
      <c r="E302" s="18"/>
      <c r="F302" s="24"/>
      <c r="G302" s="25"/>
      <c r="H302" s="28"/>
      <c r="I302" s="576" t="s">
        <v>3174</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25">
      <c r="A303" s="7"/>
      <c r="B303" s="8"/>
      <c r="C303" s="18"/>
      <c r="D303" s="18"/>
      <c r="E303" s="18"/>
      <c r="F303" s="24"/>
      <c r="G303" s="25"/>
      <c r="H303" s="28"/>
      <c r="I303" s="576" t="s">
        <v>3175</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25">
      <c r="A304" s="7"/>
      <c r="B304" s="8"/>
      <c r="C304" s="18"/>
      <c r="D304" s="18"/>
      <c r="E304" s="18"/>
      <c r="F304" s="24"/>
      <c r="G304" s="25"/>
      <c r="H304" s="28"/>
      <c r="I304" s="576" t="s">
        <v>3176</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25">
      <c r="A305" s="7"/>
      <c r="B305" s="8"/>
      <c r="C305" s="18"/>
      <c r="D305" s="18"/>
      <c r="E305" s="18"/>
      <c r="F305" s="24"/>
      <c r="G305" s="25"/>
      <c r="H305" s="28"/>
      <c r="I305" s="576" t="s">
        <v>3177</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25">
      <c r="A306" s="7"/>
      <c r="B306" s="8"/>
      <c r="C306" s="18"/>
      <c r="D306" s="18"/>
      <c r="E306" s="18"/>
      <c r="F306" s="24"/>
      <c r="G306" s="25"/>
      <c r="H306" s="28"/>
      <c r="I306" s="576" t="s">
        <v>3178</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25">
      <c r="A307" s="7"/>
      <c r="B307" s="8"/>
      <c r="C307" s="18"/>
      <c r="D307" s="18"/>
      <c r="E307" s="18"/>
      <c r="F307" s="24"/>
      <c r="G307" s="25"/>
      <c r="H307" s="28"/>
      <c r="I307" s="576" t="s">
        <v>3179</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25">
      <c r="A308" s="7"/>
      <c r="B308" s="8"/>
      <c r="C308" s="18"/>
      <c r="D308" s="18"/>
      <c r="E308" s="18"/>
      <c r="F308" s="24"/>
      <c r="G308" s="25"/>
      <c r="H308" s="28"/>
      <c r="I308" s="576" t="s">
        <v>3180</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25">
      <c r="A309" s="7"/>
      <c r="B309" s="8"/>
      <c r="C309" s="18"/>
      <c r="D309" s="18"/>
      <c r="E309" s="18"/>
      <c r="F309" s="24"/>
      <c r="G309" s="25"/>
      <c r="H309" s="28"/>
      <c r="I309" s="576" t="s">
        <v>3181</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25">
      <c r="A310" s="7"/>
      <c r="B310" s="8"/>
      <c r="C310" s="18"/>
      <c r="D310" s="18"/>
      <c r="E310" s="18"/>
      <c r="F310" s="24"/>
      <c r="G310" s="25"/>
      <c r="H310" s="28"/>
      <c r="I310" s="576" t="s">
        <v>3182</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25">
      <c r="A311" s="7"/>
      <c r="B311" s="8"/>
      <c r="C311" s="18"/>
      <c r="D311" s="18"/>
      <c r="E311" s="18"/>
      <c r="F311" s="24"/>
      <c r="G311" s="25"/>
      <c r="H311" s="28"/>
      <c r="I311" s="576" t="s">
        <v>3183</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25">
      <c r="A312" s="7"/>
      <c r="B312" s="8"/>
      <c r="C312" s="18"/>
      <c r="D312" s="18"/>
      <c r="E312" s="18"/>
      <c r="F312" s="24"/>
      <c r="G312" s="25"/>
      <c r="H312" s="28"/>
      <c r="I312" s="576" t="s">
        <v>3184</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25">
      <c r="A313" s="7"/>
      <c r="B313" s="8"/>
      <c r="C313" s="18"/>
      <c r="D313" s="18"/>
      <c r="E313" s="18"/>
      <c r="F313" s="24"/>
      <c r="G313" s="25"/>
      <c r="H313" s="28"/>
      <c r="I313" s="576" t="s">
        <v>3185</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25">
      <c r="A314" s="7"/>
      <c r="B314" s="8"/>
      <c r="C314" s="18"/>
      <c r="D314" s="18"/>
      <c r="E314" s="18"/>
      <c r="F314" s="24"/>
      <c r="G314" s="25"/>
      <c r="H314" s="28"/>
      <c r="I314" s="576" t="s">
        <v>3186</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25">
      <c r="A315" s="7"/>
      <c r="B315" s="8"/>
      <c r="C315" s="18"/>
      <c r="D315" s="18"/>
      <c r="E315" s="18"/>
      <c r="F315" s="24"/>
      <c r="G315" s="25"/>
      <c r="H315" s="28"/>
      <c r="I315" s="576" t="s">
        <v>3187</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25">
      <c r="A316" s="7"/>
      <c r="B316" s="8"/>
      <c r="C316" s="18"/>
      <c r="D316" s="18"/>
      <c r="E316" s="18"/>
      <c r="F316" s="24"/>
      <c r="G316" s="25"/>
      <c r="H316" s="28"/>
      <c r="I316" s="576" t="s">
        <v>3188</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2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25">
      <c r="A320" s="7"/>
      <c r="B320" s="8"/>
      <c r="C320" s="18"/>
      <c r="D320" s="18"/>
      <c r="E320" s="18"/>
      <c r="F320" s="24"/>
      <c r="G320" s="547" t="s">
        <v>3189</v>
      </c>
      <c r="H320" s="28"/>
      <c r="I320" s="579" t="s">
        <v>3190</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25">
      <c r="A321" s="7"/>
      <c r="B321" s="8"/>
      <c r="C321" s="18"/>
      <c r="D321" s="18"/>
      <c r="E321" s="18"/>
      <c r="F321" s="24"/>
      <c r="G321" s="547"/>
      <c r="H321" s="28"/>
      <c r="I321" s="581" t="s">
        <v>2297</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2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25">
      <c r="A323" s="7"/>
      <c r="B323" s="8"/>
      <c r="C323" s="18"/>
      <c r="D323" s="18"/>
      <c r="E323" s="18"/>
      <c r="F323" s="24"/>
      <c r="G323" s="547"/>
      <c r="H323" s="28"/>
      <c r="I323" s="581" t="s">
        <v>3043</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2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25">
      <c r="A325" s="7"/>
      <c r="B325" s="8"/>
      <c r="C325" s="18"/>
      <c r="D325" s="18"/>
      <c r="E325" s="18"/>
      <c r="F325" s="24"/>
      <c r="G325" s="584" t="s">
        <v>3191</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25">
      <c r="A326" s="7"/>
      <c r="B326" s="8"/>
      <c r="C326" s="18">
        <v>0</v>
      </c>
      <c r="D326" s="18"/>
      <c r="E326" s="18"/>
      <c r="F326" s="24"/>
      <c r="G326" s="547"/>
      <c r="H326" s="25" t="s">
        <v>2304</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2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2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2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2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2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2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2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2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2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2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2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2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2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2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2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2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2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25">
      <c r="A345" s="7"/>
      <c r="B345" s="8"/>
      <c r="C345" s="18">
        <v>1</v>
      </c>
      <c r="D345" s="18"/>
      <c r="E345" s="18"/>
      <c r="F345" s="24"/>
      <c r="G345" s="547"/>
      <c r="H345" s="25" t="s">
        <v>2306</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2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2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2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2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2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2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2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2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2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2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2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2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2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2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2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2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2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2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25">
      <c r="A364" s="7"/>
      <c r="B364" s="8"/>
      <c r="C364" s="18">
        <v>2</v>
      </c>
      <c r="D364" s="18"/>
      <c r="E364" s="18"/>
      <c r="F364" s="24"/>
      <c r="G364" s="547"/>
      <c r="H364" s="25" t="s">
        <v>2305</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2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2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2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2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2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2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2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2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2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2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2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2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2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2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2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2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2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2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2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2178</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2177</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94" activePane="bottomLeft" state="frozen"/>
      <selection pane="bottomLeft" activeCell="U198" sqref="U198:U2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3" t="s">
        <v>3807</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3494</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3480</v>
      </c>
      <c r="Q48" s="96" t="s">
        <v>3487</v>
      </c>
      <c r="R48" s="96" t="s">
        <v>3481</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3233</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3806</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3805</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3232</v>
      </c>
      <c r="J114" s="119"/>
      <c r="K114" s="119"/>
      <c r="L114" s="119"/>
      <c r="M114" s="119"/>
      <c r="N114" s="119" t="s">
        <v>197</v>
      </c>
      <c r="O114" s="119"/>
      <c r="P114" s="119"/>
      <c r="Q114" s="598" t="s">
        <v>3231</v>
      </c>
      <c r="R114" s="598"/>
      <c r="S114" s="598"/>
      <c r="T114" s="598"/>
      <c r="U114" s="598"/>
      <c r="V114" s="598"/>
      <c r="W114" s="598"/>
      <c r="X114" s="598"/>
      <c r="Y114" s="119" t="s">
        <v>2182</v>
      </c>
      <c r="Z114" s="119"/>
      <c r="AA114" s="119"/>
      <c r="AB114" s="119"/>
      <c r="AC114" s="119"/>
      <c r="AD114" s="119"/>
      <c r="AE114" s="76"/>
      <c r="AF114" s="119" t="s">
        <v>3230</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3229</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3228</v>
      </c>
      <c r="I137" s="76" t="s">
        <v>2776</v>
      </c>
      <c r="J137" s="76" t="s">
        <v>2777</v>
      </c>
      <c r="K137" s="76" t="s">
        <v>3227</v>
      </c>
      <c r="L137" s="76"/>
      <c r="M137" s="76"/>
      <c r="N137" s="76"/>
      <c r="O137" s="76"/>
      <c r="P137" s="246" t="s">
        <v>3226</v>
      </c>
      <c r="Q137" s="76"/>
      <c r="R137" s="76" t="s">
        <v>3225</v>
      </c>
      <c r="S137" s="76" t="s">
        <v>3224</v>
      </c>
      <c r="T137" s="76" t="s">
        <v>3223</v>
      </c>
      <c r="U137" s="76" t="s">
        <v>3222</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3221</v>
      </c>
      <c r="I138" s="595">
        <v>-0.10100000000000001</v>
      </c>
      <c r="J138" s="595">
        <v>0</v>
      </c>
      <c r="K138" s="594">
        <v>0</v>
      </c>
      <c r="L138" s="76"/>
      <c r="M138" s="76"/>
      <c r="N138" s="76"/>
      <c r="O138" s="76"/>
      <c r="P138" s="76" t="s">
        <v>3221</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3220</v>
      </c>
      <c r="I139" s="595">
        <v>0</v>
      </c>
      <c r="J139" s="595">
        <v>0.113</v>
      </c>
      <c r="K139" s="594">
        <v>5.9005989731888203E-3</v>
      </c>
      <c r="L139" s="76"/>
      <c r="M139" s="76"/>
      <c r="N139" s="76"/>
      <c r="O139" s="76"/>
      <c r="P139" s="76" t="s">
        <v>3220</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3219</v>
      </c>
      <c r="I140" s="595">
        <v>-6.0999999999999999E-2</v>
      </c>
      <c r="J140" s="595">
        <v>5.1999999999999998E-2</v>
      </c>
      <c r="K140" s="594">
        <v>3.5107296137339059E-3</v>
      </c>
      <c r="L140" s="76"/>
      <c r="M140" s="76"/>
      <c r="N140" s="76"/>
      <c r="O140" s="76"/>
      <c r="P140" s="76" t="s">
        <v>3219</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3218</v>
      </c>
      <c r="I141" s="356">
        <v>47.809731093905945</v>
      </c>
      <c r="J141" s="365">
        <v>4566.4973039173738</v>
      </c>
      <c r="K141" s="356">
        <v>45.892351332455597</v>
      </c>
      <c r="L141" s="76"/>
      <c r="M141" s="76"/>
      <c r="N141" s="76"/>
      <c r="O141" s="76"/>
      <c r="P141" s="76" t="s">
        <v>3218</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3217</v>
      </c>
      <c r="I142" s="438">
        <v>-0.22538711253423788</v>
      </c>
      <c r="J142" s="592">
        <v>-0.50483440440253269</v>
      </c>
      <c r="K142" s="592">
        <v>-0.22213692403040283</v>
      </c>
      <c r="L142" s="76"/>
      <c r="M142" s="76"/>
      <c r="N142" s="76"/>
      <c r="O142" s="76"/>
      <c r="P142" s="76" t="s">
        <v>3217</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3216</v>
      </c>
      <c r="I144" s="76">
        <v>35</v>
      </c>
      <c r="J144" s="76"/>
      <c r="K144" s="76"/>
      <c r="L144" s="76"/>
      <c r="M144" s="76"/>
      <c r="N144" s="76"/>
      <c r="O144" s="76"/>
      <c r="P144" s="76" t="s">
        <v>3215</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3214</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3213</v>
      </c>
      <c r="J146" s="119"/>
      <c r="K146" s="119"/>
      <c r="L146" s="119"/>
      <c r="M146" s="119"/>
      <c r="N146" s="119"/>
      <c r="O146" s="76"/>
      <c r="P146" s="76" t="s">
        <v>196</v>
      </c>
      <c r="Q146" s="76"/>
      <c r="R146" s="591" t="s">
        <v>3212</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3804</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3211</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3471</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3472</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3473</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3474</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abSelected="1" topLeftCell="A3" zoomScale="85" zoomScaleNormal="85" workbookViewId="0">
      <pane xSplit="9" ySplit="36" topLeftCell="J261"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46075.635380786996</v>
      </c>
      <c r="J11" s="633" t="s">
        <v>3811</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46051.279964467598</v>
      </c>
      <c r="J12" s="636" t="s">
        <v>3800</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3303</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3285</v>
      </c>
      <c r="X35" s="613" t="s">
        <v>3286</v>
      </c>
      <c r="Y35" s="72" t="s">
        <v>3284</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3296</v>
      </c>
      <c r="G44" s="73"/>
      <c r="H44" s="129" t="s">
        <v>2962</v>
      </c>
      <c r="I44" s="96" t="s">
        <v>692</v>
      </c>
      <c r="J44" s="96"/>
      <c r="K44" s="76"/>
      <c r="L44" s="76"/>
      <c r="M44" s="76"/>
      <c r="N44" s="76"/>
      <c r="O44" s="76"/>
      <c r="P44" s="76"/>
      <c r="Q44" s="76"/>
      <c r="R44" s="76"/>
      <c r="S44" s="76"/>
      <c r="T44" s="76" t="s">
        <v>3293</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3295</v>
      </c>
      <c r="G50" s="73"/>
      <c r="H50" s="129" t="s">
        <v>464</v>
      </c>
      <c r="I50" s="96" t="s">
        <v>465</v>
      </c>
      <c r="J50" s="96"/>
      <c r="K50" s="76"/>
      <c r="L50" s="76"/>
      <c r="M50" s="76"/>
      <c r="N50" s="76"/>
      <c r="O50" s="76"/>
      <c r="P50" s="76"/>
      <c r="Q50" s="76"/>
      <c r="R50" s="76"/>
      <c r="S50" s="76"/>
      <c r="T50" s="76" t="s">
        <v>3293</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3294</v>
      </c>
      <c r="G51" s="73"/>
      <c r="H51" s="129" t="s">
        <v>466</v>
      </c>
      <c r="I51" s="96" t="s">
        <v>1402</v>
      </c>
      <c r="J51" s="96"/>
      <c r="K51" s="76"/>
      <c r="L51" s="76"/>
      <c r="M51" s="76"/>
      <c r="N51" s="76"/>
      <c r="O51" s="76"/>
      <c r="P51" s="76"/>
      <c r="Q51" s="76"/>
      <c r="R51" s="76"/>
      <c r="S51" s="76"/>
      <c r="T51" s="76" t="s">
        <v>3293</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3293</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3247</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2814</v>
      </c>
      <c r="G192" s="73"/>
      <c r="H192" s="76" t="s">
        <v>3195</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3192</v>
      </c>
      <c r="S192" s="76" t="s">
        <v>3192</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2815</v>
      </c>
      <c r="G193" s="73"/>
      <c r="H193" s="76" t="s">
        <v>3196</v>
      </c>
      <c r="I193" s="96" t="s">
        <v>2826</v>
      </c>
      <c r="J193" s="96"/>
      <c r="K193" s="97">
        <v>7.6536</v>
      </c>
      <c r="L193" s="97">
        <v>7.6536</v>
      </c>
      <c r="M193" s="97">
        <v>7.6536</v>
      </c>
      <c r="N193" s="97">
        <v>7.6536</v>
      </c>
      <c r="O193" s="97">
        <v>7.6536</v>
      </c>
      <c r="P193" s="97">
        <v>7.6536</v>
      </c>
      <c r="Q193" s="76"/>
      <c r="R193" s="76" t="s">
        <v>3192</v>
      </c>
      <c r="S193" s="76" t="s">
        <v>3192</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2818</v>
      </c>
      <c r="G198" s="73"/>
      <c r="H198" s="76" t="s">
        <v>3193</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3192</v>
      </c>
      <c r="S198" s="76" t="s">
        <v>3192</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2821</v>
      </c>
      <c r="G199" s="73"/>
      <c r="H199" s="76" t="s">
        <v>3194</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3192</v>
      </c>
      <c r="S199" s="76" t="s">
        <v>3192</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3248</v>
      </c>
      <c r="G203" s="73"/>
      <c r="H203" s="76" t="s">
        <v>3256</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3249</v>
      </c>
      <c r="G204" s="73"/>
      <c r="H204" s="76" t="s">
        <v>3257</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3250</v>
      </c>
      <c r="G205" s="73"/>
      <c r="H205" s="76" t="s">
        <v>3258</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3251</v>
      </c>
      <c r="G206" s="73"/>
      <c r="H206" s="76" t="s">
        <v>3259</v>
      </c>
      <c r="I206" s="96" t="s">
        <v>626</v>
      </c>
      <c r="J206" s="96"/>
      <c r="K206" s="281">
        <f>1/(1+K$194)</f>
        <v>0.69930069930069938</v>
      </c>
      <c r="L206" s="281">
        <f t="shared" si="35"/>
        <v>0.69930069930069938</v>
      </c>
      <c r="M206" s="76"/>
      <c r="N206" s="76"/>
      <c r="O206" s="76"/>
      <c r="P206" s="76"/>
      <c r="Q206" s="76"/>
      <c r="R206" s="76" t="s">
        <v>3263</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3253</v>
      </c>
      <c r="G207" s="73"/>
      <c r="H207" s="76" t="s">
        <v>3260</v>
      </c>
      <c r="I207" s="96" t="s">
        <v>626</v>
      </c>
      <c r="J207" s="96"/>
      <c r="K207" s="258">
        <v>1</v>
      </c>
      <c r="L207" s="258">
        <f t="shared" si="35"/>
        <v>1</v>
      </c>
      <c r="M207" s="76"/>
      <c r="N207" s="76"/>
      <c r="O207" s="76"/>
      <c r="P207" s="76"/>
      <c r="Q207" s="76"/>
      <c r="R207" s="76" t="s">
        <v>3263</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3252</v>
      </c>
      <c r="G208" s="73"/>
      <c r="H208" s="76" t="s">
        <v>3261</v>
      </c>
      <c r="I208" s="96" t="s">
        <v>626</v>
      </c>
      <c r="J208" s="96"/>
      <c r="K208" s="281">
        <f>1/(1+K$195)</f>
        <v>0.4</v>
      </c>
      <c r="L208" s="281">
        <f t="shared" si="35"/>
        <v>0.4</v>
      </c>
      <c r="M208" s="76"/>
      <c r="N208" s="76"/>
      <c r="O208" s="76"/>
      <c r="P208" s="76"/>
      <c r="Q208" s="76"/>
      <c r="R208" s="76" t="s">
        <v>3263</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3254</v>
      </c>
      <c r="G209" s="73"/>
      <c r="H209" s="76" t="s">
        <v>3262</v>
      </c>
      <c r="I209" s="96" t="s">
        <v>626</v>
      </c>
      <c r="J209" s="96"/>
      <c r="K209" s="258">
        <v>1</v>
      </c>
      <c r="L209" s="258">
        <f t="shared" si="35"/>
        <v>1</v>
      </c>
      <c r="M209" s="76"/>
      <c r="N209" s="76"/>
      <c r="O209" s="76"/>
      <c r="P209" s="76"/>
      <c r="Q209" s="76"/>
      <c r="R209" s="76" t="s">
        <v>3263</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3255</v>
      </c>
      <c r="G210" s="73"/>
      <c r="H210" s="76" t="s">
        <v>3265</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3264</v>
      </c>
      <c r="G211" s="73"/>
      <c r="H211" s="76" t="s">
        <v>3281</v>
      </c>
      <c r="I211" s="96" t="s">
        <v>626</v>
      </c>
      <c r="J211" s="96"/>
      <c r="K211" s="281">
        <f>0.448*K$175</f>
        <v>0.224</v>
      </c>
      <c r="L211" s="281">
        <f>K211</f>
        <v>0.224</v>
      </c>
      <c r="M211" s="76"/>
      <c r="N211" s="76"/>
      <c r="O211" s="76"/>
      <c r="P211" s="76"/>
      <c r="Q211" s="76"/>
      <c r="R211" s="76" t="s">
        <v>3283</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3280</v>
      </c>
      <c r="G212" s="73"/>
      <c r="H212" s="76" t="s">
        <v>3282</v>
      </c>
      <c r="I212" s="96" t="s">
        <v>626</v>
      </c>
      <c r="J212" s="96"/>
      <c r="K212" s="281">
        <f>0.448*K$176</f>
        <v>8.9600000000000009E-3</v>
      </c>
      <c r="L212" s="281">
        <f>K212</f>
        <v>8.9600000000000009E-3</v>
      </c>
      <c r="M212" s="76"/>
      <c r="N212" s="76"/>
      <c r="O212" s="76"/>
      <c r="P212" s="76"/>
      <c r="Q212" s="76"/>
      <c r="R212" s="76" t="s">
        <v>3283</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2832</v>
      </c>
      <c r="G234" s="73"/>
      <c r="H234" s="76" t="s">
        <v>3197</v>
      </c>
      <c r="I234" s="96" t="s">
        <v>2835</v>
      </c>
      <c r="J234" s="96"/>
      <c r="K234" s="97">
        <v>0</v>
      </c>
      <c r="L234" s="97">
        <v>0</v>
      </c>
      <c r="M234" s="97">
        <v>0</v>
      </c>
      <c r="N234" s="97">
        <v>0</v>
      </c>
      <c r="O234" s="97">
        <v>0</v>
      </c>
      <c r="P234" s="97">
        <v>0</v>
      </c>
      <c r="Q234" s="76"/>
      <c r="R234" s="76" t="s">
        <v>3203</v>
      </c>
      <c r="S234" s="76" t="s">
        <v>3203</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3203</v>
      </c>
      <c r="S235" s="76" t="s">
        <v>3203</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3203</v>
      </c>
      <c r="S236" s="76" t="s">
        <v>3203</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3198</v>
      </c>
      <c r="G237" s="73"/>
      <c r="H237" s="76" t="s">
        <v>662</v>
      </c>
      <c r="I237" s="96" t="s">
        <v>502</v>
      </c>
      <c r="J237" s="96"/>
      <c r="K237" s="97">
        <v>0.106</v>
      </c>
      <c r="L237" s="97">
        <v>0.106</v>
      </c>
      <c r="M237" s="97">
        <v>0.106</v>
      </c>
      <c r="N237" s="97">
        <v>0.106</v>
      </c>
      <c r="O237" s="97">
        <v>0.106</v>
      </c>
      <c r="P237" s="97">
        <v>0.106</v>
      </c>
      <c r="Q237" s="76"/>
      <c r="R237" s="76" t="s">
        <v>3202</v>
      </c>
      <c r="S237" s="76" t="s">
        <v>3202</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3199</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3202</v>
      </c>
      <c r="S238" s="76" t="s">
        <v>3202</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3201</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3202</v>
      </c>
      <c r="S239" s="76" t="s">
        <v>3202</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3200</v>
      </c>
      <c r="G240" s="73"/>
      <c r="H240" s="76" t="s">
        <v>671</v>
      </c>
      <c r="I240" s="96" t="s">
        <v>502</v>
      </c>
      <c r="J240" s="96"/>
      <c r="K240" s="97">
        <v>0.39</v>
      </c>
      <c r="L240" s="97">
        <v>0.39</v>
      </c>
      <c r="M240" s="97">
        <v>0.39</v>
      </c>
      <c r="N240" s="97">
        <v>0.39</v>
      </c>
      <c r="O240" s="97">
        <v>0.39</v>
      </c>
      <c r="P240" s="97">
        <v>0.39</v>
      </c>
      <c r="Q240" s="76"/>
      <c r="R240" s="76" t="s">
        <v>3202</v>
      </c>
      <c r="S240" s="76" t="s">
        <v>3202</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3276</v>
      </c>
      <c r="G277" s="73"/>
      <c r="H277" s="76" t="s">
        <v>3277</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3278</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3293</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3234</v>
      </c>
      <c r="I310" s="96" t="s">
        <v>3236</v>
      </c>
      <c r="J310" s="96"/>
      <c r="K310" s="97">
        <v>31.7</v>
      </c>
      <c r="L310" s="97">
        <v>31.7</v>
      </c>
      <c r="M310" s="76"/>
      <c r="N310" s="76"/>
      <c r="O310" s="76"/>
      <c r="P310" s="76"/>
      <c r="Q310" s="76"/>
      <c r="R310" s="76" t="s">
        <v>3235</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3293</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3293</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3237</v>
      </c>
      <c r="G332" s="73"/>
      <c r="H332" s="76" t="s">
        <v>3238</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3239</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3297</v>
      </c>
      <c r="G333" s="73"/>
      <c r="H333" s="76" t="s">
        <v>3300</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3299</v>
      </c>
      <c r="G334" s="73"/>
      <c r="H334" s="76" t="s">
        <v>3302</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3301</v>
      </c>
      <c r="G335" s="73"/>
      <c r="H335" s="76" t="s">
        <v>3305</v>
      </c>
      <c r="I335" s="96"/>
      <c r="J335" s="96"/>
      <c r="K335" s="76"/>
      <c r="L335" s="76"/>
      <c r="M335" s="76"/>
      <c r="N335" s="76"/>
      <c r="O335" s="76"/>
      <c r="P335" s="76"/>
      <c r="Q335" s="76"/>
      <c r="R335" s="76"/>
      <c r="S335" s="76"/>
      <c r="T335" s="76" t="s">
        <v>3293</v>
      </c>
      <c r="U335" s="97">
        <v>0.85</v>
      </c>
      <c r="V335" s="97">
        <v>0.85</v>
      </c>
      <c r="W335" s="97">
        <v>0.85</v>
      </c>
      <c r="X335" s="97">
        <v>0.85</v>
      </c>
      <c r="Y335" s="97">
        <v>0.85</v>
      </c>
      <c r="Z335" s="97">
        <v>0.85</v>
      </c>
      <c r="AA335" s="97">
        <v>0.85</v>
      </c>
      <c r="AB335" s="97">
        <v>0.85</v>
      </c>
      <c r="AC335" s="97">
        <v>0.85</v>
      </c>
      <c r="AD335" s="97">
        <v>0.85</v>
      </c>
      <c r="AE335" s="76"/>
      <c r="AF335" s="97" t="s">
        <v>3298</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3304</v>
      </c>
      <c r="G336" s="73"/>
      <c r="H336" s="76" t="s">
        <v>3306</v>
      </c>
      <c r="I336" s="96"/>
      <c r="J336" s="96"/>
      <c r="K336" s="76"/>
      <c r="L336" s="76"/>
      <c r="M336" s="76"/>
      <c r="N336" s="76"/>
      <c r="O336" s="76"/>
      <c r="P336" s="76"/>
      <c r="Q336" s="76"/>
      <c r="R336" s="76"/>
      <c r="S336" s="76"/>
      <c r="T336" s="76" t="s">
        <v>3293</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3293</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3293</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3244</v>
      </c>
      <c r="G394" s="73"/>
      <c r="H394" s="76" t="s">
        <v>3267</v>
      </c>
      <c r="I394" s="96" t="s">
        <v>502</v>
      </c>
      <c r="J394" s="96"/>
      <c r="K394" s="281">
        <v>0.1</v>
      </c>
      <c r="L394" s="281">
        <v>0.1</v>
      </c>
      <c r="M394" s="281">
        <v>0.1</v>
      </c>
      <c r="N394" s="281">
        <v>0.1</v>
      </c>
      <c r="O394" s="281">
        <v>0.1</v>
      </c>
      <c r="P394" s="281">
        <v>0.1</v>
      </c>
      <c r="Q394" s="76"/>
      <c r="R394" s="76" t="s">
        <v>3245</v>
      </c>
      <c r="S394" s="76" t="s">
        <v>3245</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3269</v>
      </c>
      <c r="G395" s="73"/>
      <c r="H395" s="76" t="s">
        <v>3266</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3268</v>
      </c>
      <c r="S395" s="76" t="s">
        <v>3245</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outlineLevel="2" x14ac:dyDescent="0.25">
      <c r="A409" s="45"/>
      <c r="B409" s="54"/>
      <c r="C409" s="47">
        <f>INT($C$29)+2</f>
        <v>3</v>
      </c>
      <c r="D409" s="73"/>
      <c r="E409" s="70"/>
      <c r="F409" s="70" t="s">
        <v>993</v>
      </c>
      <c r="G409" s="73"/>
      <c r="H409" s="76" t="s">
        <v>3809</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outlineLevel="2" x14ac:dyDescent="0.25">
      <c r="A410" s="45"/>
      <c r="B410" s="54"/>
      <c r="C410" s="47">
        <f>INT($C$29)+2</f>
        <v>3</v>
      </c>
      <c r="D410" s="73"/>
      <c r="E410" s="70"/>
      <c r="F410" s="70" t="s">
        <v>3808</v>
      </c>
      <c r="G410" s="73"/>
      <c r="H410" s="76" t="s">
        <v>3810</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3293</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2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2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2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2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25">
      <c r="A448" s="45"/>
      <c r="B448" s="54"/>
      <c r="C448" s="47">
        <f t="shared" si="89"/>
        <v>3</v>
      </c>
      <c r="D448" s="73"/>
      <c r="E448" s="70"/>
      <c r="F448" s="70" t="s">
        <v>1053</v>
      </c>
      <c r="G448" s="73"/>
      <c r="H448" s="76" t="s">
        <v>3482</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1061</v>
      </c>
      <c r="G456" s="73"/>
      <c r="H456" s="76" t="s">
        <v>3486</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1069</v>
      </c>
      <c r="G464" s="73"/>
      <c r="H464" s="76" t="s">
        <v>3483</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96">INT($C$29)+2</f>
        <v>3</v>
      </c>
      <c r="D472" s="73"/>
      <c r="E472" s="70"/>
      <c r="F472" s="70" t="s">
        <v>1077</v>
      </c>
      <c r="G472" s="73"/>
      <c r="H472" s="76" t="s">
        <v>3484</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1085</v>
      </c>
      <c r="G480" s="73"/>
      <c r="H480" s="76" t="s">
        <v>3485</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2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2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2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2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2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2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2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2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2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2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2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2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2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2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2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3493</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3492</v>
      </c>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2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2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2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2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2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2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2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2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2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2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2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2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2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2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2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2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2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2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2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2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2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2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1472</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3" x14ac:dyDescent="0.2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2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2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2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2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2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collapsed="1" x14ac:dyDescent="0.2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3" x14ac:dyDescent="0.2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2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2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2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2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2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2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25">
      <c r="A921" s="45"/>
      <c r="B921" s="54"/>
      <c r="C921" s="47">
        <f t="shared" si="171"/>
        <v>3</v>
      </c>
      <c r="D921" s="73"/>
      <c r="E921" s="70"/>
      <c r="F921" s="70" t="s">
        <v>2506</v>
      </c>
      <c r="G921" s="73"/>
      <c r="H921" s="76" t="s">
        <v>3797</v>
      </c>
      <c r="I921" s="96" t="s">
        <v>502</v>
      </c>
      <c r="J921" s="96"/>
      <c r="K921" s="76"/>
      <c r="L921" s="76"/>
      <c r="M921" s="76"/>
      <c r="N921" s="76"/>
      <c r="O921" s="76"/>
      <c r="P921" s="76"/>
      <c r="Q921" s="76"/>
      <c r="R921" s="76"/>
      <c r="S921" s="76"/>
      <c r="T921" s="76" t="s">
        <v>3293</v>
      </c>
      <c r="U921" s="97">
        <v>0</v>
      </c>
      <c r="V921" s="255">
        <f>U921</f>
        <v>0</v>
      </c>
      <c r="W921" s="630">
        <f>W925</f>
        <v>1.80097</v>
      </c>
      <c r="X921" s="630">
        <f t="shared" ref="X921:Y921" si="183">X925</f>
        <v>1.9570099999999999</v>
      </c>
      <c r="Y921" s="630">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3803</v>
      </c>
      <c r="AG921" s="76"/>
      <c r="AH921" s="76">
        <v>1</v>
      </c>
      <c r="AI921" s="76">
        <v>1</v>
      </c>
      <c r="AJ921" s="73"/>
      <c r="AK921" s="57"/>
      <c r="AL921" s="45"/>
      <c r="AM921" s="45"/>
      <c r="AN921" s="45"/>
    </row>
    <row r="922" spans="1:40" hidden="1" outlineLevel="2" x14ac:dyDescent="0.2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3293</v>
      </c>
      <c r="U922" s="97">
        <v>3.8858999999999999</v>
      </c>
      <c r="V922" s="255">
        <f>U922</f>
        <v>3.8858999999999999</v>
      </c>
      <c r="W922" s="630">
        <f t="shared" ref="W922:Y922" si="188">W926</f>
        <v>5.2321099999999996</v>
      </c>
      <c r="X922" s="630">
        <f t="shared" si="188"/>
        <v>5.3830999999999998</v>
      </c>
      <c r="Y922" s="630">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3799</v>
      </c>
      <c r="AG922" s="76"/>
      <c r="AH922" s="97">
        <v>1</v>
      </c>
      <c r="AI922" s="97">
        <v>1</v>
      </c>
      <c r="AJ922" s="73"/>
      <c r="AK922" s="57"/>
      <c r="AL922" s="45"/>
      <c r="AM922" s="45"/>
      <c r="AN922" s="45"/>
    </row>
    <row r="923" spans="1:40" hidden="1" outlineLevel="2" x14ac:dyDescent="0.2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30">
        <f t="shared" ref="W923:Y923" si="189">W927</f>
        <v>7.9349999999999996</v>
      </c>
      <c r="X923" s="630">
        <f t="shared" si="189"/>
        <v>7.9349999999999996</v>
      </c>
      <c r="Y923" s="630">
        <f t="shared" si="189"/>
        <v>7.9349999999999996</v>
      </c>
      <c r="Z923" s="255">
        <f t="shared" si="184"/>
        <v>10</v>
      </c>
      <c r="AA923" s="97">
        <f>$U923</f>
        <v>10</v>
      </c>
      <c r="AB923" s="255">
        <f t="shared" si="185"/>
        <v>10</v>
      </c>
      <c r="AC923" s="255">
        <f t="shared" si="186"/>
        <v>10</v>
      </c>
      <c r="AD923" s="255">
        <f t="shared" si="187"/>
        <v>10</v>
      </c>
      <c r="AE923" s="76"/>
      <c r="AF923" s="97" t="s">
        <v>3798</v>
      </c>
      <c r="AG923" s="76"/>
      <c r="AH923" s="97">
        <v>1</v>
      </c>
      <c r="AI923" s="97">
        <v>1</v>
      </c>
      <c r="AJ923" s="73"/>
      <c r="AK923" s="57"/>
      <c r="AL923" s="45"/>
      <c r="AM923" s="45"/>
      <c r="AN923" s="45"/>
    </row>
    <row r="924" spans="1:40" hidden="1" outlineLevel="2" x14ac:dyDescent="0.2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30">
        <f t="shared" ref="W924:Y924" si="190">W928</f>
        <v>100</v>
      </c>
      <c r="X924" s="630">
        <f t="shared" si="190"/>
        <v>100</v>
      </c>
      <c r="Y924" s="630">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25">
      <c r="A925" s="45"/>
      <c r="B925" s="54"/>
      <c r="C925" s="47">
        <f t="shared" si="171"/>
        <v>3</v>
      </c>
      <c r="D925" s="73"/>
      <c r="E925" s="70"/>
      <c r="F925" s="70" t="s">
        <v>3324</v>
      </c>
      <c r="G925" s="73"/>
      <c r="H925" s="76" t="s">
        <v>3796</v>
      </c>
      <c r="I925" s="96" t="s">
        <v>502</v>
      </c>
      <c r="J925" s="96"/>
      <c r="K925" s="76"/>
      <c r="L925" s="76"/>
      <c r="M925" s="76"/>
      <c r="N925" s="76"/>
      <c r="O925" s="76"/>
      <c r="P925" s="76"/>
      <c r="Q925" s="76"/>
      <c r="R925" s="76"/>
      <c r="S925" s="76"/>
      <c r="T925" s="76" t="s">
        <v>3293</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25">
      <c r="A926" s="45"/>
      <c r="B926" s="54"/>
      <c r="C926" s="47">
        <f t="shared" si="171"/>
        <v>3</v>
      </c>
      <c r="D926" s="73"/>
      <c r="E926" s="70"/>
      <c r="F926" s="70" t="s">
        <v>3325</v>
      </c>
      <c r="G926" s="73"/>
      <c r="H926" s="76" t="s">
        <v>2511</v>
      </c>
      <c r="I926" s="96" t="s">
        <v>502</v>
      </c>
      <c r="J926" s="96"/>
      <c r="K926" s="76"/>
      <c r="L926" s="76"/>
      <c r="M926" s="76"/>
      <c r="N926" s="76"/>
      <c r="O926" s="76"/>
      <c r="P926" s="76"/>
      <c r="Q926" s="76"/>
      <c r="R926" s="76"/>
      <c r="S926" s="76"/>
      <c r="T926" s="76" t="s">
        <v>3293</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25">
      <c r="A927" s="45"/>
      <c r="B927" s="54"/>
      <c r="C927" s="47">
        <f t="shared" si="171"/>
        <v>3</v>
      </c>
      <c r="D927" s="73"/>
      <c r="E927" s="70"/>
      <c r="F927" s="70" t="s">
        <v>3326</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1"/>
        <v>3</v>
      </c>
      <c r="D928" s="73"/>
      <c r="E928" s="70"/>
      <c r="F928" s="70" t="s">
        <v>3327</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25">
      <c r="A929" s="45"/>
      <c r="B929" s="54"/>
      <c r="C929" s="47">
        <f t="shared" si="171"/>
        <v>3</v>
      </c>
      <c r="D929" s="73"/>
      <c r="E929" s="70"/>
      <c r="F929" s="70" t="s">
        <v>3374</v>
      </c>
      <c r="G929" s="73"/>
      <c r="H929" s="76" t="s">
        <v>3748</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3373</v>
      </c>
      <c r="AG929" s="76"/>
      <c r="AH929" s="76">
        <v>1</v>
      </c>
      <c r="AI929" s="76">
        <v>1</v>
      </c>
      <c r="AJ929" s="73"/>
      <c r="AK929" s="57"/>
      <c r="AL929" s="45"/>
      <c r="AM929" s="45"/>
      <c r="AN929" s="45"/>
    </row>
    <row r="930" spans="1:40" hidden="1" outlineLevel="2" x14ac:dyDescent="0.25">
      <c r="A930" s="45"/>
      <c r="B930" s="54"/>
      <c r="C930" s="47">
        <f t="shared" si="171"/>
        <v>3</v>
      </c>
      <c r="D930" s="73"/>
      <c r="E930" s="70"/>
      <c r="F930" s="70" t="s">
        <v>3375</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3753</v>
      </c>
      <c r="AG930" s="76"/>
      <c r="AH930" s="97">
        <v>1</v>
      </c>
      <c r="AI930" s="97">
        <v>1</v>
      </c>
      <c r="AJ930" s="73"/>
      <c r="AK930" s="57"/>
      <c r="AL930" s="45"/>
      <c r="AM930" s="45"/>
      <c r="AN930" s="45"/>
    </row>
    <row r="931" spans="1:40" hidden="1" outlineLevel="2" x14ac:dyDescent="0.25">
      <c r="A931" s="45"/>
      <c r="B931" s="54"/>
      <c r="C931" s="47">
        <f t="shared" si="171"/>
        <v>3</v>
      </c>
      <c r="D931" s="73"/>
      <c r="E931" s="70"/>
      <c r="F931" s="70" t="s">
        <v>3376</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25">
      <c r="A932" s="45"/>
      <c r="B932" s="54"/>
      <c r="C932" s="47">
        <f t="shared" si="171"/>
        <v>3</v>
      </c>
      <c r="D932" s="73"/>
      <c r="E932" s="70"/>
      <c r="F932" s="70" t="s">
        <v>3377</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3372</v>
      </c>
      <c r="AG932" s="76"/>
      <c r="AH932" s="76">
        <v>1</v>
      </c>
      <c r="AI932" s="76">
        <v>1</v>
      </c>
      <c r="AJ932" s="73"/>
      <c r="AK932" s="57"/>
      <c r="AL932" s="45"/>
      <c r="AM932" s="45"/>
      <c r="AN932" s="45"/>
    </row>
    <row r="933" spans="1:40" hidden="1" outlineLevel="2" x14ac:dyDescent="0.25">
      <c r="A933" s="45"/>
      <c r="B933" s="54"/>
      <c r="C933" s="47">
        <f t="shared" si="171"/>
        <v>3</v>
      </c>
      <c r="D933" s="73"/>
      <c r="E933" s="70"/>
      <c r="F933" s="70" t="s">
        <v>3378</v>
      </c>
      <c r="G933" s="73"/>
      <c r="H933" s="76" t="s">
        <v>3749</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3373</v>
      </c>
      <c r="AG933" s="76"/>
      <c r="AH933" s="76">
        <v>1</v>
      </c>
      <c r="AI933" s="76">
        <v>1</v>
      </c>
      <c r="AJ933" s="73"/>
      <c r="AK933" s="57"/>
      <c r="AL933" s="45"/>
      <c r="AM933" s="45"/>
      <c r="AN933" s="45"/>
    </row>
    <row r="934" spans="1:40" hidden="1" outlineLevel="2" x14ac:dyDescent="0.25">
      <c r="A934" s="45"/>
      <c r="B934" s="54"/>
      <c r="C934" s="47">
        <f t="shared" si="171"/>
        <v>3</v>
      </c>
      <c r="D934" s="73"/>
      <c r="E934" s="70"/>
      <c r="F934" s="70" t="s">
        <v>3379</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3753</v>
      </c>
      <c r="AG934" s="76"/>
      <c r="AH934" s="97">
        <v>1</v>
      </c>
      <c r="AI934" s="97">
        <v>1</v>
      </c>
      <c r="AJ934" s="73"/>
      <c r="AK934" s="57"/>
      <c r="AL934" s="45"/>
      <c r="AM934" s="45"/>
      <c r="AN934" s="45"/>
    </row>
    <row r="935" spans="1:40" hidden="1" outlineLevel="2" x14ac:dyDescent="0.25">
      <c r="A935" s="45"/>
      <c r="B935" s="54"/>
      <c r="C935" s="47">
        <f t="shared" si="171"/>
        <v>3</v>
      </c>
      <c r="D935" s="73"/>
      <c r="E935" s="70"/>
      <c r="F935" s="70" t="s">
        <v>3380</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25">
      <c r="A936" s="45"/>
      <c r="B936" s="54"/>
      <c r="C936" s="47">
        <f t="shared" si="171"/>
        <v>3</v>
      </c>
      <c r="D936" s="73"/>
      <c r="E936" s="70"/>
      <c r="F936" s="70" t="s">
        <v>3381</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3372</v>
      </c>
      <c r="AG936" s="76"/>
      <c r="AH936" s="76">
        <v>1</v>
      </c>
      <c r="AI936" s="76">
        <v>1</v>
      </c>
      <c r="AJ936" s="73"/>
      <c r="AK936" s="57"/>
      <c r="AL936" s="45"/>
      <c r="AM936" s="45"/>
      <c r="AN936" s="45"/>
    </row>
    <row r="937" spans="1:40" hidden="1" outlineLevel="2" x14ac:dyDescent="0.25">
      <c r="A937" s="45"/>
      <c r="B937" s="54"/>
      <c r="C937" s="47">
        <f t="shared" si="171"/>
        <v>3</v>
      </c>
      <c r="D937" s="73"/>
      <c r="E937" s="70"/>
      <c r="F937" s="70" t="s">
        <v>3382</v>
      </c>
      <c r="G937" s="73"/>
      <c r="H937" s="76" t="s">
        <v>3750</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3373</v>
      </c>
      <c r="AG937" s="76"/>
      <c r="AH937" s="76">
        <v>1</v>
      </c>
      <c r="AI937" s="76">
        <v>1</v>
      </c>
      <c r="AJ937" s="73"/>
      <c r="AK937" s="57"/>
      <c r="AL937" s="45"/>
      <c r="AM937" s="45"/>
      <c r="AN937" s="45"/>
    </row>
    <row r="938" spans="1:40" hidden="1" outlineLevel="2" x14ac:dyDescent="0.25">
      <c r="A938" s="45"/>
      <c r="B938" s="54"/>
      <c r="C938" s="47">
        <f t="shared" si="171"/>
        <v>3</v>
      </c>
      <c r="D938" s="73"/>
      <c r="E938" s="70"/>
      <c r="F938" s="70" t="s">
        <v>3383</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3753</v>
      </c>
      <c r="AG938" s="76"/>
      <c r="AH938" s="97">
        <v>1</v>
      </c>
      <c r="AI938" s="97">
        <v>1</v>
      </c>
      <c r="AJ938" s="73"/>
      <c r="AK938" s="57"/>
      <c r="AL938" s="45"/>
      <c r="AM938" s="45"/>
      <c r="AN938" s="45"/>
    </row>
    <row r="939" spans="1:40" hidden="1" outlineLevel="2" x14ac:dyDescent="0.25">
      <c r="A939" s="45"/>
      <c r="B939" s="54"/>
      <c r="C939" s="47">
        <f t="shared" si="171"/>
        <v>3</v>
      </c>
      <c r="D939" s="73"/>
      <c r="E939" s="70"/>
      <c r="F939" s="70" t="s">
        <v>3384</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25">
      <c r="A940" s="45"/>
      <c r="B940" s="54"/>
      <c r="C940" s="47">
        <f t="shared" si="171"/>
        <v>3</v>
      </c>
      <c r="D940" s="73"/>
      <c r="E940" s="70"/>
      <c r="F940" s="70" t="s">
        <v>3385</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3372</v>
      </c>
      <c r="AG940" s="76"/>
      <c r="AH940" s="76">
        <v>1</v>
      </c>
      <c r="AI940" s="76">
        <v>1</v>
      </c>
      <c r="AJ940" s="73"/>
      <c r="AK940" s="57"/>
      <c r="AL940" s="45"/>
      <c r="AM940" s="45"/>
      <c r="AN940" s="45"/>
    </row>
    <row r="941" spans="1:40" hidden="1" outlineLevel="2" x14ac:dyDescent="0.25">
      <c r="A941" s="45"/>
      <c r="B941" s="54"/>
      <c r="C941" s="47">
        <f t="shared" si="171"/>
        <v>3</v>
      </c>
      <c r="D941" s="73"/>
      <c r="E941" s="70"/>
      <c r="F941" s="70" t="s">
        <v>3386</v>
      </c>
      <c r="G941" s="73"/>
      <c r="H941" s="76" t="s">
        <v>3751</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3373</v>
      </c>
      <c r="AG941" s="76"/>
      <c r="AH941" s="76">
        <v>1</v>
      </c>
      <c r="AI941" s="76">
        <v>1</v>
      </c>
      <c r="AJ941" s="73"/>
      <c r="AK941" s="57"/>
      <c r="AL941" s="45"/>
      <c r="AM941" s="45"/>
      <c r="AN941" s="45"/>
    </row>
    <row r="942" spans="1:40" hidden="1" outlineLevel="2" x14ac:dyDescent="0.25">
      <c r="A942" s="45"/>
      <c r="B942" s="54"/>
      <c r="C942" s="47">
        <f t="shared" si="171"/>
        <v>3</v>
      </c>
      <c r="D942" s="73"/>
      <c r="E942" s="70"/>
      <c r="F942" s="70" t="s">
        <v>3387</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3753</v>
      </c>
      <c r="AG942" s="76"/>
      <c r="AH942" s="97">
        <v>1</v>
      </c>
      <c r="AI942" s="97">
        <v>1</v>
      </c>
      <c r="AJ942" s="73"/>
      <c r="AK942" s="57"/>
      <c r="AL942" s="45"/>
      <c r="AM942" s="45"/>
      <c r="AN942" s="45"/>
    </row>
    <row r="943" spans="1:40" hidden="1" outlineLevel="2" x14ac:dyDescent="0.25">
      <c r="A943" s="45"/>
      <c r="B943" s="54"/>
      <c r="C943" s="47">
        <f t="shared" si="171"/>
        <v>3</v>
      </c>
      <c r="D943" s="73"/>
      <c r="E943" s="70"/>
      <c r="F943" s="70" t="s">
        <v>3388</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25">
      <c r="A944" s="45"/>
      <c r="B944" s="54"/>
      <c r="C944" s="47">
        <f t="shared" si="171"/>
        <v>3</v>
      </c>
      <c r="D944" s="73"/>
      <c r="E944" s="70"/>
      <c r="F944" s="70" t="s">
        <v>3389</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3372</v>
      </c>
      <c r="AG944" s="76"/>
      <c r="AH944" s="76">
        <v>1</v>
      </c>
      <c r="AI944" s="76">
        <v>1</v>
      </c>
      <c r="AJ944" s="73"/>
      <c r="AK944" s="57"/>
      <c r="AL944" s="45"/>
      <c r="AM944" s="45"/>
      <c r="AN944" s="45"/>
    </row>
    <row r="945" spans="1:40" hidden="1" outlineLevel="2" x14ac:dyDescent="0.25">
      <c r="A945" s="45"/>
      <c r="B945" s="54"/>
      <c r="C945" s="47">
        <f t="shared" si="171"/>
        <v>3</v>
      </c>
      <c r="D945" s="73"/>
      <c r="E945" s="70"/>
      <c r="F945" s="70" t="s">
        <v>3391</v>
      </c>
      <c r="G945" s="73"/>
      <c r="H945" s="76" t="s">
        <v>3752</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3373</v>
      </c>
      <c r="AG945" s="76"/>
      <c r="AH945" s="76">
        <v>1</v>
      </c>
      <c r="AI945" s="76">
        <v>1</v>
      </c>
      <c r="AJ945" s="73"/>
      <c r="AK945" s="57"/>
      <c r="AL945" s="45"/>
      <c r="AM945" s="45"/>
      <c r="AN945" s="45"/>
    </row>
    <row r="946" spans="1:40" hidden="1" outlineLevel="2" x14ac:dyDescent="0.25">
      <c r="A946" s="45"/>
      <c r="B946" s="54"/>
      <c r="C946" s="47">
        <f t="shared" ref="C946:C984" si="235">INT($C$29)+2</f>
        <v>3</v>
      </c>
      <c r="D946" s="73"/>
      <c r="E946" s="70"/>
      <c r="F946" s="70" t="s">
        <v>3392</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3753</v>
      </c>
      <c r="AG946" s="76"/>
      <c r="AH946" s="97">
        <v>1</v>
      </c>
      <c r="AI946" s="97">
        <v>1</v>
      </c>
      <c r="AJ946" s="73"/>
      <c r="AK946" s="57"/>
      <c r="AL946" s="45"/>
      <c r="AM946" s="45"/>
      <c r="AN946" s="45"/>
    </row>
    <row r="947" spans="1:40" hidden="1" outlineLevel="2" x14ac:dyDescent="0.25">
      <c r="A947" s="45"/>
      <c r="B947" s="54"/>
      <c r="C947" s="47">
        <f t="shared" si="235"/>
        <v>3</v>
      </c>
      <c r="D947" s="73"/>
      <c r="E947" s="70"/>
      <c r="F947" s="70" t="s">
        <v>3393</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25">
      <c r="A948" s="45"/>
      <c r="B948" s="54"/>
      <c r="C948" s="47">
        <f t="shared" si="235"/>
        <v>3</v>
      </c>
      <c r="D948" s="73"/>
      <c r="E948" s="70"/>
      <c r="F948" s="70" t="s">
        <v>3394</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25">
      <c r="A949" s="45"/>
      <c r="B949" s="54"/>
      <c r="C949" s="47">
        <f t="shared" si="235"/>
        <v>3</v>
      </c>
      <c r="D949" s="73"/>
      <c r="E949" s="70"/>
      <c r="F949" s="70" t="s">
        <v>3395</v>
      </c>
      <c r="G949" s="73"/>
      <c r="H949" s="76" t="s">
        <v>3755</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3373</v>
      </c>
      <c r="AG949" s="76"/>
      <c r="AH949" s="76">
        <v>1</v>
      </c>
      <c r="AI949" s="76">
        <v>1</v>
      </c>
      <c r="AJ949" s="73"/>
      <c r="AK949" s="57"/>
      <c r="AL949" s="45"/>
      <c r="AM949" s="45"/>
      <c r="AN949" s="45"/>
    </row>
    <row r="950" spans="1:40" hidden="1" outlineLevel="2" x14ac:dyDescent="0.25">
      <c r="A950" s="45"/>
      <c r="B950" s="54"/>
      <c r="C950" s="47">
        <f t="shared" si="235"/>
        <v>3</v>
      </c>
      <c r="D950" s="73"/>
      <c r="E950" s="70"/>
      <c r="F950" s="70" t="s">
        <v>3396</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3390</v>
      </c>
      <c r="AG950" s="76"/>
      <c r="AH950" s="97">
        <v>1</v>
      </c>
      <c r="AI950" s="97">
        <v>1</v>
      </c>
      <c r="AJ950" s="73"/>
      <c r="AK950" s="57"/>
      <c r="AL950" s="45"/>
      <c r="AM950" s="45"/>
      <c r="AN950" s="45"/>
    </row>
    <row r="951" spans="1:40" hidden="1" outlineLevel="2" x14ac:dyDescent="0.25">
      <c r="A951" s="45"/>
      <c r="B951" s="54"/>
      <c r="C951" s="47">
        <f t="shared" si="235"/>
        <v>3</v>
      </c>
      <c r="D951" s="73"/>
      <c r="E951" s="70"/>
      <c r="F951" s="70" t="s">
        <v>3397</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25">
      <c r="A952" s="45"/>
      <c r="B952" s="54"/>
      <c r="C952" s="47">
        <f t="shared" si="235"/>
        <v>3</v>
      </c>
      <c r="D952" s="73"/>
      <c r="E952" s="70"/>
      <c r="F952" s="70" t="s">
        <v>3398</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3372</v>
      </c>
      <c r="AG952" s="76"/>
      <c r="AH952" s="76">
        <v>1</v>
      </c>
      <c r="AI952" s="76">
        <v>1</v>
      </c>
      <c r="AJ952" s="73"/>
      <c r="AK952" s="57"/>
      <c r="AL952" s="45"/>
      <c r="AM952" s="45"/>
      <c r="AN952" s="45"/>
    </row>
    <row r="953" spans="1:40" hidden="1" outlineLevel="2" x14ac:dyDescent="0.25">
      <c r="A953" s="45"/>
      <c r="B953" s="54"/>
      <c r="C953" s="47">
        <f t="shared" si="235"/>
        <v>3</v>
      </c>
      <c r="D953" s="73"/>
      <c r="E953" s="70"/>
      <c r="F953" s="70" t="s">
        <v>3399</v>
      </c>
      <c r="G953" s="73"/>
      <c r="H953" s="76" t="s">
        <v>3756</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3373</v>
      </c>
      <c r="AG953" s="76"/>
      <c r="AH953" s="76">
        <v>1</v>
      </c>
      <c r="AI953" s="76">
        <v>1</v>
      </c>
      <c r="AJ953" s="73"/>
      <c r="AK953" s="57"/>
      <c r="AL953" s="45"/>
      <c r="AM953" s="45"/>
      <c r="AN953" s="45"/>
    </row>
    <row r="954" spans="1:40" hidden="1" outlineLevel="2" x14ac:dyDescent="0.25">
      <c r="A954" s="45"/>
      <c r="B954" s="54"/>
      <c r="C954" s="47">
        <f t="shared" si="235"/>
        <v>3</v>
      </c>
      <c r="D954" s="73"/>
      <c r="E954" s="70"/>
      <c r="F954" s="70" t="s">
        <v>3400</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3390</v>
      </c>
      <c r="AG954" s="76"/>
      <c r="AH954" s="97">
        <v>1</v>
      </c>
      <c r="AI954" s="97">
        <v>1</v>
      </c>
      <c r="AJ954" s="73"/>
      <c r="AK954" s="57"/>
      <c r="AL954" s="45"/>
      <c r="AM954" s="45"/>
      <c r="AN954" s="45"/>
    </row>
    <row r="955" spans="1:40" hidden="1" outlineLevel="2" x14ac:dyDescent="0.25">
      <c r="A955" s="45"/>
      <c r="B955" s="54"/>
      <c r="C955" s="47">
        <f t="shared" si="235"/>
        <v>3</v>
      </c>
      <c r="D955" s="73"/>
      <c r="E955" s="70"/>
      <c r="F955" s="70" t="s">
        <v>3401</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25">
      <c r="A956" s="45"/>
      <c r="B956" s="54"/>
      <c r="C956" s="47">
        <f t="shared" si="235"/>
        <v>3</v>
      </c>
      <c r="D956" s="73"/>
      <c r="E956" s="70"/>
      <c r="F956" s="70" t="s">
        <v>3402</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3372</v>
      </c>
      <c r="AG956" s="76"/>
      <c r="AH956" s="76">
        <v>1</v>
      </c>
      <c r="AI956" s="76">
        <v>1</v>
      </c>
      <c r="AJ956" s="73"/>
      <c r="AK956" s="57"/>
      <c r="AL956" s="45"/>
      <c r="AM956" s="45"/>
      <c r="AN956" s="45"/>
    </row>
    <row r="957" spans="1:40" hidden="1" outlineLevel="2" x14ac:dyDescent="0.25">
      <c r="A957" s="45"/>
      <c r="B957" s="54"/>
      <c r="C957" s="47">
        <f t="shared" si="235"/>
        <v>3</v>
      </c>
      <c r="D957" s="73"/>
      <c r="E957" s="70"/>
      <c r="F957" s="70" t="s">
        <v>3403</v>
      </c>
      <c r="G957" s="73"/>
      <c r="H957" s="76" t="s">
        <v>3757</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3373</v>
      </c>
      <c r="AG957" s="76"/>
      <c r="AH957" s="76">
        <v>1</v>
      </c>
      <c r="AI957" s="76">
        <v>1</v>
      </c>
      <c r="AJ957" s="73"/>
      <c r="AK957" s="57"/>
      <c r="AL957" s="45"/>
      <c r="AM957" s="45"/>
      <c r="AN957" s="45"/>
    </row>
    <row r="958" spans="1:40" hidden="1" outlineLevel="2" x14ac:dyDescent="0.25">
      <c r="A958" s="45"/>
      <c r="B958" s="54"/>
      <c r="C958" s="47">
        <f t="shared" si="235"/>
        <v>3</v>
      </c>
      <c r="D958" s="73"/>
      <c r="E958" s="70"/>
      <c r="F958" s="70" t="s">
        <v>3404</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3390</v>
      </c>
      <c r="AG958" s="76"/>
      <c r="AH958" s="97">
        <v>1</v>
      </c>
      <c r="AI958" s="97">
        <v>1</v>
      </c>
      <c r="AJ958" s="73"/>
      <c r="AK958" s="57"/>
      <c r="AL958" s="45"/>
      <c r="AM958" s="45"/>
      <c r="AN958" s="45"/>
    </row>
    <row r="959" spans="1:40" hidden="1" outlineLevel="2" x14ac:dyDescent="0.25">
      <c r="A959" s="45"/>
      <c r="B959" s="54"/>
      <c r="C959" s="47">
        <f t="shared" si="235"/>
        <v>3</v>
      </c>
      <c r="D959" s="73"/>
      <c r="E959" s="70"/>
      <c r="F959" s="70" t="s">
        <v>3405</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25">
      <c r="A960" s="45"/>
      <c r="B960" s="54"/>
      <c r="C960" s="47">
        <f t="shared" si="235"/>
        <v>3</v>
      </c>
      <c r="D960" s="73"/>
      <c r="E960" s="70"/>
      <c r="F960" s="70" t="s">
        <v>3406</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3372</v>
      </c>
      <c r="AG960" s="76"/>
      <c r="AH960" s="76">
        <v>1</v>
      </c>
      <c r="AI960" s="76">
        <v>1</v>
      </c>
      <c r="AJ960" s="73"/>
      <c r="AK960" s="57"/>
      <c r="AL960" s="45"/>
      <c r="AM960" s="45"/>
      <c r="AN960" s="45"/>
    </row>
    <row r="961" spans="1:40" hidden="1" outlineLevel="2" x14ac:dyDescent="0.25">
      <c r="A961" s="45"/>
      <c r="B961" s="54"/>
      <c r="C961" s="47">
        <f t="shared" si="235"/>
        <v>3</v>
      </c>
      <c r="D961" s="73"/>
      <c r="E961" s="70"/>
      <c r="F961" s="70" t="s">
        <v>3407</v>
      </c>
      <c r="G961" s="73"/>
      <c r="H961" s="76" t="s">
        <v>3758</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3373</v>
      </c>
      <c r="AG961" s="76"/>
      <c r="AH961" s="76">
        <v>1</v>
      </c>
      <c r="AI961" s="76">
        <v>1</v>
      </c>
      <c r="AJ961" s="73"/>
      <c r="AK961" s="57"/>
      <c r="AL961" s="45"/>
      <c r="AM961" s="45"/>
      <c r="AN961" s="45"/>
    </row>
    <row r="962" spans="1:40" hidden="1" outlineLevel="2" x14ac:dyDescent="0.25">
      <c r="A962" s="45"/>
      <c r="B962" s="54"/>
      <c r="C962" s="47">
        <f t="shared" si="235"/>
        <v>3</v>
      </c>
      <c r="D962" s="73"/>
      <c r="E962" s="70"/>
      <c r="F962" s="70" t="s">
        <v>3408</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3390</v>
      </c>
      <c r="AG962" s="76"/>
      <c r="AH962" s="97">
        <v>1</v>
      </c>
      <c r="AI962" s="97">
        <v>1</v>
      </c>
      <c r="AJ962" s="73"/>
      <c r="AK962" s="57"/>
      <c r="AL962" s="45"/>
      <c r="AM962" s="45"/>
      <c r="AN962" s="45"/>
    </row>
    <row r="963" spans="1:40" hidden="1" outlineLevel="2" x14ac:dyDescent="0.25">
      <c r="A963" s="45"/>
      <c r="B963" s="54"/>
      <c r="C963" s="47">
        <f t="shared" si="235"/>
        <v>3</v>
      </c>
      <c r="D963" s="73"/>
      <c r="E963" s="70"/>
      <c r="F963" s="70" t="s">
        <v>3409</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25">
      <c r="A964" s="45"/>
      <c r="B964" s="54"/>
      <c r="C964" s="47">
        <f t="shared" si="235"/>
        <v>3</v>
      </c>
      <c r="D964" s="73"/>
      <c r="E964" s="70"/>
      <c r="F964" s="70" t="s">
        <v>3410</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3372</v>
      </c>
      <c r="AG964" s="76"/>
      <c r="AH964" s="76">
        <v>1</v>
      </c>
      <c r="AI964" s="76">
        <v>1</v>
      </c>
      <c r="AJ964" s="73"/>
      <c r="AK964" s="57"/>
      <c r="AL964" s="45"/>
      <c r="AM964" s="45"/>
      <c r="AN964" s="45"/>
    </row>
    <row r="965" spans="1:40" hidden="1" outlineLevel="2" x14ac:dyDescent="0.25">
      <c r="A965" s="45"/>
      <c r="B965" s="54"/>
      <c r="C965" s="47">
        <f t="shared" si="235"/>
        <v>3</v>
      </c>
      <c r="D965" s="73"/>
      <c r="E965" s="70"/>
      <c r="F965" s="70" t="s">
        <v>3411</v>
      </c>
      <c r="G965" s="73"/>
      <c r="H965" s="76" t="s">
        <v>3759</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3373</v>
      </c>
      <c r="AG965" s="76"/>
      <c r="AH965" s="76">
        <v>1</v>
      </c>
      <c r="AI965" s="76">
        <v>1</v>
      </c>
      <c r="AJ965" s="73"/>
      <c r="AK965" s="57"/>
      <c r="AL965" s="45"/>
      <c r="AM965" s="45"/>
      <c r="AN965" s="45"/>
    </row>
    <row r="966" spans="1:40" hidden="1" outlineLevel="2" x14ac:dyDescent="0.25">
      <c r="A966" s="45"/>
      <c r="B966" s="54"/>
      <c r="C966" s="47">
        <f t="shared" si="235"/>
        <v>3</v>
      </c>
      <c r="D966" s="73"/>
      <c r="E966" s="70"/>
      <c r="F966" s="70" t="s">
        <v>3412</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3390</v>
      </c>
      <c r="AG966" s="76"/>
      <c r="AH966" s="97">
        <v>1</v>
      </c>
      <c r="AI966" s="97">
        <v>1</v>
      </c>
      <c r="AJ966" s="73"/>
      <c r="AK966" s="57"/>
      <c r="AL966" s="45"/>
      <c r="AM966" s="45"/>
      <c r="AN966" s="45"/>
    </row>
    <row r="967" spans="1:40" hidden="1" outlineLevel="2" x14ac:dyDescent="0.25">
      <c r="A967" s="45"/>
      <c r="B967" s="54"/>
      <c r="C967" s="47">
        <f t="shared" si="235"/>
        <v>3</v>
      </c>
      <c r="D967" s="73"/>
      <c r="E967" s="70"/>
      <c r="F967" s="70" t="s">
        <v>3413</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25">
      <c r="A968" s="45"/>
      <c r="B968" s="54"/>
      <c r="C968" s="47">
        <f t="shared" si="235"/>
        <v>3</v>
      </c>
      <c r="D968" s="73"/>
      <c r="E968" s="70"/>
      <c r="F968" s="70" t="s">
        <v>3414</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3372</v>
      </c>
      <c r="AG968" s="76"/>
      <c r="AH968" s="76">
        <v>1</v>
      </c>
      <c r="AI968" s="76">
        <v>1</v>
      </c>
      <c r="AJ968" s="73"/>
      <c r="AK968" s="57"/>
      <c r="AL968" s="45"/>
      <c r="AM968" s="45"/>
      <c r="AN968" s="45"/>
    </row>
    <row r="969" spans="1:40" hidden="1" outlineLevel="2" x14ac:dyDescent="0.25">
      <c r="A969" s="45"/>
      <c r="B969" s="54"/>
      <c r="C969" s="47">
        <f t="shared" si="235"/>
        <v>3</v>
      </c>
      <c r="D969" s="73"/>
      <c r="E969" s="70"/>
      <c r="F969" s="70" t="s">
        <v>3415</v>
      </c>
      <c r="G969" s="73"/>
      <c r="H969" s="76" t="s">
        <v>3760</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3373</v>
      </c>
      <c r="AG969" s="76"/>
      <c r="AH969" s="76">
        <v>1</v>
      </c>
      <c r="AI969" s="76">
        <v>1</v>
      </c>
      <c r="AJ969" s="73"/>
      <c r="AK969" s="57"/>
      <c r="AL969" s="45"/>
      <c r="AM969" s="45"/>
      <c r="AN969" s="45"/>
    </row>
    <row r="970" spans="1:40" hidden="1" outlineLevel="2" x14ac:dyDescent="0.25">
      <c r="A970" s="45"/>
      <c r="B970" s="54"/>
      <c r="C970" s="47">
        <f t="shared" si="235"/>
        <v>3</v>
      </c>
      <c r="D970" s="73"/>
      <c r="E970" s="70"/>
      <c r="F970" s="70" t="s">
        <v>3416</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3390</v>
      </c>
      <c r="AG970" s="76"/>
      <c r="AH970" s="97">
        <v>1</v>
      </c>
      <c r="AI970" s="97">
        <v>1</v>
      </c>
      <c r="AJ970" s="73"/>
      <c r="AK970" s="57"/>
      <c r="AL970" s="45"/>
      <c r="AM970" s="45"/>
      <c r="AN970" s="45"/>
    </row>
    <row r="971" spans="1:40" hidden="1" outlineLevel="2" x14ac:dyDescent="0.25">
      <c r="A971" s="45"/>
      <c r="B971" s="54"/>
      <c r="C971" s="47">
        <f t="shared" si="235"/>
        <v>3</v>
      </c>
      <c r="D971" s="73"/>
      <c r="E971" s="70"/>
      <c r="F971" s="70" t="s">
        <v>3417</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25">
      <c r="A972" s="45"/>
      <c r="B972" s="54"/>
      <c r="C972" s="47">
        <f t="shared" si="235"/>
        <v>3</v>
      </c>
      <c r="D972" s="73"/>
      <c r="E972" s="70"/>
      <c r="F972" s="70" t="s">
        <v>3418</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3372</v>
      </c>
      <c r="AG972" s="76"/>
      <c r="AH972" s="76">
        <v>1</v>
      </c>
      <c r="AI972" s="76">
        <v>1</v>
      </c>
      <c r="AJ972" s="73"/>
      <c r="AK972" s="57"/>
      <c r="AL972" s="45"/>
      <c r="AM972" s="45"/>
      <c r="AN972" s="45"/>
    </row>
    <row r="973" spans="1:40" hidden="1" outlineLevel="2" x14ac:dyDescent="0.25">
      <c r="A973" s="45"/>
      <c r="B973" s="54"/>
      <c r="C973" s="47">
        <f t="shared" si="235"/>
        <v>3</v>
      </c>
      <c r="D973" s="73"/>
      <c r="E973" s="70"/>
      <c r="F973" s="70" t="s">
        <v>3739</v>
      </c>
      <c r="G973" s="73"/>
      <c r="H973" s="76" t="s">
        <v>3761</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3373</v>
      </c>
      <c r="AG973" s="76"/>
      <c r="AH973" s="76">
        <v>1</v>
      </c>
      <c r="AI973" s="76">
        <v>1</v>
      </c>
      <c r="AJ973" s="73"/>
      <c r="AK973" s="57"/>
      <c r="AL973" s="45"/>
      <c r="AM973" s="45"/>
      <c r="AN973" s="45"/>
    </row>
    <row r="974" spans="1:40" hidden="1" outlineLevel="2" x14ac:dyDescent="0.25">
      <c r="A974" s="45"/>
      <c r="B974" s="54"/>
      <c r="C974" s="47">
        <f t="shared" si="235"/>
        <v>3</v>
      </c>
      <c r="D974" s="73"/>
      <c r="E974" s="70"/>
      <c r="F974" s="70" t="s">
        <v>3740</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3390</v>
      </c>
      <c r="AG974" s="76"/>
      <c r="AH974" s="97">
        <v>1</v>
      </c>
      <c r="AI974" s="97">
        <v>1</v>
      </c>
      <c r="AJ974" s="73"/>
      <c r="AK974" s="57"/>
      <c r="AL974" s="45"/>
      <c r="AM974" s="45"/>
      <c r="AN974" s="45"/>
    </row>
    <row r="975" spans="1:40" hidden="1" outlineLevel="2" x14ac:dyDescent="0.25">
      <c r="A975" s="45"/>
      <c r="B975" s="54"/>
      <c r="C975" s="47">
        <f t="shared" si="235"/>
        <v>3</v>
      </c>
      <c r="D975" s="73"/>
      <c r="E975" s="70"/>
      <c r="F975" s="70" t="s">
        <v>3741</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25">
      <c r="A976" s="45"/>
      <c r="B976" s="54"/>
      <c r="C976" s="47">
        <f t="shared" si="235"/>
        <v>3</v>
      </c>
      <c r="D976" s="73"/>
      <c r="E976" s="70"/>
      <c r="F976" s="70" t="s">
        <v>3742</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3372</v>
      </c>
      <c r="AG976" s="76"/>
      <c r="AH976" s="76">
        <v>1</v>
      </c>
      <c r="AI976" s="76">
        <v>1</v>
      </c>
      <c r="AJ976" s="73"/>
      <c r="AK976" s="57"/>
      <c r="AL976" s="45"/>
      <c r="AM976" s="45"/>
      <c r="AN976" s="45"/>
    </row>
    <row r="977" spans="1:40" hidden="1" outlineLevel="2" x14ac:dyDescent="0.25">
      <c r="A977" s="45"/>
      <c r="B977" s="54"/>
      <c r="C977" s="47">
        <f t="shared" si="235"/>
        <v>3</v>
      </c>
      <c r="D977" s="73"/>
      <c r="E977" s="70"/>
      <c r="F977" s="70" t="s">
        <v>3762</v>
      </c>
      <c r="G977" s="73"/>
      <c r="H977" s="76" t="s">
        <v>3772</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3770</v>
      </c>
      <c r="AG977" s="76"/>
      <c r="AH977" s="76">
        <v>1</v>
      </c>
      <c r="AI977" s="76">
        <v>1</v>
      </c>
      <c r="AJ977" s="73"/>
      <c r="AK977" s="57"/>
      <c r="AL977" s="45"/>
      <c r="AM977" s="45"/>
      <c r="AN977" s="45"/>
    </row>
    <row r="978" spans="1:40" hidden="1" outlineLevel="2" x14ac:dyDescent="0.25">
      <c r="A978" s="45"/>
      <c r="B978" s="54"/>
      <c r="C978" s="47">
        <f t="shared" si="235"/>
        <v>3</v>
      </c>
      <c r="D978" s="73"/>
      <c r="E978" s="70"/>
      <c r="F978" s="70" t="s">
        <v>3763</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3771</v>
      </c>
      <c r="AG978" s="76"/>
      <c r="AH978" s="97">
        <v>1</v>
      </c>
      <c r="AI978" s="97">
        <v>1</v>
      </c>
      <c r="AJ978" s="73"/>
      <c r="AK978" s="57"/>
      <c r="AL978" s="45"/>
      <c r="AM978" s="45"/>
      <c r="AN978" s="45"/>
    </row>
    <row r="979" spans="1:40" hidden="1" outlineLevel="2" x14ac:dyDescent="0.25">
      <c r="A979" s="45"/>
      <c r="B979" s="54"/>
      <c r="C979" s="47">
        <f t="shared" si="235"/>
        <v>3</v>
      </c>
      <c r="D979" s="73"/>
      <c r="E979" s="70"/>
      <c r="F979" s="70" t="s">
        <v>3764</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25">
      <c r="A980" s="45"/>
      <c r="B980" s="54"/>
      <c r="C980" s="47">
        <f t="shared" si="235"/>
        <v>3</v>
      </c>
      <c r="D980" s="73"/>
      <c r="E980" s="70"/>
      <c r="F980" s="70" t="s">
        <v>3765</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3372</v>
      </c>
      <c r="AG980" s="76"/>
      <c r="AH980" s="76">
        <v>1</v>
      </c>
      <c r="AI980" s="76">
        <v>1</v>
      </c>
      <c r="AJ980" s="73"/>
      <c r="AK980" s="57"/>
      <c r="AL980" s="45"/>
      <c r="AM980" s="45"/>
      <c r="AN980" s="45"/>
    </row>
    <row r="981" spans="1:40" hidden="1" outlineLevel="2" x14ac:dyDescent="0.25">
      <c r="A981" s="45"/>
      <c r="B981" s="54"/>
      <c r="C981" s="47">
        <f t="shared" si="235"/>
        <v>3</v>
      </c>
      <c r="D981" s="73"/>
      <c r="E981" s="70"/>
      <c r="F981" s="70" t="s">
        <v>3766</v>
      </c>
      <c r="G981" s="73"/>
      <c r="H981" s="76" t="s">
        <v>3773</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3770</v>
      </c>
      <c r="AG981" s="76"/>
      <c r="AH981" s="76">
        <v>1</v>
      </c>
      <c r="AI981" s="76">
        <v>1</v>
      </c>
      <c r="AJ981" s="73"/>
      <c r="AK981" s="57"/>
      <c r="AL981" s="45"/>
      <c r="AM981" s="45"/>
      <c r="AN981" s="45"/>
    </row>
    <row r="982" spans="1:40" hidden="1" outlineLevel="2" x14ac:dyDescent="0.25">
      <c r="A982" s="45"/>
      <c r="B982" s="54"/>
      <c r="C982" s="47">
        <f t="shared" si="235"/>
        <v>3</v>
      </c>
      <c r="D982" s="73"/>
      <c r="E982" s="70"/>
      <c r="F982" s="70" t="s">
        <v>3767</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3771</v>
      </c>
      <c r="AG982" s="76"/>
      <c r="AH982" s="97">
        <v>1</v>
      </c>
      <c r="AI982" s="97">
        <v>1</v>
      </c>
      <c r="AJ982" s="73"/>
      <c r="AK982" s="57"/>
      <c r="AL982" s="45"/>
      <c r="AM982" s="45"/>
      <c r="AN982" s="45"/>
    </row>
    <row r="983" spans="1:40" hidden="1" outlineLevel="2" x14ac:dyDescent="0.25">
      <c r="A983" s="45"/>
      <c r="B983" s="54"/>
      <c r="C983" s="47">
        <f t="shared" si="235"/>
        <v>3</v>
      </c>
      <c r="D983" s="73"/>
      <c r="E983" s="70"/>
      <c r="F983" s="70" t="s">
        <v>3768</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25">
      <c r="A984" s="45"/>
      <c r="B984" s="54"/>
      <c r="C984" s="47">
        <f t="shared" si="235"/>
        <v>3</v>
      </c>
      <c r="D984" s="73"/>
      <c r="E984" s="70"/>
      <c r="F984" s="70" t="s">
        <v>3769</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3372</v>
      </c>
      <c r="AG984" s="76"/>
      <c r="AH984" s="76">
        <v>1</v>
      </c>
      <c r="AI984" s="76">
        <v>1</v>
      </c>
      <c r="AJ984" s="73"/>
      <c r="AK984" s="57"/>
      <c r="AL984" s="45"/>
      <c r="AM984" s="45"/>
      <c r="AN984" s="45"/>
    </row>
    <row r="985" spans="1:40"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collapsed="1"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1660</v>
      </c>
      <c r="G1030" s="73"/>
      <c r="H1030" s="76" t="s">
        <v>1472</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3320</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3321</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3322</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3323</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3419</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3420</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3421</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3422</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3423</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3424</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3425</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3426</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3427</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3428</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3429</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3430</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3431</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3432</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3433</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3434</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3435</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3436</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3437</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3438</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3439</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3440</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3441</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3442</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3443</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3444</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3445</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3446</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3447</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3448</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3449</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3450</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3451</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3452</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3453</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08"/>
        <v>4</v>
      </c>
      <c r="D1129" s="73"/>
      <c r="E1129" s="70"/>
      <c r="F1129" s="70" t="s">
        <v>3454</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09">INT($C$29)+3</f>
        <v>4</v>
      </c>
      <c r="D1130" s="73"/>
      <c r="E1130" s="70"/>
      <c r="F1130" s="70" t="s">
        <v>3455</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3456</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3457</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3458</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3459</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3460</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3461</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3462</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3743</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3744</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3745</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3746</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3778</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3779</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3780</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3781</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3774</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3775</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3776</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09"/>
        <v>4</v>
      </c>
      <c r="D1149" s="73"/>
      <c r="E1149" s="70"/>
      <c r="F1149" s="70" t="s">
        <v>3777</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12">INT($C$29)+2</f>
        <v>3</v>
      </c>
      <c r="D1157" s="73"/>
      <c r="E1157" s="70"/>
      <c r="F1157" s="70" t="s">
        <v>1717</v>
      </c>
      <c r="G1157" s="73"/>
      <c r="H1157" s="76" t="s">
        <v>3488</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3499</v>
      </c>
      <c r="G1158" s="73"/>
      <c r="H1158" s="76" t="s">
        <v>3495</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1718</v>
      </c>
      <c r="G1159" s="73"/>
      <c r="H1159" s="76" t="s">
        <v>3496</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3500</v>
      </c>
      <c r="G1160" s="73"/>
      <c r="H1160" s="76" t="s">
        <v>3497</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1721</v>
      </c>
      <c r="G1161" s="73"/>
      <c r="H1161" s="76" t="s">
        <v>3498</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3501</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3342</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3343</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3344</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3345</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3346</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3347</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3348</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2">INT($C$29)+2</f>
        <v>3</v>
      </c>
      <c r="D1316" s="73"/>
      <c r="E1316" s="406"/>
      <c r="F1316" s="406" t="s">
        <v>3349</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-15</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3">INT($C$29)+3</f>
        <v>4</v>
      </c>
      <c r="D1318" s="73"/>
      <c r="E1318" s="70"/>
      <c r="F1318" s="70" t="s">
        <v>1909</v>
      </c>
      <c r="G1318" s="73"/>
      <c r="H1318" s="76" t="s">
        <v>3489</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SUBSTITUTE(F1325,",7)",",12)")</f>
        <v>C(U2,0,12)</v>
      </c>
      <c r="G1330" s="73"/>
      <c r="H1330" s="76" t="s">
        <v>3336</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tr">
        <f>SUBSTITUTE(F1325,",7)",",13)")</f>
        <v>C(U2,0,13)</v>
      </c>
      <c r="G1331" s="73"/>
      <c r="H1331" s="76" t="s">
        <v>3337</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3293</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SUBSTITUTE(F1655,",7)",",11)")</f>
        <v>C(U2,22,11)</v>
      </c>
      <c r="G1659" s="73"/>
      <c r="H1659" s="373" t="s">
        <v>3339</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SUBSTITUTE(F1654,",6)",",12)")</f>
        <v>C(U2,22,12)</v>
      </c>
      <c r="G1660" s="73"/>
      <c r="H1660" s="373" t="s">
        <v>3340</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0"/>
        <v>4</v>
      </c>
      <c r="D1661" s="73"/>
      <c r="E1661" s="70"/>
      <c r="F1661" s="70" t="str">
        <f>SUBSTITUTE(F1655,",7)",",13)")</f>
        <v>C(U2,22,13)</v>
      </c>
      <c r="G1661" s="73"/>
      <c r="H1661" s="373" t="s">
        <v>3341</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3338</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SUBSTITUTE(F1670,",7)",",11)")</f>
        <v>C(U2,23,11)</v>
      </c>
      <c r="G1674" s="73"/>
      <c r="H1674" s="373" t="s">
        <v>3339</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3"/>
        <v>4</v>
      </c>
      <c r="D1675" s="73"/>
      <c r="E1675" s="70"/>
      <c r="F1675" s="70" t="str">
        <f>SUBSTITUTE(F1669,",6)",",12)")</f>
        <v>C(U2,23,12)</v>
      </c>
      <c r="G1675" s="73"/>
      <c r="H1675" s="373" t="s">
        <v>3490</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3"/>
        <v>4</v>
      </c>
      <c r="D1676" s="73"/>
      <c r="E1676" s="70"/>
      <c r="F1676" s="70" t="s">
        <v>3491</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3794</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3793</v>
      </c>
      <c r="AG1679" s="76"/>
      <c r="AH1679" s="97">
        <v>1</v>
      </c>
      <c r="AI1679" s="97">
        <v>1</v>
      </c>
      <c r="AJ1679" s="73"/>
      <c r="AK1679" s="57"/>
      <c r="AL1679" s="45"/>
      <c r="AM1679" s="45"/>
      <c r="AN1679" s="45"/>
    </row>
    <row r="1680" spans="1:40" hidden="1" outlineLevel="2" collapsed="1" x14ac:dyDescent="0.2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2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0"/>
        <v>4</v>
      </c>
      <c r="D1690" s="73"/>
      <c r="E1690" s="70"/>
      <c r="F1690" s="70" t="s">
        <v>3332</v>
      </c>
      <c r="G1690" s="73"/>
      <c r="H1690" s="374" t="s">
        <v>3331</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0"/>
        <v>4</v>
      </c>
      <c r="D1691" s="73"/>
      <c r="E1691" s="70"/>
      <c r="F1691" s="70" t="s">
        <v>3333</v>
      </c>
      <c r="G1691" s="73"/>
      <c r="H1691" s="374" t="s">
        <v>3330</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3783</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30">
        <f>W1708</f>
        <v>-9.8000000000000004E-2</v>
      </c>
      <c r="X1693" s="630">
        <f t="shared" ref="X1693:Y1693" si="374">X1708</f>
        <v>-9.8000000000000004E-2</v>
      </c>
      <c r="Y1693" s="630">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3782</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30">
        <f t="shared" ref="W1694:Y1694" si="376">W1709</f>
        <v>0</v>
      </c>
      <c r="X1694" s="630">
        <f t="shared" si="376"/>
        <v>0</v>
      </c>
      <c r="Y1694" s="630">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30">
        <f t="shared" ref="W1695:Y1695" si="381">W1710</f>
        <v>0</v>
      </c>
      <c r="X1695" s="630">
        <f t="shared" si="381"/>
        <v>0</v>
      </c>
      <c r="Y1695" s="630">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3802</v>
      </c>
      <c r="AG1695" s="76"/>
      <c r="AH1695" s="97">
        <v>1</v>
      </c>
      <c r="AI1695" s="97">
        <v>1</v>
      </c>
      <c r="AJ1695" s="73"/>
      <c r="AK1695" s="57"/>
      <c r="AL1695" s="45"/>
      <c r="AM1695" s="45"/>
      <c r="AN1695" s="45"/>
    </row>
    <row r="1696" spans="1:40" hidden="1" outlineLevel="3" x14ac:dyDescent="0.2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30">
        <f t="shared" ref="W1696:Y1696" si="383">W1711</f>
        <v>0</v>
      </c>
      <c r="X1696" s="630">
        <f t="shared" si="383"/>
        <v>0</v>
      </c>
      <c r="Y1696" s="630">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30">
        <f t="shared" ref="W1697:Y1697" si="384">W1712</f>
        <v>0</v>
      </c>
      <c r="X1697" s="630">
        <f t="shared" si="384"/>
        <v>0</v>
      </c>
      <c r="Y1697" s="630">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30">
        <f t="shared" ref="W1698:Y1698" si="385">W1713</f>
        <v>0</v>
      </c>
      <c r="X1698" s="630">
        <f t="shared" si="385"/>
        <v>0</v>
      </c>
      <c r="Y1698" s="630">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30">
        <f t="shared" ref="W1699:Y1699" si="386">W1714</f>
        <v>-3.7749999999999999E-2</v>
      </c>
      <c r="X1699" s="630">
        <f t="shared" si="386"/>
        <v>-3.7749999999999999E-2</v>
      </c>
      <c r="Y1699" s="630">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30">
        <f t="shared" ref="W1700:Y1700" si="387">W1715</f>
        <v>0</v>
      </c>
      <c r="X1700" s="630">
        <f t="shared" si="387"/>
        <v>0</v>
      </c>
      <c r="Y1700" s="630">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30">
        <f t="shared" ref="W1701:Y1701" si="388">W1716</f>
        <v>0.05</v>
      </c>
      <c r="X1701" s="630">
        <f t="shared" si="388"/>
        <v>0.05</v>
      </c>
      <c r="Y1701" s="630">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30">
        <f t="shared" ref="W1702:Y1702" si="389">W1717</f>
        <v>-9.3500000000000007E-3</v>
      </c>
      <c r="X1702" s="630">
        <f t="shared" si="389"/>
        <v>-9.3500000000000007E-3</v>
      </c>
      <c r="Y1702" s="630">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30">
        <f t="shared" ref="W1703:Y1703" si="393">W1718</f>
        <v>-7.0369200000000003E-3</v>
      </c>
      <c r="X1703" s="630">
        <f t="shared" si="393"/>
        <v>-7.0369200000000003E-3</v>
      </c>
      <c r="Y1703" s="630">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30">
        <f t="shared" ref="W1704:Y1704" si="394">W1719</f>
        <v>7.4569999999999999E-5</v>
      </c>
      <c r="X1704" s="630">
        <f t="shared" si="394"/>
        <v>7.4569999999999999E-5</v>
      </c>
      <c r="Y1704" s="630">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0"/>
        <v>4</v>
      </c>
      <c r="D1705" s="73"/>
      <c r="E1705" s="70"/>
      <c r="F1705" s="70" t="s">
        <v>3334</v>
      </c>
      <c r="G1705" s="73"/>
      <c r="H1705" s="374" t="s">
        <v>3331</v>
      </c>
      <c r="I1705" s="96"/>
      <c r="J1705" s="76"/>
      <c r="K1705" s="76"/>
      <c r="L1705" s="76"/>
      <c r="M1705" s="76"/>
      <c r="N1705" s="76"/>
      <c r="O1705" s="76"/>
      <c r="P1705" s="76"/>
      <c r="Q1705" s="76"/>
      <c r="R1705" s="76"/>
      <c r="S1705" s="76"/>
      <c r="T1705" s="76"/>
      <c r="U1705" s="97">
        <v>-0.63980999999999999</v>
      </c>
      <c r="V1705" s="255">
        <f t="shared" si="373"/>
        <v>-0.63980999999999999</v>
      </c>
      <c r="W1705" s="630">
        <f t="shared" ref="W1705:Y1706" si="395">W1720</f>
        <v>0</v>
      </c>
      <c r="X1705" s="630">
        <f t="shared" si="395"/>
        <v>0</v>
      </c>
      <c r="Y1705" s="630">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0"/>
        <v>4</v>
      </c>
      <c r="D1706" s="73"/>
      <c r="E1706" s="70"/>
      <c r="F1706" s="70" t="s">
        <v>3335</v>
      </c>
      <c r="G1706" s="73"/>
      <c r="H1706" s="374" t="s">
        <v>3330</v>
      </c>
      <c r="I1706" s="96"/>
      <c r="J1706" s="76"/>
      <c r="K1706" s="76"/>
      <c r="L1706" s="76"/>
      <c r="M1706" s="76"/>
      <c r="N1706" s="76"/>
      <c r="O1706" s="76"/>
      <c r="P1706" s="76"/>
      <c r="Q1706" s="76"/>
      <c r="R1706" s="76"/>
      <c r="S1706" s="76"/>
      <c r="T1706" s="76"/>
      <c r="U1706" s="76">
        <v>0</v>
      </c>
      <c r="V1706" s="76">
        <v>0</v>
      </c>
      <c r="W1706" s="630">
        <f t="shared" si="395"/>
        <v>0</v>
      </c>
      <c r="X1706" s="630">
        <f t="shared" si="395"/>
        <v>0</v>
      </c>
      <c r="Y1706" s="630">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30">
        <f t="shared" ref="W1707:Y1707" si="399">W1722</f>
        <v>-1.8110552</v>
      </c>
      <c r="X1707" s="630">
        <f t="shared" si="399"/>
        <v>-1.8110552</v>
      </c>
      <c r="Y1707" s="630">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3307</v>
      </c>
      <c r="G1708" s="73"/>
      <c r="H1708" s="76" t="s">
        <v>3801</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3784</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3309</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3795</v>
      </c>
      <c r="AG1709" s="76"/>
      <c r="AH1709" s="97">
        <v>1</v>
      </c>
      <c r="AI1709" s="97">
        <v>1</v>
      </c>
      <c r="AJ1709" s="73"/>
      <c r="AK1709" s="57"/>
      <c r="AL1709" s="45"/>
      <c r="AM1709" s="45"/>
      <c r="AN1709" s="45"/>
    </row>
    <row r="1710" spans="1:40" hidden="1" outlineLevel="3" collapsed="1" x14ac:dyDescent="0.25">
      <c r="A1710" s="45"/>
      <c r="B1710" s="54"/>
      <c r="C1710" s="47">
        <f t="shared" ref="C1710:C1721" si="400">INT($C$29)+3</f>
        <v>4</v>
      </c>
      <c r="D1710" s="73"/>
      <c r="E1710" s="70"/>
      <c r="F1710" s="70" t="s">
        <v>3308</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00"/>
        <v>4</v>
      </c>
      <c r="D1711" s="73"/>
      <c r="E1711" s="70"/>
      <c r="F1711" s="70" t="s">
        <v>3310</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00"/>
        <v>4</v>
      </c>
      <c r="D1712" s="73"/>
      <c r="E1712" s="70"/>
      <c r="F1712" s="70" t="s">
        <v>3311</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00"/>
        <v>4</v>
      </c>
      <c r="D1713" s="73"/>
      <c r="E1713" s="70"/>
      <c r="F1713" s="70" t="s">
        <v>3312</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00"/>
        <v>4</v>
      </c>
      <c r="D1714" s="73"/>
      <c r="E1714" s="70"/>
      <c r="F1714" s="70" t="s">
        <v>3313</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00"/>
        <v>4</v>
      </c>
      <c r="D1715" s="73"/>
      <c r="E1715" s="70"/>
      <c r="F1715" s="70" t="s">
        <v>3314</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00"/>
        <v>4</v>
      </c>
      <c r="D1716" s="73"/>
      <c r="E1716" s="70"/>
      <c r="F1716" s="70" t="s">
        <v>3315</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25">
      <c r="A1717" s="45"/>
      <c r="B1717" s="54"/>
      <c r="C1717" s="47">
        <f t="shared" si="400"/>
        <v>4</v>
      </c>
      <c r="D1717" s="73"/>
      <c r="E1717" s="70"/>
      <c r="F1717" s="70" t="s">
        <v>3316</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00"/>
        <v>4</v>
      </c>
      <c r="D1718" s="73"/>
      <c r="E1718" s="70"/>
      <c r="F1718" s="70" t="s">
        <v>3317</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00"/>
        <v>4</v>
      </c>
      <c r="D1719" s="73"/>
      <c r="E1719" s="70"/>
      <c r="F1719" s="70" t="s">
        <v>3318</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00"/>
        <v>4</v>
      </c>
      <c r="D1720" s="73"/>
      <c r="E1720" s="70"/>
      <c r="F1720" s="70" t="s">
        <v>3328</v>
      </c>
      <c r="G1720" s="73"/>
      <c r="H1720" s="374" t="s">
        <v>3331</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00"/>
        <v>4</v>
      </c>
      <c r="D1721" s="73"/>
      <c r="E1721" s="70"/>
      <c r="F1721" s="70" t="s">
        <v>3329</v>
      </c>
      <c r="G1721" s="73"/>
      <c r="H1721" s="374" t="s">
        <v>3330</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3319</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3350</v>
      </c>
      <c r="G1723" s="73"/>
      <c r="H1723" s="76" t="s">
        <v>3359</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3603</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3351</v>
      </c>
      <c r="G1724" s="73"/>
      <c r="H1724" s="76" t="s">
        <v>3360</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3361</v>
      </c>
      <c r="AG1724" s="76"/>
      <c r="AH1724" s="76">
        <v>1</v>
      </c>
      <c r="AI1724" s="76">
        <v>1</v>
      </c>
      <c r="AJ1724" s="73"/>
      <c r="AK1724" s="57"/>
      <c r="AL1724" s="45"/>
      <c r="AM1724" s="45"/>
      <c r="AN1724" s="45"/>
    </row>
    <row r="1725" spans="1:40" hidden="1" outlineLevel="2" x14ac:dyDescent="0.25">
      <c r="A1725" s="45"/>
      <c r="B1725" s="54"/>
      <c r="C1725" s="47">
        <f t="shared" ref="C1725:C1736" si="404">INT($C$29)+3</f>
        <v>4</v>
      </c>
      <c r="D1725" s="73"/>
      <c r="E1725" s="70"/>
      <c r="F1725" s="70" t="s">
        <v>3352</v>
      </c>
      <c r="G1725" s="73"/>
      <c r="H1725" s="76" t="s">
        <v>3599</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3362</v>
      </c>
      <c r="AG1725" s="76"/>
      <c r="AH1725" s="97">
        <v>1</v>
      </c>
      <c r="AI1725" s="97">
        <v>1</v>
      </c>
      <c r="AJ1725" s="73"/>
      <c r="AK1725" s="57"/>
      <c r="AL1725" s="45"/>
      <c r="AM1725" s="45"/>
      <c r="AN1725" s="45"/>
    </row>
    <row r="1726" spans="1:40" hidden="1" outlineLevel="2" collapsed="1" x14ac:dyDescent="0.25">
      <c r="A1726" s="45"/>
      <c r="B1726" s="54"/>
      <c r="C1726" s="47">
        <f t="shared" si="404"/>
        <v>4</v>
      </c>
      <c r="D1726" s="73"/>
      <c r="E1726" s="70"/>
      <c r="F1726" s="70" t="s">
        <v>3353</v>
      </c>
      <c r="G1726" s="73"/>
      <c r="H1726" s="76" t="s">
        <v>3600</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04"/>
        <v>4</v>
      </c>
      <c r="D1727" s="73"/>
      <c r="E1727" s="70"/>
      <c r="F1727" s="70" t="s">
        <v>3354</v>
      </c>
      <c r="G1727" s="73"/>
      <c r="H1727" s="76" t="s">
        <v>3601</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04"/>
        <v>4</v>
      </c>
      <c r="D1728" s="73"/>
      <c r="E1728" s="70"/>
      <c r="F1728" s="70" t="s">
        <v>3355</v>
      </c>
      <c r="G1728" s="73"/>
      <c r="H1728" s="76" t="s">
        <v>3602</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04"/>
        <v>4</v>
      </c>
      <c r="D1729" s="73"/>
      <c r="E1729" s="70"/>
      <c r="F1729" s="70" t="s">
        <v>3356</v>
      </c>
      <c r="G1729" s="73"/>
      <c r="H1729" s="373" t="s">
        <v>3363</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4"/>
        <v>4</v>
      </c>
      <c r="D1730" s="73"/>
      <c r="E1730" s="70"/>
      <c r="F1730" s="70" t="s">
        <v>3357</v>
      </c>
      <c r="G1730" s="73"/>
      <c r="H1730" s="373" t="s">
        <v>3364</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4"/>
        <v>4</v>
      </c>
      <c r="D1731" s="73"/>
      <c r="E1731" s="70"/>
      <c r="F1731" s="70" t="str">
        <f>SUBSTITUTE(F1727,",4)",",8)")</f>
        <v>C(U2,27,8)</v>
      </c>
      <c r="G1731" s="73"/>
      <c r="H1731" s="373" t="s">
        <v>3365</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4"/>
        <v>4</v>
      </c>
      <c r="D1732" s="73"/>
      <c r="E1732" s="70"/>
      <c r="F1732" s="70" t="str">
        <f>SUBSTITUTE(F1728,",5)",",9)")</f>
        <v>C(U2,27,9)</v>
      </c>
      <c r="G1732" s="73"/>
      <c r="H1732" s="373" t="s">
        <v>3366</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04"/>
        <v>4</v>
      </c>
      <c r="D1733" s="73"/>
      <c r="E1733" s="70"/>
      <c r="F1733" s="70" t="str">
        <f>SUBSTITUTE(F1729,",6)",",10)")</f>
        <v>C(U2,27,10)</v>
      </c>
      <c r="G1733" s="73"/>
      <c r="H1733" s="373" t="s">
        <v>3367</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04"/>
        <v>4</v>
      </c>
      <c r="D1734" s="73"/>
      <c r="E1734" s="70"/>
      <c r="F1734" s="70" t="str">
        <f>SUBSTITUTE(F1730,",7)",",11)")</f>
        <v>C(U2,27,11)</v>
      </c>
      <c r="G1734" s="73"/>
      <c r="H1734" s="373" t="s">
        <v>3368</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4"/>
        <v>4</v>
      </c>
      <c r="D1735" s="73"/>
      <c r="E1735" s="70"/>
      <c r="F1735" s="70" t="str">
        <f>SUBSTITUTE(F1729,",6)",",12)")</f>
        <v>C(U2,27,12)</v>
      </c>
      <c r="G1735" s="73"/>
      <c r="H1735" s="373" t="s">
        <v>3369</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04"/>
        <v>4</v>
      </c>
      <c r="D1736" s="73"/>
      <c r="E1736" s="70"/>
      <c r="F1736" s="70" t="str">
        <f>SUBSTITUTE(F1730,",7)",",13)")</f>
        <v>C(U2,27,13)</v>
      </c>
      <c r="G1736" s="73"/>
      <c r="H1736" s="373" t="s">
        <v>3370</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3358</v>
      </c>
      <c r="G1737" s="73"/>
      <c r="H1737" s="76" t="s">
        <v>3371</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25">
      <c r="A1738" s="45"/>
      <c r="B1738" s="54"/>
      <c r="C1738" s="47">
        <f>INT($C$29)+1</f>
        <v>2</v>
      </c>
      <c r="D1738" s="73"/>
      <c r="E1738" s="70"/>
      <c r="F1738" s="265" t="s">
        <v>1702</v>
      </c>
      <c r="G1738" s="73"/>
      <c r="H1738" s="267" t="s">
        <v>3747</v>
      </c>
      <c r="I1738" s="129"/>
      <c r="J1738" s="129" t="s">
        <v>1044</v>
      </c>
      <c r="K1738" s="76"/>
      <c r="L1738" s="76"/>
      <c r="M1738" s="76"/>
      <c r="N1738" s="76"/>
      <c r="O1738" s="76"/>
      <c r="P1738" s="76"/>
      <c r="Q1738" s="76"/>
      <c r="R1738" s="76"/>
      <c r="S1738" s="76"/>
      <c r="T1738" s="76"/>
      <c r="U1738" s="79">
        <v>24</v>
      </c>
      <c r="V1738" s="79">
        <v>15</v>
      </c>
      <c r="W1738" s="79">
        <v>-15</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25">
      <c r="A1739" s="45"/>
      <c r="B1739" s="54"/>
      <c r="C1739" s="47">
        <f t="shared" ref="C1739:C1758" si="430">INT($C$29)+3</f>
        <v>4</v>
      </c>
      <c r="D1739" s="73"/>
      <c r="E1739" s="70"/>
      <c r="F1739" s="70" t="s">
        <v>3518</v>
      </c>
      <c r="G1739" s="73"/>
      <c r="H1739" s="76" t="s">
        <v>3514</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0"/>
        <v>4</v>
      </c>
      <c r="D1740" s="73"/>
      <c r="E1740" s="70"/>
      <c r="F1740" s="70" t="s">
        <v>3519</v>
      </c>
      <c r="G1740" s="73"/>
      <c r="H1740" s="76" t="s">
        <v>3502</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0"/>
        <v>4</v>
      </c>
      <c r="D1741" s="73"/>
      <c r="E1741" s="70"/>
      <c r="F1741" s="70" t="s">
        <v>3520</v>
      </c>
      <c r="G1741" s="73"/>
      <c r="H1741" s="76" t="s">
        <v>3509</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0"/>
        <v>4</v>
      </c>
      <c r="D1742" s="73"/>
      <c r="E1742" s="70"/>
      <c r="F1742" s="70" t="s">
        <v>3521</v>
      </c>
      <c r="G1742" s="73"/>
      <c r="H1742" s="76" t="s">
        <v>3503</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0"/>
        <v>4</v>
      </c>
      <c r="D1743" s="73"/>
      <c r="E1743" s="70"/>
      <c r="F1743" s="70" t="s">
        <v>3522</v>
      </c>
      <c r="G1743" s="73"/>
      <c r="H1743" s="76" t="s">
        <v>3510</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0"/>
        <v>4</v>
      </c>
      <c r="D1744" s="73"/>
      <c r="E1744" s="70"/>
      <c r="F1744" s="70" t="s">
        <v>3523</v>
      </c>
      <c r="G1744" s="73"/>
      <c r="H1744" s="76" t="s">
        <v>3504</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0"/>
        <v>4</v>
      </c>
      <c r="D1745" s="73"/>
      <c r="E1745" s="70"/>
      <c r="F1745" s="70" t="s">
        <v>3524</v>
      </c>
      <c r="G1745" s="73"/>
      <c r="H1745" s="76" t="s">
        <v>3511</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0"/>
        <v>4</v>
      </c>
      <c r="D1746" s="73"/>
      <c r="E1746" s="70"/>
      <c r="F1746" s="70" t="s">
        <v>3525</v>
      </c>
      <c r="G1746" s="73"/>
      <c r="H1746" s="76" t="s">
        <v>3505</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0"/>
        <v>4</v>
      </c>
      <c r="D1747" s="73"/>
      <c r="E1747" s="70"/>
      <c r="F1747" s="70" t="str">
        <f>SUBSTITUTE(F1743,",4)",",8)")</f>
        <v>C(U6,0,8)</v>
      </c>
      <c r="G1747" s="73"/>
      <c r="H1747" s="76" t="s">
        <v>3512</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0"/>
        <v>4</v>
      </c>
      <c r="D1748" s="73"/>
      <c r="E1748" s="70"/>
      <c r="F1748" s="70" t="str">
        <f>SUBSTITUTE(F1744,",5)",",9)")</f>
        <v>C(U6,0,9)</v>
      </c>
      <c r="G1748" s="73"/>
      <c r="H1748" s="76" t="s">
        <v>3506</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0"/>
        <v>4</v>
      </c>
      <c r="D1749" s="73"/>
      <c r="E1749" s="70"/>
      <c r="F1749" s="70" t="str">
        <f>SUBSTITUTE(F1745,",6)",",10)")</f>
        <v>C(U6,0,10)</v>
      </c>
      <c r="G1749" s="73"/>
      <c r="H1749" s="76" t="s">
        <v>3513</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0"/>
        <v>4</v>
      </c>
      <c r="D1750" s="73"/>
      <c r="E1750" s="70"/>
      <c r="F1750" s="70" t="str">
        <f>SUBSTITUTE(F1746,",7)",",11)")</f>
        <v>C(U6,0,11)</v>
      </c>
      <c r="G1750" s="73"/>
      <c r="H1750" s="76" t="s">
        <v>3507</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0"/>
        <v>4</v>
      </c>
      <c r="D1751" s="73"/>
      <c r="E1751" s="70"/>
      <c r="F1751" s="70" t="str">
        <f>SUBSTITUTE(F1746,",7)",",12)")</f>
        <v>C(U6,0,12)</v>
      </c>
      <c r="G1751" s="73"/>
      <c r="H1751" s="76" t="s">
        <v>3336</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0"/>
        <v>4</v>
      </c>
      <c r="D1752" s="73"/>
      <c r="E1752" s="70"/>
      <c r="F1752" s="70" t="str">
        <f>SUBSTITUTE(F1746,",7)",",13)")</f>
        <v>C(U6,0,13)</v>
      </c>
      <c r="G1752" s="73"/>
      <c r="H1752" s="76" t="s">
        <v>3508</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0"/>
        <v>4</v>
      </c>
      <c r="D1753" s="73"/>
      <c r="E1753" s="70"/>
      <c r="F1753" s="70" t="s">
        <v>3526</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0"/>
        <v>4</v>
      </c>
      <c r="D1754" s="73"/>
      <c r="E1754" s="70"/>
      <c r="F1754" s="70" t="s">
        <v>3527</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0"/>
        <v>4</v>
      </c>
      <c r="D1755" s="73"/>
      <c r="E1755" s="70"/>
      <c r="F1755" s="70" t="s">
        <v>3528</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0"/>
        <v>4</v>
      </c>
      <c r="D1756" s="73"/>
      <c r="E1756" s="70"/>
      <c r="F1756" s="70" t="s">
        <v>3529</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0"/>
        <v>4</v>
      </c>
      <c r="D1757" s="73"/>
      <c r="E1757" s="70"/>
      <c r="F1757" s="70" t="s">
        <v>3530</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30"/>
        <v>4</v>
      </c>
      <c r="D1758" s="73"/>
      <c r="E1758" s="70"/>
      <c r="F1758" s="70" t="s">
        <v>3531</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3532</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3533</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3534</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1"/>
        <v>4</v>
      </c>
      <c r="D1768" s="73"/>
      <c r="E1768" s="70"/>
      <c r="F1768" s="70" t="s">
        <v>3535</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1"/>
        <v>4</v>
      </c>
      <c r="D1769" s="73"/>
      <c r="E1769" s="70"/>
      <c r="F1769" s="70" t="s">
        <v>3536</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1"/>
        <v>4</v>
      </c>
      <c r="D1770" s="73"/>
      <c r="E1770" s="70"/>
      <c r="F1770" s="70" t="s">
        <v>3537</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1"/>
        <v>4</v>
      </c>
      <c r="D1771" s="73"/>
      <c r="E1771" s="70"/>
      <c r="F1771" s="70" t="s">
        <v>3538</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1"/>
        <v>4</v>
      </c>
      <c r="D1772" s="73"/>
      <c r="E1772" s="70"/>
      <c r="F1772" s="70" t="s">
        <v>3539</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31"/>
        <v>4</v>
      </c>
      <c r="D1773" s="73"/>
      <c r="E1773" s="70"/>
      <c r="F1773" s="70" t="s">
        <v>3540</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3541</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3542</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3543</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2"/>
        <v>4</v>
      </c>
      <c r="D1783" s="73"/>
      <c r="E1783" s="70"/>
      <c r="F1783" s="70" t="s">
        <v>3544</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2"/>
        <v>4</v>
      </c>
      <c r="D1784" s="73"/>
      <c r="E1784" s="70"/>
      <c r="F1784" s="70" t="s">
        <v>3545</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2"/>
        <v>4</v>
      </c>
      <c r="D1785" s="73"/>
      <c r="E1785" s="70"/>
      <c r="F1785" s="70" t="s">
        <v>3546</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2"/>
        <v>4</v>
      </c>
      <c r="D1786" s="73"/>
      <c r="E1786" s="70"/>
      <c r="F1786" s="70" t="s">
        <v>3547</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2"/>
        <v>4</v>
      </c>
      <c r="D1787" s="73"/>
      <c r="E1787" s="70"/>
      <c r="F1787" s="70" t="s">
        <v>3548</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32"/>
        <v>4</v>
      </c>
      <c r="D1788" s="73"/>
      <c r="E1788" s="70"/>
      <c r="F1788" s="70" t="s">
        <v>3549</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3550</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3551</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3552</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3"/>
        <v>4</v>
      </c>
      <c r="D1798" s="73"/>
      <c r="E1798" s="70"/>
      <c r="F1798" s="70" t="s">
        <v>3553</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3"/>
        <v>4</v>
      </c>
      <c r="D1799" s="73"/>
      <c r="E1799" s="70"/>
      <c r="F1799" s="70" t="s">
        <v>3554</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3"/>
        <v>4</v>
      </c>
      <c r="D1800" s="73"/>
      <c r="E1800" s="70"/>
      <c r="F1800" s="70" t="s">
        <v>3555</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3"/>
        <v>4</v>
      </c>
      <c r="D1801" s="73"/>
      <c r="E1801" s="70"/>
      <c r="F1801" s="70" t="s">
        <v>3556</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3"/>
        <v>4</v>
      </c>
      <c r="D1802" s="73"/>
      <c r="E1802" s="70"/>
      <c r="F1802" s="70" t="s">
        <v>3557</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33"/>
        <v>4</v>
      </c>
      <c r="D1803" s="73"/>
      <c r="E1803" s="70"/>
      <c r="F1803" s="70" t="s">
        <v>3558</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3559</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3560</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3561</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4"/>
        <v>4</v>
      </c>
      <c r="D1813" s="73"/>
      <c r="E1813" s="70"/>
      <c r="F1813" s="70" t="s">
        <v>3562</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4"/>
        <v>4</v>
      </c>
      <c r="D1814" s="73"/>
      <c r="E1814" s="70"/>
      <c r="F1814" s="70" t="s">
        <v>3563</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4"/>
        <v>4</v>
      </c>
      <c r="D1815" s="73"/>
      <c r="E1815" s="70"/>
      <c r="F1815" s="70" t="s">
        <v>3564</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4"/>
        <v>4</v>
      </c>
      <c r="D1816" s="73"/>
      <c r="E1816" s="70"/>
      <c r="F1816" s="70" t="s">
        <v>3565</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4"/>
        <v>4</v>
      </c>
      <c r="D1817" s="73"/>
      <c r="E1817" s="70"/>
      <c r="F1817" s="70" t="s">
        <v>3566</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34"/>
        <v>4</v>
      </c>
      <c r="D1818" s="73"/>
      <c r="E1818" s="70"/>
      <c r="F1818" s="70" t="s">
        <v>3567</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3568</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3569</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3570</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5"/>
        <v>4</v>
      </c>
      <c r="D1828" s="73"/>
      <c r="E1828" s="70"/>
      <c r="F1828" s="70" t="s">
        <v>3571</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5"/>
        <v>4</v>
      </c>
      <c r="D1829" s="73"/>
      <c r="E1829" s="70"/>
      <c r="F1829" s="70" t="s">
        <v>3572</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5"/>
        <v>4</v>
      </c>
      <c r="D1830" s="73"/>
      <c r="E1830" s="70"/>
      <c r="F1830" s="70" t="s">
        <v>3573</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5"/>
        <v>4</v>
      </c>
      <c r="D1831" s="73"/>
      <c r="E1831" s="70"/>
      <c r="F1831" s="70" t="s">
        <v>3574</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5"/>
        <v>4</v>
      </c>
      <c r="D1832" s="73"/>
      <c r="E1832" s="70"/>
      <c r="F1832" s="70" t="s">
        <v>3575</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35"/>
        <v>4</v>
      </c>
      <c r="D1833" s="73"/>
      <c r="E1833" s="70"/>
      <c r="F1833" s="70" t="s">
        <v>3576</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3577</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3578</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3579</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6"/>
        <v>4</v>
      </c>
      <c r="D1843" s="73"/>
      <c r="E1843" s="70"/>
      <c r="F1843" s="70" t="s">
        <v>3580</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6"/>
        <v>4</v>
      </c>
      <c r="D1844" s="73"/>
      <c r="E1844" s="70"/>
      <c r="F1844" s="70" t="s">
        <v>3581</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6"/>
        <v>4</v>
      </c>
      <c r="D1845" s="73"/>
      <c r="E1845" s="70"/>
      <c r="F1845" s="70" t="s">
        <v>3582</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6"/>
        <v>4</v>
      </c>
      <c r="D1846" s="73"/>
      <c r="E1846" s="70"/>
      <c r="F1846" s="70" t="s">
        <v>3583</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6"/>
        <v>4</v>
      </c>
      <c r="D1847" s="73"/>
      <c r="E1847" s="70"/>
      <c r="F1847" s="70" t="s">
        <v>3584</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36"/>
        <v>4</v>
      </c>
      <c r="D1848" s="73"/>
      <c r="E1848" s="70"/>
      <c r="F1848" s="70" t="s">
        <v>3585</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3586</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3587</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3588</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3589</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3590</v>
      </c>
      <c r="G1859" s="403"/>
      <c r="H1859" s="181" t="s">
        <v>3754</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3517</v>
      </c>
      <c r="AG1859" s="181"/>
      <c r="AH1859" s="404">
        <v>1</v>
      </c>
      <c r="AI1859" s="404">
        <v>1</v>
      </c>
      <c r="AJ1859" s="73"/>
      <c r="AK1859" s="57"/>
      <c r="AL1859" s="45"/>
      <c r="AM1859" s="45"/>
      <c r="AN1859" s="45"/>
    </row>
    <row r="1860" spans="1:40" hidden="1" outlineLevel="2" collapsed="1" x14ac:dyDescent="0.25">
      <c r="A1860" s="45"/>
      <c r="B1860" s="54"/>
      <c r="C1860" s="47">
        <f>INT($C$29)+2</f>
        <v>3</v>
      </c>
      <c r="D1860" s="73"/>
      <c r="E1860" s="70"/>
      <c r="F1860" s="70" t="s">
        <v>3591</v>
      </c>
      <c r="G1860" s="234"/>
      <c r="H1860" s="76" t="s">
        <v>3515</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3792</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3592</v>
      </c>
      <c r="G1861" s="234"/>
      <c r="H1861" s="76" t="s">
        <v>3509</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3593</v>
      </c>
      <c r="G1862" s="234"/>
      <c r="H1862" s="76" t="s">
        <v>3503</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25">
      <c r="A1863" s="45"/>
      <c r="B1863" s="54"/>
      <c r="C1863" s="47">
        <f>INT($C$29)+2</f>
        <v>3</v>
      </c>
      <c r="D1863" s="73"/>
      <c r="E1863" s="70"/>
      <c r="F1863" s="70" t="s">
        <v>3594</v>
      </c>
      <c r="G1863" s="234"/>
      <c r="H1863" s="76" t="s">
        <v>3510</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3595</v>
      </c>
      <c r="G1864" s="234"/>
      <c r="H1864" s="76" t="s">
        <v>3504</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49">INT($C$29)+3</f>
        <v>4</v>
      </c>
      <c r="D1865" s="73"/>
      <c r="E1865" s="70"/>
      <c r="F1865" s="70" t="s">
        <v>3596</v>
      </c>
      <c r="G1865" s="234"/>
      <c r="H1865" s="76" t="s">
        <v>3511</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25">
      <c r="A1866" s="45"/>
      <c r="B1866" s="54"/>
      <c r="C1866" s="47">
        <f t="shared" si="449"/>
        <v>4</v>
      </c>
      <c r="D1866" s="73"/>
      <c r="E1866" s="70"/>
      <c r="F1866" s="70" t="s">
        <v>3597</v>
      </c>
      <c r="G1866" s="234"/>
      <c r="H1866" s="76" t="s">
        <v>3505</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49"/>
        <v>4</v>
      </c>
      <c r="D1867" s="73"/>
      <c r="E1867" s="70"/>
      <c r="F1867" s="70" t="str">
        <f>SUBSTITUTE(F1863,",4)",",8)")</f>
        <v>C(U6,8,8)</v>
      </c>
      <c r="G1867" s="73"/>
      <c r="H1867" s="76" t="s">
        <v>3512</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9"/>
        <v>4</v>
      </c>
      <c r="D1868" s="73"/>
      <c r="E1868" s="70"/>
      <c r="F1868" s="70" t="str">
        <f>SUBSTITUTE(F1864,",5)",",9)")</f>
        <v>C(U6,8,9)</v>
      </c>
      <c r="G1868" s="73"/>
      <c r="H1868" s="76" t="s">
        <v>3506</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9"/>
        <v>4</v>
      </c>
      <c r="D1869" s="73"/>
      <c r="E1869" s="70"/>
      <c r="F1869" s="70" t="str">
        <f>SUBSTITUTE(F1865,",6)",",10)")</f>
        <v>C(U6,8,10)</v>
      </c>
      <c r="G1869" s="73"/>
      <c r="H1869" s="76" t="s">
        <v>3513</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49"/>
        <v>4</v>
      </c>
      <c r="D1870" s="73"/>
      <c r="E1870" s="70"/>
      <c r="F1870" s="70" t="str">
        <f>SUBSTITUTE(F1866,",7)",",11)")</f>
        <v>C(U6,8,11)</v>
      </c>
      <c r="G1870" s="73"/>
      <c r="H1870" s="76" t="s">
        <v>3507</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2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INT($C$29)+2</f>
        <v>3</v>
      </c>
      <c r="D1873" s="73"/>
      <c r="E1873" s="406"/>
      <c r="F1873" s="406" t="s">
        <v>3598</v>
      </c>
      <c r="G1873" s="407"/>
      <c r="H1873" s="184" t="s">
        <v>3516</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59">INT($C$29)+3</f>
        <v>4</v>
      </c>
      <c r="D1874" s="73"/>
      <c r="E1874" s="70"/>
      <c r="F1874" s="70" t="s">
        <v>3604</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9"/>
        <v>4</v>
      </c>
      <c r="D1875" s="73"/>
      <c r="E1875" s="70"/>
      <c r="F1875" s="70" t="s">
        <v>3605</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9"/>
        <v>4</v>
      </c>
      <c r="D1876" s="73"/>
      <c r="E1876" s="70"/>
      <c r="F1876" s="70" t="s">
        <v>3606</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9"/>
        <v>4</v>
      </c>
      <c r="D1877" s="73"/>
      <c r="E1877" s="70"/>
      <c r="F1877" s="70" t="s">
        <v>3607</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59"/>
        <v>4</v>
      </c>
      <c r="D1878" s="73"/>
      <c r="E1878" s="70"/>
      <c r="F1878" s="70" t="s">
        <v>3608</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3609</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3610</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3611</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0"/>
        <v>4</v>
      </c>
      <c r="D1888" s="73"/>
      <c r="E1888" s="70"/>
      <c r="F1888" s="70" t="s">
        <v>3612</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0"/>
        <v>4</v>
      </c>
      <c r="D1889" s="73"/>
      <c r="E1889" s="70"/>
      <c r="F1889" s="70" t="s">
        <v>3613</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0"/>
        <v>4</v>
      </c>
      <c r="D1890" s="73"/>
      <c r="E1890" s="70"/>
      <c r="F1890" s="70" t="s">
        <v>3614</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0"/>
        <v>4</v>
      </c>
      <c r="D1891" s="73"/>
      <c r="E1891" s="70"/>
      <c r="F1891" s="70" t="s">
        <v>3615</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0"/>
        <v>4</v>
      </c>
      <c r="D1892" s="73"/>
      <c r="E1892" s="70"/>
      <c r="F1892" s="70" t="s">
        <v>3616</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60"/>
        <v>4</v>
      </c>
      <c r="D1893" s="73"/>
      <c r="E1893" s="70"/>
      <c r="F1893" s="70" t="s">
        <v>3617</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3618</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3619</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3620</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1"/>
        <v>4</v>
      </c>
      <c r="D1903" s="73"/>
      <c r="E1903" s="70"/>
      <c r="F1903" s="70" t="s">
        <v>3621</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1"/>
        <v>4</v>
      </c>
      <c r="D1904" s="73"/>
      <c r="E1904" s="70"/>
      <c r="F1904" s="70" t="s">
        <v>3622</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1"/>
        <v>4</v>
      </c>
      <c r="D1905" s="73"/>
      <c r="E1905" s="70"/>
      <c r="F1905" s="70" t="s">
        <v>3623</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1"/>
        <v>4</v>
      </c>
      <c r="D1906" s="73"/>
      <c r="E1906" s="70"/>
      <c r="F1906" s="70" t="s">
        <v>3624</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1"/>
        <v>4</v>
      </c>
      <c r="D1907" s="73"/>
      <c r="E1907" s="70"/>
      <c r="F1907" s="70" t="s">
        <v>3625</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61"/>
        <v>4</v>
      </c>
      <c r="D1908" s="73"/>
      <c r="E1908" s="70"/>
      <c r="F1908" s="70" t="s">
        <v>3626</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3627</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3628</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3629</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2"/>
        <v>4</v>
      </c>
      <c r="D1918" s="73"/>
      <c r="E1918" s="70"/>
      <c r="F1918" s="70" t="s">
        <v>3630</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2"/>
        <v>4</v>
      </c>
      <c r="D1919" s="73"/>
      <c r="E1919" s="70"/>
      <c r="F1919" s="70" t="s">
        <v>3631</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2"/>
        <v>4</v>
      </c>
      <c r="D1920" s="73"/>
      <c r="E1920" s="70"/>
      <c r="F1920" s="70" t="s">
        <v>3632</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2"/>
        <v>4</v>
      </c>
      <c r="D1921" s="73"/>
      <c r="E1921" s="70"/>
      <c r="F1921" s="70" t="s">
        <v>3633</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2"/>
        <v>4</v>
      </c>
      <c r="D1922" s="73"/>
      <c r="E1922" s="70"/>
      <c r="F1922" s="70" t="s">
        <v>3634</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62"/>
        <v>4</v>
      </c>
      <c r="D1923" s="73"/>
      <c r="E1923" s="70"/>
      <c r="F1923" s="70" t="s">
        <v>3635</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3636</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3637</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3638</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3"/>
        <v>4</v>
      </c>
      <c r="D1933" s="73"/>
      <c r="E1933" s="70"/>
      <c r="F1933" s="70" t="s">
        <v>3639</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3"/>
        <v>4</v>
      </c>
      <c r="D1934" s="73"/>
      <c r="E1934" s="70"/>
      <c r="F1934" s="70" t="s">
        <v>3640</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3"/>
        <v>4</v>
      </c>
      <c r="D1935" s="73"/>
      <c r="E1935" s="70"/>
      <c r="F1935" s="70" t="s">
        <v>3641</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3"/>
        <v>4</v>
      </c>
      <c r="D1936" s="73"/>
      <c r="E1936" s="70"/>
      <c r="F1936" s="70" t="s">
        <v>3642</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3"/>
        <v>4</v>
      </c>
      <c r="D1937" s="73"/>
      <c r="E1937" s="70"/>
      <c r="F1937" s="70" t="s">
        <v>3643</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63"/>
        <v>4</v>
      </c>
      <c r="D1938" s="73"/>
      <c r="E1938" s="70"/>
      <c r="F1938" s="70" t="s">
        <v>3644</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3645</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3646</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3647</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4"/>
        <v>4</v>
      </c>
      <c r="D1948" s="73"/>
      <c r="E1948" s="70"/>
      <c r="F1948" s="70" t="s">
        <v>3648</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4"/>
        <v>4</v>
      </c>
      <c r="D1949" s="73"/>
      <c r="E1949" s="70"/>
      <c r="F1949" s="70" t="s">
        <v>3649</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4"/>
        <v>4</v>
      </c>
      <c r="D1950" s="73"/>
      <c r="E1950" s="70"/>
      <c r="F1950" s="70" t="s">
        <v>3650</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4"/>
        <v>4</v>
      </c>
      <c r="D1951" s="73"/>
      <c r="E1951" s="70"/>
      <c r="F1951" s="70" t="s">
        <v>3651</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4"/>
        <v>4</v>
      </c>
      <c r="D1952" s="73"/>
      <c r="E1952" s="70"/>
      <c r="F1952" s="70" t="s">
        <v>3652</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64"/>
        <v>4</v>
      </c>
      <c r="D1953" s="73"/>
      <c r="E1953" s="70"/>
      <c r="F1953" s="70" t="s">
        <v>3653</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3654</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3655</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3656</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5"/>
        <v>4</v>
      </c>
      <c r="D1963" s="73"/>
      <c r="E1963" s="70"/>
      <c r="F1963" s="70" t="s">
        <v>3657</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5"/>
        <v>4</v>
      </c>
      <c r="D1964" s="73"/>
      <c r="E1964" s="70"/>
      <c r="F1964" s="70" t="s">
        <v>3658</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5"/>
        <v>4</v>
      </c>
      <c r="D1965" s="73"/>
      <c r="E1965" s="70"/>
      <c r="F1965" s="70" t="s">
        <v>3659</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5"/>
        <v>4</v>
      </c>
      <c r="D1966" s="73"/>
      <c r="E1966" s="70"/>
      <c r="F1966" s="70" t="s">
        <v>3660</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5"/>
        <v>4</v>
      </c>
      <c r="D1967" s="73"/>
      <c r="E1967" s="70"/>
      <c r="F1967" s="70" t="s">
        <v>3661</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65"/>
        <v>4</v>
      </c>
      <c r="D1968" s="73"/>
      <c r="E1968" s="70"/>
      <c r="F1968" s="70" t="s">
        <v>3662</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3663</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3664</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3665</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3666</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67">INT($C$29)+3</f>
        <v>4</v>
      </c>
      <c r="D1979" s="73"/>
      <c r="E1979" s="70"/>
      <c r="F1979" s="70" t="s">
        <v>3667</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67"/>
        <v>4</v>
      </c>
      <c r="D1980" s="73"/>
      <c r="E1980" s="70"/>
      <c r="F1980" s="70" t="s">
        <v>3668</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7"/>
        <v>4</v>
      </c>
      <c r="D1981" s="73"/>
      <c r="E1981" s="70"/>
      <c r="F1981" s="70" t="s">
        <v>3669</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7"/>
        <v>4</v>
      </c>
      <c r="D1982" s="73"/>
      <c r="E1982" s="70"/>
      <c r="F1982" s="70" t="s">
        <v>3670</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67"/>
        <v>4</v>
      </c>
      <c r="D1983" s="73"/>
      <c r="E1983" s="70"/>
      <c r="F1983" s="70" t="s">
        <v>3671</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3672</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3673</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3674</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8"/>
        <v>4</v>
      </c>
      <c r="D1993" s="73"/>
      <c r="E1993" s="70"/>
      <c r="F1993" s="70" t="s">
        <v>3675</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8"/>
        <v>4</v>
      </c>
      <c r="D1994" s="73"/>
      <c r="E1994" s="70"/>
      <c r="F1994" s="70" t="s">
        <v>3676</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8"/>
        <v>4</v>
      </c>
      <c r="D1995" s="73"/>
      <c r="E1995" s="70"/>
      <c r="F1995" s="70" t="s">
        <v>3677</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8"/>
        <v>4</v>
      </c>
      <c r="D1996" s="73"/>
      <c r="E1996" s="70"/>
      <c r="F1996" s="70" t="s">
        <v>3678</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8"/>
        <v>4</v>
      </c>
      <c r="D1997" s="73"/>
      <c r="E1997" s="70"/>
      <c r="F1997" s="70" t="s">
        <v>3679</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68"/>
        <v>4</v>
      </c>
      <c r="D1998" s="73"/>
      <c r="E1998" s="70"/>
      <c r="F1998" s="70" t="s">
        <v>3680</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3681</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3682</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3683</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9"/>
        <v>4</v>
      </c>
      <c r="D2008" s="73"/>
      <c r="E2008" s="70"/>
      <c r="F2008" s="70" t="s">
        <v>3684</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9"/>
        <v>4</v>
      </c>
      <c r="D2009" s="73"/>
      <c r="E2009" s="70"/>
      <c r="F2009" s="70" t="s">
        <v>3685</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9"/>
        <v>4</v>
      </c>
      <c r="D2010" s="73"/>
      <c r="E2010" s="70"/>
      <c r="F2010" s="70" t="s">
        <v>3686</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9"/>
        <v>4</v>
      </c>
      <c r="D2011" s="73"/>
      <c r="E2011" s="70"/>
      <c r="F2011" s="70" t="s">
        <v>3687</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9"/>
        <v>4</v>
      </c>
      <c r="D2012" s="73"/>
      <c r="E2012" s="70"/>
      <c r="F2012" s="70" t="s">
        <v>3688</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69"/>
        <v>4</v>
      </c>
      <c r="D2013" s="73"/>
      <c r="E2013" s="70"/>
      <c r="F2013" s="70" t="s">
        <v>3689</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3690</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3691</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3692</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0"/>
        <v>4</v>
      </c>
      <c r="D2023" s="73"/>
      <c r="E2023" s="70"/>
      <c r="F2023" s="70" t="s">
        <v>3693</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0"/>
        <v>4</v>
      </c>
      <c r="D2024" s="73"/>
      <c r="E2024" s="70"/>
      <c r="F2024" s="70" t="s">
        <v>3694</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0"/>
        <v>4</v>
      </c>
      <c r="D2025" s="73"/>
      <c r="E2025" s="70"/>
      <c r="F2025" s="70" t="s">
        <v>3695</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0"/>
        <v>4</v>
      </c>
      <c r="D2026" s="73"/>
      <c r="E2026" s="70"/>
      <c r="F2026" s="70" t="s">
        <v>3696</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0"/>
        <v>4</v>
      </c>
      <c r="D2027" s="73"/>
      <c r="E2027" s="70"/>
      <c r="F2027" s="70" t="s">
        <v>3697</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70"/>
        <v>4</v>
      </c>
      <c r="D2028" s="73"/>
      <c r="E2028" s="70"/>
      <c r="F2028" s="70" t="s">
        <v>3698</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3699</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3700</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3701</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1"/>
        <v>4</v>
      </c>
      <c r="D2038" s="73"/>
      <c r="E2038" s="70"/>
      <c r="F2038" s="70" t="s">
        <v>3702</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1"/>
        <v>4</v>
      </c>
      <c r="D2039" s="73"/>
      <c r="E2039" s="70"/>
      <c r="F2039" s="70" t="s">
        <v>3703</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1"/>
        <v>4</v>
      </c>
      <c r="D2040" s="73"/>
      <c r="E2040" s="70"/>
      <c r="F2040" s="70" t="s">
        <v>3704</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1"/>
        <v>4</v>
      </c>
      <c r="D2041" s="73"/>
      <c r="E2041" s="70"/>
      <c r="F2041" s="70" t="s">
        <v>3705</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1"/>
        <v>4</v>
      </c>
      <c r="D2042" s="73"/>
      <c r="E2042" s="70"/>
      <c r="F2042" s="70" t="s">
        <v>3706</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71"/>
        <v>4</v>
      </c>
      <c r="D2043" s="73"/>
      <c r="E2043" s="70"/>
      <c r="F2043" s="70" t="s">
        <v>3707</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3708</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3709</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3710</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2"/>
        <v>4</v>
      </c>
      <c r="D2053" s="73"/>
      <c r="E2053" s="70"/>
      <c r="F2053" s="70" t="s">
        <v>3711</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2"/>
        <v>4</v>
      </c>
      <c r="D2054" s="73"/>
      <c r="E2054" s="70"/>
      <c r="F2054" s="70" t="s">
        <v>3712</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2"/>
        <v>4</v>
      </c>
      <c r="D2055" s="73"/>
      <c r="E2055" s="70"/>
      <c r="F2055" s="70" t="s">
        <v>3713</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2"/>
        <v>4</v>
      </c>
      <c r="D2056" s="73"/>
      <c r="E2056" s="70"/>
      <c r="F2056" s="70" t="s">
        <v>3714</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2"/>
        <v>4</v>
      </c>
      <c r="D2057" s="73"/>
      <c r="E2057" s="70"/>
      <c r="F2057" s="70" t="s">
        <v>3715</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72"/>
        <v>4</v>
      </c>
      <c r="D2058" s="73"/>
      <c r="E2058" s="70"/>
      <c r="F2058" s="70" t="s">
        <v>3716</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3717</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3718</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3719</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3"/>
        <v>4</v>
      </c>
      <c r="D2068" s="73"/>
      <c r="E2068" s="70"/>
      <c r="F2068" s="70" t="s">
        <v>3720</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3"/>
        <v>4</v>
      </c>
      <c r="D2069" s="73"/>
      <c r="E2069" s="70"/>
      <c r="F2069" s="70" t="s">
        <v>3721</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3"/>
        <v>4</v>
      </c>
      <c r="D2070" s="73"/>
      <c r="E2070" s="70"/>
      <c r="F2070" s="70" t="s">
        <v>3722</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3"/>
        <v>4</v>
      </c>
      <c r="D2071" s="73"/>
      <c r="E2071" s="70"/>
      <c r="F2071" s="70" t="s">
        <v>3723</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3"/>
        <v>4</v>
      </c>
      <c r="D2072" s="73"/>
      <c r="E2072" s="70"/>
      <c r="F2072" s="70" t="s">
        <v>3724</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73"/>
        <v>4</v>
      </c>
      <c r="D2073" s="73"/>
      <c r="E2073" s="70"/>
      <c r="F2073" s="70" t="s">
        <v>3725</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3726</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3727</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3728</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3729</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3730</v>
      </c>
      <c r="G2084" s="73"/>
      <c r="H2084" s="76" t="s">
        <v>3359</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3603</v>
      </c>
      <c r="AG2084" s="76"/>
      <c r="AH2084" s="76">
        <v>1</v>
      </c>
      <c r="AI2084" s="76">
        <v>1</v>
      </c>
      <c r="AJ2084" s="73"/>
      <c r="AK2084" s="57"/>
      <c r="AL2084" s="45"/>
      <c r="AM2084" s="45"/>
      <c r="AN2084" s="45"/>
    </row>
    <row r="2085" spans="1:40" hidden="1" outlineLevel="2" collapsed="1" x14ac:dyDescent="0.25">
      <c r="A2085" s="45"/>
      <c r="B2085" s="54"/>
      <c r="C2085" s="47">
        <f>INT($C$29)+2</f>
        <v>3</v>
      </c>
      <c r="D2085" s="73"/>
      <c r="E2085" s="70"/>
      <c r="F2085" s="70" t="s">
        <v>3731</v>
      </c>
      <c r="G2085" s="73"/>
      <c r="H2085" s="76" t="s">
        <v>3360</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3361</v>
      </c>
      <c r="AG2085" s="76"/>
      <c r="AH2085" s="76">
        <v>1</v>
      </c>
      <c r="AI2085" s="76">
        <v>1</v>
      </c>
      <c r="AJ2085" s="73"/>
      <c r="AK2085" s="57"/>
      <c r="AL2085" s="45"/>
      <c r="AM2085" s="45"/>
      <c r="AN2085" s="45"/>
    </row>
    <row r="2086" spans="1:40" hidden="1" outlineLevel="3" x14ac:dyDescent="0.25">
      <c r="A2086" s="45"/>
      <c r="B2086" s="54"/>
      <c r="C2086" s="47">
        <f t="shared" ref="C2086:C2097" si="481">INT($C$29)+3</f>
        <v>4</v>
      </c>
      <c r="D2086" s="73"/>
      <c r="E2086" s="70"/>
      <c r="F2086" s="70" t="s">
        <v>3732</v>
      </c>
      <c r="G2086" s="73"/>
      <c r="H2086" s="373" t="s">
        <v>3509</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81"/>
        <v>4</v>
      </c>
      <c r="D2087" s="73"/>
      <c r="E2087" s="70"/>
      <c r="F2087" s="70" t="s">
        <v>3733</v>
      </c>
      <c r="G2087" s="73"/>
      <c r="H2087" s="373" t="s">
        <v>3503</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25">
      <c r="A2088" s="45"/>
      <c r="B2088" s="54"/>
      <c r="C2088" s="47">
        <f t="shared" si="481"/>
        <v>4</v>
      </c>
      <c r="D2088" s="73"/>
      <c r="E2088" s="70"/>
      <c r="F2088" s="70" t="s">
        <v>3734</v>
      </c>
      <c r="G2088" s="73"/>
      <c r="H2088" s="76" t="s">
        <v>3599</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81"/>
        <v>4</v>
      </c>
      <c r="D2089" s="73"/>
      <c r="E2089" s="70"/>
      <c r="F2089" s="70" t="s">
        <v>3735</v>
      </c>
      <c r="G2089" s="73"/>
      <c r="H2089" s="76" t="s">
        <v>3600</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25">
      <c r="A2090" s="45"/>
      <c r="B2090" s="54"/>
      <c r="C2090" s="47">
        <f t="shared" si="481"/>
        <v>4</v>
      </c>
      <c r="D2090" s="73"/>
      <c r="E2090" s="70"/>
      <c r="F2090" s="70" t="s">
        <v>3736</v>
      </c>
      <c r="G2090" s="73"/>
      <c r="H2090" s="76" t="s">
        <v>3601</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81"/>
        <v>4</v>
      </c>
      <c r="D2091" s="73"/>
      <c r="E2091" s="70"/>
      <c r="F2091" s="70" t="s">
        <v>3737</v>
      </c>
      <c r="G2091" s="73"/>
      <c r="H2091" s="76" t="s">
        <v>3602</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25">
      <c r="A2092" s="45"/>
      <c r="B2092" s="54"/>
      <c r="C2092" s="47">
        <f t="shared" si="481"/>
        <v>4</v>
      </c>
      <c r="D2092" s="73"/>
      <c r="E2092" s="70"/>
      <c r="F2092" s="70" t="str">
        <f>SUBSTITUTE(F2088,",4)",",8)")</f>
        <v>C(U6,23,8)</v>
      </c>
      <c r="G2092" s="73"/>
      <c r="H2092" s="373" t="s">
        <v>3365</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1"/>
        <v>4</v>
      </c>
      <c r="D2093" s="73"/>
      <c r="E2093" s="70"/>
      <c r="F2093" s="70" t="str">
        <f>SUBSTITUTE(F2089,",5)",",9)")</f>
        <v>C(U6,23,9)</v>
      </c>
      <c r="G2093" s="73"/>
      <c r="H2093" s="373" t="s">
        <v>3366</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81"/>
        <v>4</v>
      </c>
      <c r="D2094" s="73"/>
      <c r="E2094" s="70"/>
      <c r="F2094" s="70" t="str">
        <f>SUBSTITUTE(F2090,",6)",",10)")</f>
        <v>C(U6,23,10)</v>
      </c>
      <c r="G2094" s="73"/>
      <c r="H2094" s="373" t="s">
        <v>3367</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81"/>
        <v>4</v>
      </c>
      <c r="D2095" s="73"/>
      <c r="E2095" s="70"/>
      <c r="F2095" s="70" t="str">
        <f>SUBSTITUTE(F2091,",7)",",11)")</f>
        <v>C(U6,23,11)</v>
      </c>
      <c r="G2095" s="73"/>
      <c r="H2095" s="373" t="s">
        <v>3368</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1"/>
        <v>4</v>
      </c>
      <c r="D2096" s="73"/>
      <c r="E2096" s="70"/>
      <c r="F2096" s="70" t="str">
        <f>SUBSTITUTE(F2090,",6)",",12)")</f>
        <v>C(U6,23,12)</v>
      </c>
      <c r="G2096" s="73"/>
      <c r="H2096" s="373" t="s">
        <v>3369</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81"/>
        <v>4</v>
      </c>
      <c r="D2097" s="73"/>
      <c r="E2097" s="70"/>
      <c r="F2097" s="70" t="str">
        <f>SUBSTITUTE(F2091,",7)",",13)")</f>
        <v>C(U6,23,13)</v>
      </c>
      <c r="G2097" s="73"/>
      <c r="H2097" s="373" t="s">
        <v>3370</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3738</v>
      </c>
      <c r="G2098" s="73"/>
      <c r="H2098" s="76" t="s">
        <v>3371</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2350</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2361</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3287</v>
      </c>
      <c r="B34">
        <v>50</v>
      </c>
      <c r="C34" s="1" t="s">
        <v>2903</v>
      </c>
    </row>
    <row r="35" spans="1:3" ht="7.15" customHeight="1" x14ac:dyDescent="0.25"/>
    <row r="36" spans="1:3" x14ac:dyDescent="0.25">
      <c r="A36" t="s">
        <v>3288</v>
      </c>
      <c r="B36">
        <v>60</v>
      </c>
      <c r="C36" s="1" t="s">
        <v>3290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3291</v>
      </c>
      <c r="B77">
        <f>0.3*harvest_maint</f>
        <v>16.5</v>
      </c>
      <c r="C77" s="1" t="s">
        <v>3292</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3290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3287</v>
      </c>
      <c r="B34">
        <v>40</v>
      </c>
      <c r="C34" s="1" t="s">
        <v>2903</v>
      </c>
    </row>
    <row r="35" spans="1:3" ht="7.15" customHeight="1" x14ac:dyDescent="0.25"/>
    <row r="36" spans="1:3" x14ac:dyDescent="0.25">
      <c r="A36" t="s">
        <v>3288</v>
      </c>
      <c r="B36">
        <v>35</v>
      </c>
      <c r="C36" s="1" t="s">
        <v>3290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3291</v>
      </c>
      <c r="B77">
        <f>0.3*harvest_maint</f>
        <v>12</v>
      </c>
      <c r="C77" s="1" t="s">
        <v>3292</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3290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3287</v>
      </c>
      <c r="B33">
        <v>60</v>
      </c>
      <c r="C33" s="1" t="s">
        <v>2903</v>
      </c>
    </row>
    <row r="34" spans="1:3" ht="7.15" customHeight="1" x14ac:dyDescent="0.25"/>
    <row r="35" spans="1:3" x14ac:dyDescent="0.25">
      <c r="A35" t="s">
        <v>3288</v>
      </c>
      <c r="B35">
        <v>78</v>
      </c>
      <c r="C35" s="1" t="s">
        <v>3290</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3291</v>
      </c>
      <c r="B76">
        <f>0.3*harvest_maint</f>
        <v>24</v>
      </c>
      <c r="C76" s="1" t="s">
        <v>3292</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3289</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4">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3290</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2026-02-22T07:17:11Z</dcterms:modified>
</cp:coreProperties>
</file>