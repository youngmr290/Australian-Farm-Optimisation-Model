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8DDAD6D-D76D-438F-B98C-EFF1CC0B29B9}" xr6:coauthVersionLast="47" xr6:coauthVersionMax="47" xr10:uidLastSave="{00000000-0000-0000-0000-000000000000}"/>
  <bookViews>
    <workbookView xWindow="1305" yWindow="120" windowWidth="27000" windowHeight="1590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55" i="24" l="1"/>
  <c r="W855" i="24"/>
  <c r="Y128" i="24"/>
  <c r="X922" i="24" l="1"/>
  <c r="W922" i="24"/>
  <c r="X921" i="24"/>
  <c r="W921" i="24"/>
  <c r="V922" i="24"/>
  <c r="V921" i="24"/>
  <c r="V365" i="24"/>
  <c r="U199" i="23" l="1"/>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W1694" i="24" s="1"/>
  <c r="X1694" i="24" s="1"/>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Y1698" i="24"/>
  <c r="Y1697" i="24"/>
  <c r="Y1696" i="24"/>
  <c r="Y922" i="24"/>
  <c r="Y921" i="24"/>
  <c r="Y1705" i="24"/>
  <c r="Y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1693" i="24" l="1"/>
  <c r="W1693" i="24" s="1"/>
  <c r="X1693" i="24" s="1"/>
  <c r="V1695" i="24"/>
  <c r="W1695" i="24" s="1"/>
  <c r="X1695" i="24" s="1"/>
  <c r="V1699" i="24"/>
  <c r="W1699" i="24" s="1"/>
  <c r="X1699" i="24" s="1"/>
  <c r="V1700" i="24"/>
  <c r="W1700" i="24" s="1"/>
  <c r="X1700" i="24" s="1"/>
  <c r="V1702" i="24"/>
  <c r="W1702" i="24" s="1"/>
  <c r="X1702" i="24" s="1"/>
  <c r="V1703" i="24"/>
  <c r="W1703" i="24" s="1"/>
  <c r="X1703" i="24" s="1"/>
  <c r="V1704" i="24"/>
  <c r="W1704" i="24" s="1"/>
  <c r="X1704" i="24" s="1"/>
  <c r="V1705" i="24"/>
  <c r="W1705" i="24" s="1"/>
  <c r="X1705" i="24" s="1"/>
  <c r="V1707" i="24"/>
  <c r="W1707" i="24" s="1"/>
  <c r="X1707" i="24" s="1"/>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Y364" i="24"/>
  <c r="Z364" i="24"/>
  <c r="AA364" i="24"/>
  <c r="AB364" i="24"/>
  <c r="AC364" i="24"/>
  <c r="AD364" i="24"/>
  <c r="C365" i="24"/>
  <c r="U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Z925" i="24"/>
  <c r="AB925" i="24"/>
  <c r="AC925" i="24" s="1"/>
  <c r="AD925" i="24" s="1"/>
  <c r="C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W1708" i="24"/>
  <c r="Z1708" i="24"/>
  <c r="AB1708" i="24"/>
  <c r="AC1708" i="24" s="1"/>
  <c r="AD1708" i="24" s="1"/>
  <c r="C1709" i="24"/>
  <c r="X1709" i="24"/>
  <c r="W1709" i="24"/>
  <c r="Z1709" i="24"/>
  <c r="AB1709" i="24"/>
  <c r="AC1709" i="24" s="1"/>
  <c r="AD1709" i="24" s="1"/>
  <c r="C1712" i="24"/>
  <c r="C1713" i="24"/>
  <c r="C1710" i="24"/>
  <c r="Y1710" i="24"/>
  <c r="Y1695" i="24" s="1"/>
  <c r="W1710" i="24"/>
  <c r="Z1710" i="24"/>
  <c r="AB1710" i="24"/>
  <c r="AC1710" i="24" s="1"/>
  <c r="AD1710" i="24" s="1"/>
  <c r="C1711" i="24"/>
  <c r="C1714" i="24"/>
  <c r="X1714" i="24"/>
  <c r="W1714" i="24"/>
  <c r="Z1714" i="24"/>
  <c r="AB1714" i="24"/>
  <c r="AC1714" i="24" s="1"/>
  <c r="AD1714" i="24" s="1"/>
  <c r="C1715" i="24"/>
  <c r="C1716" i="24"/>
  <c r="X1716" i="24"/>
  <c r="W1716" i="24"/>
  <c r="Z1716" i="24"/>
  <c r="AB1716" i="24"/>
  <c r="AC1716" i="24" s="1"/>
  <c r="AD1716" i="24" s="1"/>
  <c r="C1717" i="24"/>
  <c r="Y1717" i="24"/>
  <c r="Y1702" i="24" s="1"/>
  <c r="W1717" i="24"/>
  <c r="Z1717" i="24"/>
  <c r="AB1717" i="24"/>
  <c r="AC1717" i="24" s="1"/>
  <c r="AD1717" i="24" s="1"/>
  <c r="C1718" i="24"/>
  <c r="X1718" i="24"/>
  <c r="W1718" i="24"/>
  <c r="Z1718" i="24"/>
  <c r="AB1718" i="24"/>
  <c r="AC1718" i="24" s="1"/>
  <c r="AD1718" i="24" s="1"/>
  <c r="C1719" i="24"/>
  <c r="Y1719" i="24"/>
  <c r="Y1704" i="24" s="1"/>
  <c r="W1719" i="24"/>
  <c r="Z1719" i="24"/>
  <c r="AB1719" i="24"/>
  <c r="AC1719" i="24" s="1"/>
  <c r="AD1719" i="24" s="1"/>
  <c r="C1722" i="24"/>
  <c r="Y1722" i="24"/>
  <c r="Y1707" i="24" s="1"/>
  <c r="W1722" i="24"/>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5291D40B-C06A-4345-881D-539A8890A9C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5" authorId="0" shapeId="0" xr:uid="{249C117C-66D5-462C-B3A3-05B9B7D84D36}">
      <text>
        <r>
          <rPr>
            <b/>
            <sz val="9"/>
            <color indexed="81"/>
            <rFont val="Tahoma"/>
            <family val="2"/>
          </rPr>
          <t>John:</t>
        </r>
        <r>
          <rPr>
            <sz val="9"/>
            <color indexed="81"/>
            <rFont val="Tahoma"/>
            <family val="2"/>
          </rPr>
          <t xml:space="preserve">
Calibrated for 8% dry</t>
        </r>
      </text>
    </comment>
    <comment ref="X925" authorId="0" shapeId="0" xr:uid="{45D1FF9A-CF91-4067-820D-BB5BBB639DE4}">
      <text>
        <r>
          <rPr>
            <b/>
            <sz val="9"/>
            <color indexed="81"/>
            <rFont val="Tahoma"/>
            <family val="2"/>
          </rPr>
          <t>John:</t>
        </r>
        <r>
          <rPr>
            <sz val="9"/>
            <color indexed="81"/>
            <rFont val="Tahoma"/>
            <family val="2"/>
          </rPr>
          <t xml:space="preserve">
Calibrated for 8% dry</t>
        </r>
      </text>
    </comment>
    <comment ref="W926" authorId="0" shapeId="0" xr:uid="{54BB3300-F799-4DFE-B548-728C845D8B7C}">
      <text>
        <r>
          <rPr>
            <b/>
            <sz val="9"/>
            <color indexed="81"/>
            <rFont val="Tahoma"/>
            <family val="2"/>
          </rPr>
          <t>John:</t>
        </r>
        <r>
          <rPr>
            <sz val="9"/>
            <color indexed="81"/>
            <rFont val="Tahoma"/>
            <family val="2"/>
          </rPr>
          <t xml:space="preserve">
Adjusted to keep scanning % similar when % drys increased</t>
        </r>
      </text>
    </comment>
    <comment ref="X926" authorId="0" shapeId="0" xr:uid="{F1A96115-CBD9-4352-905F-7BCA490FC1EB}">
      <text>
        <r>
          <rPr>
            <b/>
            <sz val="9"/>
            <color indexed="81"/>
            <rFont val="Tahoma"/>
            <family val="2"/>
          </rPr>
          <t>John:</t>
        </r>
        <r>
          <rPr>
            <sz val="9"/>
            <color indexed="81"/>
            <rFont val="Tahoma"/>
            <family val="2"/>
          </rPr>
          <t xml:space="preserve">
Adjusted to keep scanning % similar when % drys increased</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<sst xmlns="http://schemas.openxmlformats.org/spreadsheetml/2006/main" count="6655" uniqueCount="3820">
  <si>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</si>
  <si>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</si>
  <si>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</si>
  <si>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</si>
  <si>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</si>
  <si>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</si>
  <si>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</si>
  <si>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</si>
  <si>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</si>
  <si>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</si>
  <si>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</si>
  <si>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</si>
  <si>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</si>
  <si>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</si>
  <si>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</si>
  <si>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</si>
  <si>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</si>
  <si>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</si>
  <si>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</si>
  <si>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</si>
  <si>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</si>
  <si>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</si>
  <si>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</si>
  <si>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</si>
  <si>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</si>
  <si>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</si>
  <si>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</si>
  <si>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</si>
  <si>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</si>
  <si>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</si>
  <si>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</si>
  <si>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</si>
  <si>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</si>
  <si>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</si>
  <si>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</si>
  <si>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</si>
  <si>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</si>
  <si>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</si>
  <si>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</si>
  <si>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</si>
  <si>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</si>
  <si>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</si>
  <si>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</si>
  <si>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</si>
  <si>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</si>
  <si>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</si>
  <si>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</si>
  <si>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</si>
  <si>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</si>
  <si>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</si>
  <si>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</si>
  <si>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</si>
  <si>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</si>
  <si>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</si>
  <si>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</si>
  <si>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</si>
  <si>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</si>
  <si>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</si>
  <si>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</si>
  <si>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</si>
  <si>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</si>
  <si>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</si>
  <si>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</si>
  <si>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</si>
  <si>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</si>
  <si>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</si>
  <si>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</si>
  <si>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</si>
  <si>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</si>
  <si>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</si>
  <si>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</si>
  <si>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</si>
  <si>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</si>
  <si>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</si>
  <si>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</si>
  <si>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</si>
  <si>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</si>
  <si>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</si>
  <si>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</si>
  <si>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</si>
  <si>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</si>
  <si>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</si>
  <si>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</si>
  <si>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</si>
  <si>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</si>
  <si>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</si>
  <si>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</si>
  <si>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</si>
  <si>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</si>
  <si>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</si>
  <si>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</si>
  <si>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</si>
  <si>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</si>
  <si>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</si>
  <si>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</si>
  <si>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</si>
  <si>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</si>
  <si>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</si>
  <si>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</si>
  <si>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</si>
  <si>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</si>
  <si>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</si>
  <si>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</si>
  <si>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</si>
  <si>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</si>
  <si>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</si>
  <si>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</si>
  <si>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</si>
  <si>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</si>
  <si>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</si>
  <si>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</si>
  <si>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</si>
  <si>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</si>
  <si>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</si>
  <si>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</si>
  <si>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</si>
  <si>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</si>
  <si>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</si>
  <si>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</si>
  <si>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</si>
  <si>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</si>
  <si>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</si>
  <si>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</si>
  <si>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</si>
  <si>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</si>
  <si>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</si>
  <si>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</si>
  <si>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</si>
  <si>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</si>
  <si>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</si>
  <si>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</si>
  <si>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</si>
  <si>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</si>
  <si>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</si>
  <si>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</si>
  <si>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</si>
  <si>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</si>
  <si>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</si>
  <si>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</si>
  <si>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</si>
  <si>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</si>
  <si>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</si>
  <si>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</si>
  <si>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</si>
  <si>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</si>
  <si>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</si>
  <si>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</si>
  <si>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</si>
  <si>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</si>
  <si>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</si>
  <si>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</si>
  <si>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</si>
  <si>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</si>
  <si>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</si>
  <si>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</si>
  <si>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</si>
  <si>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</si>
  <si>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</si>
  <si>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</si>
  <si>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</si>
  <si>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</si>
  <si>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</si>
  <si>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</si>
  <si>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</si>
  <si>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</si>
  <si>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</si>
  <si>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</si>
  <si>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</si>
  <si>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</si>
  <si>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</si>
  <si>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</si>
  <si>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</si>
  <si>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</si>
  <si>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</si>
  <si>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</si>
  <si>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</si>
  <si>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</si>
  <si>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</si>
  <si>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</si>
  <si>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</si>
  <si>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</si>
  <si>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</si>
  <si>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</si>
  <si>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</si>
  <si>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</si>
  <si>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</si>
  <si>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</si>
  <si>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</si>
  <si>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</si>
  <si>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</si>
  <si>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</si>
  <si>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</si>
  <si>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</si>
  <si>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</si>
  <si>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</si>
  <si>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</si>
  <si>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</si>
  <si>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</si>
  <si>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</si>
  <si>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</si>
  <si>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</si>
  <si>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</si>
  <si>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</si>
  <si>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</si>
  <si>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</si>
  <si>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</si>
  <si>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</si>
  <si>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</si>
  <si>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</si>
  <si>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</si>
  <si>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</si>
  <si>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</si>
  <si>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</si>
  <si>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</si>
  <si>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</si>
  <si>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</si>
  <si>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</si>
  <si>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</si>
  <si>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</si>
  <si>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</si>
  <si>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</si>
  <si>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</si>
  <si>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</si>
  <si>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</si>
  <si>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</si>
  <si>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</si>
  <si>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</si>
  <si>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</si>
  <si>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</si>
  <si>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</si>
  <si>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</si>
  <si>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</si>
  <si>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</si>
  <si>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</si>
  <si>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</si>
  <si>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</si>
  <si>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</si>
  <si>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</si>
  <si>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</si>
  <si>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</si>
  <si>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</si>
  <si>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</si>
  <si>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</si>
  <si>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</si>
  <si>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</si>
  <si>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</si>
  <si>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</si>
  <si>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</si>
  <si>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</si>
  <si>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</si>
  <si>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</si>
  <si>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</si>
  <si>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</si>
  <si>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</si>
  <si>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</si>
  <si>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</si>
  <si>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</si>
  <si>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</si>
  <si>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</si>
  <si>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</si>
  <si>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</si>
  <si>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</si>
  <si>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</si>
  <si>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</si>
  <si>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</si>
  <si>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</si>
  <si>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</si>
  <si>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</si>
  <si>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</si>
  <si>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</si>
  <si>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</si>
  <si>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</si>
  <si>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</si>
  <si>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</si>
  <si>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</si>
  <si>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</si>
  <si>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</si>
  <si>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</si>
  <si>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</si>
  <si>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</si>
  <si>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</si>
  <si>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</si>
  <si>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</si>
  <si>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</si>
  <si>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</si>
  <si>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</si>
  <si>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</si>
  <si>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</si>
  <si>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</si>
  <si>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</si>
  <si>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</si>
  <si>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</si>
  <si>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</si>
  <si>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</si>
  <si>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</si>
  <si>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</si>
  <si>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</si>
  <si>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</si>
  <si>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</si>
  <si>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</si>
  <si>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</si>
  <si>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</si>
  <si>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</si>
  <si>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</si>
  <si>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</si>
  <si>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</si>
  <si>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</si>
  <si>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</si>
  <si>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</si>
  <si>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</si>
  <si>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</si>
  <si>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</si>
  <si>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</si>
  <si>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</si>
  <si>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</si>
  <si>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</si>
  <si>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</si>
  <si>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</si>
  <si>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</si>
  <si>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</si>
  <si>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</si>
  <si>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</si>
  <si>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</si>
  <si>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</si>
  <si>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</si>
  <si>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</si>
  <si>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</si>
  <si>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</si>
  <si>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</si>
  <si>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</si>
  <si>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</si>
  <si>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</si>
  <si>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</si>
  <si>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</si>
  <si>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</si>
  <si>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</si>
  <si>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</si>
  <si>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</si>
  <si>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</si>
  <si>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</si>
  <si>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</si>
  <si>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</si>
  <si>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</si>
  <si>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</si>
  <si>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</si>
  <si>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</si>
  <si>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</si>
  <si>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</si>
  <si>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</si>
  <si>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</si>
  <si>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</si>
  <si>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</si>
  <si>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</si>
  <si>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</si>
  <si>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</si>
  <si>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</si>
  <si>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</si>
  <si>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</si>
  <si>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</si>
  <si>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</si>
  <si>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</si>
  <si>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</si>
  <si>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</si>
  <si>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</si>
  <si>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</si>
  <si>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</si>
  <si>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</si>
  <si>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</si>
  <si>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</si>
  <si>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</si>
  <si>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</si>
  <si>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</si>
  <si>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</si>
  <si>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</si>
  <si>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</si>
  <si>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</si>
  <si>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</si>
  <si>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</si>
  <si>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</si>
  <si>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</si>
  <si>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</si>
  <si>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</si>
  <si>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</si>
  <si>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</si>
  <si>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</si>
  <si>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</si>
  <si>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</si>
  <si>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</si>
  <si>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</si>
  <si>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</si>
  <si>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</si>
  <si>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</si>
  <si>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</si>
  <si>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</si>
  <si>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</si>
  <si>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</si>
  <si>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</si>
  <si>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</si>
  <si>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</si>
  <si>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</si>
  <si>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</si>
  <si>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</si>
  <si>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</si>
  <si>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</si>
  <si>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</si>
  <si>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</si>
  <si>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</si>
  <si>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</si>
  <si>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</si>
  <si>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</si>
  <si>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</si>
  <si>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</si>
  <si>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</si>
  <si>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</si>
  <si>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</si>
  <si>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</si>
  <si>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</si>
  <si>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</si>
  <si>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</si>
  <si>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</si>
  <si>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</si>
  <si>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</si>
  <si>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</si>
  <si>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</si>
  <si>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</si>
  <si>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</si>
  <si>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</si>
  <si>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</si>
  <si>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</si>
  <si>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</si>
  <si>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</si>
  <si>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</si>
  <si>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</si>
  <si>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</si>
  <si>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</si>
  <si>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</si>
  <si>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</si>
  <si>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</si>
  <si>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</si>
  <si>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</si>
  <si>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</si>
  <si>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</si>
  <si>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</si>
  <si>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</si>
  <si>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</si>
  <si>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</si>
  <si>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</si>
  <si>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</si>
  <si>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</si>
  <si>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</si>
  <si>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</si>
  <si>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</si>
  <si>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</si>
  <si>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</si>
  <si>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</si>
  <si>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</si>
  <si>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</si>
  <si>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</si>
  <si>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</si>
  <si>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</si>
  <si>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</si>
  <si>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</si>
  <si>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</si>
  <si>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</si>
  <si>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</si>
  <si>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</si>
  <si>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</si>
  <si>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</si>
  <si>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</si>
  <si>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</si>
  <si>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</si>
  <si>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</si>
  <si>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</si>
  <si>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</si>
  <si>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</si>
  <si>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</si>
  <si>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</si>
  <si>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</si>
  <si>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</si>
  <si>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</si>
  <si>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</si>
  <si>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</si>
  <si>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</si>
  <si>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</si>
  <si>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</si>
  <si>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</si>
  <si>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</si>
  <si>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</si>
  <si>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</si>
  <si>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</si>
  <si>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</si>
  <si>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</si>
  <si>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</si>
  <si>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</si>
  <si>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</si>
  <si>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</si>
  <si>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</si>
  <si>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</si>
  <si>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</si>
  <si>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</si>
  <si>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</si>
  <si>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</si>
  <si>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</si>
  <si>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</si>
  <si>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</si>
  <si>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</si>
  <si>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</si>
  <si>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</si>
  <si>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</si>
  <si>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</si>
  <si>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</si>
  <si>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</si>
  <si>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</si>
  <si>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</si>
  <si>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</si>
  <si>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</si>
  <si>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</si>
  <si>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</si>
  <si>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</si>
  <si>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</si>
  <si>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</si>
  <si>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</si>
  <si>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</si>
  <si>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</si>
  <si>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</si>
  <si>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</si>
  <si>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</si>
  <si>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</si>
  <si>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</si>
  <si>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</si>
  <si>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</si>
  <si>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</si>
  <si>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</si>
  <si>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</si>
  <si>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</si>
  <si>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</si>
  <si>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</si>
  <si>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</si>
  <si>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</si>
  <si>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</si>
  <si>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</si>
  <si>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</si>
  <si>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</si>
  <si>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</si>
  <si>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</si>
  <si>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</si>
  <si>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</si>
  <si>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</si>
  <si>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</si>
  <si>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</si>
  <si>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</si>
  <si>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</si>
  <si>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</si>
  <si>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</si>
  <si>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</si>
  <si>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</si>
  <si>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</si>
  <si>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</si>
  <si>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</si>
  <si>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</si>
  <si>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</si>
  <si>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</si>
  <si>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</si>
  <si>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</si>
  <si>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</si>
  <si>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</si>
  <si>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</si>
  <si>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</si>
  <si>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</si>
  <si>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</si>
  <si>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</si>
  <si>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</si>
  <si>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</si>
  <si>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</si>
  <si>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</si>
  <si>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</si>
  <si>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</si>
  <si>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</si>
  <si>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</si>
  <si>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</si>
  <si>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</si>
  <si>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</si>
  <si>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</si>
  <si>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</si>
  <si>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</si>
  <si>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</si>
  <si>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</si>
  <si>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</si>
  <si>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</si>
  <si>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</si>
  <si>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</si>
  <si>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</si>
  <si>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</si>
  <si>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</si>
  <si>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</si>
  <si>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</si>
  <si>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</si>
  <si>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</si>
  <si>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</si>
  <si>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</si>
  <si>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</si>
  <si>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</si>
  <si>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</si>
  <si>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</si>
  <si>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</si>
  <si>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</si>
  <si>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</si>
  <si>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</si>
  <si>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</si>
  <si>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</si>
  <si>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</si>
  <si>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</si>
  <si>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</si>
  <si>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</si>
  <si>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</si>
  <si>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</si>
  <si>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</si>
  <si>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</si>
  <si>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</si>
  <si>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</si>
  <si>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</si>
  <si>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</si>
  <si>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</si>
  <si>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</si>
  <si>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</si>
  <si>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</si>
  <si>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</si>
  <si>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</si>
  <si>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</si>
  <si>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</si>
  <si>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</si>
  <si>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</si>
  <si>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</si>
  <si>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</si>
  <si>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</si>
  <si>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</si>
  <si>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</si>
  <si>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</si>
  <si>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</si>
  <si>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</si>
  <si>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</si>
  <si>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</si>
  <si>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</si>
  <si>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</si>
  <si>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</si>
  <si>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</si>
  <si>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</si>
  <si>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</si>
  <si>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</si>
  <si>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</si>
  <si>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</si>
  <si>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</si>
  <si>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</si>
  <si>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</si>
  <si>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</si>
  <si>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</si>
  <si>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</si>
  <si>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</si>
  <si>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</si>
  <si>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</si>
  <si>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</si>
  <si>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</si>
  <si>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</si>
  <si>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</si>
  <si>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</si>
  <si>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</si>
  <si>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</si>
  <si>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</si>
  <si>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</si>
  <si>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</si>
  <si>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</si>
  <si>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</si>
  <si>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</si>
  <si>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</si>
  <si>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</si>
  <si>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</si>
  <si>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</si>
  <si>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</si>
  <si>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</si>
  <si>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</si>
  <si>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</si>
  <si>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</si>
  <si>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</si>
  <si>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</si>
  <si>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</si>
  <si>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</si>
  <si>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</si>
  <si>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</si>
  <si>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</si>
  <si>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</si>
  <si>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</si>
  <si>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</si>
  <si>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</si>
  <si>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</si>
  <si>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</si>
  <si>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</si>
  <si>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</si>
  <si>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</si>
  <si>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</si>
  <si>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</si>
  <si>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</si>
  <si>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</si>
  <si>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</si>
  <si>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</si>
  <si>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</si>
  <si>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</si>
  <si>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</si>
  <si>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</si>
  <si>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</si>
  <si>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</si>
  <si>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</si>
  <si>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</si>
  <si>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</si>
  <si>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</si>
  <si>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</si>
  <si>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</si>
  <si>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</si>
  <si>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</si>
  <si>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</si>
  <si>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</si>
  <si>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</si>
  <si>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</si>
  <si>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</si>
  <si>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</si>
  <si>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</si>
  <si>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</si>
  <si>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</si>
  <si>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</si>
  <si>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</si>
  <si>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</si>
  <si>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</si>
  <si>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</si>
  <si>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</si>
  <si>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</si>
  <si>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</si>
  <si>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</si>
  <si>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</si>
  <si>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</si>
  <si>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</si>
  <si>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</si>
  <si>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</si>
  <si>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</si>
  <si>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</si>
  <si>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</si>
  <si>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</si>
  <si>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</si>
  <si>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</si>
  <si>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</si>
  <si>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</si>
  <si>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</si>
  <si>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</si>
  <si>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</si>
  <si>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</si>
  <si>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</si>
  <si>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</si>
  <si>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</si>
  <si>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</si>
  <si>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</si>
  <si>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</si>
  <si>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</si>
  <si>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</si>
  <si>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</si>
  <si>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</si>
  <si>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</si>
  <si>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</si>
  <si>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</si>
  <si>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</si>
  <si>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</si>
  <si>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</si>
  <si>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</si>
  <si>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</si>
  <si>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</si>
  <si>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</si>
  <si>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</si>
  <si>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</si>
  <si>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</si>
  <si>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</si>
  <si>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</si>
  <si>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</si>
  <si>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</si>
  <si>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</si>
  <si>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</si>
  <si>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</si>
  <si>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</si>
  <si>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</si>
  <si>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</si>
  <si>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</si>
  <si>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</si>
  <si>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</si>
  <si>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</si>
  <si>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</si>
  <si>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</si>
  <si>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</si>
  <si>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</si>
  <si>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</si>
  <si>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</si>
  <si>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</si>
  <si>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</si>
  <si>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</si>
  <si>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</si>
  <si>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</si>
  <si>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</si>
  <si>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</si>
  <si>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</si>
  <si>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</si>
  <si>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</si>
  <si>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</si>
  <si>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</si>
  <si>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</si>
  <si>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</si>
  <si>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</si>
  <si>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</si>
  <si>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</si>
  <si>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</si>
  <si>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</si>
  <si>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</si>
  <si>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</si>
  <si>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</si>
  <si>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</si>
  <si>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</si>
  <si>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</si>
  <si>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</si>
  <si>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</si>
  <si>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</si>
  <si>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</si>
  <si>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</si>
  <si>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</si>
  <si>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</si>
  <si>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</si>
  <si>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</si>
  <si>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</si>
  <si>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</si>
  <si>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</si>
  <si>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</si>
  <si>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</si>
  <si>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</si>
  <si>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</si>
  <si>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</si>
  <si>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</si>
  <si>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</si>
  <si>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</si>
  <si>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</si>
  <si>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</si>
  <si>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</si>
  <si>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</si>
  <si>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</si>
  <si>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</si>
  <si>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</si>
  <si>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</si>
  <si>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</si>
  <si>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</si>
  <si>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</si>
  <si>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</si>
  <si>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</si>
  <si>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</si>
  <si>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</si>
  <si>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</si>
  <si>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</si>
  <si>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</si>
  <si>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</si>
  <si>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</si>
  <si>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</si>
  <si>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</si>
  <si>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</si>
  <si>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</si>
  <si>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</si>
  <si>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</si>
  <si>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</si>
  <si>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</si>
  <si>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</si>
  <si>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</si>
  <si>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</si>
  <si>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</si>
  <si>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</si>
  <si>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</si>
  <si>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</si>
  <si>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</si>
  <si>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</si>
  <si>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</si>
  <si>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</si>
  <si>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</si>
  <si>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</si>
  <si>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</si>
  <si>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</si>
  <si>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</si>
  <si>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</si>
  <si>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</si>
  <si>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</si>
  <si>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</si>
  <si>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</si>
  <si>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</si>
  <si>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</si>
  <si>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</si>
  <si>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</si>
  <si>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</si>
  <si>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</si>
  <si>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</si>
  <si>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</si>
  <si>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</si>
  <si>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</si>
  <si>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</si>
  <si>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</si>
  <si>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</si>
  <si>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</si>
  <si>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</si>
  <si>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</si>
  <si>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</si>
  <si>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</si>
  <si>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</si>
  <si>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</si>
  <si>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</si>
  <si>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</si>
  <si>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</si>
  <si>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</si>
  <si>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</si>
  <si>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</si>
  <si>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</si>
  <si>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</si>
  <si>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</si>
  <si>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</si>
  <si>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</si>
  <si>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</si>
  <si>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</si>
  <si>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</si>
  <si>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</si>
  <si>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</si>
  <si>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</si>
  <si>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</si>
  <si>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</si>
  <si>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</si>
  <si>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</si>
  <si>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</si>
  <si>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</si>
  <si>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</si>
  <si>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</si>
  <si>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</si>
  <si>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</si>
  <si>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</si>
  <si>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</si>
  <si>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</si>
  <si>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</si>
  <si>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</si>
  <si>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</si>
  <si>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</si>
  <si>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</si>
  <si>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</si>
  <si>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</si>
  <si>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</si>
  <si>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</si>
  <si>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</si>
  <si>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</si>
  <si>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</si>
  <si>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</si>
  <si>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</si>
  <si>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</si>
  <si>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</si>
  <si>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</si>
  <si>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</si>
  <si>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</si>
  <si>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</si>
  <si>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</si>
  <si>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</si>
  <si>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</si>
  <si>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</si>
  <si>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</si>
  <si>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</si>
  <si>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</si>
  <si>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</si>
  <si>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</si>
  <si>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</si>
  <si>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</si>
  <si>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</si>
  <si>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</si>
  <si>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</si>
  <si>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</si>
  <si>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</si>
  <si>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</si>
  <si>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</si>
  <si>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</si>
  <si>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</si>
  <si>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</si>
  <si>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</si>
  <si>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</si>
  <si>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</si>
  <si>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</si>
  <si>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</si>
  <si>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</si>
  <si>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</si>
  <si>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</si>
  <si>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</si>
  <si>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</si>
  <si>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</si>
  <si>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</si>
  <si>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</si>
  <si>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</si>
  <si>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</si>
  <si>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</si>
  <si>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</si>
  <si>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</si>
  <si>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</si>
  <si>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</si>
  <si>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</si>
  <si>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</si>
  <si>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</si>
  <si>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</si>
  <si>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</si>
  <si>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</si>
  <si>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</si>
  <si>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</si>
  <si>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</si>
  <si>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</si>
  <si>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</si>
  <si>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</si>
  <si>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</si>
  <si>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</si>
  <si>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</si>
  <si>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</si>
  <si>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</si>
  <si>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</si>
  <si>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</si>
  <si>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</si>
  <si>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</si>
  <si>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</si>
  <si>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</si>
  <si>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</si>
  <si>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</si>
  <si>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</si>
  <si>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</si>
  <si>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</si>
  <si>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</si>
  <si>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</si>
  <si>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</si>
  <si>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</si>
  <si>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</si>
  <si>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</si>
  <si>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</si>
  <si>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</si>
  <si>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</si>
  <si>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</si>
  <si>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</si>
  <si>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</si>
  <si>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</si>
  <si>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</si>
  <si>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</si>
  <si>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</si>
  <si>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</si>
  <si>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</si>
  <si>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</si>
  <si>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</si>
  <si>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</si>
  <si>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</si>
  <si>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</si>
  <si>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</si>
  <si>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</si>
  <si>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</si>
  <si>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</si>
  <si>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</si>
  <si>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</si>
  <si>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</si>
  <si>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</si>
  <si>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</si>
  <si>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</si>
  <si>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</si>
  <si>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</si>
  <si>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</si>
  <si>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</si>
  <si>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</si>
  <si>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</si>
  <si>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</si>
  <si>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</si>
  <si>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</si>
  <si>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</si>
  <si>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</si>
  <si>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</si>
  <si>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</si>
  <si>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</si>
  <si>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</si>
  <si>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</si>
  <si>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</si>
  <si>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</si>
  <si>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</si>
  <si>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</si>
  <si>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</si>
  <si>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</si>
  <si>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</si>
  <si>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</si>
  <si>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</si>
  <si>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</si>
  <si>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</si>
  <si>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</si>
  <si>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</si>
  <si>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</si>
  <si>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</si>
  <si>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</si>
  <si>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</si>
  <si>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</si>
  <si>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</si>
  <si>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</si>
  <si>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</si>
  <si>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</si>
  <si>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</si>
  <si>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</si>
  <si>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</si>
  <si>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</si>
  <si>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</si>
  <si>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</si>
  <si>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</si>
  <si>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</si>
  <si>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</si>
  <si>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</si>
  <si>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</si>
  <si>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</si>
  <si>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</si>
  <si>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</si>
  <si>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</si>
  <si>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</si>
  <si>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</si>
  <si>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</si>
  <si>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</si>
  <si>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</si>
  <si>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</si>
  <si>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</si>
  <si>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</si>
  <si>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</si>
  <si>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</si>
  <si>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</si>
  <si>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</si>
  <si>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</si>
  <si>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</si>
  <si>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</si>
  <si>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</si>
  <si>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</si>
  <si>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</si>
  <si>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</si>
  <si>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</si>
  <si>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</si>
  <si>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</si>
  <si>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</si>
  <si>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</si>
  <si>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</si>
  <si>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</si>
  <si>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</si>
  <si>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</si>
  <si>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</si>
  <si>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</si>
  <si>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</si>
  <si>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</si>
  <si>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</si>
  <si>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</si>
  <si>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</si>
  <si>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</si>
  <si>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</si>
  <si>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</si>
  <si>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</si>
  <si>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</si>
  <si>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</si>
  <si>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</si>
  <si>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</si>
  <si>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</si>
  <si>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</si>
  <si>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</si>
  <si>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</si>
  <si>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</si>
  <si>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</si>
  <si>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</si>
  <si>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</si>
  <si>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</si>
  <si>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</si>
  <si>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</si>
  <si>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</si>
  <si>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</si>
  <si>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</si>
  <si>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</si>
  <si>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</si>
  <si>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</si>
  <si>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</si>
  <si>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</si>
  <si>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</si>
  <si>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</si>
  <si>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</si>
  <si>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</si>
  <si>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</si>
  <si>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</si>
  <si>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</si>
  <si>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</si>
  <si>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</si>
  <si>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</si>
  <si>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</si>
  <si>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</si>
  <si>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</si>
  <si>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</si>
  <si>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</si>
  <si>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</si>
  <si>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</si>
  <si>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</si>
  <si>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</si>
  <si>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</si>
  <si>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</si>
  <si>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</si>
  <si>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</si>
  <si>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</si>
  <si>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</si>
  <si>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</si>
  <si>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</si>
  <si>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</si>
  <si>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</si>
  <si>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</si>
  <si>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</si>
  <si>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</si>
  <si>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</si>
  <si>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</si>
  <si>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</si>
  <si>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</si>
  <si>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</si>
  <si>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</si>
  <si>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</si>
  <si>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</si>
  <si>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</si>
  <si>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</si>
  <si>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</si>
  <si>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</si>
  <si>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</si>
  <si>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</si>
  <si>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</si>
  <si>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</si>
  <si>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</si>
  <si>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</si>
  <si>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</si>
  <si>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</si>
  <si>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</si>
  <si>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</si>
  <si>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</si>
  <si>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</si>
  <si>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</si>
  <si>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</si>
  <si>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</si>
  <si>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</si>
  <si>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</si>
  <si>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</si>
  <si>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</si>
  <si>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</si>
  <si>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</si>
  <si>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</si>
  <si>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</si>
  <si>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</si>
  <si>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</si>
  <si>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</si>
  <si>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</si>
  <si>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</si>
  <si>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</si>
  <si>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</si>
  <si>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</si>
  <si>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</si>
  <si>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</si>
  <si>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</si>
  <si>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</si>
  <si>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</si>
  <si>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</si>
  <si>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</si>
  <si>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</si>
  <si>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</si>
  <si>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</si>
  <si>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</si>
  <si>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</si>
  <si>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</si>
  <si>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</si>
  <si>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</si>
  <si>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</si>
  <si>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</si>
  <si>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</si>
  <si>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</si>
  <si>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</si>
  <si>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</si>
  <si>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</si>
  <si>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</si>
  <si>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</si>
  <si>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</si>
  <si>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</si>
  <si>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</si>
  <si>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</si>
  <si>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</si>
  <si>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</si>
  <si>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</si>
  <si>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</si>
  <si>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</si>
  <si>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</si>
  <si>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</si>
  <si>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</si>
  <si>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</si>
  <si>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</si>
  <si>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</si>
  <si>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</si>
  <si>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</si>
  <si>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</si>
  <si>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</si>
  <si>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</si>
  <si>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</si>
  <si>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</si>
  <si>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</si>
  <si>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</si>
  <si>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</si>
  <si>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</si>
  <si>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</si>
  <si>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</si>
  <si>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</si>
  <si>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</si>
  <si>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</si>
  <si>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</si>
  <si>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</si>
  <si>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</si>
  <si>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</si>
  <si>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</si>
  <si>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</si>
  <si>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</si>
  <si>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</si>
  <si>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</si>
  <si>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</si>
  <si>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</si>
  <si>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</si>
  <si>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</si>
  <si>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</si>
  <si>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</si>
  <si>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</si>
  <si>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</si>
  <si>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</si>
  <si>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</si>
  <si>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</si>
  <si>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</si>
  <si>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</si>
  <si>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</si>
  <si>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</si>
  <si>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</si>
  <si>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</si>
  <si>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</si>
  <si>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</si>
  <si>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</si>
  <si>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</si>
  <si>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</si>
  <si>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</si>
  <si>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</si>
  <si>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</si>
  <si>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</si>
  <si>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</si>
  <si>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</si>
  <si>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</si>
  <si>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</si>
  <si>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</si>
  <si>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</si>
  <si>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</si>
  <si>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</si>
  <si>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</si>
  <si>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</si>
  <si>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</si>
  <si>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</si>
  <si>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</si>
  <si>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</si>
  <si>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</si>
  <si>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</si>
  <si>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</si>
  <si>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</si>
  <si>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</si>
  <si>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</si>
  <si>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</si>
  <si>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</si>
  <si>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</si>
  <si>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</si>
  <si>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</si>
  <si>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</si>
  <si>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</si>
  <si>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</si>
  <si>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</si>
  <si>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</si>
  <si>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</si>
  <si>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</si>
  <si>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</si>
  <si>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</si>
  <si>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</si>
  <si>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</si>
  <si>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</si>
  <si>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</si>
  <si>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</si>
  <si>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</si>
  <si>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</si>
  <si>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</si>
  <si>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</si>
  <si>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</si>
  <si>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</si>
  <si>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</si>
  <si>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</si>
  <si>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</si>
  <si>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</si>
  <si>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</si>
  <si>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</si>
  <si>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</si>
  <si>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</si>
  <si>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</si>
  <si>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</si>
  <si>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</si>
  <si>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</si>
  <si>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</si>
  <si>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</si>
  <si>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</si>
  <si>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</si>
  <si>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</si>
  <si>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</si>
  <si>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</si>
  <si>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</si>
  <si>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</si>
  <si>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</si>
  <si>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</si>
  <si>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</si>
  <si>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</si>
  <si>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</si>
  <si>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</si>
  <si>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</si>
  <si>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</si>
  <si>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</si>
  <si>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</si>
  <si>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</si>
  <si>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</si>
  <si>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</si>
  <si>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</si>
  <si>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</si>
  <si>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</si>
  <si>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</si>
  <si>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</si>
  <si>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</si>
  <si>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</si>
  <si>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</si>
  <si>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</si>
  <si>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</si>
  <si>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</si>
  <si>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</si>
  <si>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</si>
  <si>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</si>
  <si>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</si>
  <si>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</si>
  <si>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</si>
  <si>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</si>
  <si>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</si>
  <si>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</si>
  <si>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</si>
  <si>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</si>
  <si>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</si>
  <si>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</si>
  <si>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</si>
  <si>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</si>
  <si>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</si>
  <si>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</si>
  <si>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</si>
  <si>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</si>
  <si>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</si>
  <si>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</si>
  <si>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</si>
  <si>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</si>
  <si>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</si>
  <si>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</si>
  <si>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</si>
  <si>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</si>
  <si>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</si>
  <si>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</si>
  <si>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</si>
  <si>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</si>
  <si>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</si>
  <si>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</si>
  <si>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</si>
  <si>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</si>
  <si>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</si>
  <si>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</si>
  <si>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</si>
  <si>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</si>
  <si>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</si>
  <si>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</si>
  <si>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</si>
  <si>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</si>
  <si>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</si>
  <si>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</si>
  <si>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</si>
  <si>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</si>
  <si>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</si>
  <si>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</si>
  <si>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</si>
  <si>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</si>
  <si>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</si>
  <si>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</si>
  <si>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</si>
  <si>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</si>
  <si>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</si>
  <si>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</si>
  <si>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</si>
  <si>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</si>
  <si>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</si>
  <si>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</si>
  <si>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</si>
  <si>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</si>
  <si>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</si>
  <si>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</si>
  <si>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</si>
  <si>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</si>
  <si>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</si>
  <si>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</si>
  <si>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</si>
  <si>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</si>
  <si>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</si>
  <si>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</si>
  <si>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</si>
  <si>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</si>
  <si>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</si>
  <si>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</si>
  <si>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</si>
  <si>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</si>
  <si>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</si>
  <si>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</si>
  <si>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</si>
  <si>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</si>
  <si>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</si>
  <si>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</si>
  <si>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</si>
  <si>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</si>
  <si>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</si>
  <si>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</si>
  <si>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</si>
  <si>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</si>
  <si>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</si>
  <si>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</si>
  <si>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</si>
  <si>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</si>
  <si>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</si>
  <si>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</si>
  <si>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</si>
  <si>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</si>
  <si>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</si>
  <si>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</si>
  <si>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</si>
  <si>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</si>
  <si>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</si>
  <si>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</si>
  <si>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</si>
  <si>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</si>
  <si>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</si>
  <si>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</si>
  <si>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</si>
  <si>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</si>
  <si>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</si>
  <si>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</si>
  <si>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</si>
  <si>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</si>
  <si>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</si>
  <si>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</si>
  <si>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</si>
  <si>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</si>
  <si>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</si>
  <si>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</si>
  <si>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</si>
  <si>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</si>
  <si>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</si>
  <si>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</si>
  <si>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</si>
  <si>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</si>
  <si>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</si>
  <si>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</si>
  <si>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</si>
  <si>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</si>
  <si>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</si>
  <si>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</si>
  <si>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</si>
  <si>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</si>
  <si>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</si>
  <si>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</si>
  <si>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</si>
  <si>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</si>
  <si>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</si>
  <si>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</si>
  <si>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</si>
  <si>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</si>
  <si>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</si>
  <si>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</si>
  <si>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</si>
  <si>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</si>
  <si>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</si>
  <si>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</si>
  <si>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</si>
  <si>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</si>
  <si>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</si>
  <si>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</si>
  <si>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</si>
  <si>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</si>
  <si>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</si>
  <si>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</si>
  <si>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</si>
  <si>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</si>
  <si>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</si>
  <si>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</si>
  <si>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</si>
  <si>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</si>
  <si>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</si>
  <si>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</si>
  <si>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</si>
  <si>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</si>
  <si>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</si>
  <si>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</si>
  <si>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</si>
  <si>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</si>
  <si>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</si>
  <si>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</si>
  <si>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</si>
  <si>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</si>
  <si>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</si>
  <si>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</si>
  <si>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</si>
  <si>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</si>
  <si>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</si>
  <si>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</si>
  <si>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</si>
  <si>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</si>
  <si>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</si>
  <si>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</si>
  <si>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</si>
  <si>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</si>
  <si>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</si>
  <si>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</si>
  <si>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</si>
  <si>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</si>
  <si>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</si>
  <si>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</si>
  <si>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</si>
  <si>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</si>
  <si>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</si>
  <si>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</si>
  <si>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</si>
  <si>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</si>
  <si>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</si>
  <si>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</si>
  <si>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</si>
  <si>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</si>
  <si>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</si>
  <si>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</si>
  <si>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</si>
  <si>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</si>
  <si>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</si>
  <si>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</si>
  <si>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</si>
  <si>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</si>
  <si>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</si>
  <si>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</si>
  <si>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</si>
  <si>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</si>
  <si>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</si>
  <si>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</si>
  <si>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</si>
  <si>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</si>
  <si>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</si>
  <si>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</si>
  <si>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</si>
  <si>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</si>
  <si>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</si>
  <si>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</si>
  <si>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</si>
  <si>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</si>
  <si>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</si>
  <si>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</si>
  <si>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</si>
  <si>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</si>
  <si>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</si>
  <si>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</si>
  <si>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</si>
  <si>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</si>
  <si>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</si>
  <si>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</si>
  <si>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</si>
  <si>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</si>
  <si>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</si>
  <si>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</si>
  <si>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</si>
  <si>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</si>
  <si>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</si>
  <si>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</si>
  <si>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</si>
  <si>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</si>
  <si>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</si>
  <si>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</si>
  <si>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</si>
  <si>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</si>
  <si>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</si>
  <si>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</si>
  <si>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</si>
  <si>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</si>
  <si>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</si>
  <si>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</si>
  <si>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</si>
  <si>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</si>
  <si>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</si>
  <si>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</si>
  <si>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</si>
  <si>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</si>
  <si>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</si>
  <si>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</si>
  <si>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</si>
  <si>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</si>
  <si>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</si>
  <si>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</si>
  <si>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</si>
  <si>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</si>
  <si>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</si>
  <si>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</si>
  <si>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</si>
  <si>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</si>
  <si>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</si>
  <si>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</si>
  <si>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</si>
  <si>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</si>
  <si>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</si>
  <si>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</si>
  <si>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</si>
  <si>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</si>
  <si>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</si>
  <si>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</si>
  <si>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</si>
  <si>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</si>
  <si>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</si>
  <si>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</si>
  <si>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</si>
  <si>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</si>
  <si>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</si>
  <si>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</si>
  <si>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</si>
  <si>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</si>
  <si>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</si>
  <si>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</si>
  <si>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</si>
  <si>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</si>
  <si>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</si>
  <si>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</si>
  <si>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</si>
  <si>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</si>
  <si>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</si>
  <si>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</si>
  <si>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</si>
  <si>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</si>
  <si>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</si>
  <si>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</si>
  <si>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</si>
  <si>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</si>
  <si>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</si>
  <si>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</si>
  <si>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</si>
  <si>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</si>
  <si>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</si>
  <si>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</si>
  <si>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</si>
  <si>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</si>
  <si>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</si>
  <si>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</si>
  <si>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</si>
  <si>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</si>
  <si>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</si>
  <si>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</si>
  <si>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</si>
  <si>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</si>
  <si>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</si>
  <si>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</si>
  <si>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</si>
  <si>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</si>
  <si>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</si>
  <si>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</si>
  <si>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</si>
  <si>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</si>
  <si>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</si>
  <si>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</si>
  <si>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</si>
  <si>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</si>
  <si>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</si>
  <si>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</si>
  <si>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</si>
  <si>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</si>
  <si>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</si>
  <si>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</si>
  <si>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</si>
  <si>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</si>
  <si>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</si>
  <si>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</si>
  <si>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</si>
  <si>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</si>
  <si>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</si>
  <si>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</si>
  <si>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</si>
  <si>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</si>
  <si>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</si>
  <si>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</si>
  <si>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</si>
  <si>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</si>
  <si>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</si>
  <si>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</si>
  <si>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</si>
  <si>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</si>
  <si>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</si>
  <si>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</si>
  <si>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</si>
  <si>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</si>
  <si>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</si>
  <si>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</si>
  <si>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</si>
  <si>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</si>
  <si>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</si>
  <si>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</si>
  <si>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</si>
  <si>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</si>
  <si>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</si>
  <si>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</si>
  <si>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</si>
  <si>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</si>
  <si>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</si>
  <si>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</si>
  <si>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</si>
  <si>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</si>
  <si>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</si>
  <si>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</si>
  <si>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</si>
  <si>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</si>
  <si>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</si>
  <si>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</si>
  <si>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</si>
  <si>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</si>
  <si>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</si>
  <si>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</si>
  <si>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</si>
  <si>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</si>
  <si>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</si>
  <si>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</si>
  <si>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</si>
  <si>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</si>
  <si>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</si>
  <si>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</si>
  <si>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</si>
  <si>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</si>
  <si>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</si>
  <si>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</si>
  <si>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</si>
  <si>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</si>
  <si>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</si>
  <si>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</si>
  <si>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</si>
  <si>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</si>
  <si>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</si>
  <si>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</si>
  <si>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</si>
  <si>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</si>
  <si>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</si>
  <si>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</si>
  <si>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</si>
  <si>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</si>
  <si>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</si>
  <si>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</si>
  <si>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</si>
  <si>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</si>
  <si>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</si>
  <si>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</si>
  <si>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</si>
  <si>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</si>
  <si>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</si>
  <si>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</si>
  <si>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</si>
  <si>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</si>
  <si>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</si>
  <si>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</si>
  <si>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</si>
  <si>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</si>
  <si>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</si>
  <si>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</si>
  <si>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</si>
  <si>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</si>
  <si>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</si>
  <si>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</si>
  <si>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</si>
  <si>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</si>
  <si>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</si>
  <si>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</si>
  <si>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</si>
  <si>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</si>
  <si>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</si>
  <si>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</si>
  <si>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</si>
  <si>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</si>
  <si>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</si>
  <si>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</si>
  <si>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</si>
  <si>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</si>
  <si>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</si>
  <si>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</si>
  <si>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</si>
  <si>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</si>
  <si>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</si>
  <si>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</si>
  <si>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</si>
  <si>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</si>
  <si>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</si>
  <si>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</si>
  <si>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</si>
  <si>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</si>
  <si>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</si>
  <si>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</si>
  <si>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</si>
  <si>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</si>
  <si>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</si>
  <si>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</si>
  <si>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</si>
  <si>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</si>
  <si>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</si>
  <si>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</si>
  <si>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</si>
  <si>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</si>
  <si>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</si>
  <si>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</si>
  <si>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</si>
  <si>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</si>
  <si>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</si>
  <si>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</si>
  <si>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</si>
  <si>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</si>
  <si>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</si>
  <si>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</si>
  <si>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</si>
  <si>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</si>
  <si>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</si>
  <si>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</si>
  <si>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</si>
  <si>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</si>
  <si>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</si>
  <si>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</si>
  <si>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</si>
  <si>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</si>
  <si>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</si>
  <si>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</si>
  <si>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</si>
  <si>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</si>
  <si>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</si>
  <si>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</si>
  <si>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</si>
  <si>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</si>
  <si>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</si>
  <si>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</si>
  <si>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</si>
  <si>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</si>
  <si>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</si>
  <si>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</si>
  <si>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</si>
  <si>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</si>
  <si>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</si>
  <si>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</si>
  <si>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</si>
  <si>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</si>
  <si>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</si>
  <si>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</si>
  <si>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</si>
  <si>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</si>
  <si>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</si>
  <si>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</si>
  <si>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</si>
  <si>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</si>
  <si>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</si>
  <si>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</si>
  <si>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</si>
  <si>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</si>
  <si>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</si>
  <si>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</si>
  <si>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</si>
  <si>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</si>
  <si>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</si>
  <si>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</si>
  <si>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</si>
  <si>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</si>
  <si>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</si>
  <si>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</si>
  <si>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</si>
  <si>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</si>
  <si>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</si>
  <si>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</si>
  <si>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</si>
  <si>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</si>
  <si>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</si>
  <si>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</si>
  <si>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</si>
  <si>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</si>
  <si>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</si>
  <si>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</si>
  <si>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</si>
  <si>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</si>
  <si>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</si>
  <si>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</si>
  <si>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</si>
  <si>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</si>
  <si>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</si>
  <si>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</si>
  <si>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</si>
  <si>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</si>
  <si>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</si>
  <si>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</si>
  <si>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</si>
  <si>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</si>
  <si>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</si>
  <si>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</si>
  <si>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</si>
  <si>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</si>
  <si>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</si>
  <si>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</si>
  <si>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</si>
  <si>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</si>
  <si>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</si>
  <si>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</si>
  <si>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</si>
  <si>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</si>
  <si>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</si>
  <si>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</si>
  <si>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</si>
  <si>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</si>
  <si>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</si>
  <si>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</si>
  <si>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</si>
  <si>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</si>
  <si>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</si>
  <si>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</si>
  <si>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</si>
  <si>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</si>
  <si>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</si>
  <si>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</si>
  <si>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</si>
  <si>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</si>
  <si>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</si>
  <si>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</si>
  <si>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</si>
  <si>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</si>
  <si>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</si>
  <si>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</si>
  <si>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</si>
  <si>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</si>
  <si>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</si>
  <si>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</si>
  <si>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</si>
  <si>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</si>
  <si>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</si>
  <si>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</si>
  <si>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</si>
  <si>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</si>
  <si>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</si>
  <si>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</si>
  <si>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</si>
  <si>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</si>
  <si>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</si>
  <si>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</si>
  <si>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</si>
  <si>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</si>
  <si>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</si>
  <si>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</si>
  <si>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</si>
  <si>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</si>
  <si>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</si>
  <si>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</si>
  <si>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</si>
  <si>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</si>
  <si>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</si>
  <si>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</si>
  <si>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</si>
  <si>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</si>
  <si>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</si>
  <si>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</si>
  <si>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</si>
  <si>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</si>
  <si>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</si>
  <si>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</si>
  <si>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</si>
  <si>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</si>
  <si>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</si>
  <si>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</si>
  <si>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</si>
  <si>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</si>
  <si>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</si>
  <si>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</si>
  <si>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</si>
  <si>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</si>
  <si>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</si>
  <si>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</si>
  <si>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</si>
  <si>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</si>
  <si>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</si>
  <si>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</si>
  <si>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</si>
  <si>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</si>
  <si>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</si>
  <si>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</si>
  <si>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</si>
  <si>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</si>
  <si>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</si>
  <si>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</si>
  <si>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</si>
  <si>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</si>
  <si>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</si>
  <si>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</si>
  <si>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</si>
  <si>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</si>
  <si>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</si>
  <si>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</si>
  <si>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</si>
  <si>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</si>
  <si>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</si>
  <si>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</si>
  <si>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</si>
  <si>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</si>
  <si>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</si>
  <si>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</si>
  <si>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</si>
  <si>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</si>
  <si>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</si>
  <si>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</si>
  <si>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</si>
  <si>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</si>
  <si>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</si>
  <si>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</si>
  <si>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</si>
  <si>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</si>
  <si>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</si>
  <si>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</si>
  <si>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</si>
  <si>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</si>
  <si>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</si>
  <si>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</si>
  <si>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</si>
  <si>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</si>
  <si>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</si>
  <si>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</si>
  <si>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</si>
  <si>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</si>
  <si>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</si>
  <si>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</si>
  <si>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</si>
  <si>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</si>
  <si>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</si>
  <si>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</si>
  <si>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</si>
  <si>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</si>
  <si>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</si>
  <si>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</si>
  <si>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</si>
  <si>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</si>
  <si>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</si>
  <si>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</si>
  <si>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</si>
  <si>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</si>
  <si>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</si>
  <si>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</si>
  <si>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</si>
  <si>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</si>
  <si>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</si>
  <si>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</si>
  <si>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</si>
  <si>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</si>
  <si>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</si>
  <si>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</si>
  <si>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</si>
  <si>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</si>
  <si>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</si>
  <si>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</si>
  <si>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</si>
  <si>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</si>
  <si>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</si>
  <si>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</si>
  <si>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</si>
  <si>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</si>
  <si>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</si>
  <si>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</si>
  <si>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</si>
  <si>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</si>
  <si>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</si>
  <si>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</si>
  <si>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</si>
  <si>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</si>
  <si>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</si>
  <si>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</si>
  <si>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</si>
  <si>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</si>
  <si>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</si>
  <si>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</si>
  <si>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</si>
  <si>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</si>
  <si>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</si>
  <si>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</si>
  <si>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</si>
  <si>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</si>
  <si>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</si>
  <si>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</si>
  <si>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</si>
  <si>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</si>
  <si>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</si>
  <si>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</si>
  <si>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</si>
  <si>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</si>
  <si>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</si>
  <si>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</si>
  <si>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</si>
  <si>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</si>
  <si>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</si>
  <si>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</si>
  <si>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</si>
  <si>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</si>
  <si>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</si>
  <si>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</si>
  <si>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</si>
  <si>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</si>
  <si>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</si>
  <si>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</si>
  <si>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</si>
  <si>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</si>
  <si>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</si>
  <si>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</si>
  <si>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</si>
  <si>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</si>
  <si>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</si>
  <si>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</si>
  <si>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</si>
  <si>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</si>
  <si>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</si>
  <si>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</si>
  <si>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</si>
  <si>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</si>
  <si>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</si>
  <si>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</si>
  <si>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</si>
  <si>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</si>
  <si>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</si>
  <si>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</si>
  <si>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</si>
  <si>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</si>
  <si>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</si>
  <si>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</si>
  <si>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</si>
  <si>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</si>
  <si>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</si>
  <si>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</si>
  <si>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</si>
  <si>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</si>
  <si>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</si>
  <si>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</si>
  <si>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</si>
  <si>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</si>
  <si>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</si>
  <si>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</si>
  <si>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</si>
  <si>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</si>
  <si>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</si>
  <si>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</si>
  <si>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</si>
  <si>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</si>
  <si>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</si>
  <si>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</si>
  <si>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</si>
  <si>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</si>
  <si>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</si>
  <si>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</si>
  <si>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</si>
  <si>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</si>
  <si>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</si>
  <si>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</si>
  <si>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</si>
  <si>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</si>
  <si>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</si>
  <si>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</si>
  <si>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</si>
  <si>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</si>
  <si>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</si>
  <si>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</si>
  <si>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</si>
  <si>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</si>
  <si>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</si>
  <si>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</si>
  <si>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</si>
  <si>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</si>
  <si>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</si>
  <si>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</si>
  <si>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</si>
  <si>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</si>
  <si>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</si>
  <si>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</si>
  <si>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</si>
  <si>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</si>
  <si>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</si>
  <si>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</si>
  <si>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</si>
  <si>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</si>
  <si>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</si>
  <si>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</si>
  <si>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</si>
  <si>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</si>
  <si>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</si>
  <si>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</si>
  <si>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</si>
  <si>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</si>
  <si>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</si>
  <si>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</si>
  <si>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</si>
  <si>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</si>
  <si>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</si>
  <si>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</si>
  <si>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</si>
  <si>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</si>
  <si>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</si>
  <si>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</si>
  <si>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</si>
  <si>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</si>
  <si>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</si>
  <si>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</si>
  <si>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</si>
  <si>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</si>
  <si>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</si>
  <si>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</si>
  <si>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</si>
  <si>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</si>
  <si>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</si>
  <si>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</si>
  <si>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</si>
  <si>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</si>
  <si>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</si>
  <si>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</si>
  <si>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</si>
  <si>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</si>
  <si>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</si>
  <si>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</si>
  <si>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</si>
  <si>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</si>
  <si>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</si>
  <si>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</si>
  <si>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</si>
  <si>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</si>
  <si>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</si>
  <si>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</si>
  <si>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</si>
  <si>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</si>
  <si>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</si>
  <si>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</si>
  <si>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</si>
  <si>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</si>
  <si>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</si>
  <si>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</si>
  <si>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</si>
  <si>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</si>
  <si>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</si>
  <si>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</si>
  <si>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</si>
  <si>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</si>
  <si>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</si>
  <si>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</si>
  <si>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</si>
  <si>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</si>
  <si>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</si>
  <si>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</si>
  <si>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</si>
  <si>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</si>
  <si>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</si>
  <si>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</si>
  <si>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</si>
  <si>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</si>
  <si>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</si>
  <si>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</si>
  <si>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</si>
  <si>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</si>
  <si>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</si>
  <si>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</si>
  <si>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</si>
  <si>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</si>
  <si>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</si>
  <si>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</si>
  <si>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</si>
  <si>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</si>
  <si>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</si>
  <si>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</si>
  <si>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</si>
  <si>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</si>
  <si>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</si>
  <si>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</si>
  <si>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</si>
  <si>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</si>
  <si>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</si>
  <si>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</si>
  <si>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</si>
  <si>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</si>
  <si>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</si>
  <si>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</si>
  <si>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</si>
  <si>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</si>
  <si>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</si>
  <si>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</si>
  <si>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</si>
  <si>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</si>
  <si>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</si>
  <si>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</si>
  <si>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</si>
  <si>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</si>
  <si>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</si>
  <si>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</si>
  <si>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</si>
  <si>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</si>
  <si>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</si>
  <si>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</si>
  <si>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</si>
  <si>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</si>
  <si>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</si>
  <si>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</si>
  <si>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</si>
  <si>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</si>
  <si>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</si>
  <si>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</si>
  <si>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</si>
  <si>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</si>
  <si>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</si>
  <si>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</si>
  <si>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</si>
  <si>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</si>
  <si>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</si>
  <si>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</si>
  <si>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</si>
  <si>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</si>
  <si>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</si>
  <si>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</si>
  <si>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</si>
  <si>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</si>
  <si>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</si>
  <si>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</si>
  <si>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</si>
  <si>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</si>
  <si>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</si>
  <si>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</si>
  <si>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</si>
  <si>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</si>
  <si>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</si>
  <si>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</si>
  <si>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</si>
  <si>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</si>
  <si>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</si>
  <si>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</si>
  <si>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</si>
  <si>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</si>
  <si>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</si>
  <si>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</si>
  <si>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</si>
  <si>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</si>
  <si>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</si>
  <si>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</si>
  <si>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</si>
  <si>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</si>
  <si>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</si>
  <si>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</si>
  <si>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</si>
  <si>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</si>
  <si>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</si>
  <si>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</si>
  <si>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</si>
  <si>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</si>
  <si>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</si>
  <si>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</si>
  <si>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</si>
  <si>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</si>
  <si>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</si>
  <si>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</si>
  <si>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</si>
  <si>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</si>
  <si>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</si>
  <si>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</si>
  <si>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</si>
  <si>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</si>
  <si>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</si>
  <si>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</si>
  <si>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</si>
  <si>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</si>
  <si>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</si>
  <si>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</si>
  <si>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</si>
  <si>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</si>
  <si>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</si>
  <si>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</si>
  <si>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</si>
  <si>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</si>
  <si>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</si>
  <si>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</si>
  <si>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</si>
  <si>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</si>
  <si>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</si>
  <si>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</si>
  <si>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</si>
  <si>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</si>
  <si>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</si>
  <si>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</si>
  <si>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</si>
  <si>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</si>
  <si>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</si>
  <si>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</si>
  <si>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</si>
  <si>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</si>
  <si>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</si>
  <si>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</si>
  <si>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</si>
  <si>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</si>
  <si>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</si>
  <si>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</si>
  <si>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</si>
  <si>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</si>
  <si>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</si>
  <si>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</si>
  <si>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</si>
  <si>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</si>
  <si>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</si>
  <si>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</si>
  <si>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</si>
  <si>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</si>
  <si>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</si>
  <si>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</si>
  <si>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</si>
  <si>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</si>
  <si>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</si>
  <si>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</si>
  <si>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</si>
  <si>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</si>
  <si>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</si>
  <si>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</si>
  <si>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</si>
  <si>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</si>
  <si>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</si>
  <si>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</si>
  <si>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</si>
  <si>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</si>
  <si>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</si>
  <si>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</si>
  <si>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</si>
  <si>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</si>
  <si>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</si>
  <si>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</si>
  <si>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</si>
  <si>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</si>
  <si>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</si>
  <si>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</si>
  <si>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</si>
  <si>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</si>
  <si>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</si>
  <si>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</si>
  <si>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</si>
  <si>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</si>
  <si>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</si>
  <si>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</si>
  <si>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</si>
  <si>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</si>
  <si>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</si>
  <si>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</si>
  <si>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</si>
  <si>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</si>
  <si>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</si>
  <si>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</si>
  <si>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</si>
  <si>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</si>
  <si>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</si>
  <si>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</si>
  <si>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</si>
  <si>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</si>
  <si>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</si>
  <si>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</si>
  <si>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</si>
  <si>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</si>
  <si>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</si>
  <si>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</si>
  <si>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</si>
  <si>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</si>
  <si>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</si>
  <si>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</si>
  <si>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</si>
  <si>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</si>
  <si>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</si>
  <si>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</si>
  <si>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</si>
  <si>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</si>
  <si>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</si>
  <si>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</si>
  <si>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</si>
  <si>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</si>
  <si>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</si>
  <si>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</si>
  <si>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</si>
  <si>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</si>
  <si>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</si>
  <si>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</si>
  <si>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</si>
  <si>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</si>
  <si>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</si>
  <si>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</si>
  <si>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</si>
  <si>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</si>
  <si>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</si>
  <si>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</si>
  <si>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</si>
  <si>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</si>
  <si>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</si>
  <si>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</si>
  <si>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</si>
  <si>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</si>
  <si>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</si>
  <si>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</si>
  <si>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</si>
  <si>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</si>
  <si>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</si>
  <si>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</si>
  <si>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</si>
  <si>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</si>
  <si>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</si>
  <si>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</si>
  <si>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</si>
  <si>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</si>
  <si>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</si>
  <si>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</si>
  <si>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</si>
  <si>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</si>
  <si>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</si>
  <si>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</si>
  <si>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</si>
  <si>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</si>
  <si>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</si>
  <si>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</si>
  <si>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</si>
  <si>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</si>
  <si>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</si>
  <si>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</si>
  <si>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</si>
  <si>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</si>
  <si>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</si>
  <si>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</si>
  <si>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</si>
  <si>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</si>
  <si>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</si>
  <si>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</si>
  <si>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</si>
  <si>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</si>
  <si>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</si>
  <si>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</si>
  <si>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</si>
  <si>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</si>
  <si>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</si>
  <si>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</si>
  <si>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</si>
  <si>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</si>
  <si>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</si>
  <si>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</si>
  <si>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</si>
  <si>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</si>
  <si>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</si>
  <si>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</si>
  <si>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</si>
  <si>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</si>
  <si>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</si>
  <si>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</si>
  <si>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</si>
  <si>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</si>
  <si>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</si>
  <si>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</si>
  <si>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</si>
  <si>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</si>
  <si>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</si>
  <si>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</si>
  <si>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</si>
  <si>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</si>
  <si>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</si>
  <si>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</si>
  <si>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</si>
  <si>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</si>
  <si>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</si>
  <si>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</si>
  <si>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</si>
  <si>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</si>
  <si>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</si>
  <si>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</si>
  <si>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</si>
  <si>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</si>
  <si>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</si>
  <si>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</si>
  <si>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</si>
  <si>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</si>
  <si>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</si>
  <si>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</si>
  <si>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</si>
  <si>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</si>
  <si>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</si>
  <si>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</si>
  <si>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</si>
  <si>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</si>
  <si>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</si>
  <si>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</si>
  <si>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</si>
  <si>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</si>
  <si>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</si>
  <si>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</si>
  <si>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</si>
  <si>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</si>
  <si>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</si>
  <si>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</si>
  <si>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</si>
  <si>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</si>
  <si>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</si>
  <si>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</si>
  <si>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</si>
  <si>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</si>
  <si>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</si>
  <si>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</si>
  <si>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</si>
  <si>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</si>
  <si>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</si>
  <si>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</si>
  <si>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</si>
  <si>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</si>
  <si>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</si>
  <si>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</si>
  <si>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</si>
  <si>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</si>
  <si>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</si>
  <si>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</si>
  <si>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</si>
  <si>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</si>
  <si>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</si>
  <si>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</si>
  <si>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</si>
  <si>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</si>
  <si>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</si>
  <si>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</si>
  <si>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</si>
  <si>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</si>
  <si>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</si>
  <si>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</si>
  <si>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</si>
  <si>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</si>
  <si>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</si>
  <si>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</si>
  <si>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</si>
  <si>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</si>
  <si>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</si>
  <si>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</si>
  <si>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</si>
  <si>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</si>
  <si>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</si>
  <si>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</si>
  <si>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</si>
  <si>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</si>
  <si>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</si>
  <si>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</si>
  <si>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</si>
  <si>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</si>
  <si>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</si>
  <si>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</si>
  <si>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</si>
  <si>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</si>
  <si>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</si>
  <si>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</si>
  <si>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</si>
  <si>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</si>
  <si>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</si>
  <si>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</si>
  <si>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</si>
  <si>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</si>
  <si>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</si>
  <si>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</si>
  <si>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</si>
  <si>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</si>
  <si>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</si>
  <si>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</si>
  <si>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</si>
  <si>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</si>
  <si>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</si>
  <si>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</si>
  <si>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</si>
  <si>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</si>
  <si>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</si>
  <si>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</si>
  <si>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</si>
  <si>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</si>
  <si>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</si>
  <si>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</si>
  <si>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</si>
  <si>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</si>
  <si>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</si>
  <si>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</si>
  <si>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</si>
  <si>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</si>
  <si>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</si>
  <si>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</si>
  <si>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</si>
  <si>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</si>
  <si>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</si>
  <si>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</si>
  <si>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</si>
  <si>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</si>
  <si>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</si>
  <si>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</si>
  <si>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</si>
  <si>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</si>
  <si>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</si>
  <si>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</si>
  <si>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</si>
  <si>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</si>
  <si>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</si>
  <si>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</si>
  <si>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</si>
  <si>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</si>
  <si>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</si>
  <si>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</si>
  <si>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</si>
  <si>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</si>
  <si>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</si>
  <si>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</si>
  <si>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</si>
  <si>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</si>
  <si>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</si>
  <si>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</si>
  <si>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</si>
  <si>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</si>
  <si>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</si>
  <si>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</si>
  <si>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</si>
  <si>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</si>
  <si>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</si>
  <si>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</si>
  <si>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</si>
  <si>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</si>
  <si>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</si>
  <si>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</si>
  <si>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</si>
  <si>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</si>
  <si>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</si>
  <si>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</si>
  <si>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</si>
  <si>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</si>
  <si>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</si>
  <si>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</si>
  <si>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</si>
  <si>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</si>
  <si>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</si>
  <si>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</si>
  <si>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</si>
  <si>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</si>
  <si>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</si>
  <si>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</si>
  <si>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</si>
  <si>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</si>
  <si>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</si>
  <si>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</si>
  <si>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</si>
  <si>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</si>
  <si>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</si>
  <si>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</si>
  <si>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</si>
  <si>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</si>
  <si>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</si>
  <si>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</si>
  <si>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</si>
  <si>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</si>
  <si>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</si>
  <si>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</si>
  <si>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</si>
  <si>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</si>
  <si>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</si>
  <si>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</si>
  <si>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</si>
  <si>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</si>
  <si>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</si>
  <si>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</si>
  <si>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</si>
  <si>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</si>
  <si>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</si>
  <si>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</si>
  <si>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</si>
  <si>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</si>
  <si>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</si>
  <si>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</si>
  <si>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</si>
  <si>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</si>
  <si>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</si>
  <si>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</si>
  <si>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</si>
  <si>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</si>
  <si>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</si>
  <si>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</si>
  <si>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</si>
  <si>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</si>
  <si>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</si>
  <si>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</si>
  <si>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</si>
  <si>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</si>
  <si>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</si>
  <si>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</si>
  <si>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</si>
  <si>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</si>
  <si>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</si>
  <si>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</si>
  <si>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</si>
  <si>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</si>
  <si>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</si>
  <si>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</si>
  <si>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</si>
  <si>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</si>
  <si>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</si>
  <si>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</si>
  <si>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</si>
  <si>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</si>
  <si>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</si>
  <si>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</si>
  <si>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</si>
  <si>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</si>
  <si>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</si>
  <si>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</si>
  <si>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</si>
  <si>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</si>
  <si>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</si>
  <si>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</si>
  <si>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</si>
  <si>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</si>
  <si>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</si>
  <si>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</si>
  <si>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</si>
  <si>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</si>
  <si>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</si>
  <si>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</si>
  <si>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</si>
  <si>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</si>
  <si>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</si>
  <si>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</si>
  <si>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</si>
  <si>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</si>
  <si>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</si>
  <si>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</si>
  <si>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</si>
  <si>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</si>
  <si>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</si>
  <si>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</si>
  <si>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</si>
  <si>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</si>
  <si>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</si>
  <si>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</si>
  <si>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</si>
  <si>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</si>
  <si>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</si>
  <si>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</si>
  <si>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</si>
  <si>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</si>
  <si>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</si>
  <si>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</si>
  <si>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</si>
  <si>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</si>
  <si>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</si>
  <si>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</si>
  <si>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</si>
  <si>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</si>
  <si>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</si>
  <si>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</si>
  <si>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</si>
  <si>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</si>
  <si>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</si>
  <si>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</si>
  <si>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</si>
  <si>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</si>
  <si>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</si>
  <si>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</si>
  <si>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</si>
  <si>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</si>
  <si>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</si>
  <si>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</si>
  <si>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</si>
  <si>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</si>
  <si>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</si>
  <si>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</si>
  <si>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</si>
  <si>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</si>
  <si>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</si>
  <si>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</si>
  <si>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</si>
  <si>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</si>
  <si>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</si>
  <si>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</si>
  <si>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</si>
  <si>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</si>
  <si>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</si>
  <si>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</si>
  <si>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</si>
  <si>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</si>
  <si>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</si>
  <si>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</si>
  <si>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</si>
  <si>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</si>
  <si>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</si>
  <si>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</si>
  <si>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</si>
  <si>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</si>
  <si>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</si>
  <si>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</si>
  <si>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</si>
  <si>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</si>
  <si>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</si>
  <si>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</si>
  <si>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</si>
  <si>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</si>
  <si>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</si>
  <si>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</si>
  <si>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</si>
  <si>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</si>
  <si>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</si>
  <si>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</si>
  <si>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</si>
  <si>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</si>
  <si>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</si>
  <si>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</si>
  <si>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</si>
  <si>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</si>
  <si>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</si>
  <si>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</si>
  <si>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</si>
  <si>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</si>
  <si>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</si>
  <si>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</si>
  <si>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</si>
  <si>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</si>
  <si>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</si>
  <si>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</si>
  <si>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</si>
  <si>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</si>
  <si>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</si>
  <si>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</si>
  <si>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</si>
  <si>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</si>
  <si>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</si>
  <si>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</si>
  <si>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</si>
  <si>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</si>
  <si>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</si>
  <si>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</si>
  <si>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</si>
  <si>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</si>
  <si>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</si>
  <si>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</si>
  <si>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</si>
  <si>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</si>
  <si>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</si>
  <si>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</si>
  <si>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</si>
  <si>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</si>
  <si>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</si>
  <si>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</si>
  <si>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</si>
  <si>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</si>
  <si>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</si>
  <si>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</si>
  <si>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</si>
  <si>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</si>
  <si>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</si>
  <si>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</si>
  <si>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</si>
  <si>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</si>
  <si>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</si>
  <si>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</si>
  <si>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</si>
  <si>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</si>
  <si>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</si>
  <si>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</si>
  <si>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</si>
  <si>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</si>
  <si>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</si>
  <si>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</si>
  <si>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</si>
  <si>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</si>
  <si>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</si>
  <si>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</si>
  <si>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</si>
  <si>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</si>
  <si>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</si>
  <si>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</si>
  <si>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</si>
  <si>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</si>
  <si>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</si>
  <si>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</si>
  <si>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</si>
  <si>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</si>
  <si>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</si>
  <si>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</si>
  <si>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</si>
  <si>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</si>
  <si>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</si>
  <si>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</si>
  <si>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</si>
  <si>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</si>
  <si>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</si>
  <si>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</si>
  <si>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</si>
  <si>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</si>
  <si>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</si>
  <si>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</si>
  <si>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</si>
  <si>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</si>
  <si>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</si>
  <si>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</si>
  <si>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</si>
  <si>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</si>
  <si>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</si>
  <si>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</si>
  <si>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</si>
  <si>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</si>
  <si>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</si>
  <si>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</si>
  <si>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</si>
  <si>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</si>
  <si>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</si>
  <si>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</si>
  <si>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</si>
  <si>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</si>
  <si>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</si>
  <si>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</si>
  <si>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</si>
  <si>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</si>
  <si>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</si>
  <si>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</si>
  <si>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</si>
  <si>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</si>
  <si>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</si>
  <si>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</si>
  <si>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</si>
  <si>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</si>
  <si>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</si>
  <si>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</si>
  <si>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</si>
  <si>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</si>
  <si>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</si>
  <si>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</si>
  <si>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</si>
  <si>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</si>
  <si>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</si>
  <si>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</si>
  <si>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</si>
  <si>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</si>
  <si>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</si>
  <si>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</si>
  <si>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</si>
  <si>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</si>
  <si>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</si>
  <si>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</si>
  <si>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</si>
  <si>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</si>
  <si>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</si>
  <si>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</si>
  <si>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</si>
  <si>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</si>
  <si>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</si>
  <si>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</si>
  <si>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</si>
  <si>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</si>
  <si>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</si>
  <si>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</si>
  <si>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</si>
  <si>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</si>
  <si>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</si>
  <si>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</si>
  <si>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</si>
  <si>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</si>
  <si>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</si>
  <si>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</si>
  <si>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</si>
  <si>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</si>
  <si>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</si>
  <si>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</si>
  <si>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</si>
  <si>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</si>
  <si>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</si>
  <si>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</si>
  <si>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</si>
  <si>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</si>
  <si>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</si>
  <si>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</si>
  <si>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</si>
  <si>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</si>
  <si>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</si>
  <si>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</si>
  <si>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</si>
  <si>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</si>
  <si>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</si>
  <si>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</si>
  <si>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</si>
  <si>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</si>
  <si>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</si>
  <si>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</si>
  <si>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</si>
  <si>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</si>
  <si>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</si>
  <si>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</si>
  <si>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</si>
  <si>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</si>
  <si>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</si>
  <si>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</si>
  <si>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</si>
  <si>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</si>
  <si>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</si>
  <si>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</si>
  <si>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</si>
  <si>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</si>
  <si>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</si>
  <si>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</si>
  <si>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</si>
  <si>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</si>
  <si>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</si>
  <si>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</si>
  <si>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</si>
  <si>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</si>
  <si>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</si>
  <si>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</si>
  <si>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</si>
  <si>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</si>
  <si>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</si>
  <si>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</si>
  <si>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</si>
  <si>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</si>
  <si>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</si>
  <si>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</si>
  <si>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</si>
  <si>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</si>
  <si>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</si>
  <si>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</si>
  <si>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</si>
  <si>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</si>
  <si>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</si>
  <si>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</si>
  <si>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</si>
  <si>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</si>
  <si>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</si>
  <si>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</si>
  <si>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</si>
  <si>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</si>
  <si>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</si>
  <si>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</si>
  <si>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</si>
  <si>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</si>
  <si>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</si>
  <si>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</si>
  <si>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</si>
  <si>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</si>
  <si>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</si>
  <si>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</si>
  <si>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</si>
  <si>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</si>
  <si>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</si>
  <si>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</si>
  <si>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</si>
  <si>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</si>
  <si>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</si>
  <si>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</si>
  <si>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</si>
  <si>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</si>
  <si>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</si>
  <si>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</si>
  <si>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</si>
  <si>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</si>
  <si>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</si>
  <si>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</si>
  <si>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</si>
  <si>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</si>
  <si>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</si>
  <si>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</si>
  <si>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</si>
  <si>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</si>
  <si>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</si>
  <si>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</si>
  <si>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</si>
  <si>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</si>
  <si>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</si>
  <si>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</si>
  <si>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</si>
  <si>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</si>
  <si>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</si>
  <si>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</si>
  <si>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</si>
  <si>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</si>
  <si>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</si>
  <si>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</si>
  <si>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</si>
  <si>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</si>
  <si>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</si>
  <si>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</si>
  <si>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</si>
  <si>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</si>
  <si>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</si>
  <si>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</si>
  <si>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</si>
  <si>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</si>
  <si>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</si>
  <si>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</si>
  <si>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</si>
  <si>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</si>
  <si>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</si>
  <si>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</si>
  <si>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</si>
  <si>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</si>
  <si>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</si>
  <si>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</si>
  <si>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</si>
  <si>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</si>
  <si>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</si>
  <si>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</si>
  <si>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</si>
  <si>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</si>
  <si>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</si>
  <si>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</si>
  <si>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</si>
  <si>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</si>
  <si>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</si>
  <si>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</si>
  <si>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</si>
  <si>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</si>
  <si>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</si>
  <si>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</si>
  <si>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</si>
  <si>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</si>
  <si>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</si>
  <si>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</si>
  <si>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</si>
  <si>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</si>
  <si>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</si>
  <si>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</si>
  <si>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</si>
  <si>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</si>
  <si>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</si>
  <si>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</si>
  <si>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</si>
  <si>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</si>
  <si>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</si>
  <si>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</si>
  <si>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</si>
  <si>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</si>
  <si>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</si>
  <si>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</si>
  <si>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</si>
  <si>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</si>
  <si>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</si>
  <si>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</si>
  <si>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</si>
  <si>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</si>
  <si>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</si>
  <si>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</si>
  <si>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</si>
  <si>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</si>
  <si>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</si>
  <si>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</si>
  <si>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</si>
  <si>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</si>
  <si>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</si>
  <si>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</si>
  <si>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</si>
  <si>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</si>
  <si>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</si>
  <si>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</si>
  <si>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</si>
  <si>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</si>
  <si>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</si>
  <si>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</si>
  <si>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</si>
  <si>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</si>
  <si>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</si>
  <si>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</si>
  <si>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</si>
  <si>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</si>
  <si>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</si>
  <si>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</si>
  <si>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</si>
  <si>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</si>
  <si>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</si>
  <si>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</si>
  <si>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</si>
  <si>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</si>
  <si>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</si>
  <si>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</si>
  <si>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</si>
  <si>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</si>
  <si>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</si>
  <si>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</si>
  <si>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</si>
  <si>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</si>
  <si>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</si>
  <si>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</si>
  <si>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</si>
  <si>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</si>
  <si>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</si>
  <si>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</si>
  <si>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</si>
  <si>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</si>
  <si>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</si>
  <si>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</si>
  <si>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</si>
  <si>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</si>
  <si>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</si>
  <si>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</si>
  <si>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</si>
  <si>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</si>
  <si>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</si>
  <si>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</si>
  <si>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</si>
  <si>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</si>
  <si>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</si>
  <si>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</si>
  <si>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</si>
  <si>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</si>
  <si>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</si>
  <si>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</si>
  <si>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</si>
  <si>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</si>
  <si>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</si>
  <si>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</si>
  <si>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</si>
  <si>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</si>
  <si>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</si>
  <si>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</si>
  <si>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</si>
  <si>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</si>
  <si>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</si>
  <si>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</si>
  <si>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</si>
  <si>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</si>
  <si>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</si>
  <si>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</si>
  <si>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</si>
  <si>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</si>
  <si>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</si>
  <si>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</si>
  <si>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</si>
  <si>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</si>
  <si>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</si>
  <si>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</si>
  <si>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</si>
  <si>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</si>
  <si>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</si>
  <si>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</si>
  <si>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</si>
  <si>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</si>
  <si>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</si>
  <si>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</si>
  <si>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</si>
  <si>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</si>
  <si>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</si>
  <si>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</si>
  <si>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</si>
  <si>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</si>
  <si>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</si>
  <si>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</si>
  <si>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</si>
  <si>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</si>
  <si>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</si>
  <si>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</si>
  <si>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</si>
  <si>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</si>
  <si>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</si>
  <si>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</si>
  <si>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</si>
  <si>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</si>
  <si>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</si>
  <si>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</si>
  <si>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</si>
  <si>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</si>
  <si>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</si>
  <si>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</si>
  <si>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</si>
  <si>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</si>
  <si>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</si>
  <si>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</si>
  <si>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</si>
  <si>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</si>
  <si>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</si>
  <si>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</si>
  <si>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</si>
  <si>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</si>
  <si>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</si>
  <si>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</si>
  <si>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</si>
  <si>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</si>
  <si>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</si>
  <si>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</si>
  <si>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</si>
  <si>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</si>
  <si>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</si>
  <si>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</si>
  <si>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</si>
  <si>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</si>
  <si>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</si>
  <si>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</si>
  <si>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</si>
  <si>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</si>
  <si>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</si>
  <si>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</si>
  <si>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</si>
  <si>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</si>
  <si>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</si>
  <si>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</si>
  <si>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</si>
  <si>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</si>
  <si>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</si>
  <si>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</si>
  <si>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</si>
  <si>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</si>
  <si>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</si>
  <si>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</si>
  <si>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</si>
  <si>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</si>
  <si>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</si>
  <si>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</si>
  <si>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</si>
  <si>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</si>
  <si>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</si>
  <si>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</si>
  <si>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</si>
  <si>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</si>
  <si>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</si>
  <si>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</si>
  <si>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</si>
  <si>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</si>
  <si>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</si>
  <si>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</si>
  <si>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</si>
  <si>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</si>
  <si>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</si>
  <si>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</si>
  <si>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</si>
  <si>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</si>
  <si>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</si>
  <si>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</si>
  <si>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</si>
  <si>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</si>
  <si>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</si>
  <si>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</si>
  <si>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</si>
  <si>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</si>
  <si>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</si>
  <si>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</si>
  <si>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</si>
  <si>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</si>
  <si>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</si>
  <si>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</si>
  <si>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</si>
  <si>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</si>
  <si>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</si>
  <si>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</si>
  <si>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</si>
  <si>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</si>
  <si>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</si>
  <si>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</si>
  <si>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</si>
  <si>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</si>
  <si>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</si>
  <si>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</si>
  <si>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</si>
  <si>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</si>
  <si>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</si>
  <si>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</si>
  <si>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</si>
  <si>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</si>
  <si>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</si>
  <si>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</si>
  <si>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</si>
  <si>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</si>
  <si>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</si>
  <si>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</si>
  <si>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</si>
  <si>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</si>
  <si>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</si>
  <si>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</si>
  <si>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</si>
  <si>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</si>
  <si>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</si>
  <si>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</si>
  <si>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</si>
  <si>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</si>
  <si>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</si>
  <si>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</si>
  <si>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</si>
  <si>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</si>
  <si>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</si>
  <si>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</si>
  <si>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</si>
  <si>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</si>
  <si>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</si>
  <si>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</si>
  <si>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</si>
  <si>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</si>
  <si>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</si>
  <si>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</si>
  <si>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</si>
  <si>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</si>
  <si>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</si>
  <si>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</si>
  <si>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</si>
  <si>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</si>
  <si>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</si>
  <si>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</si>
  <si>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</si>
  <si>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</si>
  <si>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</si>
  <si>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</si>
  <si>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</si>
  <si>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</si>
  <si>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</si>
  <si>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</si>
  <si>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</si>
  <si>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</si>
  <si>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</si>
  <si>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</si>
  <si>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</si>
  <si>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</si>
  <si>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</si>
  <si>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</si>
  <si>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</si>
  <si>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</si>
  <si>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</si>
  <si>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</si>
  <si>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</si>
  <si>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</si>
  <si>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</si>
  <si>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</si>
  <si>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</si>
  <si>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</si>
  <si>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</si>
  <si>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</si>
  <si>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</si>
  <si>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</si>
  <si>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</si>
  <si>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</si>
  <si>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</si>
  <si>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</si>
  <si>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</si>
  <si>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</si>
  <si>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</si>
  <si>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</si>
  <si>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</si>
  <si>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</si>
  <si>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</si>
  <si>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</si>
  <si>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</si>
  <si>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</si>
  <si>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</si>
  <si>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</si>
  <si>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</si>
  <si>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</si>
  <si>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</si>
  <si>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</si>
  <si>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</si>
  <si>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</si>
  <si>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</si>
  <si>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</si>
  <si>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</si>
  <si>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</si>
  <si>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</si>
  <si>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</si>
  <si>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</si>
  <si>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</si>
  <si>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</si>
  <si>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</si>
  <si>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</si>
  <si>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</si>
  <si>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</si>
  <si>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</si>
  <si>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</si>
  <si>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</si>
  <si>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</si>
  <si>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</si>
  <si>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</si>
  <si>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</si>
  <si>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</si>
  <si>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</si>
  <si>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</si>
  <si>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</si>
  <si>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</si>
  <si>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</si>
  <si>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</si>
  <si>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</si>
  <si>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</si>
  <si>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</si>
  <si>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</si>
  <si>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</si>
  <si>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</si>
  <si>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</si>
  <si>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</si>
  <si>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</si>
  <si>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</si>
  <si>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</si>
  <si>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</si>
  <si>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</si>
  <si>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</si>
  <si>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</si>
  <si>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</si>
  <si>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</si>
  <si>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</si>
  <si>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</si>
  <si>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</si>
  <si>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</si>
  <si>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</si>
  <si>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</si>
  <si>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</si>
  <si>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</si>
  <si>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</si>
  <si>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</si>
  <si>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</si>
  <si>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</si>
  <si>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</si>
  <si>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</si>
  <si>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</si>
  <si>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</si>
  <si>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</si>
  <si>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</si>
  <si>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</si>
  <si>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</si>
  <si>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</si>
  <si>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</si>
  <si>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</si>
  <si>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</si>
  <si>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</si>
  <si>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</si>
  <si>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</si>
  <si>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</si>
  <si>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</si>
  <si>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</si>
  <si>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</si>
  <si>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</si>
  <si>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</si>
  <si>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</si>
  <si>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</si>
  <si>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</si>
  <si>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</si>
  <si>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</si>
  <si>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</si>
  <si>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</si>
  <si>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</si>
  <si>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</si>
  <si>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</si>
  <si>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</si>
  <si>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</si>
  <si>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</si>
  <si>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</si>
  <si>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</si>
  <si>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</si>
  <si>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</si>
  <si>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</si>
  <si>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</si>
  <si>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</si>
  <si>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</si>
  <si>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</si>
  <si>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</si>
  <si>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</si>
  <si>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</si>
  <si>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</si>
  <si>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</si>
  <si>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</si>
  <si>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</si>
  <si>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</si>
  <si>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</si>
  <si>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</si>
  <si>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</si>
  <si>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</si>
  <si>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</si>
  <si>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</si>
  <si>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</si>
  <si>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</si>
  <si>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</si>
  <si>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</si>
  <si>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</si>
  <si>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</si>
  <si>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</si>
  <si>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</si>
  <si>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</si>
  <si>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</si>
  <si>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</si>
  <si>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</si>
  <si>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</si>
  <si>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</si>
  <si>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</si>
  <si>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</si>
  <si>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</si>
  <si>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</si>
  <si>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</si>
  <si>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</si>
  <si>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</si>
  <si>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</si>
  <si>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</si>
  <si>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</si>
  <si>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</si>
  <si>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</si>
  <si>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</si>
  <si>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</si>
  <si>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</si>
  <si>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</si>
  <si>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</si>
  <si>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</si>
  <si>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</si>
  <si>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</si>
  <si>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</si>
  <si>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</si>
  <si>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</si>
  <si>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</si>
  <si>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</si>
  <si>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</si>
  <si>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</si>
  <si>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</si>
  <si>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</si>
  <si>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</si>
  <si>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</si>
  <si>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</si>
  <si>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</si>
  <si>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</si>
  <si>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</si>
  <si>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</si>
  <si>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</si>
  <si>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</si>
  <si>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</si>
  <si>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</si>
  <si>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</si>
  <si>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</si>
  <si>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</si>
  <si>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</si>
  <si>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</si>
  <si>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LiveEx1</t>
  </si>
  <si>
    <t>LiveEx2</t>
  </si>
  <si>
    <t>6Jun26: Update the Parameters for Med1 &amp; LiveEx2 based on LiveEx calibration 4 - aiming to fix problem with the weaning rate.
25May26: Altered parameters for genptype Med1 and changed genotypes to LiveEx1 &amp; LiveEx2. Using calibration in GEPEP branch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</si>
</sst>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0" fontId="18" fillId="20" borderId="30" xfId="19"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3782</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3779</v>
      </c>
      <c r="R22" s="94"/>
      <c r="S22" s="94"/>
      <c r="T22" s="350" t="s">
        <v>3780</v>
      </c>
      <c r="U22" s="94"/>
      <c r="V22" s="94"/>
      <c r="W22" s="73"/>
      <c r="X22" s="57"/>
      <c r="Y22" s="45"/>
      <c r="Z22" s="45"/>
      <c r="AA22" s="45"/>
    </row>
    <row r="23" spans="1:27" ht="75" outlineLevel="3" x14ac:dyDescent="0.25">
      <c r="A23" s="45"/>
      <c r="B23" s="54"/>
      <c r="C23" s="73"/>
      <c r="D23" s="73"/>
      <c r="E23" s="76"/>
      <c r="F23" s="354" t="s">
        <v>3781</v>
      </c>
      <c r="G23" s="629" t="s">
        <v>3782</v>
      </c>
      <c r="H23" s="76"/>
      <c r="I23" s="76"/>
      <c r="J23" s="76"/>
      <c r="K23" s="354" t="s">
        <v>2321</v>
      </c>
      <c r="L23" s="351">
        <v>1.1999999999999999E-6</v>
      </c>
      <c r="M23" s="76"/>
      <c r="N23" s="354" t="s">
        <v>2322</v>
      </c>
      <c r="O23" s="351">
        <v>0.7</v>
      </c>
      <c r="P23" s="76"/>
      <c r="Q23" s="354" t="s">
        <v>9</v>
      </c>
      <c r="R23" s="351">
        <v>0.64</v>
      </c>
      <c r="S23" s="76"/>
      <c r="T23" s="354" t="s">
        <v>3783</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3784</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3785</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3780</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3457</v>
      </c>
      <c r="H38" s="14"/>
      <c r="I38" s="14" t="s">
        <v>3458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3460</v>
      </c>
      <c r="H43" s="18" t="s">
        <v>3461</v>
      </c>
      <c r="I43" s="18" t="s">
        <v>3462</v>
      </c>
      <c r="J43" s="18" t="s">
        <v>3463</v>
      </c>
      <c r="K43" s="18" t="s">
        <v>3464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3469</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3470</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3473</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3471</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3472</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3238</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3804</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3805</v>
      </c>
      <c r="Y205" s="21" t="s">
        <v>3806</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3808</v>
      </c>
      <c r="AM205" s="21" t="s">
        <v>3809</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3810</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3811</v>
      </c>
      <c r="AM207" s="545" t="s">
        <v>3812</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3813</v>
      </c>
      <c r="AM208" s="546" t="s">
        <v>3813</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3807</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1"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1"/>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1"/>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1"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1"/>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1"/>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2178</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2177</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3800</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9" t="s">
        <v>3488</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3474</v>
      </c>
      <c r="Q48" s="96" t="s">
        <v>3481</v>
      </c>
      <c r="R48" s="96" t="s">
        <v>3475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3799</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3798</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3797</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filterMode="1">
    <outlinePr summaryBelow="0" summaryRight="0"/>
  </sheetPr>
  <dimension ref="A1:AN2119"/>
  <sheetViews>
    <sheetView tabSelected="1" topLeftCell="A3" zoomScale="85" zoomScaleNormal="85" workbookViewId="0">
      <pane xSplit="9" ySplit="36" topLeftCell="J44"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46131.875047453701</v>
      </c>
      <c r="J11" s="632" t="s">
        <v>3816</v>
      </c>
      <c r="K11" s="633"/>
      <c r="L11" s="633"/>
      <c r="M11" s="633"/>
      <c r="N11" s="633"/>
      <c r="O11" s="633"/>
      <c r="P11" s="633"/>
      <c r="Q11" s="633"/>
      <c r="R11" s="633"/>
      <c r="S11" s="633"/>
      <c r="T11" s="633"/>
      <c r="U11" s="633"/>
      <c r="V11" s="633"/>
      <c r="W11" s="633"/>
      <c r="X11" s="633"/>
      <c r="Y11" s="633"/>
      <c r="Z11" s="633"/>
      <c r="AA11" s="633"/>
      <c r="AB11" s="633"/>
      <c r="AC11" s="633"/>
      <c r="AD11" s="634"/>
      <c r="AE11" s="312"/>
      <c r="AF11" s="76"/>
      <c r="AG11" s="76"/>
      <c r="AH11" s="76"/>
      <c r="AI11" s="76"/>
      <c r="AJ11" s="73"/>
      <c r="AK11" s="57"/>
      <c r="AL11" s="45"/>
      <c r="AM11" s="45"/>
      <c r="AN11" s="45"/>
    </row>
    <row r="12" spans="1:40" ht="45" customHeight="1" outlineLevel="1" x14ac:dyDescent="0.25">
      <c r="A12" s="45"/>
      <c r="B12" s="54"/>
      <c r="C12" s="47">
        <f>INT($C$6)+1.045</f>
        <v>2.0449999999999999</v>
      </c>
      <c r="D12" s="73"/>
      <c r="E12" s="70"/>
      <c r="F12" s="70"/>
      <c r="G12" s="73"/>
      <c r="H12" s="76" t="s">
        <v>135</v>
      </c>
      <c r="I12" s="271">
        <v>46179.850878703699</v>
      </c>
      <c r="J12" s="635" t="s">
        <v>3819</v>
      </c>
      <c r="K12" s="636"/>
      <c r="L12" s="636"/>
      <c r="M12" s="636"/>
      <c r="N12" s="636"/>
      <c r="O12" s="636"/>
      <c r="P12" s="636"/>
      <c r="Q12" s="636"/>
      <c r="R12" s="636"/>
      <c r="S12" s="636"/>
      <c r="T12" s="636"/>
      <c r="U12" s="636"/>
      <c r="V12" s="636"/>
      <c r="W12" s="636"/>
      <c r="X12" s="636"/>
      <c r="Y12" s="636"/>
      <c r="Z12" s="636"/>
      <c r="AA12" s="636"/>
      <c r="AB12" s="636"/>
      <c r="AC12" s="636"/>
      <c r="AD12" s="643"/>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3817</v>
      </c>
      <c r="X35" s="611" t="s">
        <v>3818</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hidden="1"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hidden="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hidden="1"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3290</v>
      </c>
      <c r="G44" s="73"/>
      <c r="H44" s="129" t="s">
        <v>2962</v>
      </c>
      <c r="I44" s="96" t="s">
        <v>692</v>
      </c>
      <c r="J44" s="96"/>
      <c r="K44" s="76"/>
      <c r="L44" s="76"/>
      <c r="M44" s="76"/>
      <c r="N44" s="76"/>
      <c r="O44" s="76"/>
      <c r="P44" s="76"/>
      <c r="Q44" s="76"/>
      <c r="R44" s="76"/>
      <c r="S44" s="76"/>
      <c r="T44" s="76" t="s">
        <v>3287</v>
      </c>
      <c r="U44" s="248">
        <v>45</v>
      </c>
      <c r="V44" s="97">
        <v>65</v>
      </c>
      <c r="W44" s="97">
        <v>65</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39.769907963185268</v>
      </c>
      <c r="W45" s="610">
        <f t="shared" si="1"/>
        <v>39.769907963185268</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t="s">
        <v>3289</v>
      </c>
      <c r="G50" s="73"/>
      <c r="H50" s="129" t="s">
        <v>464</v>
      </c>
      <c r="I50" s="96" t="s">
        <v>465</v>
      </c>
      <c r="J50" s="96"/>
      <c r="K50" s="76"/>
      <c r="L50" s="76"/>
      <c r="M50" s="76"/>
      <c r="N50" s="76"/>
      <c r="O50" s="76"/>
      <c r="P50" s="76"/>
      <c r="Q50" s="76"/>
      <c r="R50" s="76"/>
      <c r="S50" s="76"/>
      <c r="T50" s="76" t="s">
        <v>3287</v>
      </c>
      <c r="U50" s="97">
        <v>3.5</v>
      </c>
      <c r="V50" s="97">
        <v>3.868023164737576</v>
      </c>
      <c r="W50" s="97">
        <v>4.1500000000000004</v>
      </c>
      <c r="X50" s="97">
        <v>3.970426284945979</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3288</v>
      </c>
      <c r="G51" s="73"/>
      <c r="H51" s="129" t="s">
        <v>466</v>
      </c>
      <c r="I51" s="96" t="s">
        <v>1402</v>
      </c>
      <c r="J51" s="96"/>
      <c r="K51" s="76"/>
      <c r="L51" s="76"/>
      <c r="M51" s="76"/>
      <c r="N51" s="76"/>
      <c r="O51" s="76"/>
      <c r="P51" s="76"/>
      <c r="Q51" s="76"/>
      <c r="R51" s="76"/>
      <c r="S51" s="76"/>
      <c r="T51" s="76" t="s">
        <v>3287</v>
      </c>
      <c r="U51" s="97">
        <v>17.5</v>
      </c>
      <c r="V51" s="97">
        <v>18.614236250972951</v>
      </c>
      <c r="W51" s="97">
        <v>19</v>
      </c>
      <c r="X51" s="97">
        <v>18.377315219108809</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hidden="1"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hidden="1" outlineLevel="1" collapsed="1" x14ac:dyDescent="0.2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hidden="1"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hidden="1" outlineLevel="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t="s">
        <v>3287</v>
      </c>
      <c r="U104" s="253">
        <f t="shared" ref="U104:AD107" si="16">INDEX($K104:$Q104,1,U$43)</f>
        <v>1.5699999999999999E-2</v>
      </c>
      <c r="V104" s="97">
        <v>8.9442152792423603E-3</v>
      </c>
      <c r="W104" s="97">
        <v>7.9360000000000003E-3</v>
      </c>
      <c r="X104" s="97">
        <v>7.260221758345094E-3</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hidden="1" outlineLevel="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3287</v>
      </c>
      <c r="U128" s="253">
        <f t="shared" ref="U128:V142" si="19">INDEX($K128:$Q128,1,U$43)</f>
        <v>0.04</v>
      </c>
      <c r="V128" s="97">
        <v>3.9933080426982681E-2</v>
      </c>
      <c r="W128" s="97">
        <v>4.0899999999999999E-2</v>
      </c>
      <c r="X128" s="97">
        <v>4.2978133728135338E-2</v>
      </c>
      <c r="Y128" s="253">
        <f t="shared" ref="Y128:AD142" si="20">INDEX($K128:$Q128,1,Y$43)</f>
        <v>0.04</v>
      </c>
      <c r="Z128" s="253">
        <f t="shared" si="20"/>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hidden="1"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hidden="1"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hidden="1"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hidden="1"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hidden="1"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hidden="1"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hidden="1" outlineLevel="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3287</v>
      </c>
      <c r="U283" s="97">
        <v>1</v>
      </c>
      <c r="V283" s="97">
        <v>1.710651994326511</v>
      </c>
      <c r="W283" s="97">
        <v>1.661</v>
      </c>
      <c r="X283" s="97">
        <v>1.6302692667602769</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hidden="1" outlineLevel="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3287</v>
      </c>
      <c r="U321" s="97">
        <v>60000000</v>
      </c>
      <c r="V321" s="97">
        <v>60099029.704271577</v>
      </c>
      <c r="W321" s="97">
        <v>67232200</v>
      </c>
      <c r="X321" s="97">
        <v>70178471.254861563</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3287</v>
      </c>
      <c r="U326" s="253">
        <f>INDEX($K326:$Q326,1,U$43)</f>
        <v>51</v>
      </c>
      <c r="V326" s="97">
        <v>42</v>
      </c>
      <c r="W326" s="97">
        <v>42</v>
      </c>
      <c r="X326" s="97">
        <v>42</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3291</v>
      </c>
      <c r="G333" s="73"/>
      <c r="H333" s="76" t="s">
        <v>3294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3293</v>
      </c>
      <c r="G334" s="73"/>
      <c r="H334" s="76" t="s">
        <v>3296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outlineLevel="2" x14ac:dyDescent="0.25">
      <c r="A335" s="45"/>
      <c r="B335" s="54"/>
      <c r="C335" s="47">
        <f t="shared" si="54"/>
        <v>3</v>
      </c>
      <c r="D335" s="73"/>
      <c r="E335" s="70"/>
      <c r="F335" s="70" t="s">
        <v>3295</v>
      </c>
      <c r="G335" s="73"/>
      <c r="H335" s="76" t="s">
        <v>3299</v>
      </c>
      <c r="I335" s="96"/>
      <c r="J335" s="96"/>
      <c r="K335" s="76"/>
      <c r="L335" s="76"/>
      <c r="M335" s="76"/>
      <c r="N335" s="76"/>
      <c r="O335" s="76"/>
      <c r="P335" s="76"/>
      <c r="Q335" s="76"/>
      <c r="R335" s="76"/>
      <c r="S335" s="76"/>
      <c r="T335" s="76" t="s">
        <v>3287</v>
      </c>
      <c r="U335" s="97">
        <v>0.85</v>
      </c>
      <c r="V335" s="97">
        <v>0.78924274789090865</v>
      </c>
      <c r="W335" s="97">
        <v>0.86</v>
      </c>
      <c r="X335" s="97">
        <v>0.91604316250138318</v>
      </c>
      <c r="Y335" s="97">
        <v>0.85</v>
      </c>
      <c r="Z335" s="97">
        <v>0.85</v>
      </c>
      <c r="AA335" s="97">
        <v>0.85</v>
      </c>
      <c r="AB335" s="97">
        <v>0.85</v>
      </c>
      <c r="AC335" s="97">
        <v>0.85</v>
      </c>
      <c r="AD335" s="97">
        <v>0.85</v>
      </c>
      <c r="AE335" s="76"/>
      <c r="AF335" s="97" t="s">
        <v>3292</v>
      </c>
      <c r="AG335" s="76"/>
      <c r="AH335" s="97">
        <v>1</v>
      </c>
      <c r="AI335" s="97">
        <v>1</v>
      </c>
      <c r="AJ335" s="73"/>
      <c r="AK335" s="57"/>
      <c r="AL335" s="45"/>
      <c r="AM335" s="45"/>
      <c r="AN335" s="45"/>
    </row>
    <row r="336" spans="1:40" outlineLevel="2" x14ac:dyDescent="0.25">
      <c r="A336" s="45"/>
      <c r="B336" s="54"/>
      <c r="C336" s="47">
        <f t="shared" si="54"/>
        <v>3</v>
      </c>
      <c r="D336" s="73"/>
      <c r="E336" s="70"/>
      <c r="F336" s="70" t="s">
        <v>3298</v>
      </c>
      <c r="G336" s="73"/>
      <c r="H336" s="76" t="s">
        <v>3300</v>
      </c>
      <c r="I336" s="96"/>
      <c r="J336" s="96"/>
      <c r="K336" s="76"/>
      <c r="L336" s="76"/>
      <c r="M336" s="76"/>
      <c r="N336" s="76"/>
      <c r="O336" s="76"/>
      <c r="P336" s="76"/>
      <c r="Q336" s="76"/>
      <c r="R336" s="76"/>
      <c r="S336" s="76"/>
      <c r="T336" s="76" t="s">
        <v>3287</v>
      </c>
      <c r="U336" s="97">
        <v>1</v>
      </c>
      <c r="V336" s="97">
        <v>1.1435686152287159</v>
      </c>
      <c r="W336" s="97">
        <v>1.07</v>
      </c>
      <c r="X336" s="97">
        <v>1.237112822311853</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hidden="1"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hidden="1" outlineLevel="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3287</v>
      </c>
      <c r="U364" s="253">
        <f t="shared" ref="U364:V371" si="68">INDEX($K364:$Q364,1,U$43)</f>
        <v>27</v>
      </c>
      <c r="V364" s="370">
        <v>24.762448050077509</v>
      </c>
      <c r="W364" s="370">
        <v>22.638000000000002</v>
      </c>
      <c r="X364" s="370">
        <v>20.92232436788834</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3287</v>
      </c>
      <c r="U365" s="253">
        <f t="shared" si="68"/>
        <v>20.3</v>
      </c>
      <c r="V365" s="613">
        <f>INDEX($K365:$Q365,1,V$43)-(INDEX($K364:$Q364,1,V$43)-V364)</f>
        <v>18.06244805007751</v>
      </c>
      <c r="W365" s="613">
        <f>INDEX($K365:$Q365,1,W$43)-(INDEX($K364:$Q364,1,W$43)-W364)</f>
        <v>15.938000000000002</v>
      </c>
      <c r="X365" s="613">
        <f>INDEX($K365:$Q365,1,X$43)-(INDEX($K364:$Q364,1,X$43)-X364)</f>
        <v>14.222324367888341</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3265</v>
      </c>
      <c r="G395" s="73"/>
      <c r="H395" s="76" t="s">
        <v>3262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3264</v>
      </c>
      <c r="S395" s="76" t="s">
        <v>3241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hidden="1"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hidden="1"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3802</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3801</v>
      </c>
      <c r="G410" s="73"/>
      <c r="H410" s="76" t="s">
        <v>3803</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hidden="1" outlineLevel="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3287</v>
      </c>
      <c r="U413" s="253">
        <f t="shared" ref="U413:V415" si="82">INDEX($K413:$Q413,1,U$43)</f>
        <v>8.219178082191781E-5</v>
      </c>
      <c r="V413" s="260">
        <v>3.8127188325091879E-5</v>
      </c>
      <c r="W413" s="260">
        <v>8.5359999999999996E-5</v>
      </c>
      <c r="X413" s="260">
        <v>6.7348865675675139E-5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2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2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hidden="1"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2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2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2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25">
      <c r="A448" s="45"/>
      <c r="B448" s="54"/>
      <c r="C448" s="47">
        <f t="shared" si="89"/>
        <v>3</v>
      </c>
      <c r="D448" s="73"/>
      <c r="E448" s="70"/>
      <c r="F448" s="70" t="s">
        <v>1053</v>
      </c>
      <c r="G448" s="73"/>
      <c r="H448" s="76" t="s">
        <v>3476</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1061</v>
      </c>
      <c r="G456" s="73"/>
      <c r="H456" s="76" t="s">
        <v>3480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1069</v>
      </c>
      <c r="G464" s="73"/>
      <c r="H464" s="76" t="s">
        <v>3477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96">INT($C$29)+2</f>
        <v>3</v>
      </c>
      <c r="D472" s="73"/>
      <c r="E472" s="70"/>
      <c r="F472" s="70" t="s">
        <v>1077</v>
      </c>
      <c r="G472" s="73"/>
      <c r="H472" s="76" t="s">
        <v>3478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1085</v>
      </c>
      <c r="G480" s="73"/>
      <c r="H480" s="76" t="s">
        <v>3479</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2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2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2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2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2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2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2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2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2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2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2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2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2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2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2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2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2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2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3487</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3486</v>
      </c>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2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hidden="1"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2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2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2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2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2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2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2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2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2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2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2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2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-0.71226</v>
      </c>
      <c r="X755" s="261">
        <f t="shared" si="133"/>
        <v>-0.71226</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-0.71226</v>
      </c>
      <c r="X757" s="261">
        <f t="shared" si="135"/>
        <v>-0.71226</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2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2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2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2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2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2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2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2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2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2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2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hidden="1" outlineLevel="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2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2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2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outlineLevel="2" x14ac:dyDescent="0.2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t="s">
        <v>3287</v>
      </c>
      <c r="U855" s="97">
        <v>-0.71226</v>
      </c>
      <c r="V855" s="255">
        <f>U855</f>
        <v>-0.71226</v>
      </c>
      <c r="W855" s="97">
        <f>V855</f>
        <v>-0.71226</v>
      </c>
      <c r="X855" s="97">
        <f>W855</f>
        <v>-0.71226</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2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2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3814</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2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2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2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2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2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2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2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2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x14ac:dyDescent="0.2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2" x14ac:dyDescent="0.2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2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collapsed="1" x14ac:dyDescent="0.2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2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2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2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2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2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2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2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2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outlineLevel="2" x14ac:dyDescent="0.25">
      <c r="A921" s="45"/>
      <c r="B921" s="54"/>
      <c r="C921" s="47">
        <f t="shared" si="171"/>
        <v>3</v>
      </c>
      <c r="D921" s="73"/>
      <c r="E921" s="70"/>
      <c r="F921" s="70" t="s">
        <v>2506</v>
      </c>
      <c r="G921" s="73"/>
      <c r="H921" s="76" t="s">
        <v>3791</v>
      </c>
      <c r="I921" s="96" t="s">
        <v>502</v>
      </c>
      <c r="J921" s="96">
        <v>1.3480000000000001</v>
      </c>
      <c r="K921" s="76"/>
      <c r="L921" s="76"/>
      <c r="M921" s="76"/>
      <c r="N921" s="76"/>
      <c r="O921" s="76"/>
      <c r="P921" s="76"/>
      <c r="Q921" s="76"/>
      <c r="R921" s="76"/>
      <c r="S921" s="76"/>
      <c r="T921" s="76" t="s">
        <v>3287</v>
      </c>
      <c r="U921" s="97">
        <v>0</v>
      </c>
      <c r="V921" s="630">
        <f>$J921+V925-$J925</f>
        <v>1.3591851394464809</v>
      </c>
      <c r="W921" s="630">
        <f t="shared" ref="W921:X921" si="183">$J921+W925-$J925</f>
        <v>1.9759999999999998</v>
      </c>
      <c r="X921" s="630">
        <f t="shared" si="183"/>
        <v>1.3833618820273139</v>
      </c>
      <c r="Y921" s="628">
        <f t="shared" ref="Y921" si="184">Y925</f>
        <v>1.7747839999999999</v>
      </c>
      <c r="Z921" s="255">
        <f t="shared" ref="Z921:Z924" si="185">AA921</f>
        <v>0</v>
      </c>
      <c r="AA921" s="97">
        <v>0</v>
      </c>
      <c r="AB921" s="255">
        <f t="shared" ref="AB921:AB924" si="186">AA921</f>
        <v>0</v>
      </c>
      <c r="AC921" s="255">
        <f t="shared" ref="AC921:AC924" si="187">AB921</f>
        <v>0</v>
      </c>
      <c r="AD921" s="255">
        <f t="shared" ref="AD921:AD924" si="188">AC921</f>
        <v>0</v>
      </c>
      <c r="AE921" s="76"/>
      <c r="AF921" s="97" t="s">
        <v>3796</v>
      </c>
      <c r="AG921" s="76"/>
      <c r="AH921" s="76">
        <v>1</v>
      </c>
      <c r="AI921" s="76">
        <v>1</v>
      </c>
      <c r="AJ921" s="73"/>
      <c r="AK921" s="57"/>
      <c r="AL921" s="45"/>
      <c r="AM921" s="45"/>
      <c r="AN921" s="45"/>
    </row>
    <row r="922" spans="1:40" outlineLevel="2" x14ac:dyDescent="0.25">
      <c r="A922" s="45"/>
      <c r="B922" s="54"/>
      <c r="C922" s="47">
        <f t="shared" si="171"/>
        <v>3</v>
      </c>
      <c r="D922" s="73"/>
      <c r="E922" s="70"/>
      <c r="F922" s="70" t="s">
        <v>2507</v>
      </c>
      <c r="G922" s="73"/>
      <c r="H922" s="76" t="s">
        <v>2511</v>
      </c>
      <c r="I922" s="96" t="s">
        <v>502</v>
      </c>
      <c r="J922" s="96">
        <v>4.3859000000000004</v>
      </c>
      <c r="K922" s="76"/>
      <c r="L922" s="76"/>
      <c r="M922" s="76"/>
      <c r="N922" s="76"/>
      <c r="O922" s="76"/>
      <c r="P922" s="76"/>
      <c r="Q922" s="76"/>
      <c r="R922" s="76"/>
      <c r="S922" s="76"/>
      <c r="T922" s="76" t="s">
        <v>3287</v>
      </c>
      <c r="U922" s="97">
        <v>3.8858999999999999</v>
      </c>
      <c r="V922" s="630">
        <f>$J922+V926-$J926</f>
        <v>4.6808753417251765</v>
      </c>
      <c r="W922" s="630">
        <f t="shared" ref="W922:X922" si="189">$J922+W926-$J926</f>
        <v>5.0888999999999989</v>
      </c>
      <c r="X922" s="630">
        <f t="shared" si="189"/>
        <v>4.6260776426296601</v>
      </c>
      <c r="Y922" s="628">
        <f t="shared" ref="Y922" si="190">Y926</f>
        <v>5.2835130000000001</v>
      </c>
      <c r="Z922" s="255">
        <f t="shared" si="185"/>
        <v>3.8858999999999999</v>
      </c>
      <c r="AA922" s="97">
        <f>$U922</f>
        <v>3.8858999999999999</v>
      </c>
      <c r="AB922" s="255">
        <f t="shared" si="186"/>
        <v>3.8858999999999999</v>
      </c>
      <c r="AC922" s="255">
        <f t="shared" si="187"/>
        <v>3.8858999999999999</v>
      </c>
      <c r="AD922" s="255">
        <f t="shared" si="188"/>
        <v>3.8858999999999999</v>
      </c>
      <c r="AE922" s="76"/>
      <c r="AF922" s="97" t="s">
        <v>3793</v>
      </c>
      <c r="AG922" s="76"/>
      <c r="AH922" s="97">
        <v>1</v>
      </c>
      <c r="AI922" s="97">
        <v>1</v>
      </c>
      <c r="AJ922" s="73"/>
      <c r="AK922" s="57"/>
      <c r="AL922" s="45"/>
      <c r="AM922" s="45"/>
      <c r="AN922" s="45"/>
    </row>
    <row r="923" spans="1:40" hidden="1" outlineLevel="2" x14ac:dyDescent="0.2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91">W927</f>
        <v>7.9349999999999996</v>
      </c>
      <c r="X923" s="628">
        <f t="shared" si="191"/>
        <v>7.9349999999999996</v>
      </c>
      <c r="Y923" s="628">
        <f t="shared" si="191"/>
        <v>7.9349999999999996</v>
      </c>
      <c r="Z923" s="255">
        <f t="shared" si="185"/>
        <v>10</v>
      </c>
      <c r="AA923" s="97">
        <f>$U923</f>
        <v>10</v>
      </c>
      <c r="AB923" s="255">
        <f t="shared" si="186"/>
        <v>10</v>
      </c>
      <c r="AC923" s="255">
        <f t="shared" si="187"/>
        <v>10</v>
      </c>
      <c r="AD923" s="255">
        <f t="shared" si="188"/>
        <v>10</v>
      </c>
      <c r="AE923" s="76"/>
      <c r="AF923" s="97" t="s">
        <v>3792</v>
      </c>
      <c r="AG923" s="76"/>
      <c r="AH923" s="97">
        <v>1</v>
      </c>
      <c r="AI923" s="97">
        <v>1</v>
      </c>
      <c r="AJ923" s="73"/>
      <c r="AK923" s="57"/>
      <c r="AL923" s="45"/>
      <c r="AM923" s="45"/>
      <c r="AN923" s="45"/>
    </row>
    <row r="924" spans="1:40" hidden="1" outlineLevel="2" x14ac:dyDescent="0.2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28">
        <f t="shared" ref="W924:Y924" si="192">W928</f>
        <v>100</v>
      </c>
      <c r="X924" s="628">
        <f t="shared" si="192"/>
        <v>100</v>
      </c>
      <c r="Y924" s="628">
        <f t="shared" si="192"/>
        <v>100</v>
      </c>
      <c r="Z924" s="76">
        <f t="shared" si="185"/>
        <v>100</v>
      </c>
      <c r="AA924" s="76">
        <v>100</v>
      </c>
      <c r="AB924" s="76">
        <f t="shared" si="186"/>
        <v>100</v>
      </c>
      <c r="AC924" s="76">
        <f t="shared" si="187"/>
        <v>100</v>
      </c>
      <c r="AD924" s="76">
        <f t="shared" si="188"/>
        <v>100</v>
      </c>
      <c r="AE924" s="76"/>
      <c r="AF924" s="264" t="s">
        <v>2516</v>
      </c>
      <c r="AG924" s="76"/>
      <c r="AH924" s="76">
        <v>1</v>
      </c>
      <c r="AI924" s="76">
        <v>1</v>
      </c>
      <c r="AJ924" s="73"/>
      <c r="AK924" s="57"/>
      <c r="AL924" s="45"/>
      <c r="AM924" s="45"/>
      <c r="AN924" s="45"/>
    </row>
    <row r="925" spans="1:40" outlineLevel="2" x14ac:dyDescent="0.25">
      <c r="A925" s="45"/>
      <c r="B925" s="54"/>
      <c r="C925" s="47">
        <f t="shared" si="171"/>
        <v>3</v>
      </c>
      <c r="D925" s="73"/>
      <c r="E925" s="70"/>
      <c r="F925" s="70" t="s">
        <v>3318</v>
      </c>
      <c r="G925" s="73"/>
      <c r="H925" s="76" t="s">
        <v>3790</v>
      </c>
      <c r="I925" s="96" t="s">
        <v>502</v>
      </c>
      <c r="J925" s="96">
        <v>1.8</v>
      </c>
      <c r="K925" s="76"/>
      <c r="L925" s="76"/>
      <c r="M925" s="76"/>
      <c r="N925" s="76"/>
      <c r="O925" s="76"/>
      <c r="P925" s="76"/>
      <c r="Q925" s="76"/>
      <c r="R925" s="76"/>
      <c r="S925" s="76"/>
      <c r="T925" s="76" t="s">
        <v>3287</v>
      </c>
      <c r="U925" s="97">
        <v>1.302</v>
      </c>
      <c r="V925" s="97">
        <v>1.8111851394464811</v>
      </c>
      <c r="W925" s="97">
        <v>2.4279999999999999</v>
      </c>
      <c r="X925" s="97">
        <v>1.8353618820273141</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outlineLevel="2" x14ac:dyDescent="0.25">
      <c r="A926" s="45"/>
      <c r="B926" s="54"/>
      <c r="C926" s="47">
        <f t="shared" si="171"/>
        <v>3</v>
      </c>
      <c r="D926" s="73"/>
      <c r="E926" s="70"/>
      <c r="F926" s="70" t="s">
        <v>3319</v>
      </c>
      <c r="G926" s="73"/>
      <c r="H926" s="76" t="s">
        <v>2511</v>
      </c>
      <c r="I926" s="96" t="s">
        <v>502</v>
      </c>
      <c r="J926" s="96">
        <v>4.9800000000000004</v>
      </c>
      <c r="K926" s="76"/>
      <c r="L926" s="76"/>
      <c r="M926" s="76"/>
      <c r="N926" s="76"/>
      <c r="O926" s="76"/>
      <c r="P926" s="76"/>
      <c r="Q926" s="76"/>
      <c r="R926" s="76"/>
      <c r="S926" s="76"/>
      <c r="T926" s="76" t="s">
        <v>3287</v>
      </c>
      <c r="U926" s="97">
        <v>4.9800000000000004</v>
      </c>
      <c r="V926" s="255">
        <v>5.2749753417251757</v>
      </c>
      <c r="W926" s="97">
        <v>5.6829999999999998</v>
      </c>
      <c r="X926" s="97">
        <v>5.2201776426296611</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25">
      <c r="A927" s="45"/>
      <c r="B927" s="54"/>
      <c r="C927" s="47">
        <f t="shared" si="171"/>
        <v>3</v>
      </c>
      <c r="D927" s="73"/>
      <c r="E927" s="70"/>
      <c r="F927" s="70" t="s">
        <v>3320</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1"/>
        <v>3</v>
      </c>
      <c r="D928" s="73"/>
      <c r="E928" s="70"/>
      <c r="F928" s="70" t="s">
        <v>3321</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25">
      <c r="A929" s="45"/>
      <c r="B929" s="54"/>
      <c r="C929" s="47">
        <f t="shared" si="171"/>
        <v>3</v>
      </c>
      <c r="D929" s="73"/>
      <c r="E929" s="70"/>
      <c r="F929" s="70" t="s">
        <v>3368</v>
      </c>
      <c r="G929" s="73"/>
      <c r="H929" s="76" t="s">
        <v>3742</v>
      </c>
      <c r="I929" s="96" t="s">
        <v>502</v>
      </c>
      <c r="J929" s="96"/>
      <c r="K929" s="76"/>
      <c r="L929" s="76"/>
      <c r="M929" s="76"/>
      <c r="N929" s="76"/>
      <c r="O929" s="76"/>
      <c r="P929" s="76"/>
      <c r="Q929" s="76"/>
      <c r="R929" s="76"/>
      <c r="S929" s="76"/>
      <c r="T929" s="76"/>
      <c r="U929" s="97">
        <v>0</v>
      </c>
      <c r="V929" s="255">
        <f t="shared" ref="V929:V932" si="193">U929</f>
        <v>0</v>
      </c>
      <c r="W929" s="255">
        <f t="shared" ref="W929:W930" si="194">U929</f>
        <v>0</v>
      </c>
      <c r="X929" s="255">
        <f t="shared" ref="X929:X930" si="195">V929</f>
        <v>0</v>
      </c>
      <c r="Y929" s="255">
        <f t="shared" ref="Y929:Y930" si="196">V929</f>
        <v>0</v>
      </c>
      <c r="Z929" s="255">
        <f t="shared" ref="Z929:Z932" si="197">AA929</f>
        <v>0</v>
      </c>
      <c r="AA929" s="97">
        <f>U929</f>
        <v>0</v>
      </c>
      <c r="AB929" s="255">
        <f t="shared" ref="AB929:AB932" si="198">AA929</f>
        <v>0</v>
      </c>
      <c r="AC929" s="255">
        <f t="shared" ref="AC929:AC932" si="199">AB929</f>
        <v>0</v>
      </c>
      <c r="AD929" s="255">
        <f t="shared" ref="AD929:AD932" si="200">AC929</f>
        <v>0</v>
      </c>
      <c r="AE929" s="76"/>
      <c r="AF929" s="97" t="s">
        <v>3367</v>
      </c>
      <c r="AG929" s="76"/>
      <c r="AH929" s="76">
        <v>1</v>
      </c>
      <c r="AI929" s="76">
        <v>1</v>
      </c>
      <c r="AJ929" s="73"/>
      <c r="AK929" s="57"/>
      <c r="AL929" s="45"/>
      <c r="AM929" s="45"/>
      <c r="AN929" s="45"/>
    </row>
    <row r="930" spans="1:40" hidden="1" outlineLevel="2" x14ac:dyDescent="0.25">
      <c r="A930" s="45"/>
      <c r="B930" s="54"/>
      <c r="C930" s="47">
        <f t="shared" si="171"/>
        <v>3</v>
      </c>
      <c r="D930" s="73"/>
      <c r="E930" s="70"/>
      <c r="F930" s="70" t="s">
        <v>3369</v>
      </c>
      <c r="G930" s="73"/>
      <c r="H930" s="76" t="s">
        <v>2511</v>
      </c>
      <c r="I930" s="96" t="s">
        <v>502</v>
      </c>
      <c r="J930" s="96"/>
      <c r="K930" s="76"/>
      <c r="L930" s="76"/>
      <c r="M930" s="76"/>
      <c r="N930" s="76"/>
      <c r="O930" s="76"/>
      <c r="P930" s="76"/>
      <c r="Q930" s="76"/>
      <c r="R930" s="76"/>
      <c r="S930" s="76"/>
      <c r="T930" s="76"/>
      <c r="U930" s="97">
        <v>0</v>
      </c>
      <c r="V930" s="255">
        <f t="shared" si="193"/>
        <v>0</v>
      </c>
      <c r="W930" s="255">
        <f t="shared" si="194"/>
        <v>0</v>
      </c>
      <c r="X930" s="255">
        <f t="shared" si="195"/>
        <v>0</v>
      </c>
      <c r="Y930" s="255">
        <f t="shared" si="196"/>
        <v>0</v>
      </c>
      <c r="Z930" s="255">
        <f t="shared" si="197"/>
        <v>0</v>
      </c>
      <c r="AA930" s="97">
        <f t="shared" ref="AA930:AA931" si="201">U930</f>
        <v>0</v>
      </c>
      <c r="AB930" s="255">
        <f t="shared" si="198"/>
        <v>0</v>
      </c>
      <c r="AC930" s="255">
        <f t="shared" si="199"/>
        <v>0</v>
      </c>
      <c r="AD930" s="255">
        <f t="shared" si="200"/>
        <v>0</v>
      </c>
      <c r="AE930" s="76"/>
      <c r="AF930" s="97" t="s">
        <v>3747</v>
      </c>
      <c r="AG930" s="76"/>
      <c r="AH930" s="97">
        <v>1</v>
      </c>
      <c r="AI930" s="97">
        <v>1</v>
      </c>
      <c r="AJ930" s="73"/>
      <c r="AK930" s="57"/>
      <c r="AL930" s="45"/>
      <c r="AM930" s="45"/>
      <c r="AN930" s="45"/>
    </row>
    <row r="931" spans="1:40" hidden="1" outlineLevel="2" x14ac:dyDescent="0.25">
      <c r="A931" s="45"/>
      <c r="B931" s="54"/>
      <c r="C931" s="47">
        <f t="shared" si="171"/>
        <v>3</v>
      </c>
      <c r="D931" s="73"/>
      <c r="E931" s="70"/>
      <c r="F931" s="70" t="s">
        <v>3370</v>
      </c>
      <c r="G931" s="73"/>
      <c r="H931" s="76" t="s">
        <v>2512</v>
      </c>
      <c r="I931" s="96" t="s">
        <v>502</v>
      </c>
      <c r="J931" s="96"/>
      <c r="K931" s="76"/>
      <c r="L931" s="76"/>
      <c r="M931" s="76"/>
      <c r="N931" s="76"/>
      <c r="O931" s="76"/>
      <c r="P931" s="76"/>
      <c r="Q931" s="76"/>
      <c r="R931" s="76"/>
      <c r="S931" s="76"/>
      <c r="T931" s="76"/>
      <c r="U931" s="97">
        <v>-3.3000000000000002E-2</v>
      </c>
      <c r="V931" s="255">
        <f t="shared" si="193"/>
        <v>-3.3000000000000002E-2</v>
      </c>
      <c r="W931" s="255">
        <f>U931</f>
        <v>-3.3000000000000002E-2</v>
      </c>
      <c r="X931" s="255">
        <f>V931</f>
        <v>-3.3000000000000002E-2</v>
      </c>
      <c r="Y931" s="255">
        <f>V931</f>
        <v>-3.3000000000000002E-2</v>
      </c>
      <c r="Z931" s="255">
        <f t="shared" si="197"/>
        <v>-3.3000000000000002E-2</v>
      </c>
      <c r="AA931" s="97">
        <f t="shared" si="201"/>
        <v>-3.3000000000000002E-2</v>
      </c>
      <c r="AB931" s="255">
        <f t="shared" si="198"/>
        <v>-3.3000000000000002E-2</v>
      </c>
      <c r="AC931" s="255">
        <f t="shared" si="199"/>
        <v>-3.3000000000000002E-2</v>
      </c>
      <c r="AD931" s="255">
        <f t="shared" si="200"/>
        <v>-3.3000000000000002E-2</v>
      </c>
      <c r="AE931" s="76"/>
      <c r="AF931" s="97"/>
      <c r="AG931" s="76"/>
      <c r="AH931" s="97">
        <v>1</v>
      </c>
      <c r="AI931" s="97">
        <v>1</v>
      </c>
      <c r="AJ931" s="73"/>
      <c r="AK931" s="57"/>
      <c r="AL931" s="45"/>
      <c r="AM931" s="45"/>
      <c r="AN931" s="45"/>
    </row>
    <row r="932" spans="1:40" hidden="1" outlineLevel="2" x14ac:dyDescent="0.25">
      <c r="A932" s="45"/>
      <c r="B932" s="54"/>
      <c r="C932" s="47">
        <f t="shared" si="171"/>
        <v>3</v>
      </c>
      <c r="D932" s="73"/>
      <c r="E932" s="70"/>
      <c r="F932" s="70" t="s">
        <v>3371</v>
      </c>
      <c r="G932" s="73"/>
      <c r="H932" s="76" t="s">
        <v>2513</v>
      </c>
      <c r="I932" s="96" t="s">
        <v>502</v>
      </c>
      <c r="J932" s="96"/>
      <c r="K932" s="76"/>
      <c r="L932" s="76"/>
      <c r="M932" s="76"/>
      <c r="N932" s="76"/>
      <c r="O932" s="76"/>
      <c r="P932" s="76"/>
      <c r="Q932" s="76"/>
      <c r="R932" s="76"/>
      <c r="S932" s="76"/>
      <c r="T932" s="76"/>
      <c r="U932" s="253">
        <f>U931</f>
        <v>-3.3000000000000002E-2</v>
      </c>
      <c r="V932" s="76">
        <f t="shared" si="193"/>
        <v>-3.3000000000000002E-2</v>
      </c>
      <c r="W932" s="76">
        <f>U932</f>
        <v>-3.3000000000000002E-2</v>
      </c>
      <c r="X932" s="76">
        <f>V932</f>
        <v>-3.3000000000000002E-2</v>
      </c>
      <c r="Y932" s="76">
        <f>V932</f>
        <v>-3.3000000000000002E-2</v>
      </c>
      <c r="Z932" s="76">
        <f t="shared" si="197"/>
        <v>-3.3000000000000002E-2</v>
      </c>
      <c r="AA932" s="253">
        <f>AA931</f>
        <v>-3.3000000000000002E-2</v>
      </c>
      <c r="AB932" s="76">
        <f t="shared" si="198"/>
        <v>-3.3000000000000002E-2</v>
      </c>
      <c r="AC932" s="76">
        <f t="shared" si="199"/>
        <v>-3.3000000000000002E-2</v>
      </c>
      <c r="AD932" s="76">
        <f t="shared" si="200"/>
        <v>-3.3000000000000002E-2</v>
      </c>
      <c r="AE932" s="76"/>
      <c r="AF932" s="264" t="s">
        <v>3366</v>
      </c>
      <c r="AG932" s="76"/>
      <c r="AH932" s="76">
        <v>1</v>
      </c>
      <c r="AI932" s="76">
        <v>1</v>
      </c>
      <c r="AJ932" s="73"/>
      <c r="AK932" s="57"/>
      <c r="AL932" s="45"/>
      <c r="AM932" s="45"/>
      <c r="AN932" s="45"/>
    </row>
    <row r="933" spans="1:40" hidden="1" outlineLevel="2" x14ac:dyDescent="0.25">
      <c r="A933" s="45"/>
      <c r="B933" s="54"/>
      <c r="C933" s="47">
        <f t="shared" si="171"/>
        <v>3</v>
      </c>
      <c r="D933" s="73"/>
      <c r="E933" s="70"/>
      <c r="F933" s="70" t="s">
        <v>3372</v>
      </c>
      <c r="G933" s="73"/>
      <c r="H933" s="76" t="s">
        <v>3743</v>
      </c>
      <c r="I933" s="96" t="s">
        <v>502</v>
      </c>
      <c r="J933" s="96"/>
      <c r="K933" s="76"/>
      <c r="L933" s="76"/>
      <c r="M933" s="76"/>
      <c r="N933" s="76"/>
      <c r="O933" s="76"/>
      <c r="P933" s="76"/>
      <c r="Q933" s="76"/>
      <c r="R933" s="76"/>
      <c r="S933" s="76"/>
      <c r="T933" s="76"/>
      <c r="U933" s="97">
        <v>0</v>
      </c>
      <c r="V933" s="255">
        <f t="shared" ref="V933:V936" si="202">U933</f>
        <v>0</v>
      </c>
      <c r="W933" s="255">
        <f t="shared" ref="W933:W934" si="203">U933</f>
        <v>0</v>
      </c>
      <c r="X933" s="255">
        <f t="shared" ref="X933:X934" si="204">V933</f>
        <v>0</v>
      </c>
      <c r="Y933" s="255">
        <f t="shared" ref="Y933:Y934" si="205">V933</f>
        <v>0</v>
      </c>
      <c r="Z933" s="255">
        <f t="shared" ref="Z933:Z936" si="206">AA933</f>
        <v>0</v>
      </c>
      <c r="AA933" s="97">
        <f>U933</f>
        <v>0</v>
      </c>
      <c r="AB933" s="255">
        <f t="shared" ref="AB933:AB936" si="207">AA933</f>
        <v>0</v>
      </c>
      <c r="AC933" s="255">
        <f t="shared" ref="AC933:AC936" si="208">AB933</f>
        <v>0</v>
      </c>
      <c r="AD933" s="255">
        <f t="shared" ref="AD933:AD936" si="209">AC933</f>
        <v>0</v>
      </c>
      <c r="AE933" s="76"/>
      <c r="AF933" s="97" t="s">
        <v>3367</v>
      </c>
      <c r="AG933" s="76"/>
      <c r="AH933" s="76">
        <v>1</v>
      </c>
      <c r="AI933" s="76">
        <v>1</v>
      </c>
      <c r="AJ933" s="73"/>
      <c r="AK933" s="57"/>
      <c r="AL933" s="45"/>
      <c r="AM933" s="45"/>
      <c r="AN933" s="45"/>
    </row>
    <row r="934" spans="1:40" hidden="1" outlineLevel="2" x14ac:dyDescent="0.25">
      <c r="A934" s="45"/>
      <c r="B934" s="54"/>
      <c r="C934" s="47">
        <f t="shared" si="171"/>
        <v>3</v>
      </c>
      <c r="D934" s="73"/>
      <c r="E934" s="70"/>
      <c r="F934" s="70" t="s">
        <v>3373</v>
      </c>
      <c r="G934" s="73"/>
      <c r="H934" s="76" t="s">
        <v>2511</v>
      </c>
      <c r="I934" s="96" t="s">
        <v>502</v>
      </c>
      <c r="J934" s="96"/>
      <c r="K934" s="76"/>
      <c r="L934" s="76"/>
      <c r="M934" s="76"/>
      <c r="N934" s="76"/>
      <c r="O934" s="76"/>
      <c r="P934" s="76"/>
      <c r="Q934" s="76"/>
      <c r="R934" s="76"/>
      <c r="S934" s="76"/>
      <c r="T934" s="76"/>
      <c r="U934" s="97">
        <v>0</v>
      </c>
      <c r="V934" s="255">
        <f t="shared" si="202"/>
        <v>0</v>
      </c>
      <c r="W934" s="255">
        <f t="shared" si="203"/>
        <v>0</v>
      </c>
      <c r="X934" s="255">
        <f t="shared" si="204"/>
        <v>0</v>
      </c>
      <c r="Y934" s="255">
        <f t="shared" si="205"/>
        <v>0</v>
      </c>
      <c r="Z934" s="255">
        <f t="shared" si="206"/>
        <v>0</v>
      </c>
      <c r="AA934" s="97">
        <f t="shared" ref="AA934:AA935" si="210">U934</f>
        <v>0</v>
      </c>
      <c r="AB934" s="255">
        <f t="shared" si="207"/>
        <v>0</v>
      </c>
      <c r="AC934" s="255">
        <f t="shared" si="208"/>
        <v>0</v>
      </c>
      <c r="AD934" s="255">
        <f t="shared" si="209"/>
        <v>0</v>
      </c>
      <c r="AE934" s="76"/>
      <c r="AF934" s="97" t="s">
        <v>3747</v>
      </c>
      <c r="AG934" s="76"/>
      <c r="AH934" s="97">
        <v>1</v>
      </c>
      <c r="AI934" s="97">
        <v>1</v>
      </c>
      <c r="AJ934" s="73"/>
      <c r="AK934" s="57"/>
      <c r="AL934" s="45"/>
      <c r="AM934" s="45"/>
      <c r="AN934" s="45"/>
    </row>
    <row r="935" spans="1:40" hidden="1" outlineLevel="2" x14ac:dyDescent="0.25">
      <c r="A935" s="45"/>
      <c r="B935" s="54"/>
      <c r="C935" s="47">
        <f t="shared" si="171"/>
        <v>3</v>
      </c>
      <c r="D935" s="73"/>
      <c r="E935" s="70"/>
      <c r="F935" s="70" t="s">
        <v>3374</v>
      </c>
      <c r="G935" s="73"/>
      <c r="H935" s="76" t="s">
        <v>2512</v>
      </c>
      <c r="I935" s="96" t="s">
        <v>502</v>
      </c>
      <c r="J935" s="96"/>
      <c r="K935" s="76"/>
      <c r="L935" s="76"/>
      <c r="M935" s="76"/>
      <c r="N935" s="76"/>
      <c r="O935" s="76"/>
      <c r="P935" s="76"/>
      <c r="Q935" s="76"/>
      <c r="R935" s="76"/>
      <c r="S935" s="76"/>
      <c r="T935" s="76"/>
      <c r="U935" s="97">
        <v>1.0269999999999999E-3</v>
      </c>
      <c r="V935" s="255">
        <f t="shared" si="202"/>
        <v>1.0269999999999999E-3</v>
      </c>
      <c r="W935" s="255">
        <f>U935</f>
        <v>1.0269999999999999E-3</v>
      </c>
      <c r="X935" s="255">
        <f>V935</f>
        <v>1.0269999999999999E-3</v>
      </c>
      <c r="Y935" s="255">
        <f>V935</f>
        <v>1.0269999999999999E-3</v>
      </c>
      <c r="Z935" s="255">
        <f t="shared" si="206"/>
        <v>1.0269999999999999E-3</v>
      </c>
      <c r="AA935" s="97">
        <f t="shared" si="210"/>
        <v>1.0269999999999999E-3</v>
      </c>
      <c r="AB935" s="255">
        <f t="shared" si="207"/>
        <v>1.0269999999999999E-3</v>
      </c>
      <c r="AC935" s="255">
        <f t="shared" si="208"/>
        <v>1.0269999999999999E-3</v>
      </c>
      <c r="AD935" s="255">
        <f t="shared" si="209"/>
        <v>1.0269999999999999E-3</v>
      </c>
      <c r="AE935" s="76"/>
      <c r="AF935" s="97"/>
      <c r="AG935" s="76"/>
      <c r="AH935" s="97">
        <v>1</v>
      </c>
      <c r="AI935" s="97">
        <v>1</v>
      </c>
      <c r="AJ935" s="73"/>
      <c r="AK935" s="57"/>
      <c r="AL935" s="45"/>
      <c r="AM935" s="45"/>
      <c r="AN935" s="45"/>
    </row>
    <row r="936" spans="1:40" hidden="1" outlineLevel="2" x14ac:dyDescent="0.25">
      <c r="A936" s="45"/>
      <c r="B936" s="54"/>
      <c r="C936" s="47">
        <f t="shared" si="171"/>
        <v>3</v>
      </c>
      <c r="D936" s="73"/>
      <c r="E936" s="70"/>
      <c r="F936" s="70" t="s">
        <v>3375</v>
      </c>
      <c r="G936" s="73"/>
      <c r="H936" s="76" t="s">
        <v>2513</v>
      </c>
      <c r="I936" s="96" t="s">
        <v>502</v>
      </c>
      <c r="J936" s="96"/>
      <c r="K936" s="76"/>
      <c r="L936" s="76"/>
      <c r="M936" s="76"/>
      <c r="N936" s="76"/>
      <c r="O936" s="76"/>
      <c r="P936" s="76"/>
      <c r="Q936" s="76"/>
      <c r="R936" s="76"/>
      <c r="S936" s="76"/>
      <c r="T936" s="76"/>
      <c r="U936" s="253">
        <f>U935</f>
        <v>1.0269999999999999E-3</v>
      </c>
      <c r="V936" s="76">
        <f t="shared" si="202"/>
        <v>1.0269999999999999E-3</v>
      </c>
      <c r="W936" s="76">
        <f>U936</f>
        <v>1.0269999999999999E-3</v>
      </c>
      <c r="X936" s="76">
        <f>V936</f>
        <v>1.0269999999999999E-3</v>
      </c>
      <c r="Y936" s="76">
        <f>V936</f>
        <v>1.0269999999999999E-3</v>
      </c>
      <c r="Z936" s="76">
        <f t="shared" si="206"/>
        <v>1.0269999999999999E-3</v>
      </c>
      <c r="AA936" s="253">
        <f>AA935</f>
        <v>1.0269999999999999E-3</v>
      </c>
      <c r="AB936" s="76">
        <f t="shared" si="207"/>
        <v>1.0269999999999999E-3</v>
      </c>
      <c r="AC936" s="76">
        <f t="shared" si="208"/>
        <v>1.0269999999999999E-3</v>
      </c>
      <c r="AD936" s="76">
        <f t="shared" si="209"/>
        <v>1.0269999999999999E-3</v>
      </c>
      <c r="AE936" s="76"/>
      <c r="AF936" s="264" t="s">
        <v>3366</v>
      </c>
      <c r="AG936" s="76"/>
      <c r="AH936" s="76">
        <v>1</v>
      </c>
      <c r="AI936" s="76">
        <v>1</v>
      </c>
      <c r="AJ936" s="73"/>
      <c r="AK936" s="57"/>
      <c r="AL936" s="45"/>
      <c r="AM936" s="45"/>
      <c r="AN936" s="45"/>
    </row>
    <row r="937" spans="1:40" hidden="1" outlineLevel="2" x14ac:dyDescent="0.25">
      <c r="A937" s="45"/>
      <c r="B937" s="54"/>
      <c r="C937" s="47">
        <f t="shared" si="171"/>
        <v>3</v>
      </c>
      <c r="D937" s="73"/>
      <c r="E937" s="70"/>
      <c r="F937" s="70" t="s">
        <v>3376</v>
      </c>
      <c r="G937" s="73"/>
      <c r="H937" s="76" t="s">
        <v>3744</v>
      </c>
      <c r="I937" s="96" t="s">
        <v>502</v>
      </c>
      <c r="J937" s="96"/>
      <c r="K937" s="76"/>
      <c r="L937" s="76"/>
      <c r="M937" s="76"/>
      <c r="N937" s="76"/>
      <c r="O937" s="76"/>
      <c r="P937" s="76"/>
      <c r="Q937" s="76"/>
      <c r="R937" s="76"/>
      <c r="S937" s="76"/>
      <c r="T937" s="76"/>
      <c r="U937" s="97">
        <v>0</v>
      </c>
      <c r="V937" s="255">
        <f t="shared" ref="V937:V940" si="211">U937</f>
        <v>0</v>
      </c>
      <c r="W937" s="255">
        <f t="shared" ref="W937:W938" si="212">U937</f>
        <v>0</v>
      </c>
      <c r="X937" s="255">
        <f t="shared" ref="X937:X938" si="213">V937</f>
        <v>0</v>
      </c>
      <c r="Y937" s="255">
        <f t="shared" ref="Y937:Y938" si="214">V937</f>
        <v>0</v>
      </c>
      <c r="Z937" s="255">
        <f t="shared" ref="Z937:Z940" si="215">AA937</f>
        <v>0</v>
      </c>
      <c r="AA937" s="97">
        <f>U937</f>
        <v>0</v>
      </c>
      <c r="AB937" s="255">
        <f t="shared" ref="AB937:AB940" si="216">AA937</f>
        <v>0</v>
      </c>
      <c r="AC937" s="255">
        <f t="shared" ref="AC937:AC940" si="217">AB937</f>
        <v>0</v>
      </c>
      <c r="AD937" s="255">
        <f t="shared" ref="AD937:AD940" si="218">AC937</f>
        <v>0</v>
      </c>
      <c r="AE937" s="76"/>
      <c r="AF937" s="97" t="s">
        <v>3367</v>
      </c>
      <c r="AG937" s="76"/>
      <c r="AH937" s="76">
        <v>1</v>
      </c>
      <c r="AI937" s="76">
        <v>1</v>
      </c>
      <c r="AJ937" s="73"/>
      <c r="AK937" s="57"/>
      <c r="AL937" s="45"/>
      <c r="AM937" s="45"/>
      <c r="AN937" s="45"/>
    </row>
    <row r="938" spans="1:40" hidden="1" outlineLevel="2" x14ac:dyDescent="0.25">
      <c r="A938" s="45"/>
      <c r="B938" s="54"/>
      <c r="C938" s="47">
        <f t="shared" si="171"/>
        <v>3</v>
      </c>
      <c r="D938" s="73"/>
      <c r="E938" s="70"/>
      <c r="F938" s="70" t="s">
        <v>3377</v>
      </c>
      <c r="G938" s="73"/>
      <c r="H938" s="76" t="s">
        <v>2511</v>
      </c>
      <c r="I938" s="96" t="s">
        <v>502</v>
      </c>
      <c r="J938" s="96"/>
      <c r="K938" s="76"/>
      <c r="L938" s="76"/>
      <c r="M938" s="76"/>
      <c r="N938" s="76"/>
      <c r="O938" s="76"/>
      <c r="P938" s="76"/>
      <c r="Q938" s="76"/>
      <c r="R938" s="76"/>
      <c r="S938" s="76"/>
      <c r="T938" s="76"/>
      <c r="U938" s="97">
        <v>0</v>
      </c>
      <c r="V938" s="255">
        <f t="shared" si="211"/>
        <v>0</v>
      </c>
      <c r="W938" s="255">
        <f t="shared" si="212"/>
        <v>0</v>
      </c>
      <c r="X938" s="255">
        <f t="shared" si="213"/>
        <v>0</v>
      </c>
      <c r="Y938" s="255">
        <f t="shared" si="214"/>
        <v>0</v>
      </c>
      <c r="Z938" s="255">
        <f t="shared" si="215"/>
        <v>0</v>
      </c>
      <c r="AA938" s="97">
        <f t="shared" ref="AA938:AA939" si="219">U938</f>
        <v>0</v>
      </c>
      <c r="AB938" s="255">
        <f t="shared" si="216"/>
        <v>0</v>
      </c>
      <c r="AC938" s="255">
        <f t="shared" si="217"/>
        <v>0</v>
      </c>
      <c r="AD938" s="255">
        <f t="shared" si="218"/>
        <v>0</v>
      </c>
      <c r="AE938" s="76"/>
      <c r="AF938" s="97" t="s">
        <v>3747</v>
      </c>
      <c r="AG938" s="76"/>
      <c r="AH938" s="97">
        <v>1</v>
      </c>
      <c r="AI938" s="97">
        <v>1</v>
      </c>
      <c r="AJ938" s="73"/>
      <c r="AK938" s="57"/>
      <c r="AL938" s="45"/>
      <c r="AM938" s="45"/>
      <c r="AN938" s="45"/>
    </row>
    <row r="939" spans="1:40" hidden="1" outlineLevel="2" x14ac:dyDescent="0.25">
      <c r="A939" s="45"/>
      <c r="B939" s="54"/>
      <c r="C939" s="47">
        <f t="shared" si="171"/>
        <v>3</v>
      </c>
      <c r="D939" s="73"/>
      <c r="E939" s="70"/>
      <c r="F939" s="70" t="s">
        <v>3378</v>
      </c>
      <c r="G939" s="73"/>
      <c r="H939" s="76" t="s">
        <v>2512</v>
      </c>
      <c r="I939" s="96" t="s">
        <v>502</v>
      </c>
      <c r="J939" s="96"/>
      <c r="K939" s="76"/>
      <c r="L939" s="76"/>
      <c r="M939" s="76"/>
      <c r="N939" s="76"/>
      <c r="O939" s="76"/>
      <c r="P939" s="76"/>
      <c r="Q939" s="76"/>
      <c r="R939" s="76"/>
      <c r="S939" s="76"/>
      <c r="T939" s="76"/>
      <c r="U939" s="97">
        <v>7.0199999999999999E-2</v>
      </c>
      <c r="V939" s="255">
        <f t="shared" si="211"/>
        <v>7.0199999999999999E-2</v>
      </c>
      <c r="W939" s="255">
        <f>U939</f>
        <v>7.0199999999999999E-2</v>
      </c>
      <c r="X939" s="255">
        <f>V939</f>
        <v>7.0199999999999999E-2</v>
      </c>
      <c r="Y939" s="255">
        <f>V939</f>
        <v>7.0199999999999999E-2</v>
      </c>
      <c r="Z939" s="255">
        <f t="shared" si="215"/>
        <v>7.0199999999999999E-2</v>
      </c>
      <c r="AA939" s="97">
        <f t="shared" si="219"/>
        <v>7.0199999999999999E-2</v>
      </c>
      <c r="AB939" s="255">
        <f t="shared" si="216"/>
        <v>7.0199999999999999E-2</v>
      </c>
      <c r="AC939" s="255">
        <f t="shared" si="217"/>
        <v>7.0199999999999999E-2</v>
      </c>
      <c r="AD939" s="255">
        <f t="shared" si="218"/>
        <v>7.0199999999999999E-2</v>
      </c>
      <c r="AE939" s="76"/>
      <c r="AF939" s="97"/>
      <c r="AG939" s="76"/>
      <c r="AH939" s="97">
        <v>1</v>
      </c>
      <c r="AI939" s="97">
        <v>1</v>
      </c>
      <c r="AJ939" s="73"/>
      <c r="AK939" s="57"/>
      <c r="AL939" s="45"/>
      <c r="AM939" s="45"/>
      <c r="AN939" s="45"/>
    </row>
    <row r="940" spans="1:40" hidden="1" outlineLevel="2" x14ac:dyDescent="0.25">
      <c r="A940" s="45"/>
      <c r="B940" s="54"/>
      <c r="C940" s="47">
        <f t="shared" si="171"/>
        <v>3</v>
      </c>
      <c r="D940" s="73"/>
      <c r="E940" s="70"/>
      <c r="F940" s="70" t="s">
        <v>3379</v>
      </c>
      <c r="G940" s="73"/>
      <c r="H940" s="76" t="s">
        <v>2513</v>
      </c>
      <c r="I940" s="96" t="s">
        <v>502</v>
      </c>
      <c r="J940" s="96"/>
      <c r="K940" s="76"/>
      <c r="L940" s="76"/>
      <c r="M940" s="76"/>
      <c r="N940" s="76"/>
      <c r="O940" s="76"/>
      <c r="P940" s="76"/>
      <c r="Q940" s="76"/>
      <c r="R940" s="76"/>
      <c r="S940" s="76"/>
      <c r="T940" s="76"/>
      <c r="U940" s="253">
        <f>U939</f>
        <v>7.0199999999999999E-2</v>
      </c>
      <c r="V940" s="76">
        <f t="shared" si="211"/>
        <v>7.0199999999999999E-2</v>
      </c>
      <c r="W940" s="76">
        <f>U940</f>
        <v>7.0199999999999999E-2</v>
      </c>
      <c r="X940" s="76">
        <f>V940</f>
        <v>7.0199999999999999E-2</v>
      </c>
      <c r="Y940" s="76">
        <f>V940</f>
        <v>7.0199999999999999E-2</v>
      </c>
      <c r="Z940" s="76">
        <f t="shared" si="215"/>
        <v>7.0199999999999999E-2</v>
      </c>
      <c r="AA940" s="253">
        <f>AA939</f>
        <v>7.0199999999999999E-2</v>
      </c>
      <c r="AB940" s="76">
        <f t="shared" si="216"/>
        <v>7.0199999999999999E-2</v>
      </c>
      <c r="AC940" s="76">
        <f t="shared" si="217"/>
        <v>7.0199999999999999E-2</v>
      </c>
      <c r="AD940" s="76">
        <f t="shared" si="218"/>
        <v>7.0199999999999999E-2</v>
      </c>
      <c r="AE940" s="76"/>
      <c r="AF940" s="264" t="s">
        <v>3366</v>
      </c>
      <c r="AG940" s="76"/>
      <c r="AH940" s="76">
        <v>1</v>
      </c>
      <c r="AI940" s="76">
        <v>1</v>
      </c>
      <c r="AJ940" s="73"/>
      <c r="AK940" s="57"/>
      <c r="AL940" s="45"/>
      <c r="AM940" s="45"/>
      <c r="AN940" s="45"/>
    </row>
    <row r="941" spans="1:40" hidden="1" outlineLevel="2" x14ac:dyDescent="0.25">
      <c r="A941" s="45"/>
      <c r="B941" s="54"/>
      <c r="C941" s="47">
        <f t="shared" si="171"/>
        <v>3</v>
      </c>
      <c r="D941" s="73"/>
      <c r="E941" s="70"/>
      <c r="F941" s="70" t="s">
        <v>3380</v>
      </c>
      <c r="G941" s="73"/>
      <c r="H941" s="76" t="s">
        <v>3745</v>
      </c>
      <c r="I941" s="96" t="s">
        <v>502</v>
      </c>
      <c r="J941" s="96"/>
      <c r="K941" s="76"/>
      <c r="L941" s="76"/>
      <c r="M941" s="76"/>
      <c r="N941" s="76"/>
      <c r="O941" s="76"/>
      <c r="P941" s="76"/>
      <c r="Q941" s="76"/>
      <c r="R941" s="76"/>
      <c r="S941" s="76"/>
      <c r="T941" s="76"/>
      <c r="U941" s="97">
        <v>0</v>
      </c>
      <c r="V941" s="255">
        <f t="shared" ref="V941:V944" si="220">U941</f>
        <v>0</v>
      </c>
      <c r="W941" s="255">
        <f t="shared" ref="W941:W942" si="221">U941</f>
        <v>0</v>
      </c>
      <c r="X941" s="255">
        <f t="shared" ref="X941:X942" si="222">V941</f>
        <v>0</v>
      </c>
      <c r="Y941" s="255">
        <f t="shared" ref="Y941:Y942" si="223">V941</f>
        <v>0</v>
      </c>
      <c r="Z941" s="255">
        <f t="shared" ref="Z941:Z944" si="224">AA941</f>
        <v>0</v>
      </c>
      <c r="AA941" s="97">
        <f>U941</f>
        <v>0</v>
      </c>
      <c r="AB941" s="255">
        <f t="shared" ref="AB941:AB944" si="225">AA941</f>
        <v>0</v>
      </c>
      <c r="AC941" s="255">
        <f t="shared" ref="AC941:AC944" si="226">AB941</f>
        <v>0</v>
      </c>
      <c r="AD941" s="255">
        <f t="shared" ref="AD941:AD944" si="227">AC941</f>
        <v>0</v>
      </c>
      <c r="AE941" s="76"/>
      <c r="AF941" s="97" t="s">
        <v>3367</v>
      </c>
      <c r="AG941" s="76"/>
      <c r="AH941" s="76">
        <v>1</v>
      </c>
      <c r="AI941" s="76">
        <v>1</v>
      </c>
      <c r="AJ941" s="73"/>
      <c r="AK941" s="57"/>
      <c r="AL941" s="45"/>
      <c r="AM941" s="45"/>
      <c r="AN941" s="45"/>
    </row>
    <row r="942" spans="1:40" hidden="1" outlineLevel="2" x14ac:dyDescent="0.25">
      <c r="A942" s="45"/>
      <c r="B942" s="54"/>
      <c r="C942" s="47">
        <f t="shared" si="171"/>
        <v>3</v>
      </c>
      <c r="D942" s="73"/>
      <c r="E942" s="70"/>
      <c r="F942" s="70" t="s">
        <v>3381</v>
      </c>
      <c r="G942" s="73"/>
      <c r="H942" s="76" t="s">
        <v>2511</v>
      </c>
      <c r="I942" s="96" t="s">
        <v>502</v>
      </c>
      <c r="J942" s="96"/>
      <c r="K942" s="76"/>
      <c r="L942" s="76"/>
      <c r="M942" s="76"/>
      <c r="N942" s="76"/>
      <c r="O942" s="76"/>
      <c r="P942" s="76"/>
      <c r="Q942" s="76"/>
      <c r="R942" s="76"/>
      <c r="S942" s="76"/>
      <c r="T942" s="76"/>
      <c r="U942" s="97">
        <v>0</v>
      </c>
      <c r="V942" s="255">
        <f t="shared" si="220"/>
        <v>0</v>
      </c>
      <c r="W942" s="255">
        <f t="shared" si="221"/>
        <v>0</v>
      </c>
      <c r="X942" s="255">
        <f t="shared" si="222"/>
        <v>0</v>
      </c>
      <c r="Y942" s="255">
        <f t="shared" si="223"/>
        <v>0</v>
      </c>
      <c r="Z942" s="255">
        <f t="shared" si="224"/>
        <v>0</v>
      </c>
      <c r="AA942" s="97">
        <f t="shared" ref="AA942:AA943" si="228">U942</f>
        <v>0</v>
      </c>
      <c r="AB942" s="255">
        <f t="shared" si="225"/>
        <v>0</v>
      </c>
      <c r="AC942" s="255">
        <f t="shared" si="226"/>
        <v>0</v>
      </c>
      <c r="AD942" s="255">
        <f t="shared" si="227"/>
        <v>0</v>
      </c>
      <c r="AE942" s="76"/>
      <c r="AF942" s="97" t="s">
        <v>3747</v>
      </c>
      <c r="AG942" s="76"/>
      <c r="AH942" s="97">
        <v>1</v>
      </c>
      <c r="AI942" s="97">
        <v>1</v>
      </c>
      <c r="AJ942" s="73"/>
      <c r="AK942" s="57"/>
      <c r="AL942" s="45"/>
      <c r="AM942" s="45"/>
      <c r="AN942" s="45"/>
    </row>
    <row r="943" spans="1:40" hidden="1" outlineLevel="2" x14ac:dyDescent="0.25">
      <c r="A943" s="45"/>
      <c r="B943" s="54"/>
      <c r="C943" s="47">
        <f t="shared" si="171"/>
        <v>3</v>
      </c>
      <c r="D943" s="73"/>
      <c r="E943" s="70"/>
      <c r="F943" s="70" t="s">
        <v>3382</v>
      </c>
      <c r="G943" s="73"/>
      <c r="H943" s="76" t="s">
        <v>2512</v>
      </c>
      <c r="I943" s="96" t="s">
        <v>502</v>
      </c>
      <c r="J943" s="96"/>
      <c r="K943" s="76"/>
      <c r="L943" s="76"/>
      <c r="M943" s="76"/>
      <c r="N943" s="76"/>
      <c r="O943" s="76"/>
      <c r="P943" s="76"/>
      <c r="Q943" s="76"/>
      <c r="R943" s="76"/>
      <c r="S943" s="76"/>
      <c r="T943" s="76"/>
      <c r="U943" s="97">
        <v>4.4400000000000002E-2</v>
      </c>
      <c r="V943" s="255">
        <f t="shared" si="220"/>
        <v>4.4400000000000002E-2</v>
      </c>
      <c r="W943" s="255">
        <f>U943</f>
        <v>4.4400000000000002E-2</v>
      </c>
      <c r="X943" s="255">
        <f>V943</f>
        <v>4.4400000000000002E-2</v>
      </c>
      <c r="Y943" s="255">
        <f>V943</f>
        <v>4.4400000000000002E-2</v>
      </c>
      <c r="Z943" s="255">
        <f t="shared" si="224"/>
        <v>4.4400000000000002E-2</v>
      </c>
      <c r="AA943" s="97">
        <f t="shared" si="228"/>
        <v>4.4400000000000002E-2</v>
      </c>
      <c r="AB943" s="255">
        <f t="shared" si="225"/>
        <v>4.4400000000000002E-2</v>
      </c>
      <c r="AC943" s="255">
        <f t="shared" si="226"/>
        <v>4.4400000000000002E-2</v>
      </c>
      <c r="AD943" s="255">
        <f t="shared" si="227"/>
        <v>4.4400000000000002E-2</v>
      </c>
      <c r="AE943" s="76"/>
      <c r="AF943" s="97"/>
      <c r="AG943" s="76"/>
      <c r="AH943" s="97">
        <v>1</v>
      </c>
      <c r="AI943" s="97">
        <v>1</v>
      </c>
      <c r="AJ943" s="73"/>
      <c r="AK943" s="57"/>
      <c r="AL943" s="45"/>
      <c r="AM943" s="45"/>
      <c r="AN943" s="45"/>
    </row>
    <row r="944" spans="1:40" hidden="1" outlineLevel="2" x14ac:dyDescent="0.25">
      <c r="A944" s="45"/>
      <c r="B944" s="54"/>
      <c r="C944" s="47">
        <f t="shared" si="171"/>
        <v>3</v>
      </c>
      <c r="D944" s="73"/>
      <c r="E944" s="70"/>
      <c r="F944" s="70" t="s">
        <v>3383</v>
      </c>
      <c r="G944" s="73"/>
      <c r="H944" s="76" t="s">
        <v>2513</v>
      </c>
      <c r="I944" s="96" t="s">
        <v>502</v>
      </c>
      <c r="J944" s="96"/>
      <c r="K944" s="76"/>
      <c r="L944" s="76"/>
      <c r="M944" s="76"/>
      <c r="N944" s="76"/>
      <c r="O944" s="76"/>
      <c r="P944" s="76"/>
      <c r="Q944" s="76"/>
      <c r="R944" s="76"/>
      <c r="S944" s="76"/>
      <c r="T944" s="76"/>
      <c r="U944" s="253">
        <f>U943</f>
        <v>4.4400000000000002E-2</v>
      </c>
      <c r="V944" s="76">
        <f t="shared" si="220"/>
        <v>4.4400000000000002E-2</v>
      </c>
      <c r="W944" s="76">
        <f>U944</f>
        <v>4.4400000000000002E-2</v>
      </c>
      <c r="X944" s="76">
        <f>V944</f>
        <v>4.4400000000000002E-2</v>
      </c>
      <c r="Y944" s="76">
        <f>V944</f>
        <v>4.4400000000000002E-2</v>
      </c>
      <c r="Z944" s="76">
        <f t="shared" si="224"/>
        <v>4.4400000000000002E-2</v>
      </c>
      <c r="AA944" s="253">
        <f>AA943</f>
        <v>4.4400000000000002E-2</v>
      </c>
      <c r="AB944" s="76">
        <f t="shared" si="225"/>
        <v>4.4400000000000002E-2</v>
      </c>
      <c r="AC944" s="76">
        <f t="shared" si="226"/>
        <v>4.4400000000000002E-2</v>
      </c>
      <c r="AD944" s="76">
        <f t="shared" si="227"/>
        <v>4.4400000000000002E-2</v>
      </c>
      <c r="AE944" s="76"/>
      <c r="AF944" s="264" t="s">
        <v>3366</v>
      </c>
      <c r="AG944" s="76"/>
      <c r="AH944" s="76">
        <v>1</v>
      </c>
      <c r="AI944" s="76">
        <v>1</v>
      </c>
      <c r="AJ944" s="73"/>
      <c r="AK944" s="57"/>
      <c r="AL944" s="45"/>
      <c r="AM944" s="45"/>
      <c r="AN944" s="45"/>
    </row>
    <row r="945" spans="1:40" hidden="1" outlineLevel="2" x14ac:dyDescent="0.25">
      <c r="A945" s="45"/>
      <c r="B945" s="54"/>
      <c r="C945" s="47">
        <f t="shared" si="171"/>
        <v>3</v>
      </c>
      <c r="D945" s="73"/>
      <c r="E945" s="70"/>
      <c r="F945" s="70" t="s">
        <v>3385</v>
      </c>
      <c r="G945" s="73"/>
      <c r="H945" s="76" t="s">
        <v>3746</v>
      </c>
      <c r="I945" s="96" t="s">
        <v>502</v>
      </c>
      <c r="J945" s="96"/>
      <c r="K945" s="76"/>
      <c r="L945" s="76"/>
      <c r="M945" s="76"/>
      <c r="N945" s="76"/>
      <c r="O945" s="76"/>
      <c r="P945" s="76"/>
      <c r="Q945" s="76"/>
      <c r="R945" s="76"/>
      <c r="S945" s="76"/>
      <c r="T945" s="76"/>
      <c r="U945" s="97">
        <v>0</v>
      </c>
      <c r="V945" s="255">
        <f t="shared" ref="V945:V948" si="229">U945</f>
        <v>0</v>
      </c>
      <c r="W945" s="255">
        <f t="shared" ref="W945:W946" si="230">U945</f>
        <v>0</v>
      </c>
      <c r="X945" s="255">
        <f t="shared" ref="X945:X946" si="231">V945</f>
        <v>0</v>
      </c>
      <c r="Y945" s="255">
        <f t="shared" ref="Y945:Y946" si="232">V945</f>
        <v>0</v>
      </c>
      <c r="Z945" s="255">
        <f t="shared" ref="Z945:Z948" si="233">AA945</f>
        <v>0</v>
      </c>
      <c r="AA945" s="97">
        <f>U945</f>
        <v>0</v>
      </c>
      <c r="AB945" s="255">
        <f t="shared" ref="AB945:AB948" si="234">AA945</f>
        <v>0</v>
      </c>
      <c r="AC945" s="255">
        <f t="shared" ref="AC945:AC948" si="235">AB945</f>
        <v>0</v>
      </c>
      <c r="AD945" s="255">
        <f t="shared" ref="AD945:AD948" si="236">AC945</f>
        <v>0</v>
      </c>
      <c r="AE945" s="76"/>
      <c r="AF945" s="97" t="s">
        <v>3367</v>
      </c>
      <c r="AG945" s="76"/>
      <c r="AH945" s="76">
        <v>1</v>
      </c>
      <c r="AI945" s="76">
        <v>1</v>
      </c>
      <c r="AJ945" s="73"/>
      <c r="AK945" s="57"/>
      <c r="AL945" s="45"/>
      <c r="AM945" s="45"/>
      <c r="AN945" s="45"/>
    </row>
    <row r="946" spans="1:40" hidden="1" outlineLevel="2" x14ac:dyDescent="0.25">
      <c r="A946" s="45"/>
      <c r="B946" s="54"/>
      <c r="C946" s="47">
        <f t="shared" ref="C946:C984" si="237">INT($C$29)+2</f>
        <v>3</v>
      </c>
      <c r="D946" s="73"/>
      <c r="E946" s="70"/>
      <c r="F946" s="70" t="s">
        <v>3386</v>
      </c>
      <c r="G946" s="73"/>
      <c r="H946" s="76" t="s">
        <v>2511</v>
      </c>
      <c r="I946" s="96" t="s">
        <v>502</v>
      </c>
      <c r="J946" s="96"/>
      <c r="K946" s="76"/>
      <c r="L946" s="76"/>
      <c r="M946" s="76"/>
      <c r="N946" s="76"/>
      <c r="O946" s="76"/>
      <c r="P946" s="76"/>
      <c r="Q946" s="76"/>
      <c r="R946" s="76"/>
      <c r="S946" s="76"/>
      <c r="T946" s="76"/>
      <c r="U946" s="97">
        <v>0</v>
      </c>
      <c r="V946" s="255">
        <f t="shared" si="229"/>
        <v>0</v>
      </c>
      <c r="W946" s="255">
        <f t="shared" si="230"/>
        <v>0</v>
      </c>
      <c r="X946" s="255">
        <f t="shared" si="231"/>
        <v>0</v>
      </c>
      <c r="Y946" s="255">
        <f t="shared" si="232"/>
        <v>0</v>
      </c>
      <c r="Z946" s="255">
        <f t="shared" si="233"/>
        <v>0</v>
      </c>
      <c r="AA946" s="97">
        <f t="shared" ref="AA946:AA948" si="238">U946</f>
        <v>0</v>
      </c>
      <c r="AB946" s="255">
        <f t="shared" si="234"/>
        <v>0</v>
      </c>
      <c r="AC946" s="255">
        <f t="shared" si="235"/>
        <v>0</v>
      </c>
      <c r="AD946" s="255">
        <f t="shared" si="236"/>
        <v>0</v>
      </c>
      <c r="AE946" s="76"/>
      <c r="AF946" s="97" t="s">
        <v>3747</v>
      </c>
      <c r="AG946" s="76"/>
      <c r="AH946" s="97">
        <v>1</v>
      </c>
      <c r="AI946" s="97">
        <v>1</v>
      </c>
      <c r="AJ946" s="73"/>
      <c r="AK946" s="57"/>
      <c r="AL946" s="45"/>
      <c r="AM946" s="45"/>
      <c r="AN946" s="45"/>
    </row>
    <row r="947" spans="1:40" hidden="1" outlineLevel="2" x14ac:dyDescent="0.25">
      <c r="A947" s="45"/>
      <c r="B947" s="54"/>
      <c r="C947" s="47">
        <f t="shared" si="237"/>
        <v>3</v>
      </c>
      <c r="D947" s="73"/>
      <c r="E947" s="70"/>
      <c r="F947" s="70" t="s">
        <v>3387</v>
      </c>
      <c r="G947" s="73"/>
      <c r="H947" s="76" t="s">
        <v>2512</v>
      </c>
      <c r="I947" s="96" t="s">
        <v>502</v>
      </c>
      <c r="J947" s="96"/>
      <c r="K947" s="76"/>
      <c r="L947" s="76"/>
      <c r="M947" s="76"/>
      <c r="N947" s="76"/>
      <c r="O947" s="76"/>
      <c r="P947" s="76"/>
      <c r="Q947" s="76"/>
      <c r="R947" s="76"/>
      <c r="S947" s="76"/>
      <c r="T947" s="76"/>
      <c r="U947" s="97">
        <v>0.95</v>
      </c>
      <c r="V947" s="255">
        <f t="shared" si="229"/>
        <v>0.95</v>
      </c>
      <c r="W947" s="255">
        <f>U947</f>
        <v>0.95</v>
      </c>
      <c r="X947" s="255">
        <f>V947</f>
        <v>0.95</v>
      </c>
      <c r="Y947" s="255">
        <f>V947</f>
        <v>0.95</v>
      </c>
      <c r="Z947" s="255">
        <f t="shared" si="233"/>
        <v>0.95</v>
      </c>
      <c r="AA947" s="97">
        <f t="shared" si="238"/>
        <v>0.95</v>
      </c>
      <c r="AB947" s="255">
        <f t="shared" si="234"/>
        <v>0.95</v>
      </c>
      <c r="AC947" s="255">
        <f t="shared" si="235"/>
        <v>0.95</v>
      </c>
      <c r="AD947" s="255">
        <f t="shared" si="236"/>
        <v>0.95</v>
      </c>
      <c r="AE947" s="76"/>
      <c r="AF947" s="97"/>
      <c r="AG947" s="76"/>
      <c r="AH947" s="97">
        <v>1</v>
      </c>
      <c r="AI947" s="97">
        <v>1</v>
      </c>
      <c r="AJ947" s="73"/>
      <c r="AK947" s="57"/>
      <c r="AL947" s="45"/>
      <c r="AM947" s="45"/>
      <c r="AN947" s="45"/>
    </row>
    <row r="948" spans="1:40" hidden="1" outlineLevel="2" x14ac:dyDescent="0.25">
      <c r="A948" s="45"/>
      <c r="B948" s="54"/>
      <c r="C948" s="47">
        <f t="shared" si="237"/>
        <v>3</v>
      </c>
      <c r="D948" s="73"/>
      <c r="E948" s="70"/>
      <c r="F948" s="70" t="s">
        <v>3388</v>
      </c>
      <c r="G948" s="73"/>
      <c r="H948" s="76" t="s">
        <v>2513</v>
      </c>
      <c r="I948" s="96" t="s">
        <v>502</v>
      </c>
      <c r="J948" s="96"/>
      <c r="K948" s="76"/>
      <c r="L948" s="76"/>
      <c r="M948" s="76"/>
      <c r="N948" s="76"/>
      <c r="O948" s="76"/>
      <c r="P948" s="76"/>
      <c r="Q948" s="76"/>
      <c r="R948" s="76"/>
      <c r="S948" s="76"/>
      <c r="T948" s="76"/>
      <c r="U948" s="97">
        <v>1.6046</v>
      </c>
      <c r="V948" s="76">
        <f t="shared" si="229"/>
        <v>1.6046</v>
      </c>
      <c r="W948" s="76">
        <f>U948</f>
        <v>1.6046</v>
      </c>
      <c r="X948" s="76">
        <f>V948</f>
        <v>1.6046</v>
      </c>
      <c r="Y948" s="76">
        <f>V948</f>
        <v>1.6046</v>
      </c>
      <c r="Z948" s="76">
        <f t="shared" si="233"/>
        <v>1.6046</v>
      </c>
      <c r="AA948" s="97">
        <f t="shared" si="238"/>
        <v>1.6046</v>
      </c>
      <c r="AB948" s="76">
        <f t="shared" si="234"/>
        <v>1.6046</v>
      </c>
      <c r="AC948" s="76">
        <f t="shared" si="235"/>
        <v>1.6046</v>
      </c>
      <c r="AD948" s="76">
        <f t="shared" si="236"/>
        <v>1.6046</v>
      </c>
      <c r="AE948" s="76"/>
      <c r="AF948" s="264"/>
      <c r="AG948" s="76"/>
      <c r="AH948" s="76">
        <v>1</v>
      </c>
      <c r="AI948" s="76">
        <v>1</v>
      </c>
      <c r="AJ948" s="73"/>
      <c r="AK948" s="57"/>
      <c r="AL948" s="45"/>
      <c r="AM948" s="45"/>
      <c r="AN948" s="45"/>
    </row>
    <row r="949" spans="1:40" hidden="1" outlineLevel="2" x14ac:dyDescent="0.25">
      <c r="A949" s="45"/>
      <c r="B949" s="54"/>
      <c r="C949" s="47">
        <f t="shared" si="237"/>
        <v>3</v>
      </c>
      <c r="D949" s="73"/>
      <c r="E949" s="70"/>
      <c r="F949" s="70" t="s">
        <v>3389</v>
      </c>
      <c r="G949" s="73"/>
      <c r="H949" s="76" t="s">
        <v>3749</v>
      </c>
      <c r="I949" s="96" t="s">
        <v>502</v>
      </c>
      <c r="J949" s="96"/>
      <c r="K949" s="76"/>
      <c r="L949" s="76"/>
      <c r="M949" s="76"/>
      <c r="N949" s="76"/>
      <c r="O949" s="76"/>
      <c r="P949" s="76"/>
      <c r="Q949" s="76"/>
      <c r="R949" s="76"/>
      <c r="S949" s="76"/>
      <c r="T949" s="76"/>
      <c r="U949" s="97">
        <v>0</v>
      </c>
      <c r="V949" s="255">
        <f t="shared" ref="V949:V952" si="239">U949</f>
        <v>0</v>
      </c>
      <c r="W949" s="255">
        <f t="shared" ref="W949:W950" si="240">U949</f>
        <v>0</v>
      </c>
      <c r="X949" s="255">
        <f t="shared" ref="X949:X950" si="241">V949</f>
        <v>0</v>
      </c>
      <c r="Y949" s="255">
        <f t="shared" ref="Y949:Y950" si="242">V949</f>
        <v>0</v>
      </c>
      <c r="Z949" s="255">
        <f t="shared" ref="Z949:Z952" si="243">AA949</f>
        <v>0</v>
      </c>
      <c r="AA949" s="97">
        <f>U949</f>
        <v>0</v>
      </c>
      <c r="AB949" s="255">
        <f t="shared" ref="AB949:AB952" si="244">AA949</f>
        <v>0</v>
      </c>
      <c r="AC949" s="255">
        <f t="shared" ref="AC949:AC952" si="245">AB949</f>
        <v>0</v>
      </c>
      <c r="AD949" s="255">
        <f t="shared" ref="AD949:AD952" si="246">AC949</f>
        <v>0</v>
      </c>
      <c r="AE949" s="76"/>
      <c r="AF949" s="97" t="s">
        <v>3367</v>
      </c>
      <c r="AG949" s="76"/>
      <c r="AH949" s="76">
        <v>1</v>
      </c>
      <c r="AI949" s="76">
        <v>1</v>
      </c>
      <c r="AJ949" s="73"/>
      <c r="AK949" s="57"/>
      <c r="AL949" s="45"/>
      <c r="AM949" s="45"/>
      <c r="AN949" s="45"/>
    </row>
    <row r="950" spans="1:40" hidden="1" outlineLevel="2" x14ac:dyDescent="0.25">
      <c r="A950" s="45"/>
      <c r="B950" s="54"/>
      <c r="C950" s="47">
        <f t="shared" si="237"/>
        <v>3</v>
      </c>
      <c r="D950" s="73"/>
      <c r="E950" s="70"/>
      <c r="F950" s="70" t="s">
        <v>3390</v>
      </c>
      <c r="G950" s="73"/>
      <c r="H950" s="76" t="s">
        <v>2511</v>
      </c>
      <c r="I950" s="96" t="s">
        <v>502</v>
      </c>
      <c r="J950" s="96"/>
      <c r="K950" s="76"/>
      <c r="L950" s="76"/>
      <c r="M950" s="76"/>
      <c r="N950" s="76"/>
      <c r="O950" s="76"/>
      <c r="P950" s="76"/>
      <c r="Q950" s="76"/>
      <c r="R950" s="76"/>
      <c r="S950" s="76"/>
      <c r="T950" s="76"/>
      <c r="U950" s="97">
        <v>0</v>
      </c>
      <c r="V950" s="255">
        <f t="shared" si="239"/>
        <v>0</v>
      </c>
      <c r="W950" s="255">
        <f t="shared" si="240"/>
        <v>0</v>
      </c>
      <c r="X950" s="255">
        <f t="shared" si="241"/>
        <v>0</v>
      </c>
      <c r="Y950" s="255">
        <f t="shared" si="242"/>
        <v>0</v>
      </c>
      <c r="Z950" s="255">
        <f t="shared" si="243"/>
        <v>0</v>
      </c>
      <c r="AA950" s="97">
        <f t="shared" ref="AA950:AA951" si="247">U950</f>
        <v>0</v>
      </c>
      <c r="AB950" s="255">
        <f t="shared" si="244"/>
        <v>0</v>
      </c>
      <c r="AC950" s="255">
        <f t="shared" si="245"/>
        <v>0</v>
      </c>
      <c r="AD950" s="255">
        <f t="shared" si="246"/>
        <v>0</v>
      </c>
      <c r="AE950" s="76"/>
      <c r="AF950" s="97" t="s">
        <v>3384</v>
      </c>
      <c r="AG950" s="76"/>
      <c r="AH950" s="97">
        <v>1</v>
      </c>
      <c r="AI950" s="97">
        <v>1</v>
      </c>
      <c r="AJ950" s="73"/>
      <c r="AK950" s="57"/>
      <c r="AL950" s="45"/>
      <c r="AM950" s="45"/>
      <c r="AN950" s="45"/>
    </row>
    <row r="951" spans="1:40" hidden="1" outlineLevel="2" x14ac:dyDescent="0.25">
      <c r="A951" s="45"/>
      <c r="B951" s="54"/>
      <c r="C951" s="47">
        <f t="shared" si="237"/>
        <v>3</v>
      </c>
      <c r="D951" s="73"/>
      <c r="E951" s="70"/>
      <c r="F951" s="70" t="s">
        <v>3391</v>
      </c>
      <c r="G951" s="73"/>
      <c r="H951" s="76" t="s">
        <v>2512</v>
      </c>
      <c r="I951" s="96" t="s">
        <v>502</v>
      </c>
      <c r="J951" s="96"/>
      <c r="K951" s="76"/>
      <c r="L951" s="76"/>
      <c r="M951" s="76"/>
      <c r="N951" s="76"/>
      <c r="O951" s="76"/>
      <c r="P951" s="76"/>
      <c r="Q951" s="76"/>
      <c r="R951" s="76"/>
      <c r="S951" s="76"/>
      <c r="T951" s="76"/>
      <c r="U951" s="97">
        <v>0.1779</v>
      </c>
      <c r="V951" s="255">
        <f t="shared" si="239"/>
        <v>0.1779</v>
      </c>
      <c r="W951" s="255">
        <f>U951</f>
        <v>0.1779</v>
      </c>
      <c r="X951" s="255">
        <f>V951</f>
        <v>0.1779</v>
      </c>
      <c r="Y951" s="255">
        <f>V951</f>
        <v>0.1779</v>
      </c>
      <c r="Z951" s="255">
        <f t="shared" si="243"/>
        <v>0.1779</v>
      </c>
      <c r="AA951" s="97">
        <f t="shared" si="247"/>
        <v>0.1779</v>
      </c>
      <c r="AB951" s="255">
        <f t="shared" si="244"/>
        <v>0.1779</v>
      </c>
      <c r="AC951" s="255">
        <f t="shared" si="245"/>
        <v>0.1779</v>
      </c>
      <c r="AD951" s="255">
        <f t="shared" si="246"/>
        <v>0.1779</v>
      </c>
      <c r="AE951" s="76"/>
      <c r="AF951" s="97"/>
      <c r="AG951" s="76"/>
      <c r="AH951" s="97">
        <v>1</v>
      </c>
      <c r="AI951" s="97">
        <v>1</v>
      </c>
      <c r="AJ951" s="73"/>
      <c r="AK951" s="57"/>
      <c r="AL951" s="45"/>
      <c r="AM951" s="45"/>
      <c r="AN951" s="45"/>
    </row>
    <row r="952" spans="1:40" hidden="1" outlineLevel="2" x14ac:dyDescent="0.25">
      <c r="A952" s="45"/>
      <c r="B952" s="54"/>
      <c r="C952" s="47">
        <f t="shared" si="237"/>
        <v>3</v>
      </c>
      <c r="D952" s="73"/>
      <c r="E952" s="70"/>
      <c r="F952" s="70" t="s">
        <v>3392</v>
      </c>
      <c r="G952" s="73"/>
      <c r="H952" s="76" t="s">
        <v>2513</v>
      </c>
      <c r="I952" s="96" t="s">
        <v>502</v>
      </c>
      <c r="J952" s="96"/>
      <c r="K952" s="76"/>
      <c r="L952" s="76"/>
      <c r="M952" s="76"/>
      <c r="N952" s="76"/>
      <c r="O952" s="76"/>
      <c r="P952" s="76"/>
      <c r="Q952" s="76"/>
      <c r="R952" s="76"/>
      <c r="S952" s="76"/>
      <c r="T952" s="76"/>
      <c r="U952" s="253">
        <f>U951</f>
        <v>0.1779</v>
      </c>
      <c r="V952" s="76">
        <f t="shared" si="239"/>
        <v>0.1779</v>
      </c>
      <c r="W952" s="76">
        <f>U952</f>
        <v>0.1779</v>
      </c>
      <c r="X952" s="76">
        <f>V952</f>
        <v>0.1779</v>
      </c>
      <c r="Y952" s="76">
        <f>V952</f>
        <v>0.1779</v>
      </c>
      <c r="Z952" s="76">
        <f t="shared" si="243"/>
        <v>0.1779</v>
      </c>
      <c r="AA952" s="253">
        <f>AA951</f>
        <v>0.1779</v>
      </c>
      <c r="AB952" s="76">
        <f t="shared" si="244"/>
        <v>0.1779</v>
      </c>
      <c r="AC952" s="76">
        <f t="shared" si="245"/>
        <v>0.1779</v>
      </c>
      <c r="AD952" s="76">
        <f t="shared" si="246"/>
        <v>0.1779</v>
      </c>
      <c r="AE952" s="76"/>
      <c r="AF952" s="264" t="s">
        <v>3366</v>
      </c>
      <c r="AG952" s="76"/>
      <c r="AH952" s="76">
        <v>1</v>
      </c>
      <c r="AI952" s="76">
        <v>1</v>
      </c>
      <c r="AJ952" s="73"/>
      <c r="AK952" s="57"/>
      <c r="AL952" s="45"/>
      <c r="AM952" s="45"/>
      <c r="AN952" s="45"/>
    </row>
    <row r="953" spans="1:40" hidden="1" outlineLevel="2" x14ac:dyDescent="0.25">
      <c r="A953" s="45"/>
      <c r="B953" s="54"/>
      <c r="C953" s="47">
        <f t="shared" si="237"/>
        <v>3</v>
      </c>
      <c r="D953" s="73"/>
      <c r="E953" s="70"/>
      <c r="F953" s="70" t="s">
        <v>3393</v>
      </c>
      <c r="G953" s="73"/>
      <c r="H953" s="76" t="s">
        <v>3750</v>
      </c>
      <c r="I953" s="96" t="s">
        <v>502</v>
      </c>
      <c r="J953" s="96"/>
      <c r="K953" s="76"/>
      <c r="L953" s="76"/>
      <c r="M953" s="76"/>
      <c r="N953" s="76"/>
      <c r="O953" s="76"/>
      <c r="P953" s="76"/>
      <c r="Q953" s="76"/>
      <c r="R953" s="76"/>
      <c r="S953" s="76"/>
      <c r="T953" s="76"/>
      <c r="U953" s="97">
        <v>0</v>
      </c>
      <c r="V953" s="255">
        <f t="shared" ref="V953:V968" si="248">U953</f>
        <v>0</v>
      </c>
      <c r="W953" s="255">
        <f t="shared" ref="W953:W954" si="249">U953</f>
        <v>0</v>
      </c>
      <c r="X953" s="255">
        <f t="shared" ref="X953:X954" si="250">V953</f>
        <v>0</v>
      </c>
      <c r="Y953" s="255">
        <f t="shared" ref="Y953:Y954" si="251">V953</f>
        <v>0</v>
      </c>
      <c r="Z953" s="255">
        <f t="shared" ref="Z953:Z968" si="252">AA953</f>
        <v>0</v>
      </c>
      <c r="AA953" s="97">
        <f>U953</f>
        <v>0</v>
      </c>
      <c r="AB953" s="255">
        <f t="shared" ref="AB953:AB968" si="253">AA953</f>
        <v>0</v>
      </c>
      <c r="AC953" s="255">
        <f t="shared" ref="AC953:AC968" si="254">AB953</f>
        <v>0</v>
      </c>
      <c r="AD953" s="255">
        <f t="shared" ref="AD953:AD968" si="255">AC953</f>
        <v>0</v>
      </c>
      <c r="AE953" s="76"/>
      <c r="AF953" s="97" t="s">
        <v>3367</v>
      </c>
      <c r="AG953" s="76"/>
      <c r="AH953" s="76">
        <v>1</v>
      </c>
      <c r="AI953" s="76">
        <v>1</v>
      </c>
      <c r="AJ953" s="73"/>
      <c r="AK953" s="57"/>
      <c r="AL953" s="45"/>
      <c r="AM953" s="45"/>
      <c r="AN953" s="45"/>
    </row>
    <row r="954" spans="1:40" hidden="1" outlineLevel="2" x14ac:dyDescent="0.25">
      <c r="A954" s="45"/>
      <c r="B954" s="54"/>
      <c r="C954" s="47">
        <f t="shared" si="237"/>
        <v>3</v>
      </c>
      <c r="D954" s="73"/>
      <c r="E954" s="70"/>
      <c r="F954" s="70" t="s">
        <v>3394</v>
      </c>
      <c r="G954" s="73"/>
      <c r="H954" s="76" t="s">
        <v>2511</v>
      </c>
      <c r="I954" s="96" t="s">
        <v>502</v>
      </c>
      <c r="J954" s="96"/>
      <c r="K954" s="76"/>
      <c r="L954" s="76"/>
      <c r="M954" s="76"/>
      <c r="N954" s="76"/>
      <c r="O954" s="76"/>
      <c r="P954" s="76"/>
      <c r="Q954" s="76"/>
      <c r="R954" s="76"/>
      <c r="S954" s="76"/>
      <c r="T954" s="76"/>
      <c r="U954" s="97">
        <v>0</v>
      </c>
      <c r="V954" s="255">
        <f t="shared" si="248"/>
        <v>0</v>
      </c>
      <c r="W954" s="255">
        <f t="shared" si="249"/>
        <v>0</v>
      </c>
      <c r="X954" s="255">
        <f t="shared" si="250"/>
        <v>0</v>
      </c>
      <c r="Y954" s="255">
        <f t="shared" si="251"/>
        <v>0</v>
      </c>
      <c r="Z954" s="255">
        <f t="shared" si="252"/>
        <v>0</v>
      </c>
      <c r="AA954" s="97">
        <f t="shared" ref="AA954:AA955" si="256">U954</f>
        <v>0</v>
      </c>
      <c r="AB954" s="255">
        <f t="shared" si="253"/>
        <v>0</v>
      </c>
      <c r="AC954" s="255">
        <f t="shared" si="254"/>
        <v>0</v>
      </c>
      <c r="AD954" s="255">
        <f t="shared" si="255"/>
        <v>0</v>
      </c>
      <c r="AE954" s="76"/>
      <c r="AF954" s="97" t="s">
        <v>3384</v>
      </c>
      <c r="AG954" s="76"/>
      <c r="AH954" s="97">
        <v>1</v>
      </c>
      <c r="AI954" s="97">
        <v>1</v>
      </c>
      <c r="AJ954" s="73"/>
      <c r="AK954" s="57"/>
      <c r="AL954" s="45"/>
      <c r="AM954" s="45"/>
      <c r="AN954" s="45"/>
    </row>
    <row r="955" spans="1:40" hidden="1" outlineLevel="2" x14ac:dyDescent="0.25">
      <c r="A955" s="45"/>
      <c r="B955" s="54"/>
      <c r="C955" s="47">
        <f t="shared" si="237"/>
        <v>3</v>
      </c>
      <c r="D955" s="73"/>
      <c r="E955" s="70"/>
      <c r="F955" s="70" t="s">
        <v>3395</v>
      </c>
      <c r="G955" s="73"/>
      <c r="H955" s="76" t="s">
        <v>2512</v>
      </c>
      <c r="I955" s="96" t="s">
        <v>502</v>
      </c>
      <c r="J955" s="96"/>
      <c r="K955" s="76"/>
      <c r="L955" s="76"/>
      <c r="M955" s="76"/>
      <c r="N955" s="76"/>
      <c r="O955" s="76"/>
      <c r="P955" s="76"/>
      <c r="Q955" s="76"/>
      <c r="R955" s="76"/>
      <c r="S955" s="76"/>
      <c r="T955" s="76"/>
      <c r="U955" s="97">
        <v>-1.312E-3</v>
      </c>
      <c r="V955" s="255">
        <f t="shared" si="248"/>
        <v>-1.312E-3</v>
      </c>
      <c r="W955" s="255">
        <f>U955</f>
        <v>-1.312E-3</v>
      </c>
      <c r="X955" s="255">
        <f>V955</f>
        <v>-1.312E-3</v>
      </c>
      <c r="Y955" s="255">
        <f>V955</f>
        <v>-1.312E-3</v>
      </c>
      <c r="Z955" s="255">
        <f t="shared" si="252"/>
        <v>-1.312E-3</v>
      </c>
      <c r="AA955" s="97">
        <f t="shared" si="256"/>
        <v>-1.312E-3</v>
      </c>
      <c r="AB955" s="255">
        <f t="shared" si="253"/>
        <v>-1.312E-3</v>
      </c>
      <c r="AC955" s="255">
        <f t="shared" si="254"/>
        <v>-1.312E-3</v>
      </c>
      <c r="AD955" s="255">
        <f t="shared" si="255"/>
        <v>-1.312E-3</v>
      </c>
      <c r="AE955" s="76"/>
      <c r="AF955" s="97"/>
      <c r="AG955" s="76"/>
      <c r="AH955" s="97">
        <v>1</v>
      </c>
      <c r="AI955" s="97">
        <v>1</v>
      </c>
      <c r="AJ955" s="73"/>
      <c r="AK955" s="57"/>
      <c r="AL955" s="45"/>
      <c r="AM955" s="45"/>
      <c r="AN955" s="45"/>
    </row>
    <row r="956" spans="1:40" hidden="1" outlineLevel="2" x14ac:dyDescent="0.25">
      <c r="A956" s="45"/>
      <c r="B956" s="54"/>
      <c r="C956" s="47">
        <f t="shared" si="237"/>
        <v>3</v>
      </c>
      <c r="D956" s="73"/>
      <c r="E956" s="70"/>
      <c r="F956" s="70" t="s">
        <v>3396</v>
      </c>
      <c r="G956" s="73"/>
      <c r="H956" s="76" t="s">
        <v>2513</v>
      </c>
      <c r="I956" s="96" t="s">
        <v>502</v>
      </c>
      <c r="J956" s="96"/>
      <c r="K956" s="76"/>
      <c r="L956" s="76"/>
      <c r="M956" s="76"/>
      <c r="N956" s="76"/>
      <c r="O956" s="76"/>
      <c r="P956" s="76"/>
      <c r="Q956" s="76"/>
      <c r="R956" s="76"/>
      <c r="S956" s="76"/>
      <c r="T956" s="76"/>
      <c r="U956" s="253">
        <f>U955</f>
        <v>-1.312E-3</v>
      </c>
      <c r="V956" s="76">
        <f t="shared" si="248"/>
        <v>-1.312E-3</v>
      </c>
      <c r="W956" s="76">
        <f>U956</f>
        <v>-1.312E-3</v>
      </c>
      <c r="X956" s="76">
        <f>V956</f>
        <v>-1.312E-3</v>
      </c>
      <c r="Y956" s="76">
        <f>V956</f>
        <v>-1.312E-3</v>
      </c>
      <c r="Z956" s="76">
        <f t="shared" si="252"/>
        <v>-1.312E-3</v>
      </c>
      <c r="AA956" s="253">
        <f>AA955</f>
        <v>-1.312E-3</v>
      </c>
      <c r="AB956" s="76">
        <f t="shared" si="253"/>
        <v>-1.312E-3</v>
      </c>
      <c r="AC956" s="76">
        <f t="shared" si="254"/>
        <v>-1.312E-3</v>
      </c>
      <c r="AD956" s="76">
        <f t="shared" si="255"/>
        <v>-1.312E-3</v>
      </c>
      <c r="AE956" s="76"/>
      <c r="AF956" s="264" t="s">
        <v>3366</v>
      </c>
      <c r="AG956" s="76"/>
      <c r="AH956" s="76">
        <v>1</v>
      </c>
      <c r="AI956" s="76">
        <v>1</v>
      </c>
      <c r="AJ956" s="73"/>
      <c r="AK956" s="57"/>
      <c r="AL956" s="45"/>
      <c r="AM956" s="45"/>
      <c r="AN956" s="45"/>
    </row>
    <row r="957" spans="1:40" hidden="1" outlineLevel="2" x14ac:dyDescent="0.25">
      <c r="A957" s="45"/>
      <c r="B957" s="54"/>
      <c r="C957" s="47">
        <f t="shared" si="237"/>
        <v>3</v>
      </c>
      <c r="D957" s="73"/>
      <c r="E957" s="70"/>
      <c r="F957" s="70" t="s">
        <v>3397</v>
      </c>
      <c r="G957" s="73"/>
      <c r="H957" s="76" t="s">
        <v>3751</v>
      </c>
      <c r="I957" s="96" t="s">
        <v>502</v>
      </c>
      <c r="J957" s="96"/>
      <c r="K957" s="76"/>
      <c r="L957" s="76"/>
      <c r="M957" s="76"/>
      <c r="N957" s="76"/>
      <c r="O957" s="76"/>
      <c r="P957" s="76"/>
      <c r="Q957" s="76"/>
      <c r="R957" s="76"/>
      <c r="S957" s="76"/>
      <c r="T957" s="76"/>
      <c r="U957" s="97">
        <v>0</v>
      </c>
      <c r="V957" s="255">
        <f t="shared" si="248"/>
        <v>0</v>
      </c>
      <c r="W957" s="255">
        <f t="shared" ref="W957:W958" si="257">U957</f>
        <v>0</v>
      </c>
      <c r="X957" s="255">
        <f t="shared" ref="X957:X958" si="258">V957</f>
        <v>0</v>
      </c>
      <c r="Y957" s="255">
        <f t="shared" ref="Y957:Y958" si="259">V957</f>
        <v>0</v>
      </c>
      <c r="Z957" s="255">
        <f t="shared" si="252"/>
        <v>0</v>
      </c>
      <c r="AA957" s="97">
        <f>U957</f>
        <v>0</v>
      </c>
      <c r="AB957" s="255">
        <f t="shared" si="253"/>
        <v>0</v>
      </c>
      <c r="AC957" s="255">
        <f t="shared" si="254"/>
        <v>0</v>
      </c>
      <c r="AD957" s="255">
        <f t="shared" si="255"/>
        <v>0</v>
      </c>
      <c r="AE957" s="76"/>
      <c r="AF957" s="97" t="s">
        <v>3367</v>
      </c>
      <c r="AG957" s="76"/>
      <c r="AH957" s="76">
        <v>1</v>
      </c>
      <c r="AI957" s="76">
        <v>1</v>
      </c>
      <c r="AJ957" s="73"/>
      <c r="AK957" s="57"/>
      <c r="AL957" s="45"/>
      <c r="AM957" s="45"/>
      <c r="AN957" s="45"/>
    </row>
    <row r="958" spans="1:40" hidden="1" outlineLevel="2" x14ac:dyDescent="0.25">
      <c r="A958" s="45"/>
      <c r="B958" s="54"/>
      <c r="C958" s="47">
        <f t="shared" si="237"/>
        <v>3</v>
      </c>
      <c r="D958" s="73"/>
      <c r="E958" s="70"/>
      <c r="F958" s="70" t="s">
        <v>3398</v>
      </c>
      <c r="G958" s="73"/>
      <c r="H958" s="76" t="s">
        <v>2511</v>
      </c>
      <c r="I958" s="96" t="s">
        <v>502</v>
      </c>
      <c r="J958" s="96"/>
      <c r="K958" s="76"/>
      <c r="L958" s="76"/>
      <c r="M958" s="76"/>
      <c r="N958" s="76"/>
      <c r="O958" s="76"/>
      <c r="P958" s="76"/>
      <c r="Q958" s="76"/>
      <c r="R958" s="76"/>
      <c r="S958" s="76"/>
      <c r="T958" s="76"/>
      <c r="U958" s="97">
        <v>0</v>
      </c>
      <c r="V958" s="255">
        <f t="shared" si="248"/>
        <v>0</v>
      </c>
      <c r="W958" s="255">
        <f t="shared" si="257"/>
        <v>0</v>
      </c>
      <c r="X958" s="255">
        <f t="shared" si="258"/>
        <v>0</v>
      </c>
      <c r="Y958" s="255">
        <f t="shared" si="259"/>
        <v>0</v>
      </c>
      <c r="Z958" s="255">
        <f t="shared" si="252"/>
        <v>0</v>
      </c>
      <c r="AA958" s="97">
        <f t="shared" ref="AA958:AA959" si="260">U958</f>
        <v>0</v>
      </c>
      <c r="AB958" s="255">
        <f t="shared" si="253"/>
        <v>0</v>
      </c>
      <c r="AC958" s="255">
        <f t="shared" si="254"/>
        <v>0</v>
      </c>
      <c r="AD958" s="255">
        <f t="shared" si="255"/>
        <v>0</v>
      </c>
      <c r="AE958" s="76"/>
      <c r="AF958" s="97" t="s">
        <v>3384</v>
      </c>
      <c r="AG958" s="76"/>
      <c r="AH958" s="97">
        <v>1</v>
      </c>
      <c r="AI958" s="97">
        <v>1</v>
      </c>
      <c r="AJ958" s="73"/>
      <c r="AK958" s="57"/>
      <c r="AL958" s="45"/>
      <c r="AM958" s="45"/>
      <c r="AN958" s="45"/>
    </row>
    <row r="959" spans="1:40" hidden="1" outlineLevel="2" x14ac:dyDescent="0.25">
      <c r="A959" s="45"/>
      <c r="B959" s="54"/>
      <c r="C959" s="47">
        <f t="shared" si="237"/>
        <v>3</v>
      </c>
      <c r="D959" s="73"/>
      <c r="E959" s="70"/>
      <c r="F959" s="70" t="s">
        <v>3399</v>
      </c>
      <c r="G959" s="73"/>
      <c r="H959" s="76" t="s">
        <v>2512</v>
      </c>
      <c r="I959" s="96" t="s">
        <v>502</v>
      </c>
      <c r="J959" s="96"/>
      <c r="K959" s="76"/>
      <c r="L959" s="76"/>
      <c r="M959" s="76"/>
      <c r="N959" s="76"/>
      <c r="O959" s="76"/>
      <c r="P959" s="76"/>
      <c r="Q959" s="76"/>
      <c r="R959" s="76"/>
      <c r="S959" s="76"/>
      <c r="T959" s="76"/>
      <c r="U959" s="97">
        <v>-5.5010000000000003E-2</v>
      </c>
      <c r="V959" s="255">
        <f t="shared" si="248"/>
        <v>-5.5010000000000003E-2</v>
      </c>
      <c r="W959" s="255">
        <f>U959</f>
        <v>-5.5010000000000003E-2</v>
      </c>
      <c r="X959" s="255">
        <f>V959</f>
        <v>-5.5010000000000003E-2</v>
      </c>
      <c r="Y959" s="255">
        <f>V959</f>
        <v>-5.5010000000000003E-2</v>
      </c>
      <c r="Z959" s="255">
        <f t="shared" si="252"/>
        <v>-5.5010000000000003E-2</v>
      </c>
      <c r="AA959" s="97">
        <f t="shared" si="260"/>
        <v>-5.5010000000000003E-2</v>
      </c>
      <c r="AB959" s="255">
        <f t="shared" si="253"/>
        <v>-5.5010000000000003E-2</v>
      </c>
      <c r="AC959" s="255">
        <f t="shared" si="254"/>
        <v>-5.5010000000000003E-2</v>
      </c>
      <c r="AD959" s="255">
        <f t="shared" si="255"/>
        <v>-5.5010000000000003E-2</v>
      </c>
      <c r="AE959" s="76"/>
      <c r="AF959" s="97"/>
      <c r="AG959" s="76"/>
      <c r="AH959" s="97">
        <v>1</v>
      </c>
      <c r="AI959" s="97">
        <v>1</v>
      </c>
      <c r="AJ959" s="73"/>
      <c r="AK959" s="57"/>
      <c r="AL959" s="45"/>
      <c r="AM959" s="45"/>
      <c r="AN959" s="45"/>
    </row>
    <row r="960" spans="1:40" hidden="1" outlineLevel="2" x14ac:dyDescent="0.25">
      <c r="A960" s="45"/>
      <c r="B960" s="54"/>
      <c r="C960" s="47">
        <f t="shared" si="237"/>
        <v>3</v>
      </c>
      <c r="D960" s="73"/>
      <c r="E960" s="70"/>
      <c r="F960" s="70" t="s">
        <v>3400</v>
      </c>
      <c r="G960" s="73"/>
      <c r="H960" s="76" t="s">
        <v>2513</v>
      </c>
      <c r="I960" s="96" t="s">
        <v>502</v>
      </c>
      <c r="J960" s="96"/>
      <c r="K960" s="76"/>
      <c r="L960" s="76"/>
      <c r="M960" s="76"/>
      <c r="N960" s="76"/>
      <c r="O960" s="76"/>
      <c r="P960" s="76"/>
      <c r="Q960" s="76"/>
      <c r="R960" s="76"/>
      <c r="S960" s="76"/>
      <c r="T960" s="76"/>
      <c r="U960" s="253">
        <f>U959</f>
        <v>-5.5010000000000003E-2</v>
      </c>
      <c r="V960" s="76">
        <f t="shared" si="248"/>
        <v>-5.5010000000000003E-2</v>
      </c>
      <c r="W960" s="76">
        <f>U960</f>
        <v>-5.5010000000000003E-2</v>
      </c>
      <c r="X960" s="76">
        <f>V960</f>
        <v>-5.5010000000000003E-2</v>
      </c>
      <c r="Y960" s="76">
        <f>V960</f>
        <v>-5.5010000000000003E-2</v>
      </c>
      <c r="Z960" s="76">
        <f t="shared" si="252"/>
        <v>-5.5010000000000003E-2</v>
      </c>
      <c r="AA960" s="253">
        <f>AA959</f>
        <v>-5.5010000000000003E-2</v>
      </c>
      <c r="AB960" s="76">
        <f t="shared" si="253"/>
        <v>-5.5010000000000003E-2</v>
      </c>
      <c r="AC960" s="76">
        <f t="shared" si="254"/>
        <v>-5.5010000000000003E-2</v>
      </c>
      <c r="AD960" s="76">
        <f t="shared" si="255"/>
        <v>-5.5010000000000003E-2</v>
      </c>
      <c r="AE960" s="76"/>
      <c r="AF960" s="264" t="s">
        <v>3366</v>
      </c>
      <c r="AG960" s="76"/>
      <c r="AH960" s="76">
        <v>1</v>
      </c>
      <c r="AI960" s="76">
        <v>1</v>
      </c>
      <c r="AJ960" s="73"/>
      <c r="AK960" s="57"/>
      <c r="AL960" s="45"/>
      <c r="AM960" s="45"/>
      <c r="AN960" s="45"/>
    </row>
    <row r="961" spans="1:40" hidden="1" outlineLevel="2" x14ac:dyDescent="0.25">
      <c r="A961" s="45"/>
      <c r="B961" s="54"/>
      <c r="C961" s="47">
        <f t="shared" si="237"/>
        <v>3</v>
      </c>
      <c r="D961" s="73"/>
      <c r="E961" s="70"/>
      <c r="F961" s="70" t="s">
        <v>3401</v>
      </c>
      <c r="G961" s="73"/>
      <c r="H961" s="76" t="s">
        <v>3752</v>
      </c>
      <c r="I961" s="96" t="s">
        <v>502</v>
      </c>
      <c r="J961" s="96"/>
      <c r="K961" s="76"/>
      <c r="L961" s="76"/>
      <c r="M961" s="76"/>
      <c r="N961" s="76"/>
      <c r="O961" s="76"/>
      <c r="P961" s="76"/>
      <c r="Q961" s="76"/>
      <c r="R961" s="76"/>
      <c r="S961" s="76"/>
      <c r="T961" s="76"/>
      <c r="U961" s="97">
        <v>0</v>
      </c>
      <c r="V961" s="255">
        <f t="shared" ref="V961:V964" si="261">U961</f>
        <v>0</v>
      </c>
      <c r="W961" s="255">
        <f t="shared" ref="W961:W962" si="262">U961</f>
        <v>0</v>
      </c>
      <c r="X961" s="255">
        <f t="shared" ref="X961:X962" si="263">V961</f>
        <v>0</v>
      </c>
      <c r="Y961" s="255">
        <f t="shared" ref="Y961:Y962" si="264">V961</f>
        <v>0</v>
      </c>
      <c r="Z961" s="255">
        <f t="shared" ref="Z961:Z964" si="265">AA961</f>
        <v>0</v>
      </c>
      <c r="AA961" s="97">
        <f>U961</f>
        <v>0</v>
      </c>
      <c r="AB961" s="255">
        <f t="shared" ref="AB961:AB964" si="266">AA961</f>
        <v>0</v>
      </c>
      <c r="AC961" s="255">
        <f t="shared" ref="AC961:AC964" si="267">AB961</f>
        <v>0</v>
      </c>
      <c r="AD961" s="255">
        <f t="shared" ref="AD961:AD964" si="268">AC961</f>
        <v>0</v>
      </c>
      <c r="AE961" s="76"/>
      <c r="AF961" s="97" t="s">
        <v>3367</v>
      </c>
      <c r="AG961" s="76"/>
      <c r="AH961" s="76">
        <v>1</v>
      </c>
      <c r="AI961" s="76">
        <v>1</v>
      </c>
      <c r="AJ961" s="73"/>
      <c r="AK961" s="57"/>
      <c r="AL961" s="45"/>
      <c r="AM961" s="45"/>
      <c r="AN961" s="45"/>
    </row>
    <row r="962" spans="1:40" hidden="1" outlineLevel="2" x14ac:dyDescent="0.25">
      <c r="A962" s="45"/>
      <c r="B962" s="54"/>
      <c r="C962" s="47">
        <f t="shared" si="237"/>
        <v>3</v>
      </c>
      <c r="D962" s="73"/>
      <c r="E962" s="70"/>
      <c r="F962" s="70" t="s">
        <v>3402</v>
      </c>
      <c r="G962" s="73"/>
      <c r="H962" s="76" t="s">
        <v>2511</v>
      </c>
      <c r="I962" s="96" t="s">
        <v>502</v>
      </c>
      <c r="J962" s="96"/>
      <c r="K962" s="76"/>
      <c r="L962" s="76"/>
      <c r="M962" s="76"/>
      <c r="N962" s="76"/>
      <c r="O962" s="76"/>
      <c r="P962" s="76"/>
      <c r="Q962" s="76"/>
      <c r="R962" s="76"/>
      <c r="S962" s="76"/>
      <c r="T962" s="76"/>
      <c r="U962" s="97">
        <v>0</v>
      </c>
      <c r="V962" s="255">
        <f t="shared" si="261"/>
        <v>0</v>
      </c>
      <c r="W962" s="255">
        <f t="shared" si="262"/>
        <v>0</v>
      </c>
      <c r="X962" s="255">
        <f t="shared" si="263"/>
        <v>0</v>
      </c>
      <c r="Y962" s="255">
        <f t="shared" si="264"/>
        <v>0</v>
      </c>
      <c r="Z962" s="255">
        <f t="shared" si="265"/>
        <v>0</v>
      </c>
      <c r="AA962" s="97">
        <f t="shared" ref="AA962:AA963" si="269">U962</f>
        <v>0</v>
      </c>
      <c r="AB962" s="255">
        <f t="shared" si="266"/>
        <v>0</v>
      </c>
      <c r="AC962" s="255">
        <f t="shared" si="267"/>
        <v>0</v>
      </c>
      <c r="AD962" s="255">
        <f t="shared" si="268"/>
        <v>0</v>
      </c>
      <c r="AE962" s="76"/>
      <c r="AF962" s="97" t="s">
        <v>3384</v>
      </c>
      <c r="AG962" s="76"/>
      <c r="AH962" s="97">
        <v>1</v>
      </c>
      <c r="AI962" s="97">
        <v>1</v>
      </c>
      <c r="AJ962" s="73"/>
      <c r="AK962" s="57"/>
      <c r="AL962" s="45"/>
      <c r="AM962" s="45"/>
      <c r="AN962" s="45"/>
    </row>
    <row r="963" spans="1:40" hidden="1" outlineLevel="2" x14ac:dyDescent="0.25">
      <c r="A963" s="45"/>
      <c r="B963" s="54"/>
      <c r="C963" s="47">
        <f t="shared" si="237"/>
        <v>3</v>
      </c>
      <c r="D963" s="73"/>
      <c r="E963" s="70"/>
      <c r="F963" s="70" t="s">
        <v>3403</v>
      </c>
      <c r="G963" s="73"/>
      <c r="H963" s="76" t="s">
        <v>2512</v>
      </c>
      <c r="I963" s="96" t="s">
        <v>502</v>
      </c>
      <c r="J963" s="96"/>
      <c r="K963" s="76"/>
      <c r="L963" s="76"/>
      <c r="M963" s="76"/>
      <c r="N963" s="76"/>
      <c r="O963" s="76"/>
      <c r="P963" s="76"/>
      <c r="Q963" s="76"/>
      <c r="R963" s="76"/>
      <c r="S963" s="76"/>
      <c r="T963" s="76"/>
      <c r="U963" s="97">
        <v>0</v>
      </c>
      <c r="V963" s="255">
        <f t="shared" si="261"/>
        <v>0</v>
      </c>
      <c r="W963" s="255">
        <f>U963</f>
        <v>0</v>
      </c>
      <c r="X963" s="255">
        <f>V963</f>
        <v>0</v>
      </c>
      <c r="Y963" s="255">
        <f>V963</f>
        <v>0</v>
      </c>
      <c r="Z963" s="255">
        <f t="shared" si="265"/>
        <v>0</v>
      </c>
      <c r="AA963" s="97">
        <f t="shared" si="269"/>
        <v>0</v>
      </c>
      <c r="AB963" s="255">
        <f t="shared" si="266"/>
        <v>0</v>
      </c>
      <c r="AC963" s="255">
        <f t="shared" si="267"/>
        <v>0</v>
      </c>
      <c r="AD963" s="255">
        <f t="shared" si="268"/>
        <v>0</v>
      </c>
      <c r="AE963" s="76"/>
      <c r="AF963" s="97"/>
      <c r="AG963" s="76"/>
      <c r="AH963" s="97">
        <v>1</v>
      </c>
      <c r="AI963" s="97">
        <v>1</v>
      </c>
      <c r="AJ963" s="73"/>
      <c r="AK963" s="57"/>
      <c r="AL963" s="45"/>
      <c r="AM963" s="45"/>
      <c r="AN963" s="45"/>
    </row>
    <row r="964" spans="1:40" hidden="1" outlineLevel="2" x14ac:dyDescent="0.25">
      <c r="A964" s="45"/>
      <c r="B964" s="54"/>
      <c r="C964" s="47">
        <f t="shared" si="237"/>
        <v>3</v>
      </c>
      <c r="D964" s="73"/>
      <c r="E964" s="70"/>
      <c r="F964" s="70" t="s">
        <v>3404</v>
      </c>
      <c r="G964" s="73"/>
      <c r="H964" s="76" t="s">
        <v>2513</v>
      </c>
      <c r="I964" s="96" t="s">
        <v>502</v>
      </c>
      <c r="J964" s="96"/>
      <c r="K964" s="76"/>
      <c r="L964" s="76"/>
      <c r="M964" s="76"/>
      <c r="N964" s="76"/>
      <c r="O964" s="76"/>
      <c r="P964" s="76"/>
      <c r="Q964" s="76"/>
      <c r="R964" s="76"/>
      <c r="S964" s="76"/>
      <c r="T964" s="76"/>
      <c r="U964" s="253">
        <f>U963</f>
        <v>0</v>
      </c>
      <c r="V964" s="76">
        <f t="shared" si="261"/>
        <v>0</v>
      </c>
      <c r="W964" s="76">
        <f>U964</f>
        <v>0</v>
      </c>
      <c r="X964" s="76">
        <f>V964</f>
        <v>0</v>
      </c>
      <c r="Y964" s="76">
        <f>V964</f>
        <v>0</v>
      </c>
      <c r="Z964" s="76">
        <f t="shared" si="265"/>
        <v>0</v>
      </c>
      <c r="AA964" s="253">
        <f>AA963</f>
        <v>0</v>
      </c>
      <c r="AB964" s="76">
        <f t="shared" si="266"/>
        <v>0</v>
      </c>
      <c r="AC964" s="76">
        <f t="shared" si="267"/>
        <v>0</v>
      </c>
      <c r="AD964" s="76">
        <f t="shared" si="268"/>
        <v>0</v>
      </c>
      <c r="AE964" s="76"/>
      <c r="AF964" s="264" t="s">
        <v>3366</v>
      </c>
      <c r="AG964" s="76"/>
      <c r="AH964" s="76">
        <v>1</v>
      </c>
      <c r="AI964" s="76">
        <v>1</v>
      </c>
      <c r="AJ964" s="73"/>
      <c r="AK964" s="57"/>
      <c r="AL964" s="45"/>
      <c r="AM964" s="45"/>
      <c r="AN964" s="45"/>
    </row>
    <row r="965" spans="1:40" hidden="1" outlineLevel="2" x14ac:dyDescent="0.25">
      <c r="A965" s="45"/>
      <c r="B965" s="54"/>
      <c r="C965" s="47">
        <f t="shared" si="237"/>
        <v>3</v>
      </c>
      <c r="D965" s="73"/>
      <c r="E965" s="70"/>
      <c r="F965" s="70" t="s">
        <v>3405</v>
      </c>
      <c r="G965" s="73"/>
      <c r="H965" s="76" t="s">
        <v>3753</v>
      </c>
      <c r="I965" s="96" t="s">
        <v>502</v>
      </c>
      <c r="J965" s="96"/>
      <c r="K965" s="76"/>
      <c r="L965" s="76"/>
      <c r="M965" s="76"/>
      <c r="N965" s="76"/>
      <c r="O965" s="76"/>
      <c r="P965" s="76"/>
      <c r="Q965" s="76"/>
      <c r="R965" s="76"/>
      <c r="S965" s="76"/>
      <c r="T965" s="76"/>
      <c r="U965" s="97">
        <v>0</v>
      </c>
      <c r="V965" s="255">
        <f t="shared" si="248"/>
        <v>0</v>
      </c>
      <c r="W965" s="255">
        <f t="shared" ref="W965:W966" si="270">U965</f>
        <v>0</v>
      </c>
      <c r="X965" s="255">
        <f t="shared" ref="X965:X966" si="271">V965</f>
        <v>0</v>
      </c>
      <c r="Y965" s="255">
        <f t="shared" ref="Y965:Y966" si="272">V965</f>
        <v>0</v>
      </c>
      <c r="Z965" s="255">
        <f t="shared" si="252"/>
        <v>0</v>
      </c>
      <c r="AA965" s="97">
        <f>U965</f>
        <v>0</v>
      </c>
      <c r="AB965" s="255">
        <f t="shared" si="253"/>
        <v>0</v>
      </c>
      <c r="AC965" s="255">
        <f t="shared" si="254"/>
        <v>0</v>
      </c>
      <c r="AD965" s="255">
        <f t="shared" si="255"/>
        <v>0</v>
      </c>
      <c r="AE965" s="76"/>
      <c r="AF965" s="97" t="s">
        <v>3367</v>
      </c>
      <c r="AG965" s="76"/>
      <c r="AH965" s="76">
        <v>1</v>
      </c>
      <c r="AI965" s="76">
        <v>1</v>
      </c>
      <c r="AJ965" s="73"/>
      <c r="AK965" s="57"/>
      <c r="AL965" s="45"/>
      <c r="AM965" s="45"/>
      <c r="AN965" s="45"/>
    </row>
    <row r="966" spans="1:40" hidden="1" outlineLevel="2" x14ac:dyDescent="0.25">
      <c r="A966" s="45"/>
      <c r="B966" s="54"/>
      <c r="C966" s="47">
        <f t="shared" si="237"/>
        <v>3</v>
      </c>
      <c r="D966" s="73"/>
      <c r="E966" s="70"/>
      <c r="F966" s="70" t="s">
        <v>3406</v>
      </c>
      <c r="G966" s="73"/>
      <c r="H966" s="76" t="s">
        <v>2511</v>
      </c>
      <c r="I966" s="96" t="s">
        <v>502</v>
      </c>
      <c r="J966" s="96"/>
      <c r="K966" s="76"/>
      <c r="L966" s="76"/>
      <c r="M966" s="76"/>
      <c r="N966" s="76"/>
      <c r="O966" s="76"/>
      <c r="P966" s="76"/>
      <c r="Q966" s="76"/>
      <c r="R966" s="76"/>
      <c r="S966" s="76"/>
      <c r="T966" s="76"/>
      <c r="U966" s="97">
        <v>0</v>
      </c>
      <c r="V966" s="255">
        <f t="shared" si="248"/>
        <v>0</v>
      </c>
      <c r="W966" s="255">
        <f t="shared" si="270"/>
        <v>0</v>
      </c>
      <c r="X966" s="255">
        <f t="shared" si="271"/>
        <v>0</v>
      </c>
      <c r="Y966" s="255">
        <f t="shared" si="272"/>
        <v>0</v>
      </c>
      <c r="Z966" s="255">
        <f t="shared" si="252"/>
        <v>0</v>
      </c>
      <c r="AA966" s="97">
        <f t="shared" ref="AA966:AA967" si="273">U966</f>
        <v>0</v>
      </c>
      <c r="AB966" s="255">
        <f t="shared" si="253"/>
        <v>0</v>
      </c>
      <c r="AC966" s="255">
        <f t="shared" si="254"/>
        <v>0</v>
      </c>
      <c r="AD966" s="255">
        <f t="shared" si="255"/>
        <v>0</v>
      </c>
      <c r="AE966" s="76"/>
      <c r="AF966" s="97" t="s">
        <v>3384</v>
      </c>
      <c r="AG966" s="76"/>
      <c r="AH966" s="97">
        <v>1</v>
      </c>
      <c r="AI966" s="97">
        <v>1</v>
      </c>
      <c r="AJ966" s="73"/>
      <c r="AK966" s="57"/>
      <c r="AL966" s="45"/>
      <c r="AM966" s="45"/>
      <c r="AN966" s="45"/>
    </row>
    <row r="967" spans="1:40" hidden="1" outlineLevel="2" x14ac:dyDescent="0.25">
      <c r="A967" s="45"/>
      <c r="B967" s="54"/>
      <c r="C967" s="47">
        <f t="shared" si="237"/>
        <v>3</v>
      </c>
      <c r="D967" s="73"/>
      <c r="E967" s="70"/>
      <c r="F967" s="70" t="s">
        <v>3407</v>
      </c>
      <c r="G967" s="73"/>
      <c r="H967" s="76" t="s">
        <v>2512</v>
      </c>
      <c r="I967" s="96" t="s">
        <v>502</v>
      </c>
      <c r="J967" s="96"/>
      <c r="K967" s="76"/>
      <c r="L967" s="76"/>
      <c r="M967" s="76"/>
      <c r="N967" s="76"/>
      <c r="O967" s="76"/>
      <c r="P967" s="76"/>
      <c r="Q967" s="76"/>
      <c r="R967" s="76"/>
      <c r="S967" s="76"/>
      <c r="T967" s="76"/>
      <c r="U967" s="97">
        <v>9.2600000000000002E-2</v>
      </c>
      <c r="V967" s="255">
        <f t="shared" si="248"/>
        <v>9.2600000000000002E-2</v>
      </c>
      <c r="W967" s="255">
        <f>U967</f>
        <v>9.2600000000000002E-2</v>
      </c>
      <c r="X967" s="255">
        <f>V967</f>
        <v>9.2600000000000002E-2</v>
      </c>
      <c r="Y967" s="255">
        <f>V967</f>
        <v>9.2600000000000002E-2</v>
      </c>
      <c r="Z967" s="255">
        <f t="shared" si="252"/>
        <v>9.2600000000000002E-2</v>
      </c>
      <c r="AA967" s="97">
        <f t="shared" si="273"/>
        <v>9.2600000000000002E-2</v>
      </c>
      <c r="AB967" s="255">
        <f t="shared" si="253"/>
        <v>9.2600000000000002E-2</v>
      </c>
      <c r="AC967" s="255">
        <f t="shared" si="254"/>
        <v>9.2600000000000002E-2</v>
      </c>
      <c r="AD967" s="255">
        <f t="shared" si="255"/>
        <v>9.2600000000000002E-2</v>
      </c>
      <c r="AE967" s="76"/>
      <c r="AF967" s="97"/>
      <c r="AG967" s="76"/>
      <c r="AH967" s="97">
        <v>1</v>
      </c>
      <c r="AI967" s="97">
        <v>1</v>
      </c>
      <c r="AJ967" s="73"/>
      <c r="AK967" s="57"/>
      <c r="AL967" s="45"/>
      <c r="AM967" s="45"/>
      <c r="AN967" s="45"/>
    </row>
    <row r="968" spans="1:40" hidden="1" outlineLevel="2" x14ac:dyDescent="0.25">
      <c r="A968" s="45"/>
      <c r="B968" s="54"/>
      <c r="C968" s="47">
        <f t="shared" si="237"/>
        <v>3</v>
      </c>
      <c r="D968" s="73"/>
      <c r="E968" s="70"/>
      <c r="F968" s="70" t="s">
        <v>3408</v>
      </c>
      <c r="G968" s="73"/>
      <c r="H968" s="76" t="s">
        <v>2513</v>
      </c>
      <c r="I968" s="96" t="s">
        <v>502</v>
      </c>
      <c r="J968" s="96"/>
      <c r="K968" s="76"/>
      <c r="L968" s="76"/>
      <c r="M968" s="76"/>
      <c r="N968" s="76"/>
      <c r="O968" s="76"/>
      <c r="P968" s="76"/>
      <c r="Q968" s="76"/>
      <c r="R968" s="76"/>
      <c r="S968" s="76"/>
      <c r="T968" s="76"/>
      <c r="U968" s="253">
        <f>U967</f>
        <v>9.2600000000000002E-2</v>
      </c>
      <c r="V968" s="76">
        <f t="shared" si="248"/>
        <v>9.2600000000000002E-2</v>
      </c>
      <c r="W968" s="76">
        <f>U968</f>
        <v>9.2600000000000002E-2</v>
      </c>
      <c r="X968" s="76">
        <f>V968</f>
        <v>9.2600000000000002E-2</v>
      </c>
      <c r="Y968" s="76">
        <f>V968</f>
        <v>9.2600000000000002E-2</v>
      </c>
      <c r="Z968" s="76">
        <f t="shared" si="252"/>
        <v>9.2600000000000002E-2</v>
      </c>
      <c r="AA968" s="253">
        <f>AA967</f>
        <v>9.2600000000000002E-2</v>
      </c>
      <c r="AB968" s="76">
        <f t="shared" si="253"/>
        <v>9.2600000000000002E-2</v>
      </c>
      <c r="AC968" s="76">
        <f t="shared" si="254"/>
        <v>9.2600000000000002E-2</v>
      </c>
      <c r="AD968" s="76">
        <f t="shared" si="255"/>
        <v>9.2600000000000002E-2</v>
      </c>
      <c r="AE968" s="76"/>
      <c r="AF968" s="264" t="s">
        <v>3366</v>
      </c>
      <c r="AG968" s="76"/>
      <c r="AH968" s="76">
        <v>1</v>
      </c>
      <c r="AI968" s="76">
        <v>1</v>
      </c>
      <c r="AJ968" s="73"/>
      <c r="AK968" s="57"/>
      <c r="AL968" s="45"/>
      <c r="AM968" s="45"/>
      <c r="AN968" s="45"/>
    </row>
    <row r="969" spans="1:40" hidden="1" outlineLevel="2" x14ac:dyDescent="0.25">
      <c r="A969" s="45"/>
      <c r="B969" s="54"/>
      <c r="C969" s="47">
        <f t="shared" si="237"/>
        <v>3</v>
      </c>
      <c r="D969" s="73"/>
      <c r="E969" s="70"/>
      <c r="F969" s="70" t="s">
        <v>3409</v>
      </c>
      <c r="G969" s="73"/>
      <c r="H969" s="76" t="s">
        <v>3754</v>
      </c>
      <c r="I969" s="96" t="s">
        <v>502</v>
      </c>
      <c r="J969" s="96"/>
      <c r="K969" s="76"/>
      <c r="L969" s="76"/>
      <c r="M969" s="76"/>
      <c r="N969" s="76"/>
      <c r="O969" s="76"/>
      <c r="P969" s="76"/>
      <c r="Q969" s="76"/>
      <c r="R969" s="76"/>
      <c r="S969" s="76"/>
      <c r="T969" s="76"/>
      <c r="U969" s="97">
        <v>0</v>
      </c>
      <c r="V969" s="255">
        <f t="shared" ref="V969:V976" si="274">U969</f>
        <v>0</v>
      </c>
      <c r="W969" s="255">
        <f t="shared" ref="W969:W970" si="275">U969</f>
        <v>0</v>
      </c>
      <c r="X969" s="255">
        <f t="shared" ref="X969:X970" si="276">V969</f>
        <v>0</v>
      </c>
      <c r="Y969" s="255">
        <f t="shared" ref="Y969:Y970" si="277">V969</f>
        <v>0</v>
      </c>
      <c r="Z969" s="255">
        <f t="shared" ref="Z969:Z976" si="278">AA969</f>
        <v>0</v>
      </c>
      <c r="AA969" s="97">
        <f>U969</f>
        <v>0</v>
      </c>
      <c r="AB969" s="255">
        <f t="shared" ref="AB969:AB976" si="279">AA969</f>
        <v>0</v>
      </c>
      <c r="AC969" s="255">
        <f t="shared" ref="AC969:AC976" si="280">AB969</f>
        <v>0</v>
      </c>
      <c r="AD969" s="255">
        <f t="shared" ref="AD969:AD976" si="281">AC969</f>
        <v>0</v>
      </c>
      <c r="AE969" s="76"/>
      <c r="AF969" s="97" t="s">
        <v>3367</v>
      </c>
      <c r="AG969" s="76"/>
      <c r="AH969" s="76">
        <v>1</v>
      </c>
      <c r="AI969" s="76">
        <v>1</v>
      </c>
      <c r="AJ969" s="73"/>
      <c r="AK969" s="57"/>
      <c r="AL969" s="45"/>
      <c r="AM969" s="45"/>
      <c r="AN969" s="45"/>
    </row>
    <row r="970" spans="1:40" hidden="1" outlineLevel="2" x14ac:dyDescent="0.25">
      <c r="A970" s="45"/>
      <c r="B970" s="54"/>
      <c r="C970" s="47">
        <f t="shared" si="237"/>
        <v>3</v>
      </c>
      <c r="D970" s="73"/>
      <c r="E970" s="70"/>
      <c r="F970" s="70" t="s">
        <v>3410</v>
      </c>
      <c r="G970" s="73"/>
      <c r="H970" s="76" t="s">
        <v>2511</v>
      </c>
      <c r="I970" s="96" t="s">
        <v>502</v>
      </c>
      <c r="J970" s="96"/>
      <c r="K970" s="76"/>
      <c r="L970" s="76"/>
      <c r="M970" s="76"/>
      <c r="N970" s="76"/>
      <c r="O970" s="76"/>
      <c r="P970" s="76"/>
      <c r="Q970" s="76"/>
      <c r="R970" s="76"/>
      <c r="S970" s="76"/>
      <c r="T970" s="76"/>
      <c r="U970" s="97">
        <v>0</v>
      </c>
      <c r="V970" s="255">
        <f t="shared" si="274"/>
        <v>0</v>
      </c>
      <c r="W970" s="255">
        <f t="shared" si="275"/>
        <v>0</v>
      </c>
      <c r="X970" s="255">
        <f t="shared" si="276"/>
        <v>0</v>
      </c>
      <c r="Y970" s="255">
        <f t="shared" si="277"/>
        <v>0</v>
      </c>
      <c r="Z970" s="255">
        <f t="shared" si="278"/>
        <v>0</v>
      </c>
      <c r="AA970" s="97">
        <f t="shared" ref="AA970:AA971" si="282">U970</f>
        <v>0</v>
      </c>
      <c r="AB970" s="255">
        <f t="shared" si="279"/>
        <v>0</v>
      </c>
      <c r="AC970" s="255">
        <f t="shared" si="280"/>
        <v>0</v>
      </c>
      <c r="AD970" s="255">
        <f t="shared" si="281"/>
        <v>0</v>
      </c>
      <c r="AE970" s="76"/>
      <c r="AF970" s="97" t="s">
        <v>3384</v>
      </c>
      <c r="AG970" s="76"/>
      <c r="AH970" s="97">
        <v>1</v>
      </c>
      <c r="AI970" s="97">
        <v>1</v>
      </c>
      <c r="AJ970" s="73"/>
      <c r="AK970" s="57"/>
      <c r="AL970" s="45"/>
      <c r="AM970" s="45"/>
      <c r="AN970" s="45"/>
    </row>
    <row r="971" spans="1:40" hidden="1" outlineLevel="2" x14ac:dyDescent="0.25">
      <c r="A971" s="45"/>
      <c r="B971" s="54"/>
      <c r="C971" s="47">
        <f t="shared" si="237"/>
        <v>3</v>
      </c>
      <c r="D971" s="73"/>
      <c r="E971" s="70"/>
      <c r="F971" s="70" t="s">
        <v>3411</v>
      </c>
      <c r="G971" s="73"/>
      <c r="H971" s="76" t="s">
        <v>2512</v>
      </c>
      <c r="I971" s="96" t="s">
        <v>502</v>
      </c>
      <c r="J971" s="96"/>
      <c r="K971" s="76"/>
      <c r="L971" s="76"/>
      <c r="M971" s="76"/>
      <c r="N971" s="76"/>
      <c r="O971" s="76"/>
      <c r="P971" s="76"/>
      <c r="Q971" s="76"/>
      <c r="R971" s="76"/>
      <c r="S971" s="76"/>
      <c r="T971" s="76"/>
      <c r="U971" s="97">
        <v>-2.2100000000000001E-4</v>
      </c>
      <c r="V971" s="255">
        <f t="shared" si="274"/>
        <v>-2.2100000000000001E-4</v>
      </c>
      <c r="W971" s="255">
        <f>U971</f>
        <v>-2.2100000000000001E-4</v>
      </c>
      <c r="X971" s="255">
        <f>V971</f>
        <v>-2.2100000000000001E-4</v>
      </c>
      <c r="Y971" s="255">
        <f>V971</f>
        <v>-2.2100000000000001E-4</v>
      </c>
      <c r="Z971" s="255">
        <f t="shared" si="278"/>
        <v>-2.2100000000000001E-4</v>
      </c>
      <c r="AA971" s="97">
        <f t="shared" si="282"/>
        <v>-2.2100000000000001E-4</v>
      </c>
      <c r="AB971" s="255">
        <f t="shared" si="279"/>
        <v>-2.2100000000000001E-4</v>
      </c>
      <c r="AC971" s="255">
        <f t="shared" si="280"/>
        <v>-2.2100000000000001E-4</v>
      </c>
      <c r="AD971" s="255">
        <f t="shared" si="281"/>
        <v>-2.2100000000000001E-4</v>
      </c>
      <c r="AE971" s="76"/>
      <c r="AF971" s="97"/>
      <c r="AG971" s="76"/>
      <c r="AH971" s="97">
        <v>1</v>
      </c>
      <c r="AI971" s="97">
        <v>1</v>
      </c>
      <c r="AJ971" s="73"/>
      <c r="AK971" s="57"/>
      <c r="AL971" s="45"/>
      <c r="AM971" s="45"/>
      <c r="AN971" s="45"/>
    </row>
    <row r="972" spans="1:40" hidden="1" outlineLevel="2" x14ac:dyDescent="0.25">
      <c r="A972" s="45"/>
      <c r="B972" s="54"/>
      <c r="C972" s="47">
        <f t="shared" si="237"/>
        <v>3</v>
      </c>
      <c r="D972" s="73"/>
      <c r="E972" s="70"/>
      <c r="F972" s="70" t="s">
        <v>3412</v>
      </c>
      <c r="G972" s="73"/>
      <c r="H972" s="76" t="s">
        <v>2513</v>
      </c>
      <c r="I972" s="96" t="s">
        <v>502</v>
      </c>
      <c r="J972" s="96"/>
      <c r="K972" s="76"/>
      <c r="L972" s="76"/>
      <c r="M972" s="76"/>
      <c r="N972" s="76"/>
      <c r="O972" s="76"/>
      <c r="P972" s="76"/>
      <c r="Q972" s="76"/>
      <c r="R972" s="76"/>
      <c r="S972" s="76"/>
      <c r="T972" s="76"/>
      <c r="U972" s="253">
        <f>U971</f>
        <v>-2.2100000000000001E-4</v>
      </c>
      <c r="V972" s="76">
        <f t="shared" si="274"/>
        <v>-2.2100000000000001E-4</v>
      </c>
      <c r="W972" s="76">
        <f>U972</f>
        <v>-2.2100000000000001E-4</v>
      </c>
      <c r="X972" s="76">
        <f>V972</f>
        <v>-2.2100000000000001E-4</v>
      </c>
      <c r="Y972" s="76">
        <f>V972</f>
        <v>-2.2100000000000001E-4</v>
      </c>
      <c r="Z972" s="76">
        <f t="shared" si="278"/>
        <v>-2.2100000000000001E-4</v>
      </c>
      <c r="AA972" s="253">
        <f>AA971</f>
        <v>-2.2100000000000001E-4</v>
      </c>
      <c r="AB972" s="76">
        <f t="shared" si="279"/>
        <v>-2.2100000000000001E-4</v>
      </c>
      <c r="AC972" s="76">
        <f t="shared" si="280"/>
        <v>-2.2100000000000001E-4</v>
      </c>
      <c r="AD972" s="76">
        <f t="shared" si="281"/>
        <v>-2.2100000000000001E-4</v>
      </c>
      <c r="AE972" s="76"/>
      <c r="AF972" s="264" t="s">
        <v>3366</v>
      </c>
      <c r="AG972" s="76"/>
      <c r="AH972" s="76">
        <v>1</v>
      </c>
      <c r="AI972" s="76">
        <v>1</v>
      </c>
      <c r="AJ972" s="73"/>
      <c r="AK972" s="57"/>
      <c r="AL972" s="45"/>
      <c r="AM972" s="45"/>
      <c r="AN972" s="45"/>
    </row>
    <row r="973" spans="1:40" hidden="1" outlineLevel="2" x14ac:dyDescent="0.25">
      <c r="A973" s="45"/>
      <c r="B973" s="54"/>
      <c r="C973" s="47">
        <f t="shared" si="237"/>
        <v>3</v>
      </c>
      <c r="D973" s="73"/>
      <c r="E973" s="70"/>
      <c r="F973" s="70" t="s">
        <v>3733</v>
      </c>
      <c r="G973" s="73"/>
      <c r="H973" s="76" t="s">
        <v>3755</v>
      </c>
      <c r="I973" s="96" t="s">
        <v>502</v>
      </c>
      <c r="J973" s="96"/>
      <c r="K973" s="76"/>
      <c r="L973" s="76"/>
      <c r="M973" s="76"/>
      <c r="N973" s="76"/>
      <c r="O973" s="76"/>
      <c r="P973" s="76"/>
      <c r="Q973" s="76"/>
      <c r="R973" s="76"/>
      <c r="S973" s="76"/>
      <c r="T973" s="76"/>
      <c r="U973" s="97">
        <v>0</v>
      </c>
      <c r="V973" s="255">
        <f t="shared" si="274"/>
        <v>0</v>
      </c>
      <c r="W973" s="255">
        <f t="shared" ref="W973:W974" si="283">U973</f>
        <v>0</v>
      </c>
      <c r="X973" s="255">
        <f t="shared" ref="X973:X974" si="284">V973</f>
        <v>0</v>
      </c>
      <c r="Y973" s="255">
        <f t="shared" ref="Y973:Y974" si="285">V973</f>
        <v>0</v>
      </c>
      <c r="Z973" s="255">
        <f t="shared" si="278"/>
        <v>0</v>
      </c>
      <c r="AA973" s="97">
        <f>U973</f>
        <v>0</v>
      </c>
      <c r="AB973" s="255">
        <f t="shared" si="279"/>
        <v>0</v>
      </c>
      <c r="AC973" s="255">
        <f t="shared" si="280"/>
        <v>0</v>
      </c>
      <c r="AD973" s="255">
        <f t="shared" si="281"/>
        <v>0</v>
      </c>
      <c r="AE973" s="76"/>
      <c r="AF973" s="97" t="s">
        <v>3367</v>
      </c>
      <c r="AG973" s="76"/>
      <c r="AH973" s="76">
        <v>1</v>
      </c>
      <c r="AI973" s="76">
        <v>1</v>
      </c>
      <c r="AJ973" s="73"/>
      <c r="AK973" s="57"/>
      <c r="AL973" s="45"/>
      <c r="AM973" s="45"/>
      <c r="AN973" s="45"/>
    </row>
    <row r="974" spans="1:40" hidden="1" outlineLevel="2" x14ac:dyDescent="0.25">
      <c r="A974" s="45"/>
      <c r="B974" s="54"/>
      <c r="C974" s="47">
        <f t="shared" si="237"/>
        <v>3</v>
      </c>
      <c r="D974" s="73"/>
      <c r="E974" s="70"/>
      <c r="F974" s="70" t="s">
        <v>3734</v>
      </c>
      <c r="G974" s="73"/>
      <c r="H974" s="76" t="s">
        <v>2511</v>
      </c>
      <c r="I974" s="96" t="s">
        <v>502</v>
      </c>
      <c r="J974" s="96"/>
      <c r="K974" s="76"/>
      <c r="L974" s="76"/>
      <c r="M974" s="76"/>
      <c r="N974" s="76"/>
      <c r="O974" s="76"/>
      <c r="P974" s="76"/>
      <c r="Q974" s="76"/>
      <c r="R974" s="76"/>
      <c r="S974" s="76"/>
      <c r="T974" s="76"/>
      <c r="U974" s="97">
        <v>0</v>
      </c>
      <c r="V974" s="255">
        <f t="shared" si="274"/>
        <v>0</v>
      </c>
      <c r="W974" s="255">
        <f t="shared" si="283"/>
        <v>0</v>
      </c>
      <c r="X974" s="255">
        <f t="shared" si="284"/>
        <v>0</v>
      </c>
      <c r="Y974" s="255">
        <f t="shared" si="285"/>
        <v>0</v>
      </c>
      <c r="Z974" s="255">
        <f t="shared" si="278"/>
        <v>0</v>
      </c>
      <c r="AA974" s="97">
        <f t="shared" ref="AA974:AA975" si="286">U974</f>
        <v>0</v>
      </c>
      <c r="AB974" s="255">
        <f t="shared" si="279"/>
        <v>0</v>
      </c>
      <c r="AC974" s="255">
        <f t="shared" si="280"/>
        <v>0</v>
      </c>
      <c r="AD974" s="255">
        <f t="shared" si="281"/>
        <v>0</v>
      </c>
      <c r="AE974" s="76"/>
      <c r="AF974" s="97" t="s">
        <v>3384</v>
      </c>
      <c r="AG974" s="76"/>
      <c r="AH974" s="97">
        <v>1</v>
      </c>
      <c r="AI974" s="97">
        <v>1</v>
      </c>
      <c r="AJ974" s="73"/>
      <c r="AK974" s="57"/>
      <c r="AL974" s="45"/>
      <c r="AM974" s="45"/>
      <c r="AN974" s="45"/>
    </row>
    <row r="975" spans="1:40" hidden="1" outlineLevel="2" x14ac:dyDescent="0.25">
      <c r="A975" s="45"/>
      <c r="B975" s="54"/>
      <c r="C975" s="47">
        <f t="shared" si="237"/>
        <v>3</v>
      </c>
      <c r="D975" s="73"/>
      <c r="E975" s="70"/>
      <c r="F975" s="70" t="s">
        <v>3735</v>
      </c>
      <c r="G975" s="73"/>
      <c r="H975" s="76" t="s">
        <v>2512</v>
      </c>
      <c r="I975" s="96" t="s">
        <v>502</v>
      </c>
      <c r="J975" s="96"/>
      <c r="K975" s="76"/>
      <c r="L975" s="76"/>
      <c r="M975" s="76"/>
      <c r="N975" s="76"/>
      <c r="O975" s="76"/>
      <c r="P975" s="76"/>
      <c r="Q975" s="76"/>
      <c r="R975" s="76"/>
      <c r="S975" s="76"/>
      <c r="T975" s="76"/>
      <c r="U975" s="97">
        <v>-6.34</v>
      </c>
      <c r="V975" s="255">
        <f t="shared" si="274"/>
        <v>-6.34</v>
      </c>
      <c r="W975" s="255">
        <f>U975</f>
        <v>-6.34</v>
      </c>
      <c r="X975" s="255">
        <f>V975</f>
        <v>-6.34</v>
      </c>
      <c r="Y975" s="255">
        <f>V975</f>
        <v>-6.34</v>
      </c>
      <c r="Z975" s="255">
        <f t="shared" si="278"/>
        <v>-6.34</v>
      </c>
      <c r="AA975" s="97">
        <f t="shared" si="286"/>
        <v>-6.34</v>
      </c>
      <c r="AB975" s="255">
        <f t="shared" si="279"/>
        <v>-6.34</v>
      </c>
      <c r="AC975" s="255">
        <f t="shared" si="280"/>
        <v>-6.34</v>
      </c>
      <c r="AD975" s="255">
        <f t="shared" si="281"/>
        <v>-6.34</v>
      </c>
      <c r="AE975" s="76"/>
      <c r="AF975" s="97"/>
      <c r="AG975" s="76"/>
      <c r="AH975" s="97">
        <v>1</v>
      </c>
      <c r="AI975" s="97">
        <v>1</v>
      </c>
      <c r="AJ975" s="73"/>
      <c r="AK975" s="57"/>
      <c r="AL975" s="45"/>
      <c r="AM975" s="45"/>
      <c r="AN975" s="45"/>
    </row>
    <row r="976" spans="1:40" hidden="1" outlineLevel="2" x14ac:dyDescent="0.25">
      <c r="A976" s="45"/>
      <c r="B976" s="54"/>
      <c r="C976" s="47">
        <f t="shared" si="237"/>
        <v>3</v>
      </c>
      <c r="D976" s="73"/>
      <c r="E976" s="70"/>
      <c r="F976" s="70" t="s">
        <v>3736</v>
      </c>
      <c r="G976" s="73"/>
      <c r="H976" s="76" t="s">
        <v>2513</v>
      </c>
      <c r="I976" s="96" t="s">
        <v>502</v>
      </c>
      <c r="J976" s="96"/>
      <c r="K976" s="76"/>
      <c r="L976" s="76"/>
      <c r="M976" s="76"/>
      <c r="N976" s="76"/>
      <c r="O976" s="76"/>
      <c r="P976" s="76"/>
      <c r="Q976" s="76"/>
      <c r="R976" s="76"/>
      <c r="S976" s="76"/>
      <c r="T976" s="76"/>
      <c r="U976" s="253">
        <f>U975</f>
        <v>-6.34</v>
      </c>
      <c r="V976" s="76">
        <f t="shared" si="274"/>
        <v>-6.34</v>
      </c>
      <c r="W976" s="76">
        <f>U976</f>
        <v>-6.34</v>
      </c>
      <c r="X976" s="76">
        <f>V976</f>
        <v>-6.34</v>
      </c>
      <c r="Y976" s="76">
        <f>V976</f>
        <v>-6.34</v>
      </c>
      <c r="Z976" s="76">
        <f t="shared" si="278"/>
        <v>-6.34</v>
      </c>
      <c r="AA976" s="253">
        <f>AA975</f>
        <v>-6.34</v>
      </c>
      <c r="AB976" s="76">
        <f t="shared" si="279"/>
        <v>-6.34</v>
      </c>
      <c r="AC976" s="76">
        <f t="shared" si="280"/>
        <v>-6.34</v>
      </c>
      <c r="AD976" s="76">
        <f t="shared" si="281"/>
        <v>-6.34</v>
      </c>
      <c r="AE976" s="76"/>
      <c r="AF976" s="264" t="s">
        <v>3366</v>
      </c>
      <c r="AG976" s="76"/>
      <c r="AH976" s="76">
        <v>1</v>
      </c>
      <c r="AI976" s="76">
        <v>1</v>
      </c>
      <c r="AJ976" s="73"/>
      <c r="AK976" s="57"/>
      <c r="AL976" s="45"/>
      <c r="AM976" s="45"/>
      <c r="AN976" s="45"/>
    </row>
    <row r="977" spans="1:40" hidden="1" outlineLevel="2" x14ac:dyDescent="0.25">
      <c r="A977" s="45"/>
      <c r="B977" s="54"/>
      <c r="C977" s="47">
        <f t="shared" si="237"/>
        <v>3</v>
      </c>
      <c r="D977" s="73"/>
      <c r="E977" s="70"/>
      <c r="F977" s="70" t="s">
        <v>3756</v>
      </c>
      <c r="G977" s="73"/>
      <c r="H977" s="76" t="s">
        <v>3766</v>
      </c>
      <c r="I977" s="96" t="s">
        <v>502</v>
      </c>
      <c r="J977" s="96"/>
      <c r="K977" s="76"/>
      <c r="L977" s="76"/>
      <c r="M977" s="76"/>
      <c r="N977" s="76"/>
      <c r="O977" s="76"/>
      <c r="P977" s="76"/>
      <c r="Q977" s="76"/>
      <c r="R977" s="76"/>
      <c r="S977" s="76"/>
      <c r="T977" s="76"/>
      <c r="U977" s="97">
        <v>0</v>
      </c>
      <c r="V977" s="255">
        <f t="shared" ref="V977:V980" si="287">U977</f>
        <v>0</v>
      </c>
      <c r="W977" s="255">
        <f t="shared" ref="W977:W978" si="288">U977</f>
        <v>0</v>
      </c>
      <c r="X977" s="255">
        <f t="shared" ref="X977:X978" si="289">V977</f>
        <v>0</v>
      </c>
      <c r="Y977" s="255">
        <f t="shared" ref="Y977:Y978" si="290">V977</f>
        <v>0</v>
      </c>
      <c r="Z977" s="255">
        <f t="shared" ref="Z977:Z980" si="291">AA977</f>
        <v>0</v>
      </c>
      <c r="AA977" s="97">
        <f>U977</f>
        <v>0</v>
      </c>
      <c r="AB977" s="255">
        <f t="shared" ref="AB977:AB980" si="292">AA977</f>
        <v>0</v>
      </c>
      <c r="AC977" s="255">
        <f t="shared" ref="AC977:AC980" si="293">AB977</f>
        <v>0</v>
      </c>
      <c r="AD977" s="255">
        <f t="shared" ref="AD977:AD980" si="294">AC977</f>
        <v>0</v>
      </c>
      <c r="AE977" s="76"/>
      <c r="AF977" s="97" t="s">
        <v>3764</v>
      </c>
      <c r="AG977" s="76"/>
      <c r="AH977" s="76">
        <v>1</v>
      </c>
      <c r="AI977" s="76">
        <v>1</v>
      </c>
      <c r="AJ977" s="73"/>
      <c r="AK977" s="57"/>
      <c r="AL977" s="45"/>
      <c r="AM977" s="45"/>
      <c r="AN977" s="45"/>
    </row>
    <row r="978" spans="1:40" hidden="1" outlineLevel="2" x14ac:dyDescent="0.25">
      <c r="A978" s="45"/>
      <c r="B978" s="54"/>
      <c r="C978" s="47">
        <f t="shared" si="237"/>
        <v>3</v>
      </c>
      <c r="D978" s="73"/>
      <c r="E978" s="70"/>
      <c r="F978" s="70" t="s">
        <v>3757</v>
      </c>
      <c r="G978" s="73"/>
      <c r="H978" s="76" t="s">
        <v>2511</v>
      </c>
      <c r="I978" s="96" t="s">
        <v>502</v>
      </c>
      <c r="J978" s="96"/>
      <c r="K978" s="76"/>
      <c r="L978" s="76"/>
      <c r="M978" s="76"/>
      <c r="N978" s="76"/>
      <c r="O978" s="76"/>
      <c r="P978" s="76"/>
      <c r="Q978" s="76"/>
      <c r="R978" s="76"/>
      <c r="S978" s="76"/>
      <c r="T978" s="76"/>
      <c r="U978" s="97">
        <v>0</v>
      </c>
      <c r="V978" s="255">
        <f t="shared" si="287"/>
        <v>0</v>
      </c>
      <c r="W978" s="255">
        <f t="shared" si="288"/>
        <v>0</v>
      </c>
      <c r="X978" s="255">
        <f t="shared" si="289"/>
        <v>0</v>
      </c>
      <c r="Y978" s="255">
        <f t="shared" si="290"/>
        <v>0</v>
      </c>
      <c r="Z978" s="255">
        <f t="shared" si="291"/>
        <v>0</v>
      </c>
      <c r="AA978" s="97">
        <f t="shared" ref="AA978:AA979" si="295">U978</f>
        <v>0</v>
      </c>
      <c r="AB978" s="255">
        <f t="shared" si="292"/>
        <v>0</v>
      </c>
      <c r="AC978" s="255">
        <f t="shared" si="293"/>
        <v>0</v>
      </c>
      <c r="AD978" s="255">
        <f t="shared" si="294"/>
        <v>0</v>
      </c>
      <c r="AE978" s="76"/>
      <c r="AF978" s="97" t="s">
        <v>3765</v>
      </c>
      <c r="AG978" s="76"/>
      <c r="AH978" s="97">
        <v>1</v>
      </c>
      <c r="AI978" s="97">
        <v>1</v>
      </c>
      <c r="AJ978" s="73"/>
      <c r="AK978" s="57"/>
      <c r="AL978" s="45"/>
      <c r="AM978" s="45"/>
      <c r="AN978" s="45"/>
    </row>
    <row r="979" spans="1:40" hidden="1" outlineLevel="2" x14ac:dyDescent="0.25">
      <c r="A979" s="45"/>
      <c r="B979" s="54"/>
      <c r="C979" s="47">
        <f t="shared" si="237"/>
        <v>3</v>
      </c>
      <c r="D979" s="73"/>
      <c r="E979" s="70"/>
      <c r="F979" s="70" t="s">
        <v>3758</v>
      </c>
      <c r="G979" s="73"/>
      <c r="H979" s="76" t="s">
        <v>2512</v>
      </c>
      <c r="I979" s="96" t="s">
        <v>502</v>
      </c>
      <c r="J979" s="96"/>
      <c r="K979" s="76"/>
      <c r="L979" s="76"/>
      <c r="M979" s="76"/>
      <c r="N979" s="76"/>
      <c r="O979" s="76"/>
      <c r="P979" s="76"/>
      <c r="Q979" s="76"/>
      <c r="R979" s="76"/>
      <c r="S979" s="76"/>
      <c r="T979" s="76"/>
      <c r="U979" s="97">
        <v>4.3999999999999997E-2</v>
      </c>
      <c r="V979" s="255">
        <f t="shared" si="287"/>
        <v>4.3999999999999997E-2</v>
      </c>
      <c r="W979" s="255">
        <f>U979</f>
        <v>4.3999999999999997E-2</v>
      </c>
      <c r="X979" s="255">
        <f>V979</f>
        <v>4.3999999999999997E-2</v>
      </c>
      <c r="Y979" s="255">
        <f>V979</f>
        <v>4.3999999999999997E-2</v>
      </c>
      <c r="Z979" s="255">
        <f t="shared" si="291"/>
        <v>4.3999999999999997E-2</v>
      </c>
      <c r="AA979" s="97">
        <f t="shared" si="295"/>
        <v>4.3999999999999997E-2</v>
      </c>
      <c r="AB979" s="255">
        <f t="shared" si="292"/>
        <v>4.3999999999999997E-2</v>
      </c>
      <c r="AC979" s="255">
        <f t="shared" si="293"/>
        <v>4.3999999999999997E-2</v>
      </c>
      <c r="AD979" s="255">
        <f t="shared" si="294"/>
        <v>4.3999999999999997E-2</v>
      </c>
      <c r="AE979" s="76"/>
      <c r="AF979" s="97"/>
      <c r="AG979" s="76"/>
      <c r="AH979" s="97">
        <v>1</v>
      </c>
      <c r="AI979" s="97">
        <v>1</v>
      </c>
      <c r="AJ979" s="73"/>
      <c r="AK979" s="57"/>
      <c r="AL979" s="45"/>
      <c r="AM979" s="45"/>
      <c r="AN979" s="45"/>
    </row>
    <row r="980" spans="1:40" hidden="1" outlineLevel="2" x14ac:dyDescent="0.25">
      <c r="A980" s="45"/>
      <c r="B980" s="54"/>
      <c r="C980" s="47">
        <f t="shared" si="237"/>
        <v>3</v>
      </c>
      <c r="D980" s="73"/>
      <c r="E980" s="70"/>
      <c r="F980" s="70" t="s">
        <v>3759</v>
      </c>
      <c r="G980" s="73"/>
      <c r="H980" s="76" t="s">
        <v>2513</v>
      </c>
      <c r="I980" s="96" t="s">
        <v>502</v>
      </c>
      <c r="J980" s="96"/>
      <c r="K980" s="76"/>
      <c r="L980" s="76"/>
      <c r="M980" s="76"/>
      <c r="N980" s="76"/>
      <c r="O980" s="76"/>
      <c r="P980" s="76"/>
      <c r="Q980" s="76"/>
      <c r="R980" s="76"/>
      <c r="S980" s="76"/>
      <c r="T980" s="76"/>
      <c r="U980" s="253">
        <f>U979</f>
        <v>4.3999999999999997E-2</v>
      </c>
      <c r="V980" s="76">
        <f t="shared" si="287"/>
        <v>4.3999999999999997E-2</v>
      </c>
      <c r="W980" s="76">
        <f>U980</f>
        <v>4.3999999999999997E-2</v>
      </c>
      <c r="X980" s="76">
        <f>V980</f>
        <v>4.3999999999999997E-2</v>
      </c>
      <c r="Y980" s="76">
        <f>V980</f>
        <v>4.3999999999999997E-2</v>
      </c>
      <c r="Z980" s="76">
        <f t="shared" si="291"/>
        <v>4.3999999999999997E-2</v>
      </c>
      <c r="AA980" s="253">
        <f>AA979</f>
        <v>4.3999999999999997E-2</v>
      </c>
      <c r="AB980" s="76">
        <f t="shared" si="292"/>
        <v>4.3999999999999997E-2</v>
      </c>
      <c r="AC980" s="76">
        <f t="shared" si="293"/>
        <v>4.3999999999999997E-2</v>
      </c>
      <c r="AD980" s="76">
        <f t="shared" si="294"/>
        <v>4.3999999999999997E-2</v>
      </c>
      <c r="AE980" s="76"/>
      <c r="AF980" s="264" t="s">
        <v>3366</v>
      </c>
      <c r="AG980" s="76"/>
      <c r="AH980" s="76">
        <v>1</v>
      </c>
      <c r="AI980" s="76">
        <v>1</v>
      </c>
      <c r="AJ980" s="73"/>
      <c r="AK980" s="57"/>
      <c r="AL980" s="45"/>
      <c r="AM980" s="45"/>
      <c r="AN980" s="45"/>
    </row>
    <row r="981" spans="1:40" hidden="1" outlineLevel="2" x14ac:dyDescent="0.25">
      <c r="A981" s="45"/>
      <c r="B981" s="54"/>
      <c r="C981" s="47">
        <f t="shared" si="237"/>
        <v>3</v>
      </c>
      <c r="D981" s="73"/>
      <c r="E981" s="70"/>
      <c r="F981" s="70" t="s">
        <v>3760</v>
      </c>
      <c r="G981" s="73"/>
      <c r="H981" s="76" t="s">
        <v>3767</v>
      </c>
      <c r="I981" s="96" t="s">
        <v>502</v>
      </c>
      <c r="J981" s="96"/>
      <c r="K981" s="76"/>
      <c r="L981" s="76"/>
      <c r="M981" s="76"/>
      <c r="N981" s="76"/>
      <c r="O981" s="76"/>
      <c r="P981" s="76"/>
      <c r="Q981" s="76"/>
      <c r="R981" s="76"/>
      <c r="S981" s="76"/>
      <c r="T981" s="76"/>
      <c r="U981" s="97">
        <v>1</v>
      </c>
      <c r="V981" s="255">
        <f t="shared" ref="V981:V984" si="296">U981</f>
        <v>1</v>
      </c>
      <c r="W981" s="255">
        <f t="shared" ref="W981:W982" si="297">U981</f>
        <v>1</v>
      </c>
      <c r="X981" s="255">
        <f t="shared" ref="X981:X982" si="298">V981</f>
        <v>1</v>
      </c>
      <c r="Y981" s="255">
        <f t="shared" ref="Y981:Y982" si="299">V981</f>
        <v>1</v>
      </c>
      <c r="Z981" s="255">
        <f t="shared" ref="Z981:Z984" si="300">AA981</f>
        <v>1</v>
      </c>
      <c r="AA981" s="97">
        <f>U981</f>
        <v>1</v>
      </c>
      <c r="AB981" s="255">
        <f t="shared" ref="AB981:AB984" si="301">AA981</f>
        <v>1</v>
      </c>
      <c r="AC981" s="255">
        <f t="shared" ref="AC981:AC984" si="302">AB981</f>
        <v>1</v>
      </c>
      <c r="AD981" s="255">
        <f t="shared" ref="AD981:AD984" si="303">AC981</f>
        <v>1</v>
      </c>
      <c r="AE981" s="76"/>
      <c r="AF981" s="97" t="s">
        <v>3764</v>
      </c>
      <c r="AG981" s="76"/>
      <c r="AH981" s="76">
        <v>1</v>
      </c>
      <c r="AI981" s="76">
        <v>1</v>
      </c>
      <c r="AJ981" s="73"/>
      <c r="AK981" s="57"/>
      <c r="AL981" s="45"/>
      <c r="AM981" s="45"/>
      <c r="AN981" s="45"/>
    </row>
    <row r="982" spans="1:40" hidden="1" outlineLevel="2" x14ac:dyDescent="0.25">
      <c r="A982" s="45"/>
      <c r="B982" s="54"/>
      <c r="C982" s="47">
        <f t="shared" si="237"/>
        <v>3</v>
      </c>
      <c r="D982" s="73"/>
      <c r="E982" s="70"/>
      <c r="F982" s="70" t="s">
        <v>3761</v>
      </c>
      <c r="G982" s="73"/>
      <c r="H982" s="76" t="s">
        <v>2511</v>
      </c>
      <c r="I982" s="96" t="s">
        <v>502</v>
      </c>
      <c r="J982" s="96"/>
      <c r="K982" s="76"/>
      <c r="L982" s="76"/>
      <c r="M982" s="76"/>
      <c r="N982" s="76"/>
      <c r="O982" s="76"/>
      <c r="P982" s="76"/>
      <c r="Q982" s="76"/>
      <c r="R982" s="76"/>
      <c r="S982" s="76"/>
      <c r="T982" s="76"/>
      <c r="U982" s="97">
        <v>1</v>
      </c>
      <c r="V982" s="255">
        <f t="shared" si="296"/>
        <v>1</v>
      </c>
      <c r="W982" s="255">
        <f t="shared" si="297"/>
        <v>1</v>
      </c>
      <c r="X982" s="255">
        <f t="shared" si="298"/>
        <v>1</v>
      </c>
      <c r="Y982" s="255">
        <f t="shared" si="299"/>
        <v>1</v>
      </c>
      <c r="Z982" s="255">
        <f t="shared" si="300"/>
        <v>1</v>
      </c>
      <c r="AA982" s="97">
        <f t="shared" ref="AA982:AA983" si="304">U982</f>
        <v>1</v>
      </c>
      <c r="AB982" s="255">
        <f t="shared" si="301"/>
        <v>1</v>
      </c>
      <c r="AC982" s="255">
        <f t="shared" si="302"/>
        <v>1</v>
      </c>
      <c r="AD982" s="255">
        <f t="shared" si="303"/>
        <v>1</v>
      </c>
      <c r="AE982" s="76"/>
      <c r="AF982" s="97" t="s">
        <v>3765</v>
      </c>
      <c r="AG982" s="76"/>
      <c r="AH982" s="97">
        <v>1</v>
      </c>
      <c r="AI982" s="97">
        <v>1</v>
      </c>
      <c r="AJ982" s="73"/>
      <c r="AK982" s="57"/>
      <c r="AL982" s="45"/>
      <c r="AM982" s="45"/>
      <c r="AN982" s="45"/>
    </row>
    <row r="983" spans="1:40" hidden="1" outlineLevel="2" x14ac:dyDescent="0.25">
      <c r="A983" s="45"/>
      <c r="B983" s="54"/>
      <c r="C983" s="47">
        <f t="shared" si="237"/>
        <v>3</v>
      </c>
      <c r="D983" s="73"/>
      <c r="E983" s="70"/>
      <c r="F983" s="70" t="s">
        <v>3762</v>
      </c>
      <c r="G983" s="73"/>
      <c r="H983" s="76" t="s">
        <v>2512</v>
      </c>
      <c r="I983" s="96" t="s">
        <v>502</v>
      </c>
      <c r="J983" s="96"/>
      <c r="K983" s="76"/>
      <c r="L983" s="76"/>
      <c r="M983" s="76"/>
      <c r="N983" s="76"/>
      <c r="O983" s="76"/>
      <c r="P983" s="76"/>
      <c r="Q983" s="76"/>
      <c r="R983" s="76"/>
      <c r="S983" s="76"/>
      <c r="T983" s="76"/>
      <c r="U983" s="97">
        <v>0.75</v>
      </c>
      <c r="V983" s="255">
        <f t="shared" si="296"/>
        <v>0.75</v>
      </c>
      <c r="W983" s="255">
        <f>U983</f>
        <v>0.75</v>
      </c>
      <c r="X983" s="255">
        <f>V983</f>
        <v>0.75</v>
      </c>
      <c r="Y983" s="255">
        <f>V983</f>
        <v>0.75</v>
      </c>
      <c r="Z983" s="255">
        <f t="shared" si="300"/>
        <v>0.75</v>
      </c>
      <c r="AA983" s="97">
        <f t="shared" si="304"/>
        <v>0.75</v>
      </c>
      <c r="AB983" s="255">
        <f t="shared" si="301"/>
        <v>0.75</v>
      </c>
      <c r="AC983" s="255">
        <f t="shared" si="302"/>
        <v>0.75</v>
      </c>
      <c r="AD983" s="255">
        <f t="shared" si="303"/>
        <v>0.75</v>
      </c>
      <c r="AE983" s="76"/>
      <c r="AF983" s="97"/>
      <c r="AG983" s="76"/>
      <c r="AH983" s="97">
        <v>1</v>
      </c>
      <c r="AI983" s="97">
        <v>1</v>
      </c>
      <c r="AJ983" s="73"/>
      <c r="AK983" s="57"/>
      <c r="AL983" s="45"/>
      <c r="AM983" s="45"/>
      <c r="AN983" s="45"/>
    </row>
    <row r="984" spans="1:40" hidden="1" outlineLevel="2" x14ac:dyDescent="0.25">
      <c r="A984" s="45"/>
      <c r="B984" s="54"/>
      <c r="C984" s="47">
        <f t="shared" si="237"/>
        <v>3</v>
      </c>
      <c r="D984" s="73"/>
      <c r="E984" s="70"/>
      <c r="F984" s="70" t="s">
        <v>3763</v>
      </c>
      <c r="G984" s="73"/>
      <c r="H984" s="76" t="s">
        <v>2513</v>
      </c>
      <c r="I984" s="96" t="s">
        <v>502</v>
      </c>
      <c r="J984" s="96"/>
      <c r="K984" s="76"/>
      <c r="L984" s="76"/>
      <c r="M984" s="76"/>
      <c r="N984" s="76"/>
      <c r="O984" s="76"/>
      <c r="P984" s="76"/>
      <c r="Q984" s="76"/>
      <c r="R984" s="76"/>
      <c r="S984" s="76"/>
      <c r="T984" s="76"/>
      <c r="U984" s="253">
        <f>U983</f>
        <v>0.75</v>
      </c>
      <c r="V984" s="76">
        <f t="shared" si="296"/>
        <v>0.75</v>
      </c>
      <c r="W984" s="76">
        <f>U984</f>
        <v>0.75</v>
      </c>
      <c r="X984" s="76">
        <f>V984</f>
        <v>0.75</v>
      </c>
      <c r="Y984" s="76">
        <f>V984</f>
        <v>0.75</v>
      </c>
      <c r="Z984" s="76">
        <f t="shared" si="300"/>
        <v>0.75</v>
      </c>
      <c r="AA984" s="253">
        <f>AA983</f>
        <v>0.75</v>
      </c>
      <c r="AB984" s="76">
        <f t="shared" si="301"/>
        <v>0.75</v>
      </c>
      <c r="AC984" s="76">
        <f t="shared" si="302"/>
        <v>0.75</v>
      </c>
      <c r="AD984" s="76">
        <f t="shared" si="303"/>
        <v>0.75</v>
      </c>
      <c r="AE984" s="76"/>
      <c r="AF984" s="264" t="s">
        <v>3366</v>
      </c>
      <c r="AG984" s="76"/>
      <c r="AH984" s="76">
        <v>1</v>
      </c>
      <c r="AI984" s="76">
        <v>1</v>
      </c>
      <c r="AJ984" s="73"/>
      <c r="AK984" s="57"/>
      <c r="AL984" s="45"/>
      <c r="AM984" s="45"/>
      <c r="AN984" s="45"/>
    </row>
    <row r="985" spans="1:40" hidden="1"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5">INDEX($K987:$Q987,1,U$43)</f>
        <v>0.38900000000000001</v>
      </c>
      <c r="V987" s="253">
        <f t="shared" si="305"/>
        <v>0.38900000000000001</v>
      </c>
      <c r="W987" s="253">
        <f t="shared" si="305"/>
        <v>0.38900000000000001</v>
      </c>
      <c r="X987" s="253">
        <f t="shared" si="305"/>
        <v>0.38900000000000001</v>
      </c>
      <c r="Y987" s="253">
        <f t="shared" si="305"/>
        <v>0.38900000000000001</v>
      </c>
      <c r="Z987" s="253">
        <f t="shared" si="305"/>
        <v>0.48599999999999999</v>
      </c>
      <c r="AA987" s="253">
        <f t="shared" si="305"/>
        <v>0.48599999999999999</v>
      </c>
      <c r="AB987" s="253">
        <f t="shared" si="305"/>
        <v>0.48599999999999999</v>
      </c>
      <c r="AC987" s="253">
        <f t="shared" si="305"/>
        <v>0.48599999999999999</v>
      </c>
      <c r="AD987" s="253">
        <f t="shared" si="305"/>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5"/>
        <v>0.622</v>
      </c>
      <c r="V988" s="253">
        <f t="shared" si="305"/>
        <v>0.622</v>
      </c>
      <c r="W988" s="253">
        <f t="shared" si="305"/>
        <v>0.622</v>
      </c>
      <c r="X988" s="253">
        <f t="shared" si="305"/>
        <v>0.622</v>
      </c>
      <c r="Y988" s="253">
        <f t="shared" si="305"/>
        <v>0.622</v>
      </c>
      <c r="Z988" s="253">
        <f t="shared" si="305"/>
        <v>0.77800000000000002</v>
      </c>
      <c r="AA988" s="253">
        <f t="shared" si="305"/>
        <v>0.77800000000000002</v>
      </c>
      <c r="AB988" s="253">
        <f t="shared" si="305"/>
        <v>0.77800000000000002</v>
      </c>
      <c r="AC988" s="253">
        <f t="shared" si="305"/>
        <v>0.77800000000000002</v>
      </c>
      <c r="AD988" s="253">
        <f t="shared" si="305"/>
        <v>0.77800000000000002</v>
      </c>
      <c r="AE988" s="76"/>
      <c r="AF988" s="76"/>
      <c r="AG988" s="76"/>
      <c r="AH988" s="97">
        <v>1</v>
      </c>
      <c r="AI988" s="97">
        <v>1</v>
      </c>
      <c r="AJ988" s="73"/>
      <c r="AK988" s="57"/>
      <c r="AL988" s="45"/>
      <c r="AM988" s="45"/>
      <c r="AN988" s="45"/>
    </row>
    <row r="989" spans="1:40" hidden="1" outlineLevel="2" collapsed="1"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5"/>
        <v>0.746</v>
      </c>
      <c r="V989" s="253">
        <f t="shared" si="305"/>
        <v>0.746</v>
      </c>
      <c r="W989" s="253">
        <f t="shared" si="305"/>
        <v>0.746</v>
      </c>
      <c r="X989" s="253">
        <f t="shared" si="305"/>
        <v>0.746</v>
      </c>
      <c r="Y989" s="253">
        <f t="shared" si="305"/>
        <v>0.746</v>
      </c>
      <c r="Z989" s="253">
        <f t="shared" si="305"/>
        <v>0.93400000000000005</v>
      </c>
      <c r="AA989" s="253">
        <f t="shared" si="305"/>
        <v>0.93400000000000005</v>
      </c>
      <c r="AB989" s="253">
        <f t="shared" si="305"/>
        <v>0.93400000000000005</v>
      </c>
      <c r="AC989" s="253">
        <f t="shared" si="305"/>
        <v>0.93400000000000005</v>
      </c>
      <c r="AD989" s="253">
        <f t="shared" si="305"/>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6">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6"/>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6"/>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6"/>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6"/>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6"/>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6"/>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6"/>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6"/>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6"/>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6"/>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6"/>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6"/>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6"/>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6"/>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6"/>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6"/>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6"/>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6"/>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6"/>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6"/>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6"/>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6"/>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6"/>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6"/>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6"/>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6"/>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6"/>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6"/>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6"/>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6"/>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6"/>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7">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7"/>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7"/>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7"/>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7"/>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7"/>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7"/>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7"/>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07"/>
        <v>4</v>
      </c>
      <c r="D1030" s="73"/>
      <c r="E1030" s="70"/>
      <c r="F1030" s="70" t="s">
        <v>1660</v>
      </c>
      <c r="G1030" s="73"/>
      <c r="H1030" s="76" t="s">
        <v>3815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7"/>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7"/>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7"/>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7"/>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7"/>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7"/>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7"/>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7"/>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7"/>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7"/>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collapsed="1" x14ac:dyDescent="0.25">
      <c r="A1041" s="45"/>
      <c r="B1041" s="54"/>
      <c r="C1041" s="47">
        <f t="shared" si="307"/>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7"/>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7"/>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7"/>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7"/>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7"/>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7"/>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7"/>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7"/>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7"/>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7"/>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7"/>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7"/>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08">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08"/>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08"/>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08"/>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08"/>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08"/>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08"/>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08"/>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9">INDEX($K1063:$Q1063,1,U$43)</f>
        <v>0.52400000000000002</v>
      </c>
      <c r="V1063" s="253">
        <f t="shared" si="309"/>
        <v>0.52400000000000002</v>
      </c>
      <c r="W1063" s="253">
        <f t="shared" si="309"/>
        <v>0.52400000000000002</v>
      </c>
      <c r="X1063" s="253">
        <f t="shared" si="309"/>
        <v>0.52400000000000002</v>
      </c>
      <c r="Y1063" s="253">
        <f t="shared" si="309"/>
        <v>0.52400000000000002</v>
      </c>
      <c r="Z1063" s="253">
        <f t="shared" si="309"/>
        <v>0.65500000000000003</v>
      </c>
      <c r="AA1063" s="253">
        <f t="shared" si="309"/>
        <v>0.65500000000000003</v>
      </c>
      <c r="AB1063" s="253">
        <f t="shared" si="309"/>
        <v>0.65500000000000003</v>
      </c>
      <c r="AC1063" s="253">
        <f t="shared" si="309"/>
        <v>0.65500000000000003</v>
      </c>
      <c r="AD1063" s="253">
        <f t="shared" si="309"/>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9"/>
        <v>0.70699999999999996</v>
      </c>
      <c r="V1064" s="253">
        <f t="shared" si="309"/>
        <v>0.70699999999999996</v>
      </c>
      <c r="W1064" s="253">
        <f t="shared" si="309"/>
        <v>0.70699999999999996</v>
      </c>
      <c r="X1064" s="253">
        <f t="shared" si="309"/>
        <v>0.70699999999999996</v>
      </c>
      <c r="Y1064" s="253">
        <f t="shared" si="309"/>
        <v>0.70699999999999996</v>
      </c>
      <c r="Z1064" s="253">
        <f t="shared" si="309"/>
        <v>0.88400000000000001</v>
      </c>
      <c r="AA1064" s="253">
        <f t="shared" si="309"/>
        <v>0.88400000000000001</v>
      </c>
      <c r="AB1064" s="253">
        <f t="shared" si="309"/>
        <v>0.88400000000000001</v>
      </c>
      <c r="AC1064" s="253">
        <f t="shared" si="309"/>
        <v>0.88400000000000001</v>
      </c>
      <c r="AD1064" s="253">
        <f t="shared" si="309"/>
        <v>0.88400000000000001</v>
      </c>
      <c r="AE1064" s="76"/>
      <c r="AF1064" s="76"/>
      <c r="AG1064" s="76"/>
      <c r="AH1064" s="97">
        <v>1</v>
      </c>
      <c r="AI1064" s="97">
        <v>1</v>
      </c>
      <c r="AJ1064" s="73"/>
      <c r="AK1064" s="57"/>
      <c r="AL1064" s="45"/>
      <c r="AM1064" s="45"/>
      <c r="AN1064" s="45"/>
    </row>
    <row r="1065" spans="1:40" hidden="1" outlineLevel="2" collapsed="1"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9"/>
        <v>0.89100000000000001</v>
      </c>
      <c r="V1065" s="253">
        <f t="shared" si="309"/>
        <v>0.89100000000000001</v>
      </c>
      <c r="W1065" s="253">
        <f t="shared" si="309"/>
        <v>0.89100000000000001</v>
      </c>
      <c r="X1065" s="253">
        <f t="shared" si="309"/>
        <v>0.89100000000000001</v>
      </c>
      <c r="Y1065" s="253">
        <f t="shared" si="309"/>
        <v>0.89100000000000001</v>
      </c>
      <c r="Z1065" s="253">
        <f t="shared" si="309"/>
        <v>1.1140000000000001</v>
      </c>
      <c r="AA1065" s="253">
        <f t="shared" si="309"/>
        <v>1.1140000000000001</v>
      </c>
      <c r="AB1065" s="253">
        <f t="shared" si="309"/>
        <v>1.1140000000000001</v>
      </c>
      <c r="AC1065" s="253">
        <f t="shared" si="309"/>
        <v>1.1140000000000001</v>
      </c>
      <c r="AD1065" s="253">
        <f t="shared" si="309"/>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10">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10"/>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0"/>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0"/>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0"/>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0"/>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0"/>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0"/>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0"/>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0"/>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0"/>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0"/>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0"/>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0"/>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0"/>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0"/>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0"/>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0"/>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0"/>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0"/>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0"/>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0"/>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0"/>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0"/>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0"/>
        <v>4</v>
      </c>
      <c r="D1090" s="73"/>
      <c r="E1090" s="70"/>
      <c r="F1090" s="70" t="s">
        <v>3314</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0"/>
        <v>4</v>
      </c>
      <c r="D1091" s="73"/>
      <c r="E1091" s="70"/>
      <c r="F1091" s="70" t="s">
        <v>3315</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0"/>
        <v>4</v>
      </c>
      <c r="D1092" s="73"/>
      <c r="E1092" s="70"/>
      <c r="F1092" s="70" t="s">
        <v>3316</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0"/>
        <v>4</v>
      </c>
      <c r="D1093" s="73"/>
      <c r="E1093" s="70"/>
      <c r="F1093" s="70" t="s">
        <v>3317</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0"/>
        <v>4</v>
      </c>
      <c r="D1094" s="73"/>
      <c r="E1094" s="70"/>
      <c r="F1094" s="70" t="s">
        <v>3413</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0"/>
        <v>4</v>
      </c>
      <c r="D1095" s="73"/>
      <c r="E1095" s="70"/>
      <c r="F1095" s="70" t="s">
        <v>3414</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0"/>
        <v>4</v>
      </c>
      <c r="D1096" s="73"/>
      <c r="E1096" s="70"/>
      <c r="F1096" s="70" t="s">
        <v>3415</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0"/>
        <v>4</v>
      </c>
      <c r="D1097" s="73"/>
      <c r="E1097" s="70"/>
      <c r="F1097" s="70" t="s">
        <v>3416</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0"/>
        <v>4</v>
      </c>
      <c r="D1098" s="73"/>
      <c r="E1098" s="70"/>
      <c r="F1098" s="70" t="s">
        <v>3417</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0"/>
        <v>4</v>
      </c>
      <c r="D1099" s="73"/>
      <c r="E1099" s="70"/>
      <c r="F1099" s="70" t="s">
        <v>3418</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0"/>
        <v>4</v>
      </c>
      <c r="D1100" s="73"/>
      <c r="E1100" s="70"/>
      <c r="F1100" s="70" t="s">
        <v>3419</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0"/>
        <v>4</v>
      </c>
      <c r="D1101" s="73"/>
      <c r="E1101" s="70"/>
      <c r="F1101" s="70" t="s">
        <v>3420</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0"/>
        <v>4</v>
      </c>
      <c r="D1102" s="73"/>
      <c r="E1102" s="70"/>
      <c r="F1102" s="70" t="s">
        <v>3421</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0"/>
        <v>4</v>
      </c>
      <c r="D1103" s="73"/>
      <c r="E1103" s="70"/>
      <c r="F1103" s="70" t="s">
        <v>3422</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0"/>
        <v>4</v>
      </c>
      <c r="D1104" s="73"/>
      <c r="E1104" s="70"/>
      <c r="F1104" s="70" t="s">
        <v>3423</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0"/>
        <v>4</v>
      </c>
      <c r="D1105" s="73"/>
      <c r="E1105" s="70"/>
      <c r="F1105" s="70" t="s">
        <v>3424</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0"/>
        <v>4</v>
      </c>
      <c r="D1106" s="73"/>
      <c r="E1106" s="70"/>
      <c r="F1106" s="70" t="s">
        <v>3425</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0"/>
        <v>4</v>
      </c>
      <c r="D1107" s="73"/>
      <c r="E1107" s="70"/>
      <c r="F1107" s="70" t="s">
        <v>3426</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0"/>
        <v>4</v>
      </c>
      <c r="D1108" s="73"/>
      <c r="E1108" s="70"/>
      <c r="F1108" s="70" t="s">
        <v>3427</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0"/>
        <v>4</v>
      </c>
      <c r="D1109" s="73"/>
      <c r="E1109" s="70"/>
      <c r="F1109" s="70" t="s">
        <v>3428</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0"/>
        <v>4</v>
      </c>
      <c r="D1110" s="73"/>
      <c r="E1110" s="70"/>
      <c r="F1110" s="70" t="s">
        <v>3429</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0"/>
        <v>4</v>
      </c>
      <c r="D1111" s="73"/>
      <c r="E1111" s="70"/>
      <c r="F1111" s="70" t="s">
        <v>3430</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0"/>
        <v>4</v>
      </c>
      <c r="D1112" s="73"/>
      <c r="E1112" s="70"/>
      <c r="F1112" s="70" t="s">
        <v>3431</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0"/>
        <v>4</v>
      </c>
      <c r="D1113" s="73"/>
      <c r="E1113" s="70"/>
      <c r="F1113" s="70" t="s">
        <v>3432</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0"/>
        <v>4</v>
      </c>
      <c r="D1114" s="73"/>
      <c r="E1114" s="70"/>
      <c r="F1114" s="70" t="s">
        <v>3433</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0"/>
        <v>4</v>
      </c>
      <c r="D1115" s="73"/>
      <c r="E1115" s="70"/>
      <c r="F1115" s="70" t="s">
        <v>3434</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0"/>
        <v>4</v>
      </c>
      <c r="D1116" s="73"/>
      <c r="E1116" s="70"/>
      <c r="F1116" s="70" t="s">
        <v>3435</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0"/>
        <v>4</v>
      </c>
      <c r="D1117" s="73"/>
      <c r="E1117" s="70"/>
      <c r="F1117" s="70" t="s">
        <v>3436</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0"/>
        <v>4</v>
      </c>
      <c r="D1118" s="73"/>
      <c r="E1118" s="70"/>
      <c r="F1118" s="70" t="s">
        <v>3437</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0"/>
        <v>4</v>
      </c>
      <c r="D1119" s="73"/>
      <c r="E1119" s="70"/>
      <c r="F1119" s="70" t="s">
        <v>3438</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0"/>
        <v>4</v>
      </c>
      <c r="D1120" s="73"/>
      <c r="E1120" s="70"/>
      <c r="F1120" s="70" t="s">
        <v>3439</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0"/>
        <v>4</v>
      </c>
      <c r="D1121" s="73"/>
      <c r="E1121" s="70"/>
      <c r="F1121" s="70" t="s">
        <v>3440</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0"/>
        <v>4</v>
      </c>
      <c r="D1122" s="73"/>
      <c r="E1122" s="70"/>
      <c r="F1122" s="70" t="s">
        <v>3441</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0"/>
        <v>4</v>
      </c>
      <c r="D1123" s="73"/>
      <c r="E1123" s="70"/>
      <c r="F1123" s="70" t="s">
        <v>3442</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0"/>
        <v>4</v>
      </c>
      <c r="D1124" s="73"/>
      <c r="E1124" s="70"/>
      <c r="F1124" s="70" t="s">
        <v>3443</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0"/>
        <v>4</v>
      </c>
      <c r="D1125" s="73"/>
      <c r="E1125" s="70"/>
      <c r="F1125" s="70" t="s">
        <v>3444</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0"/>
        <v>4</v>
      </c>
      <c r="D1126" s="73"/>
      <c r="E1126" s="70"/>
      <c r="F1126" s="70" t="s">
        <v>3445</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0"/>
        <v>4</v>
      </c>
      <c r="D1127" s="73"/>
      <c r="E1127" s="70"/>
      <c r="F1127" s="70" t="s">
        <v>3446</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0"/>
        <v>4</v>
      </c>
      <c r="D1128" s="73"/>
      <c r="E1128" s="70"/>
      <c r="F1128" s="70" t="s">
        <v>3447</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0"/>
        <v>4</v>
      </c>
      <c r="D1129" s="73"/>
      <c r="E1129" s="70"/>
      <c r="F1129" s="70" t="s">
        <v>3448</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11">INT($C$29)+3</f>
        <v>4</v>
      </c>
      <c r="D1130" s="73"/>
      <c r="E1130" s="70"/>
      <c r="F1130" s="70" t="s">
        <v>3449</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11"/>
        <v>4</v>
      </c>
      <c r="D1131" s="73"/>
      <c r="E1131" s="70"/>
      <c r="F1131" s="70" t="s">
        <v>3450</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1"/>
        <v>4</v>
      </c>
      <c r="D1132" s="73"/>
      <c r="E1132" s="70"/>
      <c r="F1132" s="70" t="s">
        <v>3451</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1"/>
        <v>4</v>
      </c>
      <c r="D1133" s="73"/>
      <c r="E1133" s="70"/>
      <c r="F1133" s="70" t="s">
        <v>3452</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1"/>
        <v>4</v>
      </c>
      <c r="D1134" s="73"/>
      <c r="E1134" s="70"/>
      <c r="F1134" s="70" t="s">
        <v>3453</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1"/>
        <v>4</v>
      </c>
      <c r="D1135" s="73"/>
      <c r="E1135" s="70"/>
      <c r="F1135" s="70" t="s">
        <v>3454</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1"/>
        <v>4</v>
      </c>
      <c r="D1136" s="73"/>
      <c r="E1136" s="70"/>
      <c r="F1136" s="70" t="s">
        <v>3455</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1"/>
        <v>4</v>
      </c>
      <c r="D1137" s="73"/>
      <c r="E1137" s="70"/>
      <c r="F1137" s="70" t="s">
        <v>3456</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1"/>
        <v>4</v>
      </c>
      <c r="D1138" s="73"/>
      <c r="E1138" s="70"/>
      <c r="F1138" s="70" t="s">
        <v>3737</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1"/>
        <v>4</v>
      </c>
      <c r="D1139" s="73"/>
      <c r="E1139" s="70"/>
      <c r="F1139" s="70" t="s">
        <v>3738</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1"/>
        <v>4</v>
      </c>
      <c r="D1140" s="73"/>
      <c r="E1140" s="70"/>
      <c r="F1140" s="70" t="s">
        <v>3739</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1"/>
        <v>4</v>
      </c>
      <c r="D1141" s="73"/>
      <c r="E1141" s="70"/>
      <c r="F1141" s="70" t="s">
        <v>3740</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1"/>
        <v>4</v>
      </c>
      <c r="D1142" s="73"/>
      <c r="E1142" s="70"/>
      <c r="F1142" s="70" t="s">
        <v>3772</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1"/>
        <v>4</v>
      </c>
      <c r="D1143" s="73"/>
      <c r="E1143" s="70"/>
      <c r="F1143" s="70" t="s">
        <v>3773</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1"/>
        <v>4</v>
      </c>
      <c r="D1144" s="73"/>
      <c r="E1144" s="70"/>
      <c r="F1144" s="70" t="s">
        <v>3774</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1"/>
        <v>4</v>
      </c>
      <c r="D1145" s="73"/>
      <c r="E1145" s="70"/>
      <c r="F1145" s="70" t="s">
        <v>3775</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1"/>
        <v>4</v>
      </c>
      <c r="D1146" s="73"/>
      <c r="E1146" s="70"/>
      <c r="F1146" s="70" t="s">
        <v>3768</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1"/>
        <v>4</v>
      </c>
      <c r="D1147" s="73"/>
      <c r="E1147" s="70"/>
      <c r="F1147" s="70" t="s">
        <v>3769</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1"/>
        <v>4</v>
      </c>
      <c r="D1148" s="73"/>
      <c r="E1148" s="70"/>
      <c r="F1148" s="70" t="s">
        <v>3770</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1"/>
        <v>4</v>
      </c>
      <c r="D1149" s="73"/>
      <c r="E1149" s="70"/>
      <c r="F1149" s="70" t="s">
        <v>3771</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2">INDEX($K1151:$Q1151,1,U$43)</f>
        <v>0.99704199999999998</v>
      </c>
      <c r="V1151" s="253">
        <f t="shared" si="312"/>
        <v>0.99704199999999998</v>
      </c>
      <c r="W1151" s="253">
        <f t="shared" si="312"/>
        <v>0.99704199999999998</v>
      </c>
      <c r="X1151" s="253">
        <f t="shared" si="312"/>
        <v>0.99704199999999998</v>
      </c>
      <c r="Y1151" s="253">
        <f t="shared" si="312"/>
        <v>0.99704199999999998</v>
      </c>
      <c r="Z1151" s="253">
        <f t="shared" si="312"/>
        <v>0.99704199999999998</v>
      </c>
      <c r="AA1151" s="253">
        <f t="shared" si="312"/>
        <v>0.99704199999999998</v>
      </c>
      <c r="AB1151" s="253">
        <f t="shared" si="312"/>
        <v>0.99704199999999998</v>
      </c>
      <c r="AC1151" s="253">
        <f t="shared" si="312"/>
        <v>0.99704199999999998</v>
      </c>
      <c r="AD1151" s="253">
        <f t="shared" si="312"/>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3">Y1153</f>
        <v>0.13739999999999999</v>
      </c>
      <c r="AA1153" s="255">
        <f t="shared" si="313"/>
        <v>0.13739999999999999</v>
      </c>
      <c r="AB1153" s="255">
        <f t="shared" si="313"/>
        <v>0.13739999999999999</v>
      </c>
      <c r="AC1153" s="255">
        <f t="shared" si="313"/>
        <v>0.13739999999999999</v>
      </c>
      <c r="AD1153" s="255">
        <f t="shared" si="313"/>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3"/>
        <v>0.16700000000000001</v>
      </c>
      <c r="AA1154" s="255">
        <f t="shared" si="313"/>
        <v>0.16700000000000001</v>
      </c>
      <c r="AB1154" s="255">
        <f t="shared" si="313"/>
        <v>0.16700000000000001</v>
      </c>
      <c r="AC1154" s="255">
        <f t="shared" si="313"/>
        <v>0.16700000000000001</v>
      </c>
      <c r="AD1154" s="255">
        <f t="shared" si="313"/>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3"/>
        <v>0.08</v>
      </c>
      <c r="AA1155" s="255">
        <f t="shared" si="313"/>
        <v>0.08</v>
      </c>
      <c r="AB1155" s="255">
        <f t="shared" si="313"/>
        <v>0.08</v>
      </c>
      <c r="AC1155" s="255">
        <f t="shared" si="313"/>
        <v>0.08</v>
      </c>
      <c r="AD1155" s="255">
        <f t="shared" si="313"/>
        <v>0.08</v>
      </c>
      <c r="AE1155" s="76"/>
      <c r="AF1155" s="76"/>
      <c r="AG1155" s="76"/>
      <c r="AH1155" s="97">
        <v>1</v>
      </c>
      <c r="AI1155" s="97">
        <v>1</v>
      </c>
      <c r="AJ1155" s="73"/>
      <c r="AK1155" s="57"/>
      <c r="AL1155" s="45"/>
      <c r="AM1155" s="45"/>
      <c r="AN1155" s="45"/>
    </row>
    <row r="1156" spans="1:40" hidden="1"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25">
      <c r="A1157" s="45"/>
      <c r="B1157" s="54"/>
      <c r="C1157" s="47">
        <f t="shared" ref="C1157:C1164" si="314">INT($C$29)+2</f>
        <v>3</v>
      </c>
      <c r="D1157" s="73"/>
      <c r="E1157" s="70"/>
      <c r="F1157" s="70" t="s">
        <v>1717</v>
      </c>
      <c r="G1157" s="73"/>
      <c r="H1157" s="76" t="s">
        <v>3482</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4"/>
        <v>3</v>
      </c>
      <c r="D1158" s="73"/>
      <c r="E1158" s="70"/>
      <c r="F1158" s="70" t="s">
        <v>3493</v>
      </c>
      <c r="G1158" s="73"/>
      <c r="H1158" s="76" t="s">
        <v>3489</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4"/>
        <v>3</v>
      </c>
      <c r="D1159" s="73"/>
      <c r="E1159" s="70"/>
      <c r="F1159" s="70" t="s">
        <v>1718</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4"/>
        <v>3</v>
      </c>
      <c r="D1160" s="73"/>
      <c r="E1160" s="70"/>
      <c r="F1160" s="70" t="s">
        <v>3494</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4"/>
        <v>3</v>
      </c>
      <c r="D1161" s="73"/>
      <c r="E1161" s="70"/>
      <c r="F1161" s="70" t="s">
        <v>1721</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4"/>
        <v>3</v>
      </c>
      <c r="D1162" s="73"/>
      <c r="E1162" s="70"/>
      <c r="F1162" s="70" t="s">
        <v>3495</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4"/>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4"/>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5">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5"/>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5"/>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5"/>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5"/>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5"/>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5"/>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5"/>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5"/>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5"/>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5"/>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5"/>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5"/>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5"/>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5"/>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5"/>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5"/>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5"/>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5"/>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5"/>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5"/>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5"/>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5"/>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5"/>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5"/>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5"/>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5"/>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5"/>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5"/>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5"/>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5"/>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5"/>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6">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6"/>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6"/>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6"/>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6"/>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6"/>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6"/>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6"/>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6"/>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6"/>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6"/>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6"/>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6"/>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6"/>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6"/>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6"/>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6"/>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6"/>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6"/>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6"/>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6"/>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6"/>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6"/>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6"/>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6"/>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6"/>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6"/>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6"/>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6"/>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6"/>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6"/>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6"/>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7">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7"/>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7"/>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7"/>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7"/>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7"/>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7"/>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7"/>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7"/>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7"/>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7"/>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7"/>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7"/>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7"/>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7"/>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7"/>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7"/>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7"/>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7"/>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7"/>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7"/>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7"/>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7"/>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7"/>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8">U1255</f>
        <v>9.9999999999999985E-3</v>
      </c>
      <c r="V1254" s="253">
        <f t="shared" si="318"/>
        <v>9.9999999999999985E-3</v>
      </c>
      <c r="W1254" s="253">
        <f t="shared" si="318"/>
        <v>9.9999999999999985E-3</v>
      </c>
      <c r="X1254" s="253">
        <f t="shared" si="318"/>
        <v>9.9999999999999985E-3</v>
      </c>
      <c r="Y1254" s="253">
        <f t="shared" si="318"/>
        <v>9.9999999999999985E-3</v>
      </c>
      <c r="Z1254" s="253">
        <f t="shared" si="318"/>
        <v>9.9999999999999985E-3</v>
      </c>
      <c r="AA1254" s="253">
        <f t="shared" si="318"/>
        <v>9.9999999999999985E-3</v>
      </c>
      <c r="AB1254" s="253">
        <f t="shared" si="318"/>
        <v>9.9999999999999985E-3</v>
      </c>
      <c r="AC1254" s="253">
        <f t="shared" si="318"/>
        <v>9.9999999999999985E-3</v>
      </c>
      <c r="AD1254" s="253">
        <f t="shared" si="318"/>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9">Y1255</f>
        <v>9.9999999999999985E-3</v>
      </c>
      <c r="AA1255" s="255">
        <f t="shared" si="319"/>
        <v>9.9999999999999985E-3</v>
      </c>
      <c r="AB1255" s="255">
        <f t="shared" si="319"/>
        <v>9.9999999999999985E-3</v>
      </c>
      <c r="AC1255" s="255">
        <f t="shared" si="319"/>
        <v>9.9999999999999985E-3</v>
      </c>
      <c r="AD1255" s="255">
        <f t="shared" si="319"/>
        <v>9.9999999999999985E-3</v>
      </c>
      <c r="AE1255" s="76"/>
      <c r="AF1255" s="76"/>
      <c r="AG1255" s="76"/>
      <c r="AH1255" s="97">
        <v>1</v>
      </c>
      <c r="AI1255" s="97">
        <v>1</v>
      </c>
      <c r="AJ1255" s="73"/>
      <c r="AK1255" s="57"/>
      <c r="AL1255" s="45"/>
      <c r="AM1255" s="45"/>
      <c r="AN1255" s="45"/>
    </row>
    <row r="1256" spans="1:40" hidden="1" outlineLevel="2" collapsed="1"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9"/>
        <v>9.0000000000000011E-3</v>
      </c>
      <c r="AA1256" s="255">
        <f t="shared" si="319"/>
        <v>9.0000000000000011E-3</v>
      </c>
      <c r="AB1256" s="255">
        <f t="shared" si="319"/>
        <v>9.0000000000000011E-3</v>
      </c>
      <c r="AC1256" s="255">
        <f t="shared" si="319"/>
        <v>9.0000000000000011E-3</v>
      </c>
      <c r="AD1256" s="255">
        <f t="shared" si="319"/>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20">Y1260</f>
        <v>0</v>
      </c>
      <c r="AA1260" s="255">
        <f t="shared" si="320"/>
        <v>0</v>
      </c>
      <c r="AB1260" s="255">
        <f t="shared" si="320"/>
        <v>0</v>
      </c>
      <c r="AC1260" s="255">
        <f t="shared" si="320"/>
        <v>0</v>
      </c>
      <c r="AD1260" s="255">
        <f t="shared" si="320"/>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20"/>
        <v>0</v>
      </c>
      <c r="AA1261" s="255">
        <f t="shared" si="320"/>
        <v>0</v>
      </c>
      <c r="AB1261" s="255">
        <f t="shared" si="320"/>
        <v>0</v>
      </c>
      <c r="AC1261" s="255">
        <f t="shared" si="320"/>
        <v>0</v>
      </c>
      <c r="AD1261" s="255">
        <f t="shared" si="320"/>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21">U1263</f>
        <v>-1.9E-2</v>
      </c>
      <c r="V1262" s="253">
        <f t="shared" si="321"/>
        <v>-1.9E-2</v>
      </c>
      <c r="W1262" s="253">
        <f t="shared" si="321"/>
        <v>-1.9E-2</v>
      </c>
      <c r="X1262" s="253">
        <f t="shared" si="321"/>
        <v>-1.9E-2</v>
      </c>
      <c r="Y1262" s="253">
        <f t="shared" si="321"/>
        <v>-1.9E-2</v>
      </c>
      <c r="Z1262" s="253">
        <f t="shared" si="321"/>
        <v>-1.9E-2</v>
      </c>
      <c r="AA1262" s="253">
        <f t="shared" si="321"/>
        <v>-1.9E-2</v>
      </c>
      <c r="AB1262" s="253">
        <f t="shared" si="321"/>
        <v>-1.9E-2</v>
      </c>
      <c r="AC1262" s="253">
        <f t="shared" si="321"/>
        <v>-1.9E-2</v>
      </c>
      <c r="AD1262" s="253">
        <f t="shared" si="321"/>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2">Y1263</f>
        <v>-1.9E-2</v>
      </c>
      <c r="AA1263" s="255">
        <f t="shared" si="322"/>
        <v>-1.9E-2</v>
      </c>
      <c r="AB1263" s="255">
        <f t="shared" si="322"/>
        <v>-1.9E-2</v>
      </c>
      <c r="AC1263" s="255">
        <f t="shared" si="322"/>
        <v>-1.9E-2</v>
      </c>
      <c r="AD1263" s="255">
        <f t="shared" si="322"/>
        <v>-1.9E-2</v>
      </c>
      <c r="AE1263" s="76"/>
      <c r="AF1263" s="76"/>
      <c r="AG1263" s="76"/>
      <c r="AH1263" s="97">
        <v>1</v>
      </c>
      <c r="AI1263" s="97">
        <v>1</v>
      </c>
      <c r="AJ1263" s="73"/>
      <c r="AK1263" s="57"/>
      <c r="AL1263" s="45"/>
      <c r="AM1263" s="45"/>
      <c r="AN1263" s="45"/>
    </row>
    <row r="1264" spans="1:40" hidden="1" outlineLevel="2" collapsed="1"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2"/>
        <v>-3.1E-2</v>
      </c>
      <c r="AA1264" s="255">
        <f t="shared" si="322"/>
        <v>-3.1E-2</v>
      </c>
      <c r="AB1264" s="255">
        <f t="shared" si="322"/>
        <v>-3.1E-2</v>
      </c>
      <c r="AC1264" s="255">
        <f t="shared" si="322"/>
        <v>-3.1E-2</v>
      </c>
      <c r="AD1264" s="255">
        <f t="shared" si="322"/>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3">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3"/>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3"/>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3"/>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3"/>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3"/>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3"/>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3"/>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3"/>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3"/>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3"/>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3"/>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3"/>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3"/>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3"/>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3"/>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4">U1287</f>
        <v>8.5699999999999995E-3</v>
      </c>
      <c r="V1286" s="253">
        <f t="shared" si="324"/>
        <v>8.5699999999999995E-3</v>
      </c>
      <c r="W1286" s="253">
        <f t="shared" si="324"/>
        <v>8.5699999999999995E-3</v>
      </c>
      <c r="X1286" s="253">
        <f t="shared" si="324"/>
        <v>8.5699999999999995E-3</v>
      </c>
      <c r="Y1286" s="253">
        <f t="shared" si="324"/>
        <v>8.5699999999999995E-3</v>
      </c>
      <c r="Z1286" s="253">
        <f t="shared" si="324"/>
        <v>2.7799999999999999E-3</v>
      </c>
      <c r="AA1286" s="253">
        <f t="shared" si="324"/>
        <v>2.7799999999999999E-3</v>
      </c>
      <c r="AB1286" s="253">
        <f t="shared" si="324"/>
        <v>2.7799999999999999E-3</v>
      </c>
      <c r="AC1286" s="253">
        <f t="shared" si="324"/>
        <v>2.7799999999999999E-3</v>
      </c>
      <c r="AD1286" s="253">
        <f t="shared" si="324"/>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5">AA1287</f>
        <v>2.7799999999999999E-3</v>
      </c>
      <c r="AC1287" s="400">
        <f t="shared" si="325"/>
        <v>2.7799999999999999E-3</v>
      </c>
      <c r="AD1287" s="400">
        <f t="shared" si="325"/>
        <v>2.7799999999999999E-3</v>
      </c>
      <c r="AE1287" s="76"/>
      <c r="AF1287" s="76"/>
      <c r="AG1287" s="76"/>
      <c r="AH1287" s="97">
        <v>1</v>
      </c>
      <c r="AI1287" s="97">
        <v>1</v>
      </c>
      <c r="AJ1287" s="73"/>
      <c r="AK1287" s="57"/>
      <c r="AL1287" s="45"/>
      <c r="AM1287" s="45"/>
      <c r="AN1287" s="45"/>
    </row>
    <row r="1288" spans="1:40" hidden="1" outlineLevel="2" collapsed="1"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5"/>
        <v>1.6129999999999999E-2</v>
      </c>
      <c r="AC1288" s="400">
        <f t="shared" si="325"/>
        <v>1.6129999999999999E-2</v>
      </c>
      <c r="AD1288" s="400">
        <f t="shared" si="325"/>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6">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7">AA1292</f>
        <v>4.2411000000000003</v>
      </c>
      <c r="AC1292" s="411">
        <f t="shared" si="327"/>
        <v>4.2411000000000003</v>
      </c>
      <c r="AD1292" s="411">
        <f t="shared" si="327"/>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6"/>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7"/>
        <v>0.13919999999999999</v>
      </c>
      <c r="AC1293" s="401">
        <f t="shared" si="327"/>
        <v>0.13919999999999999</v>
      </c>
      <c r="AD1293" s="401">
        <f t="shared" si="327"/>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6"/>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8">U1295</f>
        <v>0.03</v>
      </c>
      <c r="V1294" s="253">
        <f t="shared" si="328"/>
        <v>0.03</v>
      </c>
      <c r="W1294" s="253">
        <f t="shared" si="328"/>
        <v>0.03</v>
      </c>
      <c r="X1294" s="253">
        <f t="shared" si="328"/>
        <v>0.03</v>
      </c>
      <c r="Y1294" s="253">
        <f t="shared" si="328"/>
        <v>0.03</v>
      </c>
      <c r="Z1294" s="253">
        <f t="shared" si="328"/>
        <v>7.0000000000000062E-3</v>
      </c>
      <c r="AA1294" s="253">
        <f t="shared" si="328"/>
        <v>7.0000000000000062E-3</v>
      </c>
      <c r="AB1294" s="253">
        <f t="shared" si="328"/>
        <v>7.0000000000000062E-3</v>
      </c>
      <c r="AC1294" s="253">
        <f t="shared" si="328"/>
        <v>7.0000000000000062E-3</v>
      </c>
      <c r="AD1294" s="253">
        <f t="shared" si="328"/>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6"/>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9">AA1295</f>
        <v>7.0000000000000062E-3</v>
      </c>
      <c r="AA1295" s="97">
        <f>0.1462-AA$1293</f>
        <v>7.0000000000000062E-3</v>
      </c>
      <c r="AB1295" s="255">
        <f t="shared" ref="AB1295:AD1301" si="330">AA1295</f>
        <v>7.0000000000000062E-3</v>
      </c>
      <c r="AC1295" s="255">
        <f t="shared" si="330"/>
        <v>7.0000000000000062E-3</v>
      </c>
      <c r="AD1295" s="255">
        <f t="shared" si="330"/>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6"/>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9"/>
        <v>-3.0299999999999994E-2</v>
      </c>
      <c r="AA1296" s="97">
        <f>0.1089-AA$1293</f>
        <v>-3.0299999999999994E-2</v>
      </c>
      <c r="AB1296" s="255">
        <f t="shared" si="330"/>
        <v>-3.0299999999999994E-2</v>
      </c>
      <c r="AC1296" s="255">
        <f t="shared" si="330"/>
        <v>-3.0299999999999994E-2</v>
      </c>
      <c r="AD1296" s="255">
        <f t="shared" si="330"/>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6"/>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9"/>
        <v>-0.13919999999999999</v>
      </c>
      <c r="AA1297" s="97">
        <f>0-AA$1293</f>
        <v>-0.13919999999999999</v>
      </c>
      <c r="AB1297" s="255">
        <f t="shared" si="330"/>
        <v>-0.13919999999999999</v>
      </c>
      <c r="AC1297" s="255">
        <f t="shared" si="330"/>
        <v>-0.13919999999999999</v>
      </c>
      <c r="AD1297" s="255">
        <f t="shared" si="330"/>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6"/>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9"/>
        <v>0</v>
      </c>
      <c r="AA1298" s="76">
        <v>0</v>
      </c>
      <c r="AB1298" s="255">
        <f t="shared" si="330"/>
        <v>0</v>
      </c>
      <c r="AC1298" s="255">
        <f t="shared" si="330"/>
        <v>0</v>
      </c>
      <c r="AD1298" s="255">
        <f t="shared" si="330"/>
        <v>0</v>
      </c>
      <c r="AE1298" s="76"/>
      <c r="AF1298" s="76"/>
      <c r="AG1298" s="76"/>
      <c r="AH1298" s="97">
        <v>1</v>
      </c>
      <c r="AI1298" s="97">
        <v>1</v>
      </c>
      <c r="AJ1298" s="73"/>
      <c r="AK1298" s="57"/>
      <c r="AL1298" s="45"/>
      <c r="AM1298" s="45"/>
      <c r="AN1298" s="45"/>
    </row>
    <row r="1299" spans="1:40" hidden="1" outlineLevel="2" x14ac:dyDescent="0.25">
      <c r="A1299" s="45"/>
      <c r="B1299" s="54"/>
      <c r="C1299" s="47">
        <f t="shared" si="326"/>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9"/>
        <v>0</v>
      </c>
      <c r="AA1299" s="76">
        <v>0</v>
      </c>
      <c r="AB1299" s="255">
        <f t="shared" si="330"/>
        <v>0</v>
      </c>
      <c r="AC1299" s="255">
        <f t="shared" si="330"/>
        <v>0</v>
      </c>
      <c r="AD1299" s="255">
        <f t="shared" si="330"/>
        <v>0</v>
      </c>
      <c r="AE1299" s="76"/>
      <c r="AF1299" s="76"/>
      <c r="AG1299" s="76"/>
      <c r="AH1299" s="97">
        <v>1</v>
      </c>
      <c r="AI1299" s="97">
        <v>1</v>
      </c>
      <c r="AJ1299" s="73"/>
      <c r="AK1299" s="57"/>
      <c r="AL1299" s="45"/>
      <c r="AM1299" s="45"/>
      <c r="AN1299" s="45"/>
    </row>
    <row r="1300" spans="1:40" hidden="1" outlineLevel="2" x14ac:dyDescent="0.25">
      <c r="A1300" s="45"/>
      <c r="B1300" s="54"/>
      <c r="C1300" s="47">
        <f t="shared" si="326"/>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9"/>
        <v>24.748000000000001</v>
      </c>
      <c r="AA1300" s="97">
        <f>27.01-0.2262*10</f>
        <v>24.748000000000001</v>
      </c>
      <c r="AB1300" s="255">
        <f t="shared" si="330"/>
        <v>24.748000000000001</v>
      </c>
      <c r="AC1300" s="255">
        <f t="shared" si="330"/>
        <v>24.748000000000001</v>
      </c>
      <c r="AD1300" s="255">
        <f t="shared" si="330"/>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6"/>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9"/>
        <v>2.0499999999999997E-3</v>
      </c>
      <c r="AA1301" s="97">
        <f>2.05/1000</f>
        <v>2.0499999999999997E-3</v>
      </c>
      <c r="AB1301" s="255">
        <f t="shared" si="330"/>
        <v>2.0499999999999997E-3</v>
      </c>
      <c r="AC1301" s="255">
        <f t="shared" si="330"/>
        <v>2.0499999999999997E-3</v>
      </c>
      <c r="AD1301" s="255">
        <f t="shared" si="330"/>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6"/>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31">U1303</f>
        <v>-5.9999999999999724E-5</v>
      </c>
      <c r="V1302" s="253">
        <f t="shared" si="331"/>
        <v>-5.9999999999999724E-5</v>
      </c>
      <c r="W1302" s="253">
        <f t="shared" si="331"/>
        <v>-5.9999999999999724E-5</v>
      </c>
      <c r="X1302" s="253">
        <f t="shared" si="331"/>
        <v>-5.9999999999999724E-5</v>
      </c>
      <c r="Y1302" s="253">
        <f t="shared" si="331"/>
        <v>-5.9999999999999724E-5</v>
      </c>
      <c r="Z1302" s="253">
        <f t="shared" si="331"/>
        <v>-5.9999999999999724E-5</v>
      </c>
      <c r="AA1302" s="253">
        <f t="shared" si="331"/>
        <v>-5.9999999999999724E-5</v>
      </c>
      <c r="AB1302" s="253">
        <f t="shared" si="331"/>
        <v>-5.9999999999999724E-5</v>
      </c>
      <c r="AC1302" s="253">
        <f t="shared" si="331"/>
        <v>-5.9999999999999724E-5</v>
      </c>
      <c r="AD1302" s="253">
        <f t="shared" si="331"/>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6"/>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2">AA1303</f>
        <v>-5.9999999999999724E-5</v>
      </c>
      <c r="AA1303" s="97">
        <f>1.99/1000-AA$1301</f>
        <v>-5.9999999999999724E-5</v>
      </c>
      <c r="AB1303" s="255">
        <f t="shared" ref="AB1303:AD1308" si="333">AA1303</f>
        <v>-5.9999999999999724E-5</v>
      </c>
      <c r="AC1303" s="255">
        <f t="shared" si="333"/>
        <v>-5.9999999999999724E-5</v>
      </c>
      <c r="AD1303" s="255">
        <f t="shared" si="333"/>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6"/>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2"/>
        <v>-6.4999999999999975E-4</v>
      </c>
      <c r="AA1304" s="97">
        <f>1.4/1000-AA$1301</f>
        <v>-6.4999999999999975E-4</v>
      </c>
      <c r="AB1304" s="255">
        <f t="shared" si="333"/>
        <v>-6.4999999999999975E-4</v>
      </c>
      <c r="AC1304" s="255">
        <f t="shared" si="333"/>
        <v>-6.4999999999999975E-4</v>
      </c>
      <c r="AD1304" s="255">
        <f t="shared" si="333"/>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6"/>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2"/>
        <v>-2.0499999999999997E-3</v>
      </c>
      <c r="AA1305" s="97">
        <f>0-AA$1301</f>
        <v>-2.0499999999999997E-3</v>
      </c>
      <c r="AB1305" s="255">
        <f t="shared" si="333"/>
        <v>-2.0499999999999997E-3</v>
      </c>
      <c r="AC1305" s="255">
        <f t="shared" si="333"/>
        <v>-2.0499999999999997E-3</v>
      </c>
      <c r="AD1305" s="255">
        <f t="shared" si="333"/>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6"/>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2"/>
        <v>1.02E-4</v>
      </c>
      <c r="AA1306" s="97">
        <f>0.102/1000</f>
        <v>1.02E-4</v>
      </c>
      <c r="AB1306" s="255">
        <f t="shared" si="333"/>
        <v>1.02E-4</v>
      </c>
      <c r="AC1306" s="255">
        <f t="shared" si="333"/>
        <v>1.02E-4</v>
      </c>
      <c r="AD1306" s="255">
        <f t="shared" si="333"/>
        <v>1.02E-4</v>
      </c>
      <c r="AE1306" s="76"/>
      <c r="AF1306" s="76"/>
      <c r="AG1306" s="76"/>
      <c r="AH1306" s="97">
        <v>1</v>
      </c>
      <c r="AI1306" s="97">
        <v>1</v>
      </c>
      <c r="AJ1306" s="73"/>
      <c r="AK1306" s="57"/>
      <c r="AL1306" s="45"/>
      <c r="AM1306" s="45"/>
      <c r="AN1306" s="45"/>
    </row>
    <row r="1307" spans="1:40" hidden="1" outlineLevel="2" x14ac:dyDescent="0.25">
      <c r="A1307" s="45"/>
      <c r="B1307" s="54"/>
      <c r="C1307" s="47">
        <f t="shared" si="326"/>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2"/>
        <v>-1.9000000000000001E-8</v>
      </c>
      <c r="AA1307" s="97">
        <f>-0.000019/1000</f>
        <v>-1.9000000000000001E-8</v>
      </c>
      <c r="AB1307" s="255">
        <f t="shared" si="333"/>
        <v>-1.9000000000000001E-8</v>
      </c>
      <c r="AC1307" s="255">
        <f t="shared" si="333"/>
        <v>-1.9000000000000001E-8</v>
      </c>
      <c r="AD1307" s="255">
        <f t="shared" si="333"/>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6"/>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2"/>
        <v>1.49E-2</v>
      </c>
      <c r="AA1308" s="97">
        <f>14.9/1000</f>
        <v>1.49E-2</v>
      </c>
      <c r="AB1308" s="255">
        <f t="shared" si="333"/>
        <v>1.49E-2</v>
      </c>
      <c r="AC1308" s="255">
        <f t="shared" si="333"/>
        <v>1.49E-2</v>
      </c>
      <c r="AD1308" s="255">
        <f t="shared" si="333"/>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3336</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3337</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4">INT($C$29)+2</f>
        <v>3</v>
      </c>
      <c r="D1316" s="73"/>
      <c r="E1316" s="406"/>
      <c r="F1316" s="406" t="s">
        <v>3343</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hidden="1" outlineLevel="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5">INT($C$29)+3</f>
        <v>4</v>
      </c>
      <c r="D1318" s="73"/>
      <c r="E1318" s="70"/>
      <c r="F1318" s="70" t="s">
        <v>1909</v>
      </c>
      <c r="G1318" s="73"/>
      <c r="H1318" s="76" t="s">
        <v>3483</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5"/>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5"/>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5"/>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5"/>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5"/>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5"/>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5"/>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5"/>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5"/>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5"/>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5"/>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5"/>
        <v>4</v>
      </c>
      <c r="D1330" s="73"/>
      <c r="E1330" s="70"/>
      <c r="F1330" s="70" t="str">
        <f>SUBSTITUTE(F1325,",7)",",12)")</f>
        <v>C(U2,0,12)</v>
      </c>
      <c r="G1330" s="73"/>
      <c r="H1330" s="76" t="s">
        <v>3330</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5"/>
        <v>4</v>
      </c>
      <c r="D1331" s="73"/>
      <c r="E1331" s="70"/>
      <c r="F1331" s="70" t="str">
        <f>SUBSTITUTE(F1325,",7)",",13)")</f>
        <v>C(U2,0,13)</v>
      </c>
      <c r="G1331" s="73"/>
      <c r="H1331" s="76" t="s">
        <v>3331</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5"/>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5"/>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5"/>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5"/>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5"/>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5"/>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6">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6"/>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6"/>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6"/>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6"/>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6"/>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6"/>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6"/>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6"/>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6"/>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6"/>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6"/>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7">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7"/>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7"/>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7"/>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7"/>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7"/>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7"/>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7"/>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7"/>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7"/>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7"/>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7"/>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38">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8"/>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8"/>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8"/>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8"/>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8"/>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8"/>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8"/>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8"/>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8"/>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8"/>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8"/>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39">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9"/>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9"/>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9"/>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9"/>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9"/>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9"/>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9"/>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9"/>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9"/>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9"/>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39"/>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40">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40"/>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0"/>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0"/>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0"/>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0"/>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0"/>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0"/>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0"/>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0"/>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0"/>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0"/>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41">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41"/>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1"/>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1"/>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1"/>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1"/>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1"/>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1"/>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1"/>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1"/>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1"/>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1"/>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2">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2"/>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3">U1438</f>
        <v>3.157</v>
      </c>
      <c r="X1438" s="405">
        <f t="shared" si="343"/>
        <v>3.157</v>
      </c>
      <c r="Y1438" s="405">
        <f>V1438</f>
        <v>3.157</v>
      </c>
      <c r="Z1438" s="405">
        <f>AA1438</f>
        <v>2.9750000000000001</v>
      </c>
      <c r="AA1438" s="404">
        <v>2.9750000000000001</v>
      </c>
      <c r="AB1438" s="405">
        <f t="shared" ref="AB1438:AD1440" si="344">AA1438</f>
        <v>2.9750000000000001</v>
      </c>
      <c r="AC1438" s="405">
        <f t="shared" si="344"/>
        <v>2.9750000000000001</v>
      </c>
      <c r="AD1438" s="405">
        <f t="shared" si="344"/>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3"/>
        <v>-0.28570000000000001</v>
      </c>
      <c r="X1439" s="255">
        <f t="shared" si="343"/>
        <v>-0.28570000000000001</v>
      </c>
      <c r="Y1439" s="255">
        <f>V1439</f>
        <v>-0.28570000000000001</v>
      </c>
      <c r="Z1439" s="400">
        <f>AA1439</f>
        <v>-0.23649999999999999</v>
      </c>
      <c r="AA1439" s="97">
        <v>-0.23649999999999999</v>
      </c>
      <c r="AB1439" s="400">
        <f t="shared" si="344"/>
        <v>-0.23649999999999999</v>
      </c>
      <c r="AC1439" s="400">
        <f t="shared" si="344"/>
        <v>-0.23649999999999999</v>
      </c>
      <c r="AD1439" s="400">
        <f t="shared" si="344"/>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3"/>
        <v>-7.9950000000000004E-3</v>
      </c>
      <c r="X1440" s="255">
        <f t="shared" si="343"/>
        <v>-7.9950000000000004E-3</v>
      </c>
      <c r="Y1440" s="255">
        <f>V1440</f>
        <v>-7.9950000000000004E-3</v>
      </c>
      <c r="Z1440" s="400">
        <f>AA1440</f>
        <v>-1.761E-3</v>
      </c>
      <c r="AA1440" s="97">
        <v>-1.761E-3</v>
      </c>
      <c r="AB1440" s="400">
        <f t="shared" si="344"/>
        <v>-1.761E-3</v>
      </c>
      <c r="AC1440" s="400">
        <f t="shared" si="344"/>
        <v>-1.761E-3</v>
      </c>
      <c r="AD1440" s="400">
        <f t="shared" si="344"/>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5">AA1442</f>
        <v>0</v>
      </c>
      <c r="AC1442" s="400">
        <f t="shared" si="345"/>
        <v>0</v>
      </c>
      <c r="AD1442" s="400">
        <f t="shared" si="345"/>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5"/>
        <v>0</v>
      </c>
      <c r="AC1443" s="400">
        <f t="shared" si="345"/>
        <v>0</v>
      </c>
      <c r="AD1443" s="400">
        <f t="shared" si="345"/>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6">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6"/>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6"/>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6"/>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6"/>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6"/>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6"/>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6"/>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3287</v>
      </c>
      <c r="U1452" s="409">
        <v>1.7397800000000001</v>
      </c>
      <c r="V1452" s="410">
        <v>1.539867449283725</v>
      </c>
      <c r="W1452" s="409">
        <v>1.5309999999999999</v>
      </c>
      <c r="X1452" s="409">
        <v>1.551891697961602</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47">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7"/>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7"/>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7"/>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7"/>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7"/>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7"/>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7"/>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7"/>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7"/>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7"/>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7"/>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48">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8"/>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8"/>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8"/>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8"/>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8"/>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8"/>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8"/>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8"/>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8"/>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8"/>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8"/>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49">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9"/>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9"/>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9"/>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9"/>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9"/>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9"/>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9"/>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9"/>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9"/>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9"/>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49"/>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50">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50"/>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0"/>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0"/>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0"/>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0"/>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0"/>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0"/>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0"/>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0"/>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0"/>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0"/>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51">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51"/>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1"/>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1"/>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1"/>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1"/>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1"/>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1"/>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1"/>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1"/>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1"/>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1"/>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2">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2"/>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2"/>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2"/>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2"/>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2"/>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2"/>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2"/>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2"/>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2"/>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2"/>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2"/>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3">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3"/>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3"/>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3"/>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3"/>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3"/>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3"/>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3"/>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3"/>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3"/>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3"/>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3"/>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4">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4"/>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4"/>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4"/>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4"/>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4"/>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4"/>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4"/>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4"/>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4"/>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4"/>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4"/>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5">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5"/>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5"/>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5"/>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5"/>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5"/>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5"/>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5"/>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5"/>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5"/>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5"/>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5"/>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6">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6"/>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6"/>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6"/>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6"/>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6"/>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6"/>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6"/>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6"/>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6"/>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6"/>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6"/>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57">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57"/>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8">Y1618</f>
        <v>0.57699999999999996</v>
      </c>
      <c r="AA1618" s="255">
        <f t="shared" si="358"/>
        <v>0.57699999999999996</v>
      </c>
      <c r="AB1618" s="255">
        <f t="shared" si="358"/>
        <v>0.57699999999999996</v>
      </c>
      <c r="AC1618" s="255">
        <f t="shared" si="358"/>
        <v>0.57699999999999996</v>
      </c>
      <c r="AD1618" s="255">
        <f t="shared" si="358"/>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8"/>
        <v>-1.2E-2</v>
      </c>
      <c r="AA1619" s="255">
        <f t="shared" si="358"/>
        <v>-1.2E-2</v>
      </c>
      <c r="AB1619" s="255">
        <f t="shared" si="358"/>
        <v>-1.2E-2</v>
      </c>
      <c r="AC1619" s="255">
        <f t="shared" si="358"/>
        <v>-1.2E-2</v>
      </c>
      <c r="AD1619" s="255">
        <f t="shared" si="358"/>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59">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9"/>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59"/>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9"/>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9"/>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9"/>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9"/>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59"/>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60">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60"/>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61">Y1648</f>
        <v>-8.4959000000000007</v>
      </c>
      <c r="AA1648" s="261">
        <f t="shared" si="361"/>
        <v>-8.4959000000000007</v>
      </c>
      <c r="AB1648" s="261">
        <f t="shared" si="361"/>
        <v>-8.4959000000000007</v>
      </c>
      <c r="AC1648" s="261">
        <f t="shared" si="361"/>
        <v>-8.4959000000000007</v>
      </c>
      <c r="AD1648" s="261">
        <f t="shared" si="361"/>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61"/>
        <v>1.38185</v>
      </c>
      <c r="AA1649" s="261">
        <f t="shared" si="361"/>
        <v>1.38185</v>
      </c>
      <c r="AB1649" s="261">
        <f t="shared" si="361"/>
        <v>1.38185</v>
      </c>
      <c r="AC1649" s="261">
        <f t="shared" si="361"/>
        <v>1.38185</v>
      </c>
      <c r="AD1649" s="261">
        <f t="shared" si="361"/>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2">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2"/>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2"/>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2"/>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2"/>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2"/>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2"/>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2"/>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2"/>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2"/>
        <v>4</v>
      </c>
      <c r="D1659" s="73"/>
      <c r="E1659" s="70"/>
      <c r="F1659" s="70" t="str">
        <f>SUBSTITUTE(F1655,",7)",",11)")</f>
        <v>C(U2,22,11)</v>
      </c>
      <c r="G1659" s="73"/>
      <c r="H1659" s="373" t="s">
        <v>3333</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2"/>
        <v>4</v>
      </c>
      <c r="D1660" s="73"/>
      <c r="E1660" s="70"/>
      <c r="F1660" s="70" t="str">
        <f>SUBSTITUTE(F1654,",6)",",12)")</f>
        <v>C(U2,22,12)</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2"/>
        <v>4</v>
      </c>
      <c r="D1661" s="73"/>
      <c r="E1661" s="70"/>
      <c r="F1661" s="70" t="str">
        <f>SUBSTITUTE(F1655,",7)",",13)")</f>
        <v>C(U2,22,13)</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3">U1662</f>
        <v>7.50061</v>
      </c>
      <c r="X1662" s="261">
        <f t="shared" si="363"/>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3"/>
        <v>-4.5568499999999998</v>
      </c>
      <c r="X1663" s="255">
        <f t="shared" si="363"/>
        <v>-4.5568499999999998</v>
      </c>
      <c r="Y1663" s="255">
        <f>V1663</f>
        <v>-4.5568499999999998</v>
      </c>
      <c r="Z1663" s="255">
        <f>AA1663</f>
        <v>-4.5568499999999998</v>
      </c>
      <c r="AA1663" s="97">
        <f>-(4.55685)</f>
        <v>-4.5568499999999998</v>
      </c>
      <c r="AB1663" s="255">
        <f t="shared" ref="AB1663:AD1665" si="364">AA1663</f>
        <v>-4.5568499999999998</v>
      </c>
      <c r="AC1663" s="255">
        <f t="shared" si="364"/>
        <v>-4.5568499999999998</v>
      </c>
      <c r="AD1663" s="255">
        <f t="shared" si="364"/>
        <v>-4.5568499999999998</v>
      </c>
      <c r="AE1663" s="76"/>
      <c r="AF1663" s="97" t="s">
        <v>3332</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3"/>
        <v>0.69092500000000001</v>
      </c>
      <c r="X1664" s="255">
        <f t="shared" si="363"/>
        <v>0.69092500000000001</v>
      </c>
      <c r="Y1664" s="255">
        <f>V1664</f>
        <v>0.69092500000000001</v>
      </c>
      <c r="Z1664" s="255">
        <f>AA1664</f>
        <v>0.69092500000000001</v>
      </c>
      <c r="AA1664" s="97">
        <f>-(-0.690925)</f>
        <v>0.69092500000000001</v>
      </c>
      <c r="AB1664" s="255">
        <f t="shared" si="364"/>
        <v>0.69092500000000001</v>
      </c>
      <c r="AC1664" s="255">
        <f t="shared" si="364"/>
        <v>0.69092500000000001</v>
      </c>
      <c r="AD1664" s="255">
        <f t="shared" si="364"/>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5">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3"/>
        <v>-0.15570000000000001</v>
      </c>
      <c r="X1665" s="255">
        <f t="shared" si="363"/>
        <v>-0.15570000000000001</v>
      </c>
      <c r="Y1665" s="255">
        <f>V1665</f>
        <v>-0.15570000000000001</v>
      </c>
      <c r="Z1665" s="255">
        <f>AA1665</f>
        <v>-0.15570000000000001</v>
      </c>
      <c r="AA1665" s="97">
        <f>-(0.1557)</f>
        <v>-0.15570000000000001</v>
      </c>
      <c r="AB1665" s="255">
        <f t="shared" si="364"/>
        <v>-0.15570000000000001</v>
      </c>
      <c r="AC1665" s="255">
        <f t="shared" si="364"/>
        <v>-0.15570000000000001</v>
      </c>
      <c r="AD1665" s="255">
        <f t="shared" si="364"/>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5"/>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5"/>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5"/>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5"/>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5"/>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5"/>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5"/>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5"/>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5"/>
        <v>4</v>
      </c>
      <c r="D1674" s="73"/>
      <c r="E1674" s="70"/>
      <c r="F1674" s="70" t="str">
        <f>SUBSTITUTE(F1670,",7)",",11)")</f>
        <v>C(U2,23,11)</v>
      </c>
      <c r="G1674" s="73"/>
      <c r="H1674" s="373" t="s">
        <v>3333</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5"/>
        <v>4</v>
      </c>
      <c r="D1675" s="73"/>
      <c r="E1675" s="70"/>
      <c r="F1675" s="70" t="str">
        <f>SUBSTITUTE(F1669,",6)",",12)")</f>
        <v>C(U2,23,12)</v>
      </c>
      <c r="G1675" s="73"/>
      <c r="H1675" s="373" t="s">
        <v>3484</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5"/>
        <v>4</v>
      </c>
      <c r="D1676" s="73"/>
      <c r="E1676" s="70"/>
      <c r="F1676" s="70" t="s">
        <v>3485</v>
      </c>
      <c r="G1676" s="73"/>
      <c r="H1676" s="374" t="s">
        <v>2795</v>
      </c>
      <c r="I1676" s="96"/>
      <c r="J1676" s="76"/>
      <c r="K1676" s="76"/>
      <c r="L1676" s="76"/>
      <c r="M1676" s="76"/>
      <c r="N1676" s="76"/>
      <c r="O1676" s="76"/>
      <c r="P1676" s="76"/>
      <c r="Q1676" s="76"/>
      <c r="R1676" s="76"/>
      <c r="S1676" s="76"/>
      <c r="T1676" s="76"/>
      <c r="U1676" s="337">
        <f t="shared" ref="U1676:AD1676" si="366">-U$1663/(2*U$1664)</f>
        <v>3.2976444621340955</v>
      </c>
      <c r="V1676" s="337">
        <f t="shared" si="366"/>
        <v>3.2976444621340955</v>
      </c>
      <c r="W1676" s="337">
        <f t="shared" si="366"/>
        <v>3.2976444621340955</v>
      </c>
      <c r="X1676" s="337">
        <f t="shared" si="366"/>
        <v>3.2976444621340955</v>
      </c>
      <c r="Y1676" s="337">
        <f t="shared" si="366"/>
        <v>3.2976444621340955</v>
      </c>
      <c r="Z1676" s="337">
        <f t="shared" si="366"/>
        <v>3.2976444621340955</v>
      </c>
      <c r="AA1676" s="337">
        <f t="shared" si="366"/>
        <v>3.2976444621340955</v>
      </c>
      <c r="AB1676" s="337">
        <f t="shared" si="366"/>
        <v>3.2976444621340955</v>
      </c>
      <c r="AC1676" s="337">
        <f t="shared" si="366"/>
        <v>3.2976444621340955</v>
      </c>
      <c r="AD1676" s="337">
        <f t="shared" si="366"/>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7">U1677</f>
        <v>2.0276899999999998</v>
      </c>
      <c r="W1677" s="255">
        <f t="shared" ref="W1677:X1683" si="368">U1677</f>
        <v>2.0276899999999998</v>
      </c>
      <c r="X1677" s="255">
        <f t="shared" si="368"/>
        <v>2.0276899999999998</v>
      </c>
      <c r="Y1677" s="255">
        <f t="shared" ref="Y1677:Y1683" si="369">V1677</f>
        <v>2.0276899999999998</v>
      </c>
      <c r="Z1677" s="255">
        <f t="shared" ref="Z1677:Z1683" si="370">AA1677</f>
        <v>3.64628</v>
      </c>
      <c r="AA1677" s="97">
        <f>-(-3.64628)</f>
        <v>3.64628</v>
      </c>
      <c r="AB1677" s="255">
        <f t="shared" ref="AB1677:AD1683" si="371">AA1677</f>
        <v>3.64628</v>
      </c>
      <c r="AC1677" s="255">
        <f t="shared" si="371"/>
        <v>3.64628</v>
      </c>
      <c r="AD1677" s="255">
        <f t="shared" si="371"/>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7"/>
        <v>-0.26</v>
      </c>
      <c r="W1678" s="255">
        <f t="shared" si="368"/>
        <v>-0.26</v>
      </c>
      <c r="X1678" s="255">
        <f t="shared" si="368"/>
        <v>-0.26</v>
      </c>
      <c r="Y1678" s="255">
        <f t="shared" si="369"/>
        <v>-0.26</v>
      </c>
      <c r="Z1678" s="255">
        <f t="shared" si="370"/>
        <v>-0.27389999999999998</v>
      </c>
      <c r="AA1678" s="97">
        <v>-0.27389999999999998</v>
      </c>
      <c r="AB1678" s="255">
        <f t="shared" si="371"/>
        <v>-0.27389999999999998</v>
      </c>
      <c r="AC1678" s="255">
        <f t="shared" si="371"/>
        <v>-0.27389999999999998</v>
      </c>
      <c r="AD1678" s="255">
        <f t="shared" si="371"/>
        <v>-0.27389999999999998</v>
      </c>
      <c r="AE1678" s="76"/>
      <c r="AF1678" s="97" t="s">
        <v>3788</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7"/>
        <v>1.91E-3</v>
      </c>
      <c r="W1679" s="255">
        <f t="shared" si="368"/>
        <v>1.91E-3</v>
      </c>
      <c r="X1679" s="255">
        <f t="shared" si="368"/>
        <v>1.91E-3</v>
      </c>
      <c r="Y1679" s="255">
        <f t="shared" si="369"/>
        <v>1.91E-3</v>
      </c>
      <c r="Z1679" s="255">
        <f t="shared" si="370"/>
        <v>2.1199999999999999E-3</v>
      </c>
      <c r="AA1679" s="97">
        <v>2.1199999999999999E-3</v>
      </c>
      <c r="AB1679" s="255">
        <f t="shared" si="371"/>
        <v>2.1199999999999999E-3</v>
      </c>
      <c r="AC1679" s="255">
        <f t="shared" si="371"/>
        <v>2.1199999999999999E-3</v>
      </c>
      <c r="AD1679" s="255">
        <f t="shared" si="371"/>
        <v>2.1199999999999999E-3</v>
      </c>
      <c r="AE1679" s="76"/>
      <c r="AF1679" s="97" t="s">
        <v>3787</v>
      </c>
      <c r="AG1679" s="76"/>
      <c r="AH1679" s="97">
        <v>1</v>
      </c>
      <c r="AI1679" s="97">
        <v>1</v>
      </c>
      <c r="AJ1679" s="73"/>
      <c r="AK1679" s="57"/>
      <c r="AL1679" s="45"/>
      <c r="AM1679" s="45"/>
      <c r="AN1679" s="45"/>
    </row>
    <row r="1680" spans="1:40" hidden="1" outlineLevel="2" collapsed="1" x14ac:dyDescent="0.25">
      <c r="A1680" s="45"/>
      <c r="B1680" s="54"/>
      <c r="C1680" s="47">
        <f t="shared" ref="C1680:C1691" si="372">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2"/>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2"/>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7"/>
        <v>-5.1499999999999997E-2</v>
      </c>
      <c r="W1682" s="255">
        <f t="shared" si="368"/>
        <v>-5.1499999999999997E-2</v>
      </c>
      <c r="X1682" s="255">
        <f t="shared" si="368"/>
        <v>-5.1499999999999997E-2</v>
      </c>
      <c r="Y1682" s="255">
        <f t="shared" si="369"/>
        <v>-5.1499999999999997E-2</v>
      </c>
      <c r="Z1682" s="255">
        <f t="shared" si="370"/>
        <v>-2.75E-2</v>
      </c>
      <c r="AA1682" s="97">
        <v>-2.75E-2</v>
      </c>
      <c r="AB1682" s="255">
        <f t="shared" si="371"/>
        <v>-2.75E-2</v>
      </c>
      <c r="AC1682" s="255">
        <f t="shared" si="371"/>
        <v>-2.75E-2</v>
      </c>
      <c r="AD1682" s="255">
        <f t="shared" si="371"/>
        <v>-2.75E-2</v>
      </c>
      <c r="AE1682" s="76"/>
      <c r="AF1682" s="76"/>
      <c r="AG1682" s="76"/>
      <c r="AH1682" s="97">
        <v>1</v>
      </c>
      <c r="AI1682" s="97">
        <v>1</v>
      </c>
      <c r="AJ1682" s="73"/>
      <c r="AK1682" s="57"/>
      <c r="AL1682" s="45"/>
      <c r="AM1682" s="45"/>
      <c r="AN1682" s="45"/>
    </row>
    <row r="1683" spans="1:40" hidden="1" outlineLevel="2" x14ac:dyDescent="0.25">
      <c r="A1683" s="45"/>
      <c r="B1683" s="54"/>
      <c r="C1683" s="47">
        <f t="shared" si="372"/>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7"/>
        <v>8.916204986149583E-5</v>
      </c>
      <c r="W1683" s="255">
        <f t="shared" si="368"/>
        <v>8.916204986149583E-5</v>
      </c>
      <c r="X1683" s="255">
        <f t="shared" si="368"/>
        <v>8.916204986149583E-5</v>
      </c>
      <c r="Y1683" s="255">
        <f t="shared" si="369"/>
        <v>8.916204986149583E-5</v>
      </c>
      <c r="Z1683" s="255">
        <f t="shared" si="370"/>
        <v>4.7610803324099718E-5</v>
      </c>
      <c r="AA1683" s="97">
        <f>-AA1682/(2*9.5*30.4)</f>
        <v>4.7610803324099718E-5</v>
      </c>
      <c r="AB1683" s="255">
        <f t="shared" si="371"/>
        <v>4.7610803324099718E-5</v>
      </c>
      <c r="AC1683" s="255">
        <f t="shared" si="371"/>
        <v>4.7610803324099718E-5</v>
      </c>
      <c r="AD1683" s="255">
        <f t="shared" si="371"/>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2"/>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2"/>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2"/>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2"/>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2"/>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2"/>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2"/>
        <v>4</v>
      </c>
      <c r="D1690" s="73"/>
      <c r="E1690" s="70"/>
      <c r="F1690" s="70" t="s">
        <v>3326</v>
      </c>
      <c r="G1690" s="73"/>
      <c r="H1690" s="374" t="s">
        <v>3325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2"/>
        <v>4</v>
      </c>
      <c r="D1691" s="73"/>
      <c r="E1691" s="70"/>
      <c r="F1691" s="70" t="s">
        <v>3327</v>
      </c>
      <c r="G1691" s="73"/>
      <c r="H1691" s="374" t="s">
        <v>3324</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3">U1692</f>
        <v>15.275</v>
      </c>
      <c r="X1692" s="255">
        <f t="shared" si="373"/>
        <v>15.275</v>
      </c>
      <c r="Y1692" s="255">
        <f>V1692</f>
        <v>15.275</v>
      </c>
      <c r="Z1692" s="255">
        <f>AA1692</f>
        <v>11.141</v>
      </c>
      <c r="AA1692" s="97">
        <v>11.141</v>
      </c>
      <c r="AB1692" s="255">
        <f t="shared" ref="AB1692:AD1709" si="374">AA1692</f>
        <v>11.141</v>
      </c>
      <c r="AC1692" s="255">
        <f t="shared" si="374"/>
        <v>11.141</v>
      </c>
      <c r="AD1692" s="255">
        <f t="shared" si="374"/>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3777</v>
      </c>
      <c r="I1693" s="76"/>
      <c r="J1693" s="76"/>
      <c r="K1693" s="76"/>
      <c r="L1693" s="76"/>
      <c r="M1693" s="76"/>
      <c r="N1693" s="76"/>
      <c r="O1693" s="76"/>
      <c r="P1693" s="76"/>
      <c r="Q1693" s="76"/>
      <c r="R1693" s="76"/>
      <c r="S1693" s="76"/>
      <c r="T1693" s="76"/>
      <c r="U1693" s="97">
        <v>-0.24499299999999999</v>
      </c>
      <c r="V1693" s="255">
        <f t="shared" ref="V1693:V1707" si="375">U1693</f>
        <v>-0.24499299999999999</v>
      </c>
      <c r="W1693" s="255">
        <f t="shared" ref="W1693:W1695" si="376">V1693</f>
        <v>-0.24499299999999999</v>
      </c>
      <c r="X1693" s="255">
        <f t="shared" ref="X1693:X1695" si="377">W1693</f>
        <v>-0.24499299999999999</v>
      </c>
      <c r="Y1693" s="628">
        <f t="shared" ref="Y1693" si="378">Y1708</f>
        <v>-9.8000000000000004E-2</v>
      </c>
      <c r="Z1693" s="255">
        <f>AA1693</f>
        <v>-0.24499299999999999</v>
      </c>
      <c r="AA1693" s="97">
        <f>$U1693</f>
        <v>-0.24499299999999999</v>
      </c>
      <c r="AB1693" s="255">
        <f t="shared" si="374"/>
        <v>-0.24499299999999999</v>
      </c>
      <c r="AC1693" s="255">
        <f t="shared" si="374"/>
        <v>-0.24499299999999999</v>
      </c>
      <c r="AD1693" s="255">
        <f t="shared" si="374"/>
        <v>-0.24499299999999999</v>
      </c>
      <c r="AE1693" s="76"/>
      <c r="AF1693" s="97" t="s">
        <v>3776</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9">U1694</f>
        <v>1.5045E-3</v>
      </c>
      <c r="W1694" s="255">
        <f t="shared" si="376"/>
        <v>1.5045E-3</v>
      </c>
      <c r="X1694" s="255">
        <f t="shared" si="377"/>
        <v>1.5045E-3</v>
      </c>
      <c r="Y1694" s="628">
        <f t="shared" ref="Y1694" si="380">Y1709</f>
        <v>0</v>
      </c>
      <c r="Z1694" s="255">
        <f>AA1694</f>
        <v>1.5045E-3</v>
      </c>
      <c r="AA1694" s="97">
        <f>$U1694</f>
        <v>1.5045E-3</v>
      </c>
      <c r="AB1694" s="255">
        <f t="shared" ref="AB1694" si="381">AA1694</f>
        <v>1.5045E-3</v>
      </c>
      <c r="AC1694" s="255">
        <f t="shared" ref="AC1694" si="382">AB1694</f>
        <v>1.5045E-3</v>
      </c>
      <c r="AD1694" s="255">
        <f t="shared" ref="AD1694" si="383">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4">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255">
        <f t="shared" si="376"/>
        <v>-1.0594000000000001E-4</v>
      </c>
      <c r="X1695" s="255">
        <f t="shared" si="377"/>
        <v>-1.0594000000000001E-4</v>
      </c>
      <c r="Y1695" s="628">
        <f t="shared" ref="Y1695" si="385">Y1710</f>
        <v>0</v>
      </c>
      <c r="Z1695" s="255">
        <f>AA1695</f>
        <v>-1.0594000000000001E-4</v>
      </c>
      <c r="AA1695" s="97">
        <f t="shared" ref="AA1695:AA1707" si="386">$U1695</f>
        <v>-1.0594000000000001E-4</v>
      </c>
      <c r="AB1695" s="255">
        <f>AA1695</f>
        <v>-1.0594000000000001E-4</v>
      </c>
      <c r="AC1695" s="255">
        <f>AB1695</f>
        <v>-1.0594000000000001E-4</v>
      </c>
      <c r="AD1695" s="255">
        <f>AC1695</f>
        <v>-1.0594000000000001E-4</v>
      </c>
      <c r="AE1695" s="76"/>
      <c r="AF1695" s="97" t="s">
        <v>3795</v>
      </c>
      <c r="AG1695" s="76"/>
      <c r="AH1695" s="97">
        <v>1</v>
      </c>
      <c r="AI1695" s="97">
        <v>1</v>
      </c>
      <c r="AJ1695" s="73"/>
      <c r="AK1695" s="57"/>
      <c r="AL1695" s="45"/>
      <c r="AM1695" s="45"/>
      <c r="AN1695" s="45"/>
    </row>
    <row r="1696" spans="1:40" hidden="1" outlineLevel="3" x14ac:dyDescent="0.25">
      <c r="A1696" s="45"/>
      <c r="B1696" s="54"/>
      <c r="C1696" s="47">
        <f t="shared" si="384"/>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76">
        <v>0</v>
      </c>
      <c r="X1696" s="76">
        <v>0</v>
      </c>
      <c r="Y1696" s="628">
        <f t="shared" ref="Y1696" si="387">Y1711</f>
        <v>0</v>
      </c>
      <c r="Z1696" s="76">
        <v>0</v>
      </c>
      <c r="AA1696" s="76">
        <f t="shared" si="386"/>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4"/>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76">
        <v>0</v>
      </c>
      <c r="X1697" s="76">
        <v>0</v>
      </c>
      <c r="Y1697" s="628">
        <f t="shared" ref="Y1697" si="388">Y1712</f>
        <v>0</v>
      </c>
      <c r="Z1697" s="76">
        <v>0</v>
      </c>
      <c r="AA1697" s="76">
        <f t="shared" si="386"/>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4"/>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76">
        <v>0</v>
      </c>
      <c r="X1698" s="76">
        <v>0</v>
      </c>
      <c r="Y1698" s="628">
        <f t="shared" ref="Y1698" si="389">Y1713</f>
        <v>0</v>
      </c>
      <c r="Z1698" s="76">
        <v>0</v>
      </c>
      <c r="AA1698" s="76">
        <f t="shared" si="386"/>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4"/>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5"/>
        <v>-3.6999999999999998E-2</v>
      </c>
      <c r="W1699" s="255">
        <f t="shared" ref="W1699:W1700" si="390">V1699</f>
        <v>-3.6999999999999998E-2</v>
      </c>
      <c r="X1699" s="255">
        <f t="shared" ref="X1699:X1700" si="391">W1699</f>
        <v>-3.6999999999999998E-2</v>
      </c>
      <c r="Y1699" s="628">
        <f t="shared" ref="Y1699" si="392">Y1714</f>
        <v>-3.7749999999999999E-2</v>
      </c>
      <c r="Z1699" s="255">
        <f>AA1699</f>
        <v>-3.6999999999999998E-2</v>
      </c>
      <c r="AA1699" s="97">
        <f t="shared" si="386"/>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4"/>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5"/>
        <v>0</v>
      </c>
      <c r="W1700" s="255">
        <f t="shared" si="390"/>
        <v>0</v>
      </c>
      <c r="X1700" s="255">
        <f t="shared" si="391"/>
        <v>0</v>
      </c>
      <c r="Y1700" s="628">
        <f t="shared" ref="Y1700" si="393">Y1715</f>
        <v>0</v>
      </c>
      <c r="Z1700" s="76">
        <v>0</v>
      </c>
      <c r="AA1700" s="76">
        <f t="shared" si="386"/>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4"/>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76">
        <v>0</v>
      </c>
      <c r="X1701" s="76">
        <v>0</v>
      </c>
      <c r="Y1701" s="628">
        <f t="shared" ref="Y1701" si="394">Y1716</f>
        <v>0.05</v>
      </c>
      <c r="Z1701" s="76">
        <v>0</v>
      </c>
      <c r="AA1701" s="76">
        <f t="shared" si="386"/>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4"/>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5"/>
        <v>-9.3500000000000007E-3</v>
      </c>
      <c r="W1702" s="255">
        <f t="shared" ref="W1702:W1705" si="395">V1702</f>
        <v>-9.3500000000000007E-3</v>
      </c>
      <c r="X1702" s="255">
        <f t="shared" ref="X1702:X1705" si="396">W1702</f>
        <v>-9.3500000000000007E-3</v>
      </c>
      <c r="Y1702" s="628">
        <f t="shared" ref="Y1702" si="397">Y1717</f>
        <v>-9.3500000000000007E-3</v>
      </c>
      <c r="Z1702" s="255">
        <f>AA1702</f>
        <v>-9.3500000000000007E-3</v>
      </c>
      <c r="AA1702" s="97">
        <f t="shared" si="386"/>
        <v>-9.3500000000000007E-3</v>
      </c>
      <c r="AB1702" s="255">
        <f t="shared" ref="AB1702:AB1707" si="398">AA1702</f>
        <v>-9.3500000000000007E-3</v>
      </c>
      <c r="AC1702" s="255">
        <f t="shared" ref="AC1702:AC1707" si="399">AB1702</f>
        <v>-9.3500000000000007E-3</v>
      </c>
      <c r="AD1702" s="255">
        <f t="shared" ref="AD1702:AD1707" si="400">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4"/>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5"/>
        <v>-7.0369200000000003E-3</v>
      </c>
      <c r="W1703" s="255">
        <f t="shared" si="395"/>
        <v>-7.0369200000000003E-3</v>
      </c>
      <c r="X1703" s="255">
        <f t="shared" si="396"/>
        <v>-7.0369200000000003E-3</v>
      </c>
      <c r="Y1703" s="628">
        <f t="shared" ref="Y1703" si="401">Y1718</f>
        <v>-7.0369200000000003E-3</v>
      </c>
      <c r="Z1703" s="255">
        <f>AA1703</f>
        <v>-7.0369200000000003E-3</v>
      </c>
      <c r="AA1703" s="97">
        <f t="shared" si="386"/>
        <v>-7.0369200000000003E-3</v>
      </c>
      <c r="AB1703" s="255">
        <f t="shared" si="398"/>
        <v>-7.0369200000000003E-3</v>
      </c>
      <c r="AC1703" s="255">
        <f t="shared" si="399"/>
        <v>-7.0369200000000003E-3</v>
      </c>
      <c r="AD1703" s="255">
        <f t="shared" si="400"/>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4"/>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5"/>
        <v>7.4569999999999999E-5</v>
      </c>
      <c r="W1704" s="255">
        <f t="shared" si="395"/>
        <v>7.4569999999999999E-5</v>
      </c>
      <c r="X1704" s="255">
        <f t="shared" si="396"/>
        <v>7.4569999999999999E-5</v>
      </c>
      <c r="Y1704" s="628">
        <f t="shared" ref="Y1704" si="402">Y1719</f>
        <v>7.4569999999999999E-5</v>
      </c>
      <c r="Z1704" s="255">
        <f>AA1704</f>
        <v>7.4569999999999999E-5</v>
      </c>
      <c r="AA1704" s="97">
        <f t="shared" si="386"/>
        <v>7.4569999999999999E-5</v>
      </c>
      <c r="AB1704" s="255">
        <f t="shared" si="398"/>
        <v>7.4569999999999999E-5</v>
      </c>
      <c r="AC1704" s="255">
        <f t="shared" si="399"/>
        <v>7.4569999999999999E-5</v>
      </c>
      <c r="AD1704" s="255">
        <f t="shared" si="400"/>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4"/>
        <v>4</v>
      </c>
      <c r="D1705" s="73"/>
      <c r="E1705" s="70"/>
      <c r="F1705" s="70" t="s">
        <v>3328</v>
      </c>
      <c r="G1705" s="73"/>
      <c r="H1705" s="374" t="s">
        <v>3325</v>
      </c>
      <c r="I1705" s="96"/>
      <c r="J1705" s="76"/>
      <c r="K1705" s="76"/>
      <c r="L1705" s="76"/>
      <c r="M1705" s="76"/>
      <c r="N1705" s="76"/>
      <c r="O1705" s="76"/>
      <c r="P1705" s="76"/>
      <c r="Q1705" s="76"/>
      <c r="R1705" s="76"/>
      <c r="S1705" s="76"/>
      <c r="T1705" s="76"/>
      <c r="U1705" s="97">
        <v>-0.63980999999999999</v>
      </c>
      <c r="V1705" s="255">
        <f t="shared" si="375"/>
        <v>-0.63980999999999999</v>
      </c>
      <c r="W1705" s="255">
        <f t="shared" si="395"/>
        <v>-0.63980999999999999</v>
      </c>
      <c r="X1705" s="255">
        <f t="shared" si="396"/>
        <v>-0.63980999999999999</v>
      </c>
      <c r="Y1705" s="628">
        <f t="shared" ref="Y1705:Y1706" si="403">Y1720</f>
        <v>0</v>
      </c>
      <c r="Z1705" s="255">
        <f>AA1705</f>
        <v>-0.63980999999999999</v>
      </c>
      <c r="AA1705" s="97">
        <f t="shared" si="386"/>
        <v>-0.63980999999999999</v>
      </c>
      <c r="AB1705" s="255">
        <f t="shared" ref="AB1705" si="404">AA1705</f>
        <v>-0.63980999999999999</v>
      </c>
      <c r="AC1705" s="255">
        <f t="shared" ref="AC1705" si="405">AB1705</f>
        <v>-0.63980999999999999</v>
      </c>
      <c r="AD1705" s="255">
        <f t="shared" ref="AD1705" si="406">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4"/>
        <v>4</v>
      </c>
      <c r="D1706" s="73"/>
      <c r="E1706" s="70"/>
      <c r="F1706" s="70" t="s">
        <v>3329</v>
      </c>
      <c r="G1706" s="73"/>
      <c r="H1706" s="374" t="s">
        <v>3324</v>
      </c>
      <c r="I1706" s="96"/>
      <c r="J1706" s="76"/>
      <c r="K1706" s="76"/>
      <c r="L1706" s="76"/>
      <c r="M1706" s="76"/>
      <c r="N1706" s="76"/>
      <c r="O1706" s="76"/>
      <c r="P1706" s="76"/>
      <c r="Q1706" s="76"/>
      <c r="R1706" s="76"/>
      <c r="S1706" s="76"/>
      <c r="T1706" s="76"/>
      <c r="U1706" s="76">
        <v>0</v>
      </c>
      <c r="V1706" s="76">
        <v>0</v>
      </c>
      <c r="W1706" s="76">
        <v>0</v>
      </c>
      <c r="X1706" s="76">
        <v>0</v>
      </c>
      <c r="Y1706" s="628">
        <f t="shared" si="403"/>
        <v>0</v>
      </c>
      <c r="Z1706" s="76">
        <v>0</v>
      </c>
      <c r="AA1706" s="76">
        <f t="shared" si="386"/>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5"/>
        <v>7.5825149999999999</v>
      </c>
      <c r="W1707" s="255">
        <f t="shared" ref="W1707" si="407">V1707</f>
        <v>7.5825149999999999</v>
      </c>
      <c r="X1707" s="255">
        <f t="shared" ref="X1707" si="408">W1707</f>
        <v>7.5825149999999999</v>
      </c>
      <c r="Y1707" s="628">
        <f t="shared" ref="Y1707" si="409">Y1722</f>
        <v>-1.8110552</v>
      </c>
      <c r="Z1707" s="255">
        <f>AA1707</f>
        <v>7.5825149999999999</v>
      </c>
      <c r="AA1707" s="97">
        <f t="shared" si="386"/>
        <v>7.5825149999999999</v>
      </c>
      <c r="AB1707" s="255">
        <f t="shared" si="398"/>
        <v>7.5825149999999999</v>
      </c>
      <c r="AC1707" s="255">
        <f t="shared" si="399"/>
        <v>7.5825149999999999</v>
      </c>
      <c r="AD1707" s="255">
        <f t="shared" si="400"/>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3301</v>
      </c>
      <c r="G1708" s="73"/>
      <c r="H1708" s="76" t="s">
        <v>3794</v>
      </c>
      <c r="I1708" s="76"/>
      <c r="J1708" s="76"/>
      <c r="K1708" s="76"/>
      <c r="L1708" s="76"/>
      <c r="M1708" s="76"/>
      <c r="N1708" s="76"/>
      <c r="O1708" s="76"/>
      <c r="P1708" s="76"/>
      <c r="Q1708" s="76"/>
      <c r="R1708" s="76"/>
      <c r="S1708" s="76"/>
      <c r="T1708" s="76"/>
      <c r="U1708" s="97">
        <v>-9.8000000000000004E-2</v>
      </c>
      <c r="V1708" s="255">
        <f>U1708</f>
        <v>-9.8000000000000004E-2</v>
      </c>
      <c r="W1708" s="255">
        <f t="shared" si="373"/>
        <v>-9.8000000000000004E-2</v>
      </c>
      <c r="X1708" s="255">
        <f t="shared" si="373"/>
        <v>-9.8000000000000004E-2</v>
      </c>
      <c r="Y1708" s="255">
        <f>V1708</f>
        <v>-9.8000000000000004E-2</v>
      </c>
      <c r="Z1708" s="255">
        <f>AA1708</f>
        <v>-3.9480000000000001E-2</v>
      </c>
      <c r="AA1708" s="97">
        <v>-3.9480000000000001E-2</v>
      </c>
      <c r="AB1708" s="255">
        <f t="shared" si="374"/>
        <v>-3.9480000000000001E-2</v>
      </c>
      <c r="AC1708" s="255">
        <f t="shared" si="374"/>
        <v>-3.9480000000000001E-2</v>
      </c>
      <c r="AD1708" s="255">
        <f t="shared" si="374"/>
        <v>-3.9480000000000001E-2</v>
      </c>
      <c r="AE1708" s="76"/>
      <c r="AF1708" s="97" t="s">
        <v>3778</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3303</v>
      </c>
      <c r="G1709" s="73"/>
      <c r="H1709" s="76" t="s">
        <v>2475</v>
      </c>
      <c r="I1709" s="76"/>
      <c r="J1709" s="76"/>
      <c r="K1709" s="76"/>
      <c r="L1709" s="76"/>
      <c r="M1709" s="76"/>
      <c r="N1709" s="76"/>
      <c r="O1709" s="76"/>
      <c r="P1709" s="76"/>
      <c r="Q1709" s="76"/>
      <c r="R1709" s="76"/>
      <c r="S1709" s="76"/>
      <c r="T1709" s="76"/>
      <c r="U1709" s="97">
        <v>0</v>
      </c>
      <c r="V1709" s="255">
        <f>U1709</f>
        <v>0</v>
      </c>
      <c r="W1709" s="255">
        <f t="shared" si="373"/>
        <v>0</v>
      </c>
      <c r="X1709" s="255">
        <f t="shared" si="373"/>
        <v>0</v>
      </c>
      <c r="Y1709" s="255">
        <f>V1709</f>
        <v>0</v>
      </c>
      <c r="Z1709" s="255">
        <f>AA1709</f>
        <v>0</v>
      </c>
      <c r="AA1709" s="97">
        <v>0</v>
      </c>
      <c r="AB1709" s="255">
        <f t="shared" si="374"/>
        <v>0</v>
      </c>
      <c r="AC1709" s="255">
        <f t="shared" si="374"/>
        <v>0</v>
      </c>
      <c r="AD1709" s="255">
        <f t="shared" si="374"/>
        <v>0</v>
      </c>
      <c r="AE1709" s="76"/>
      <c r="AF1709" s="97" t="s">
        <v>3789</v>
      </c>
      <c r="AG1709" s="76"/>
      <c r="AH1709" s="97">
        <v>1</v>
      </c>
      <c r="AI1709" s="97">
        <v>1</v>
      </c>
      <c r="AJ1709" s="73"/>
      <c r="AK1709" s="57"/>
      <c r="AL1709" s="45"/>
      <c r="AM1709" s="45"/>
      <c r="AN1709" s="45"/>
    </row>
    <row r="1710" spans="1:40" hidden="1" outlineLevel="3" collapsed="1" x14ac:dyDescent="0.25">
      <c r="A1710" s="45"/>
      <c r="B1710" s="54"/>
      <c r="C1710" s="47">
        <f t="shared" ref="C1710:C1721" si="410">INT($C$29)+3</f>
        <v>4</v>
      </c>
      <c r="D1710" s="73"/>
      <c r="E1710" s="70"/>
      <c r="F1710" s="70" t="s">
        <v>3302</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10"/>
        <v>4</v>
      </c>
      <c r="D1711" s="73"/>
      <c r="E1711" s="70"/>
      <c r="F1711" s="70" t="s">
        <v>3304</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10"/>
        <v>4</v>
      </c>
      <c r="D1712" s="73"/>
      <c r="E1712" s="70"/>
      <c r="F1712" s="70" t="s">
        <v>3305</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10"/>
        <v>4</v>
      </c>
      <c r="D1713" s="73"/>
      <c r="E1713" s="70"/>
      <c r="F1713" s="70" t="s">
        <v>3306</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10"/>
        <v>4</v>
      </c>
      <c r="D1714" s="73"/>
      <c r="E1714" s="70"/>
      <c r="F1714" s="70" t="s">
        <v>3307</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10"/>
        <v>4</v>
      </c>
      <c r="D1715" s="73"/>
      <c r="E1715" s="70"/>
      <c r="F1715" s="70" t="s">
        <v>3308</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10"/>
        <v>4</v>
      </c>
      <c r="D1716" s="73"/>
      <c r="E1716" s="70"/>
      <c r="F1716" s="70" t="s">
        <v>3309</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11">U1716</f>
        <v>0.05</v>
      </c>
      <c r="X1716" s="255">
        <f t="shared" si="411"/>
        <v>0.05</v>
      </c>
      <c r="Y1716" s="255">
        <f>V1716</f>
        <v>0.05</v>
      </c>
      <c r="Z1716" s="255">
        <f>AA1716</f>
        <v>0</v>
      </c>
      <c r="AA1716" s="97">
        <v>0</v>
      </c>
      <c r="AB1716" s="255">
        <f t="shared" ref="AB1716:AD1725" si="412">AA1716</f>
        <v>0</v>
      </c>
      <c r="AC1716" s="255">
        <f t="shared" si="412"/>
        <v>0</v>
      </c>
      <c r="AD1716" s="255">
        <f t="shared" si="412"/>
        <v>0</v>
      </c>
      <c r="AE1716" s="76"/>
      <c r="AF1716" s="76"/>
      <c r="AG1716" s="76"/>
      <c r="AH1716" s="76">
        <v>1</v>
      </c>
      <c r="AI1716" s="76">
        <v>1</v>
      </c>
      <c r="AJ1716" s="73"/>
      <c r="AK1716" s="57"/>
      <c r="AL1716" s="45"/>
      <c r="AM1716" s="45"/>
      <c r="AN1716" s="45"/>
    </row>
    <row r="1717" spans="1:40" hidden="1" outlineLevel="2" x14ac:dyDescent="0.25">
      <c r="A1717" s="45"/>
      <c r="B1717" s="54"/>
      <c r="C1717" s="47">
        <f t="shared" si="410"/>
        <v>4</v>
      </c>
      <c r="D1717" s="73"/>
      <c r="E1717" s="70"/>
      <c r="F1717" s="70" t="s">
        <v>3310</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11"/>
        <v>-9.3500000000000007E-3</v>
      </c>
      <c r="X1717" s="255">
        <f t="shared" si="411"/>
        <v>-9.3500000000000007E-3</v>
      </c>
      <c r="Y1717" s="255">
        <f>V1717</f>
        <v>-9.3500000000000007E-3</v>
      </c>
      <c r="Z1717" s="255">
        <f>AA1717</f>
        <v>-9.3500000000000007E-3</v>
      </c>
      <c r="AA1717" s="97">
        <v>-9.3500000000000007E-3</v>
      </c>
      <c r="AB1717" s="255">
        <f t="shared" si="412"/>
        <v>-9.3500000000000007E-3</v>
      </c>
      <c r="AC1717" s="255">
        <f t="shared" si="412"/>
        <v>-9.3500000000000007E-3</v>
      </c>
      <c r="AD1717" s="255">
        <f t="shared" si="412"/>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10"/>
        <v>4</v>
      </c>
      <c r="D1718" s="73"/>
      <c r="E1718" s="70"/>
      <c r="F1718" s="70" t="s">
        <v>3311</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11"/>
        <v>-7.0369200000000003E-3</v>
      </c>
      <c r="X1718" s="255">
        <f t="shared" si="411"/>
        <v>-7.0369200000000003E-3</v>
      </c>
      <c r="Y1718" s="255">
        <f>V1718</f>
        <v>-7.0369200000000003E-3</v>
      </c>
      <c r="Z1718" s="255">
        <f>AA1718</f>
        <v>-7.0369200000000003E-3</v>
      </c>
      <c r="AA1718" s="97">
        <v>-7.0369200000000003E-3</v>
      </c>
      <c r="AB1718" s="255">
        <f t="shared" si="412"/>
        <v>-7.0369200000000003E-3</v>
      </c>
      <c r="AC1718" s="255">
        <f t="shared" si="412"/>
        <v>-7.0369200000000003E-3</v>
      </c>
      <c r="AD1718" s="255">
        <f t="shared" si="412"/>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10"/>
        <v>4</v>
      </c>
      <c r="D1719" s="73"/>
      <c r="E1719" s="70"/>
      <c r="F1719" s="70" t="s">
        <v>3312</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11"/>
        <v>7.4569999999999999E-5</v>
      </c>
      <c r="X1719" s="255">
        <f t="shared" si="411"/>
        <v>7.4569999999999999E-5</v>
      </c>
      <c r="Y1719" s="255">
        <f>V1719</f>
        <v>7.4569999999999999E-5</v>
      </c>
      <c r="Z1719" s="255">
        <f>AA1719</f>
        <v>7.4569999999999999E-5</v>
      </c>
      <c r="AA1719" s="97">
        <v>7.4569999999999999E-5</v>
      </c>
      <c r="AB1719" s="255">
        <f t="shared" si="412"/>
        <v>7.4569999999999999E-5</v>
      </c>
      <c r="AC1719" s="255">
        <f t="shared" si="412"/>
        <v>7.4569999999999999E-5</v>
      </c>
      <c r="AD1719" s="255">
        <f t="shared" si="412"/>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10"/>
        <v>4</v>
      </c>
      <c r="D1720" s="73"/>
      <c r="E1720" s="70"/>
      <c r="F1720" s="70" t="s">
        <v>3322</v>
      </c>
      <c r="G1720" s="73"/>
      <c r="H1720" s="374" t="s">
        <v>3325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10"/>
        <v>4</v>
      </c>
      <c r="D1721" s="73"/>
      <c r="E1721" s="70"/>
      <c r="F1721" s="70" t="s">
        <v>3323</v>
      </c>
      <c r="G1721" s="73"/>
      <c r="H1721" s="374" t="s">
        <v>3324</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3313</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11"/>
        <v>-1.8110552</v>
      </c>
      <c r="X1722" s="255">
        <f t="shared" si="411"/>
        <v>-1.8110552</v>
      </c>
      <c r="Y1722" s="255">
        <f>V1722</f>
        <v>-1.8110552</v>
      </c>
      <c r="Z1722" s="255">
        <f>AA1722</f>
        <v>-0.49941732500000002</v>
      </c>
      <c r="AA1722" s="97">
        <v>-0.49941732500000002</v>
      </c>
      <c r="AB1722" s="255">
        <f t="shared" si="412"/>
        <v>-0.49941732500000002</v>
      </c>
      <c r="AC1722" s="255">
        <f t="shared" si="412"/>
        <v>-0.49941732500000002</v>
      </c>
      <c r="AD1722" s="255">
        <f t="shared" si="412"/>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3344</v>
      </c>
      <c r="G1723" s="73"/>
      <c r="H1723" s="76" t="s">
        <v>3353</v>
      </c>
      <c r="I1723" s="76"/>
      <c r="J1723" s="76"/>
      <c r="K1723" s="76"/>
      <c r="L1723" s="76"/>
      <c r="M1723" s="76"/>
      <c r="N1723" s="76"/>
      <c r="O1723" s="76"/>
      <c r="P1723" s="76"/>
      <c r="Q1723" s="76"/>
      <c r="R1723" s="76"/>
      <c r="S1723" s="76"/>
      <c r="T1723" s="76"/>
      <c r="U1723" s="97">
        <v>-1.0469999999999999</v>
      </c>
      <c r="V1723" s="255">
        <f>U1723</f>
        <v>-1.0469999999999999</v>
      </c>
      <c r="W1723" s="255">
        <f t="shared" si="411"/>
        <v>-1.0469999999999999</v>
      </c>
      <c r="X1723" s="255">
        <f t="shared" si="411"/>
        <v>-1.0469999999999999</v>
      </c>
      <c r="Y1723" s="255">
        <f>V1723</f>
        <v>-1.0469999999999999</v>
      </c>
      <c r="Z1723" s="255">
        <f>AA1723</f>
        <v>-1.0469999999999999</v>
      </c>
      <c r="AA1723" s="97">
        <f>U1723</f>
        <v>-1.0469999999999999</v>
      </c>
      <c r="AB1723" s="255">
        <f t="shared" si="412"/>
        <v>-1.0469999999999999</v>
      </c>
      <c r="AC1723" s="255">
        <f t="shared" si="412"/>
        <v>-1.0469999999999999</v>
      </c>
      <c r="AD1723" s="255">
        <f t="shared" si="412"/>
        <v>-1.0469999999999999</v>
      </c>
      <c r="AE1723" s="76"/>
      <c r="AF1723" s="97" t="s">
        <v>3597</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7.5389999999999997E-3</v>
      </c>
      <c r="V1724" s="255">
        <f>U1724</f>
        <v>7.5389999999999997E-3</v>
      </c>
      <c r="W1724" s="255">
        <f t="shared" si="411"/>
        <v>7.5389999999999997E-3</v>
      </c>
      <c r="X1724" s="255">
        <f t="shared" si="411"/>
        <v>7.5389999999999997E-3</v>
      </c>
      <c r="Y1724" s="255">
        <f>V1724</f>
        <v>7.5389999999999997E-3</v>
      </c>
      <c r="Z1724" s="255">
        <f>AA1724</f>
        <v>7.5389999999999997E-3</v>
      </c>
      <c r="AA1724" s="97">
        <f t="shared" ref="AA1724:AA1726" si="413">U1724</f>
        <v>7.5389999999999997E-3</v>
      </c>
      <c r="AB1724" s="255">
        <f t="shared" si="412"/>
        <v>7.5389999999999997E-3</v>
      </c>
      <c r="AC1724" s="255">
        <f t="shared" si="412"/>
        <v>7.5389999999999997E-3</v>
      </c>
      <c r="AD1724" s="255">
        <f t="shared" si="412"/>
        <v>7.5389999999999997E-3</v>
      </c>
      <c r="AE1724" s="76"/>
      <c r="AF1724" s="97" t="s">
        <v>3355</v>
      </c>
      <c r="AG1724" s="76"/>
      <c r="AH1724" s="76">
        <v>1</v>
      </c>
      <c r="AI1724" s="76">
        <v>1</v>
      </c>
      <c r="AJ1724" s="73"/>
      <c r="AK1724" s="57"/>
      <c r="AL1724" s="45"/>
      <c r="AM1724" s="45"/>
      <c r="AN1724" s="45"/>
    </row>
    <row r="1725" spans="1:40" hidden="1" outlineLevel="2" x14ac:dyDescent="0.25">
      <c r="A1725" s="45"/>
      <c r="B1725" s="54"/>
      <c r="C1725" s="47">
        <f t="shared" ref="C1725:C1736" si="414">INT($C$29)+3</f>
        <v>4</v>
      </c>
      <c r="D1725" s="73"/>
      <c r="E1725" s="70"/>
      <c r="F1725" s="70" t="s">
        <v>3346</v>
      </c>
      <c r="G1725" s="73"/>
      <c r="H1725" s="76" t="s">
        <v>3593</v>
      </c>
      <c r="I1725" s="76"/>
      <c r="J1725" s="76"/>
      <c r="K1725" s="76"/>
      <c r="L1725" s="76"/>
      <c r="M1725" s="76"/>
      <c r="N1725" s="76"/>
      <c r="O1725" s="76"/>
      <c r="P1725" s="76"/>
      <c r="Q1725" s="76"/>
      <c r="R1725" s="76"/>
      <c r="S1725" s="76"/>
      <c r="T1725" s="76"/>
      <c r="U1725" s="97">
        <v>0.24360000000000001</v>
      </c>
      <c r="V1725" s="255">
        <f>U1725</f>
        <v>0.24360000000000001</v>
      </c>
      <c r="W1725" s="255">
        <f t="shared" si="411"/>
        <v>0.24360000000000001</v>
      </c>
      <c r="X1725" s="255">
        <f t="shared" si="411"/>
        <v>0.24360000000000001</v>
      </c>
      <c r="Y1725" s="255">
        <f>V1725</f>
        <v>0.24360000000000001</v>
      </c>
      <c r="Z1725" s="255">
        <f>AA1725</f>
        <v>0.24360000000000001</v>
      </c>
      <c r="AA1725" s="97">
        <f t="shared" si="413"/>
        <v>0.24360000000000001</v>
      </c>
      <c r="AB1725" s="255">
        <f t="shared" si="412"/>
        <v>0.24360000000000001</v>
      </c>
      <c r="AC1725" s="255">
        <f t="shared" si="412"/>
        <v>0.24360000000000001</v>
      </c>
      <c r="AD1725" s="255">
        <f t="shared" si="412"/>
        <v>0.24360000000000001</v>
      </c>
      <c r="AE1725" s="76"/>
      <c r="AF1725" s="97" t="s">
        <v>3356</v>
      </c>
      <c r="AG1725" s="76"/>
      <c r="AH1725" s="97">
        <v>1</v>
      </c>
      <c r="AI1725" s="97">
        <v>1</v>
      </c>
      <c r="AJ1725" s="73"/>
      <c r="AK1725" s="57"/>
      <c r="AL1725" s="45"/>
      <c r="AM1725" s="45"/>
      <c r="AN1725" s="45"/>
    </row>
    <row r="1726" spans="1:40" hidden="1" outlineLevel="2" collapsed="1" x14ac:dyDescent="0.25">
      <c r="A1726" s="45"/>
      <c r="B1726" s="54"/>
      <c r="C1726" s="47">
        <f t="shared" si="414"/>
        <v>4</v>
      </c>
      <c r="D1726" s="73"/>
      <c r="E1726" s="70"/>
      <c r="F1726" s="70" t="s">
        <v>3347</v>
      </c>
      <c r="G1726" s="73"/>
      <c r="H1726" s="76" t="s">
        <v>3594</v>
      </c>
      <c r="I1726" s="76"/>
      <c r="J1726" s="76"/>
      <c r="K1726" s="76"/>
      <c r="L1726" s="76"/>
      <c r="M1726" s="76"/>
      <c r="N1726" s="76"/>
      <c r="O1726" s="76"/>
      <c r="P1726" s="76"/>
      <c r="Q1726" s="76"/>
      <c r="R1726" s="76"/>
      <c r="S1726" s="76"/>
      <c r="T1726" s="76"/>
      <c r="U1726" s="97"/>
      <c r="V1726" s="255">
        <f t="shared" ref="V1726" si="415">U1726</f>
        <v>0</v>
      </c>
      <c r="W1726" s="255">
        <f t="shared" ref="W1726:W1727" si="416">U1726</f>
        <v>0</v>
      </c>
      <c r="X1726" s="255">
        <f t="shared" ref="X1726:X1727" si="417">V1726</f>
        <v>0</v>
      </c>
      <c r="Y1726" s="255">
        <f t="shared" ref="Y1726" si="418">V1726</f>
        <v>0</v>
      </c>
      <c r="Z1726" s="255">
        <f t="shared" ref="Z1726" si="419">AA1726</f>
        <v>0</v>
      </c>
      <c r="AA1726" s="97">
        <f t="shared" si="413"/>
        <v>0</v>
      </c>
      <c r="AB1726" s="255">
        <f t="shared" ref="AB1726:AB1727" si="420">AA1726</f>
        <v>0</v>
      </c>
      <c r="AC1726" s="255">
        <f t="shared" ref="AC1726:AC1727" si="421">AB1726</f>
        <v>0</v>
      </c>
      <c r="AD1726" s="255">
        <f t="shared" ref="AD1726:AD1727" si="422">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14"/>
        <v>4</v>
      </c>
      <c r="D1727" s="73"/>
      <c r="E1727" s="70"/>
      <c r="F1727" s="70" t="s">
        <v>3348</v>
      </c>
      <c r="G1727" s="73"/>
      <c r="H1727" s="76" t="s">
        <v>3595</v>
      </c>
      <c r="I1727" s="76"/>
      <c r="J1727" s="76"/>
      <c r="K1727" s="76"/>
      <c r="L1727" s="76"/>
      <c r="M1727" s="76"/>
      <c r="N1727" s="76"/>
      <c r="O1727" s="76"/>
      <c r="P1727" s="76"/>
      <c r="Q1727" s="76"/>
      <c r="R1727" s="76"/>
      <c r="S1727" s="76"/>
      <c r="T1727" s="76"/>
      <c r="U1727" s="97">
        <v>0.24360000000000001</v>
      </c>
      <c r="V1727" s="255">
        <f>U1727</f>
        <v>0.24360000000000001</v>
      </c>
      <c r="W1727" s="255">
        <f t="shared" si="416"/>
        <v>0.24360000000000001</v>
      </c>
      <c r="X1727" s="255">
        <f t="shared" si="417"/>
        <v>0.24360000000000001</v>
      </c>
      <c r="Y1727" s="255">
        <f>V1727</f>
        <v>0.24360000000000001</v>
      </c>
      <c r="Z1727" s="255">
        <f>AA1727</f>
        <v>0.24360000000000001</v>
      </c>
      <c r="AA1727" s="97">
        <f t="shared" ref="AA1727:AA1728" si="423">U1727</f>
        <v>0.24360000000000001</v>
      </c>
      <c r="AB1727" s="255">
        <f t="shared" si="420"/>
        <v>0.24360000000000001</v>
      </c>
      <c r="AC1727" s="255">
        <f t="shared" si="421"/>
        <v>0.24360000000000001</v>
      </c>
      <c r="AD1727" s="255">
        <f t="shared" si="422"/>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14"/>
        <v>4</v>
      </c>
      <c r="D1728" s="73"/>
      <c r="E1728" s="70"/>
      <c r="F1728" s="70" t="s">
        <v>3349</v>
      </c>
      <c r="G1728" s="73"/>
      <c r="H1728" s="76" t="s">
        <v>3596</v>
      </c>
      <c r="I1728" s="76"/>
      <c r="J1728" s="76"/>
      <c r="K1728" s="76"/>
      <c r="L1728" s="76"/>
      <c r="M1728" s="76"/>
      <c r="N1728" s="76"/>
      <c r="O1728" s="76"/>
      <c r="P1728" s="76"/>
      <c r="Q1728" s="76"/>
      <c r="R1728" s="76"/>
      <c r="S1728" s="76"/>
      <c r="T1728" s="76"/>
      <c r="U1728" s="97"/>
      <c r="V1728" s="255">
        <f t="shared" ref="V1728" si="424">U1728</f>
        <v>0</v>
      </c>
      <c r="W1728" s="255">
        <f t="shared" ref="W1728" si="425">U1728</f>
        <v>0</v>
      </c>
      <c r="X1728" s="255">
        <f t="shared" ref="X1728" si="426">V1728</f>
        <v>0</v>
      </c>
      <c r="Y1728" s="255">
        <f t="shared" ref="Y1728" si="427">V1728</f>
        <v>0</v>
      </c>
      <c r="Z1728" s="255">
        <f t="shared" ref="Z1728" si="428">AA1728</f>
        <v>0</v>
      </c>
      <c r="AA1728" s="97">
        <f t="shared" si="423"/>
        <v>0</v>
      </c>
      <c r="AB1728" s="255">
        <f t="shared" ref="AB1728" si="429">AA1728</f>
        <v>0</v>
      </c>
      <c r="AC1728" s="255">
        <f t="shared" ref="AC1728" si="430">AB1728</f>
        <v>0</v>
      </c>
      <c r="AD1728" s="255">
        <f t="shared" ref="AD1728" si="431">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14"/>
        <v>4</v>
      </c>
      <c r="D1729" s="73"/>
      <c r="E1729" s="70"/>
      <c r="F1729" s="70" t="s">
        <v>3350</v>
      </c>
      <c r="G1729" s="73"/>
      <c r="H1729" s="373" t="s">
        <v>3357</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14"/>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14"/>
        <v>4</v>
      </c>
      <c r="D1731" s="73"/>
      <c r="E1731" s="70"/>
      <c r="F1731" s="70" t="str">
        <f>SUBSTITUTE(F1727,",4)",",8)")</f>
        <v>C(U2,27,8)</v>
      </c>
      <c r="G1731" s="73"/>
      <c r="H1731" s="373" t="s">
        <v>3359</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4"/>
        <v>4</v>
      </c>
      <c r="D1732" s="73"/>
      <c r="E1732" s="70"/>
      <c r="F1732" s="70" t="str">
        <f>SUBSTITUTE(F1728,",5)",",9)")</f>
        <v>C(U2,27,9)</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4"/>
        <v>4</v>
      </c>
      <c r="D1733" s="73"/>
      <c r="E1733" s="70"/>
      <c r="F1733" s="70" t="str">
        <f>SUBSTITUTE(F1729,",6)",",10)")</f>
        <v>C(U2,27,10)</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14"/>
        <v>4</v>
      </c>
      <c r="D1734" s="73"/>
      <c r="E1734" s="70"/>
      <c r="F1734" s="70" t="str">
        <f>SUBSTITUTE(F1730,",7)",",11)")</f>
        <v>C(U2,27,11)</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14"/>
        <v>4</v>
      </c>
      <c r="D1735" s="73"/>
      <c r="E1735" s="70"/>
      <c r="F1735" s="70" t="str">
        <f>SUBSTITUTE(F1729,",6)",",12)")</f>
        <v>C(U2,27,12)</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14"/>
        <v>4</v>
      </c>
      <c r="D1736" s="73"/>
      <c r="E1736" s="70"/>
      <c r="F1736" s="70" t="str">
        <f>SUBSTITUTE(F1730,",7)",",13)")</f>
        <v>C(U2,27,13)</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3352</v>
      </c>
      <c r="G1737" s="73"/>
      <c r="H1737" s="76" t="s">
        <v>3365</v>
      </c>
      <c r="I1737" s="76"/>
      <c r="J1737" s="76"/>
      <c r="K1737" s="76"/>
      <c r="L1737" s="76"/>
      <c r="M1737" s="76"/>
      <c r="N1737" s="76"/>
      <c r="O1737" s="76"/>
      <c r="P1737" s="76"/>
      <c r="Q1737" s="76"/>
      <c r="R1737" s="76"/>
      <c r="S1737" s="76"/>
      <c r="T1737" s="76"/>
      <c r="U1737" s="97">
        <v>28.52</v>
      </c>
      <c r="V1737" s="255">
        <f t="shared" ref="V1737" si="432">U1737</f>
        <v>28.52</v>
      </c>
      <c r="W1737" s="255">
        <f t="shared" ref="W1737" si="433">U1737</f>
        <v>28.52</v>
      </c>
      <c r="X1737" s="255">
        <f t="shared" ref="X1737" si="434">V1737</f>
        <v>28.52</v>
      </c>
      <c r="Y1737" s="255">
        <f t="shared" ref="Y1737" si="435">V1737</f>
        <v>28.52</v>
      </c>
      <c r="Z1737" s="255">
        <f t="shared" ref="Z1737" si="436">AA1737</f>
        <v>28.52</v>
      </c>
      <c r="AA1737" s="97">
        <f>U1737</f>
        <v>28.52</v>
      </c>
      <c r="AB1737" s="255">
        <f t="shared" ref="AB1737" si="437">AA1737</f>
        <v>28.52</v>
      </c>
      <c r="AC1737" s="255">
        <f t="shared" ref="AC1737" si="438">AB1737</f>
        <v>28.52</v>
      </c>
      <c r="AD1737" s="255">
        <f t="shared" ref="AD1737" si="439">AC1737</f>
        <v>28.52</v>
      </c>
      <c r="AE1737" s="76"/>
      <c r="AF1737" s="97"/>
      <c r="AG1737" s="76"/>
      <c r="AH1737" s="97">
        <v>1</v>
      </c>
      <c r="AI1737" s="97">
        <v>1</v>
      </c>
      <c r="AJ1737" s="73"/>
      <c r="AK1737" s="57"/>
      <c r="AL1737" s="45"/>
      <c r="AM1737" s="45"/>
      <c r="AN1737" s="45"/>
    </row>
    <row r="1738" spans="1:40" hidden="1" outlineLevel="1" collapsed="1" x14ac:dyDescent="0.25">
      <c r="A1738" s="45"/>
      <c r="B1738" s="54"/>
      <c r="C1738" s="47">
        <f>INT($C$29)+1</f>
        <v>2</v>
      </c>
      <c r="D1738" s="73"/>
      <c r="E1738" s="70"/>
      <c r="F1738" s="265" t="s">
        <v>1702</v>
      </c>
      <c r="G1738" s="73"/>
      <c r="H1738" s="267" t="s">
        <v>3741</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25">
      <c r="A1739" s="45"/>
      <c r="B1739" s="54"/>
      <c r="C1739" s="47">
        <f t="shared" ref="C1739:C1758" si="440">INT($C$29)+3</f>
        <v>4</v>
      </c>
      <c r="D1739" s="73"/>
      <c r="E1739" s="70"/>
      <c r="F1739" s="70" t="s">
        <v>3512</v>
      </c>
      <c r="G1739" s="73"/>
      <c r="H1739" s="76" t="s">
        <v>3508</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40"/>
        <v>4</v>
      </c>
      <c r="D1740" s="73"/>
      <c r="E1740" s="70"/>
      <c r="F1740" s="70" t="s">
        <v>3513</v>
      </c>
      <c r="G1740" s="73"/>
      <c r="H1740" s="76" t="s">
        <v>3496</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40"/>
        <v>4</v>
      </c>
      <c r="D1741" s="73"/>
      <c r="E1741" s="70"/>
      <c r="F1741" s="70" t="s">
        <v>3514</v>
      </c>
      <c r="G1741" s="73"/>
      <c r="H1741" s="76" t="s">
        <v>3503</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0"/>
        <v>4</v>
      </c>
      <c r="D1742" s="73"/>
      <c r="E1742" s="70"/>
      <c r="F1742" s="70" t="s">
        <v>3515</v>
      </c>
      <c r="G1742" s="73"/>
      <c r="H1742" s="76" t="s">
        <v>3497</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0"/>
        <v>4</v>
      </c>
      <c r="D1743" s="73"/>
      <c r="E1743" s="70"/>
      <c r="F1743" s="70" t="s">
        <v>3516</v>
      </c>
      <c r="G1743" s="73"/>
      <c r="H1743" s="76" t="s">
        <v>3504</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0"/>
        <v>4</v>
      </c>
      <c r="D1744" s="73"/>
      <c r="E1744" s="70"/>
      <c r="F1744" s="70" t="s">
        <v>3517</v>
      </c>
      <c r="G1744" s="73"/>
      <c r="H1744" s="76" t="s">
        <v>3498</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0"/>
        <v>4</v>
      </c>
      <c r="D1745" s="73"/>
      <c r="E1745" s="70"/>
      <c r="F1745" s="70" t="s">
        <v>3518</v>
      </c>
      <c r="G1745" s="73"/>
      <c r="H1745" s="76" t="s">
        <v>3505</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0"/>
        <v>4</v>
      </c>
      <c r="D1746" s="73"/>
      <c r="E1746" s="70"/>
      <c r="F1746" s="70" t="s">
        <v>3519</v>
      </c>
      <c r="G1746" s="73"/>
      <c r="H1746" s="76" t="s">
        <v>3499</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0"/>
        <v>4</v>
      </c>
      <c r="D1747" s="73"/>
      <c r="E1747" s="70"/>
      <c r="F1747" s="70" t="str">
        <f>SUBSTITUTE(F1743,",4)",",8)")</f>
        <v>C(U6,0,8)</v>
      </c>
      <c r="G1747" s="73"/>
      <c r="H1747" s="76" t="s">
        <v>3506</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0"/>
        <v>4</v>
      </c>
      <c r="D1748" s="73"/>
      <c r="E1748" s="70"/>
      <c r="F1748" s="70" t="str">
        <f>SUBSTITUTE(F1744,",5)",",9)")</f>
        <v>C(U6,0,9)</v>
      </c>
      <c r="G1748" s="73"/>
      <c r="H1748" s="76" t="s">
        <v>3500</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0"/>
        <v>4</v>
      </c>
      <c r="D1749" s="73"/>
      <c r="E1749" s="70"/>
      <c r="F1749" s="70" t="str">
        <f>SUBSTITUTE(F1745,",6)",",10)")</f>
        <v>C(U6,0,10)</v>
      </c>
      <c r="G1749" s="73"/>
      <c r="H1749" s="76" t="s">
        <v>3507</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0"/>
        <v>4</v>
      </c>
      <c r="D1750" s="73"/>
      <c r="E1750" s="70"/>
      <c r="F1750" s="70" t="str">
        <f>SUBSTITUTE(F1746,",7)",",11)")</f>
        <v>C(U6,0,11)</v>
      </c>
      <c r="G1750" s="73"/>
      <c r="H1750" s="76" t="s">
        <v>3501</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0"/>
        <v>4</v>
      </c>
      <c r="D1751" s="73"/>
      <c r="E1751" s="70"/>
      <c r="F1751" s="70" t="str">
        <f>SUBSTITUTE(F1746,",7)",",12)")</f>
        <v>C(U6,0,12)</v>
      </c>
      <c r="G1751" s="73"/>
      <c r="H1751" s="76" t="s">
        <v>3330</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0"/>
        <v>4</v>
      </c>
      <c r="D1752" s="73"/>
      <c r="E1752" s="70"/>
      <c r="F1752" s="70" t="str">
        <f>SUBSTITUTE(F1746,",7)",",13)")</f>
        <v>C(U6,0,13)</v>
      </c>
      <c r="G1752" s="73"/>
      <c r="H1752" s="76" t="s">
        <v>3502</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0"/>
        <v>4</v>
      </c>
      <c r="D1753" s="73"/>
      <c r="E1753" s="70"/>
      <c r="F1753" s="70" t="s">
        <v>3520</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0"/>
        <v>4</v>
      </c>
      <c r="D1754" s="73"/>
      <c r="E1754" s="70"/>
      <c r="F1754" s="70" t="s">
        <v>3521</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0"/>
        <v>4</v>
      </c>
      <c r="D1755" s="73"/>
      <c r="E1755" s="70"/>
      <c r="F1755" s="70" t="s">
        <v>3522</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0"/>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0"/>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0"/>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4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4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4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1"/>
        <v>4</v>
      </c>
      <c r="D1768" s="73"/>
      <c r="E1768" s="70"/>
      <c r="F1768" s="70" t="s">
        <v>3529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1"/>
        <v>4</v>
      </c>
      <c r="D1769" s="73"/>
      <c r="E1769" s="70"/>
      <c r="F1769" s="70" t="s">
        <v>3530</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1"/>
        <v>4</v>
      </c>
      <c r="D1770" s="73"/>
      <c r="E1770" s="70"/>
      <c r="F1770" s="70" t="s">
        <v>3531</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1"/>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1"/>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1"/>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4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4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4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2"/>
        <v>4</v>
      </c>
      <c r="D1783" s="73"/>
      <c r="E1783" s="70"/>
      <c r="F1783" s="70" t="s">
        <v>3538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2"/>
        <v>4</v>
      </c>
      <c r="D1784" s="73"/>
      <c r="E1784" s="70"/>
      <c r="F1784" s="70" t="s">
        <v>3539</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2"/>
        <v>4</v>
      </c>
      <c r="D1785" s="73"/>
      <c r="E1785" s="70"/>
      <c r="F1785" s="70" t="s">
        <v>3540</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2"/>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2"/>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2"/>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4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4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4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3"/>
        <v>4</v>
      </c>
      <c r="D1798" s="73"/>
      <c r="E1798" s="70"/>
      <c r="F1798" s="70" t="s">
        <v>3547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3"/>
        <v>4</v>
      </c>
      <c r="D1799" s="73"/>
      <c r="E1799" s="70"/>
      <c r="F1799" s="70" t="s">
        <v>3548</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3"/>
        <v>4</v>
      </c>
      <c r="D1800" s="73"/>
      <c r="E1800" s="70"/>
      <c r="F1800" s="70" t="s">
        <v>3549</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3"/>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3"/>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3"/>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4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4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4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4"/>
        <v>4</v>
      </c>
      <c r="D1813" s="73"/>
      <c r="E1813" s="70"/>
      <c r="F1813" s="70" t="s">
        <v>3556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4"/>
        <v>4</v>
      </c>
      <c r="D1814" s="73"/>
      <c r="E1814" s="70"/>
      <c r="F1814" s="70" t="s">
        <v>3557</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4"/>
        <v>4</v>
      </c>
      <c r="D1815" s="73"/>
      <c r="E1815" s="70"/>
      <c r="F1815" s="70" t="s">
        <v>3558</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4"/>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4"/>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4"/>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4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4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4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5"/>
        <v>4</v>
      </c>
      <c r="D1828" s="73"/>
      <c r="E1828" s="70"/>
      <c r="F1828" s="70" t="s">
        <v>3565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5"/>
        <v>4</v>
      </c>
      <c r="D1829" s="73"/>
      <c r="E1829" s="70"/>
      <c r="F1829" s="70" t="s">
        <v>3566</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5"/>
        <v>4</v>
      </c>
      <c r="D1830" s="73"/>
      <c r="E1830" s="70"/>
      <c r="F1830" s="70" t="s">
        <v>3567</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5"/>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5"/>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5"/>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4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4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4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6"/>
        <v>4</v>
      </c>
      <c r="D1843" s="73"/>
      <c r="E1843" s="70"/>
      <c r="F1843" s="70" t="s">
        <v>3574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6"/>
        <v>4</v>
      </c>
      <c r="D1844" s="73"/>
      <c r="E1844" s="70"/>
      <c r="F1844" s="70" t="s">
        <v>3575</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6"/>
        <v>4</v>
      </c>
      <c r="D1845" s="73"/>
      <c r="E1845" s="70"/>
      <c r="F1845" s="70" t="s">
        <v>3576</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6"/>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6"/>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6"/>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4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4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3583</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3584</v>
      </c>
      <c r="G1859" s="403"/>
      <c r="H1859" s="181" t="s">
        <v>3748</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48">U1859</f>
        <v>0.52490000000000003</v>
      </c>
      <c r="X1859" s="405">
        <f t="shared" ref="X1859:X1860" si="449">V1859</f>
        <v>0.52490000000000003</v>
      </c>
      <c r="Y1859" s="405">
        <f>V1859</f>
        <v>0.52490000000000003</v>
      </c>
      <c r="Z1859" s="405">
        <f>AA1859</f>
        <v>0.52490000000000003</v>
      </c>
      <c r="AA1859" s="404">
        <f>U1859</f>
        <v>0.52490000000000003</v>
      </c>
      <c r="AB1859" s="405">
        <f t="shared" ref="AB1859:AB1860" si="450">AA1859</f>
        <v>0.52490000000000003</v>
      </c>
      <c r="AC1859" s="405">
        <f t="shared" ref="AC1859:AC1860" si="451">AB1859</f>
        <v>0.52490000000000003</v>
      </c>
      <c r="AD1859" s="405">
        <f t="shared" ref="AD1859:AD1860" si="452">AC1859</f>
        <v>0.52490000000000003</v>
      </c>
      <c r="AE1859" s="181"/>
      <c r="AF1859" s="404" t="s">
        <v>3511</v>
      </c>
      <c r="AG1859" s="181"/>
      <c r="AH1859" s="404">
        <v>1</v>
      </c>
      <c r="AI1859" s="404">
        <v>1</v>
      </c>
      <c r="AJ1859" s="73"/>
      <c r="AK1859" s="57"/>
      <c r="AL1859" s="45"/>
      <c r="AM1859" s="45"/>
      <c r="AN1859" s="45"/>
    </row>
    <row r="1860" spans="1:40" hidden="1" outlineLevel="2" collapsed="1" x14ac:dyDescent="0.25">
      <c r="A1860" s="45"/>
      <c r="B1860" s="54"/>
      <c r="C1860" s="47">
        <f>INT($C$29)+2</f>
        <v>3</v>
      </c>
      <c r="D1860" s="73"/>
      <c r="E1860" s="70"/>
      <c r="F1860" s="70" t="s">
        <v>3585</v>
      </c>
      <c r="G1860" s="234"/>
      <c r="H1860" s="76" t="s">
        <v>3509</v>
      </c>
      <c r="I1860" s="76"/>
      <c r="J1860" s="76"/>
      <c r="K1860" s="76"/>
      <c r="L1860" s="76"/>
      <c r="M1860" s="76"/>
      <c r="N1860" s="76"/>
      <c r="O1860" s="76"/>
      <c r="P1860" s="76"/>
      <c r="Q1860" s="76"/>
      <c r="R1860" s="76"/>
      <c r="S1860" s="76"/>
      <c r="T1860" s="76"/>
      <c r="U1860" s="97">
        <v>-4.2820000000000002E-3</v>
      </c>
      <c r="V1860" s="255">
        <f>U1860</f>
        <v>-4.2820000000000002E-3</v>
      </c>
      <c r="W1860" s="255">
        <f t="shared" si="448"/>
        <v>-4.2820000000000002E-3</v>
      </c>
      <c r="X1860" s="255">
        <f t="shared" si="449"/>
        <v>-4.2820000000000002E-3</v>
      </c>
      <c r="Y1860" s="255">
        <f>V1860</f>
        <v>-4.2820000000000002E-3</v>
      </c>
      <c r="Z1860" s="400">
        <f>AA1860</f>
        <v>-4.2820000000000002E-3</v>
      </c>
      <c r="AA1860" s="97">
        <f t="shared" ref="AA1860:AA1873" si="453">U1860</f>
        <v>-4.2820000000000002E-3</v>
      </c>
      <c r="AB1860" s="400">
        <f t="shared" si="450"/>
        <v>-4.2820000000000002E-3</v>
      </c>
      <c r="AC1860" s="400">
        <f t="shared" si="451"/>
        <v>-4.2820000000000002E-3</v>
      </c>
      <c r="AD1860" s="400">
        <f t="shared" si="452"/>
        <v>-4.2820000000000002E-3</v>
      </c>
      <c r="AE1860" s="76"/>
      <c r="AF1860" s="97" t="s">
        <v>3786</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3586</v>
      </c>
      <c r="G1861" s="234"/>
      <c r="H1861" s="76" t="s">
        <v>3503</v>
      </c>
      <c r="I1861" s="76"/>
      <c r="J1861" s="76"/>
      <c r="K1861" s="76"/>
      <c r="L1861" s="76"/>
      <c r="M1861" s="76"/>
      <c r="N1861" s="76"/>
      <c r="O1861" s="76"/>
      <c r="P1861" s="76"/>
      <c r="Q1861" s="76"/>
      <c r="R1861" s="76"/>
      <c r="S1861" s="76"/>
      <c r="T1861" s="76"/>
      <c r="U1861" s="76"/>
      <c r="V1861" s="76"/>
      <c r="W1861" s="76"/>
      <c r="X1861" s="76"/>
      <c r="Y1861" s="76"/>
      <c r="Z1861" s="76"/>
      <c r="AA1861" s="76">
        <f t="shared" si="453"/>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3587</v>
      </c>
      <c r="G1862" s="234"/>
      <c r="H1862" s="76" t="s">
        <v>3497</v>
      </c>
      <c r="I1862" s="96"/>
      <c r="J1862" s="76"/>
      <c r="K1862" s="76"/>
      <c r="L1862" s="76"/>
      <c r="M1862" s="76"/>
      <c r="N1862" s="76"/>
      <c r="O1862" s="76"/>
      <c r="P1862" s="76"/>
      <c r="Q1862" s="76"/>
      <c r="R1862" s="76"/>
      <c r="S1862" s="76"/>
      <c r="T1862" s="76"/>
      <c r="U1862" s="76"/>
      <c r="V1862" s="76"/>
      <c r="W1862" s="76"/>
      <c r="X1862" s="76"/>
      <c r="Y1862" s="76"/>
      <c r="Z1862" s="76"/>
      <c r="AA1862" s="76">
        <f t="shared" si="453"/>
        <v>0</v>
      </c>
      <c r="AB1862" s="76"/>
      <c r="AC1862" s="76"/>
      <c r="AD1862" s="76"/>
      <c r="AE1862" s="76"/>
      <c r="AF1862" s="76"/>
      <c r="AG1862" s="76"/>
      <c r="AH1862" s="76">
        <v>1</v>
      </c>
      <c r="AI1862" s="76">
        <v>1</v>
      </c>
      <c r="AJ1862" s="73"/>
      <c r="AK1862" s="57"/>
      <c r="AL1862" s="45"/>
      <c r="AM1862" s="45"/>
      <c r="AN1862" s="45"/>
    </row>
    <row r="1863" spans="1:40" hidden="1" outlineLevel="2" collapsed="1" x14ac:dyDescent="0.25">
      <c r="A1863" s="45"/>
      <c r="B1863" s="54"/>
      <c r="C1863" s="47">
        <f>INT($C$29)+2</f>
        <v>3</v>
      </c>
      <c r="D1863" s="73"/>
      <c r="E1863" s="70"/>
      <c r="F1863" s="70" t="s">
        <v>3588</v>
      </c>
      <c r="G1863" s="234"/>
      <c r="H1863" s="76" t="s">
        <v>3504</v>
      </c>
      <c r="I1863" s="76"/>
      <c r="J1863" s="76"/>
      <c r="K1863" s="76"/>
      <c r="L1863" s="76"/>
      <c r="M1863" s="76"/>
      <c r="N1863" s="76"/>
      <c r="O1863" s="76"/>
      <c r="P1863" s="76"/>
      <c r="Q1863" s="76"/>
      <c r="R1863" s="76"/>
      <c r="S1863" s="76"/>
      <c r="T1863" s="76"/>
      <c r="U1863" s="97">
        <v>5.5010000000000003E-2</v>
      </c>
      <c r="V1863" s="255">
        <f>U1863</f>
        <v>5.5010000000000003E-2</v>
      </c>
      <c r="W1863" s="255">
        <f t="shared" ref="W1863" si="454">U1863</f>
        <v>5.5010000000000003E-2</v>
      </c>
      <c r="X1863" s="255">
        <f t="shared" ref="X1863" si="455">V1863</f>
        <v>5.5010000000000003E-2</v>
      </c>
      <c r="Y1863" s="255">
        <f>V1863</f>
        <v>5.5010000000000003E-2</v>
      </c>
      <c r="Z1863" s="400">
        <f>AA1863</f>
        <v>5.5010000000000003E-2</v>
      </c>
      <c r="AA1863" s="97">
        <f t="shared" si="453"/>
        <v>5.5010000000000003E-2</v>
      </c>
      <c r="AB1863" s="400">
        <f t="shared" ref="AB1863" si="456">AA1863</f>
        <v>5.5010000000000003E-2</v>
      </c>
      <c r="AC1863" s="400">
        <f t="shared" ref="AC1863" si="457">AB1863</f>
        <v>5.5010000000000003E-2</v>
      </c>
      <c r="AD1863" s="400">
        <f t="shared" ref="AD1863" si="458">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3589</v>
      </c>
      <c r="G1864" s="234"/>
      <c r="H1864" s="76" t="s">
        <v>3498</v>
      </c>
      <c r="I1864" s="76"/>
      <c r="J1864" s="76"/>
      <c r="K1864" s="76"/>
      <c r="L1864" s="76"/>
      <c r="M1864" s="76"/>
      <c r="N1864" s="76"/>
      <c r="O1864" s="76"/>
      <c r="P1864" s="76"/>
      <c r="Q1864" s="76"/>
      <c r="R1864" s="76"/>
      <c r="S1864" s="76"/>
      <c r="T1864" s="76"/>
      <c r="U1864" s="76"/>
      <c r="V1864" s="76"/>
      <c r="W1864" s="76"/>
      <c r="X1864" s="76"/>
      <c r="Y1864" s="76"/>
      <c r="Z1864" s="76"/>
      <c r="AA1864" s="76">
        <f t="shared" si="453"/>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59">INT($C$29)+3</f>
        <v>4</v>
      </c>
      <c r="D1865" s="73"/>
      <c r="E1865" s="70"/>
      <c r="F1865" s="70" t="s">
        <v>3590</v>
      </c>
      <c r="G1865" s="234"/>
      <c r="H1865" s="76" t="s">
        <v>3505</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53"/>
        <v>0.14710000000000001</v>
      </c>
      <c r="AB1865" s="400">
        <f t="shared" ref="AB1865:AB1866" si="460">AA1865</f>
        <v>0.14710000000000001</v>
      </c>
      <c r="AC1865" s="400">
        <f t="shared" ref="AC1865:AC1866" si="461">AB1865</f>
        <v>0.14710000000000001</v>
      </c>
      <c r="AD1865" s="400">
        <f t="shared" ref="AD1865:AD1866" si="462">AC1865</f>
        <v>0.14710000000000001</v>
      </c>
      <c r="AE1865" s="76"/>
      <c r="AF1865" s="76"/>
      <c r="AG1865" s="76"/>
      <c r="AH1865" s="97">
        <v>1</v>
      </c>
      <c r="AI1865" s="97">
        <v>1</v>
      </c>
      <c r="AJ1865" s="73"/>
      <c r="AK1865" s="57"/>
      <c r="AL1865" s="45"/>
      <c r="AM1865" s="45"/>
      <c r="AN1865" s="45"/>
    </row>
    <row r="1866" spans="1:40" hidden="1" outlineLevel="2" collapsed="1" x14ac:dyDescent="0.25">
      <c r="A1866" s="45"/>
      <c r="B1866" s="54"/>
      <c r="C1866" s="47">
        <f t="shared" si="459"/>
        <v>4</v>
      </c>
      <c r="D1866" s="73"/>
      <c r="E1866" s="70"/>
      <c r="F1866" s="70" t="s">
        <v>3591</v>
      </c>
      <c r="G1866" s="234"/>
      <c r="H1866" s="76" t="s">
        <v>3499</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53"/>
        <v>-3.7910000000000001E-3</v>
      </c>
      <c r="AB1866" s="400">
        <f t="shared" si="460"/>
        <v>-3.7910000000000001E-3</v>
      </c>
      <c r="AC1866" s="400">
        <f t="shared" si="461"/>
        <v>-3.7910000000000001E-3</v>
      </c>
      <c r="AD1866" s="400">
        <f t="shared" si="462"/>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59"/>
        <v>4</v>
      </c>
      <c r="D1867" s="73"/>
      <c r="E1867" s="70"/>
      <c r="F1867" s="70" t="str">
        <f>SUBSTITUTE(F1863,",4)",",8)")</f>
        <v>C(U6,8,8)</v>
      </c>
      <c r="G1867" s="73"/>
      <c r="H1867" s="76" t="s">
        <v>3506</v>
      </c>
      <c r="I1867" s="96"/>
      <c r="J1867" s="76"/>
      <c r="K1867" s="76"/>
      <c r="L1867" s="76"/>
      <c r="M1867" s="76"/>
      <c r="N1867" s="76"/>
      <c r="O1867" s="76"/>
      <c r="P1867" s="76"/>
      <c r="Q1867" s="76"/>
      <c r="R1867" s="76"/>
      <c r="S1867" s="76"/>
      <c r="T1867" s="76"/>
      <c r="U1867" s="76"/>
      <c r="V1867" s="76"/>
      <c r="W1867" s="76"/>
      <c r="X1867" s="76"/>
      <c r="Y1867" s="76"/>
      <c r="Z1867" s="76"/>
      <c r="AA1867" s="76">
        <f t="shared" si="453"/>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59"/>
        <v>4</v>
      </c>
      <c r="D1868" s="73"/>
      <c r="E1868" s="70"/>
      <c r="F1868" s="70" t="str">
        <f>SUBSTITUTE(F1864,",5)",",9)")</f>
        <v>C(U6,8,9)</v>
      </c>
      <c r="G1868" s="73"/>
      <c r="H1868" s="76" t="s">
        <v>3500</v>
      </c>
      <c r="I1868" s="96"/>
      <c r="J1868" s="76"/>
      <c r="K1868" s="76"/>
      <c r="L1868" s="76"/>
      <c r="M1868" s="76"/>
      <c r="N1868" s="76"/>
      <c r="O1868" s="76"/>
      <c r="P1868" s="76"/>
      <c r="Q1868" s="76"/>
      <c r="R1868" s="76"/>
      <c r="S1868" s="76"/>
      <c r="T1868" s="76"/>
      <c r="U1868" s="76"/>
      <c r="V1868" s="76"/>
      <c r="W1868" s="76"/>
      <c r="X1868" s="76"/>
      <c r="Y1868" s="76"/>
      <c r="Z1868" s="76"/>
      <c r="AA1868" s="76">
        <f t="shared" si="45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59"/>
        <v>4</v>
      </c>
      <c r="D1869" s="73"/>
      <c r="E1869" s="70"/>
      <c r="F1869" s="70" t="str">
        <f>SUBSTITUTE(F1865,",6)",",10)")</f>
        <v>C(U6,8,10)</v>
      </c>
      <c r="G1869" s="73"/>
      <c r="H1869" s="76" t="s">
        <v>3507</v>
      </c>
      <c r="I1869" s="96"/>
      <c r="J1869" s="76"/>
      <c r="K1869" s="76"/>
      <c r="L1869" s="76"/>
      <c r="M1869" s="76"/>
      <c r="N1869" s="76"/>
      <c r="O1869" s="76"/>
      <c r="P1869" s="76"/>
      <c r="Q1869" s="76"/>
      <c r="R1869" s="76"/>
      <c r="S1869" s="76"/>
      <c r="T1869" s="76"/>
      <c r="U1869" s="76"/>
      <c r="V1869" s="76"/>
      <c r="W1869" s="76"/>
      <c r="X1869" s="76"/>
      <c r="Y1869" s="76"/>
      <c r="Z1869" s="76"/>
      <c r="AA1869" s="76">
        <f t="shared" si="453"/>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59"/>
        <v>4</v>
      </c>
      <c r="D1870" s="73"/>
      <c r="E1870" s="70"/>
      <c r="F1870" s="70" t="str">
        <f>SUBSTITUTE(F1866,",7)",",11)")</f>
        <v>C(U6,8,11)</v>
      </c>
      <c r="G1870" s="73"/>
      <c r="H1870" s="76" t="s">
        <v>3501</v>
      </c>
      <c r="I1870" s="96"/>
      <c r="J1870" s="76"/>
      <c r="K1870" s="76"/>
      <c r="L1870" s="76"/>
      <c r="M1870" s="76"/>
      <c r="N1870" s="76"/>
      <c r="O1870" s="76"/>
      <c r="P1870" s="76"/>
      <c r="Q1870" s="76"/>
      <c r="R1870" s="76"/>
      <c r="S1870" s="76"/>
      <c r="T1870" s="76"/>
      <c r="U1870" s="76"/>
      <c r="V1870" s="76"/>
      <c r="W1870" s="76"/>
      <c r="X1870" s="76"/>
      <c r="Y1870" s="76"/>
      <c r="Z1870" s="76"/>
      <c r="AA1870" s="76">
        <f t="shared" si="453"/>
        <v>0</v>
      </c>
      <c r="AB1870" s="76"/>
      <c r="AC1870" s="76"/>
      <c r="AD1870" s="76"/>
      <c r="AE1870" s="76"/>
      <c r="AF1870" s="76"/>
      <c r="AG1870" s="76"/>
      <c r="AH1870" s="76">
        <v>1</v>
      </c>
      <c r="AI1870" s="76">
        <v>1</v>
      </c>
      <c r="AJ1870" s="73"/>
      <c r="AK1870" s="57"/>
      <c r="AL1870" s="45"/>
      <c r="AM1870" s="45"/>
      <c r="AN1870" s="45"/>
    </row>
    <row r="1871" spans="1:40" hidden="1" outlineLevel="2" collapsed="1" x14ac:dyDescent="0.25">
      <c r="A1871" s="45"/>
      <c r="B1871" s="54"/>
      <c r="C1871" s="47">
        <f t="shared" si="45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63">U1871</f>
        <v>-7.9950000000000004E-3</v>
      </c>
      <c r="X1871" s="255">
        <f t="shared" ref="X1871" si="464">V1871</f>
        <v>-7.9950000000000004E-3</v>
      </c>
      <c r="Y1871" s="255">
        <f>V1871</f>
        <v>-7.9950000000000004E-3</v>
      </c>
      <c r="Z1871" s="400">
        <f>AA1871</f>
        <v>-7.9950000000000004E-3</v>
      </c>
      <c r="AA1871" s="97">
        <f t="shared" si="453"/>
        <v>-7.9950000000000004E-3</v>
      </c>
      <c r="AB1871" s="400">
        <f t="shared" ref="AB1871" si="465">AA1871</f>
        <v>-7.9950000000000004E-3</v>
      </c>
      <c r="AC1871" s="400">
        <f t="shared" ref="AC1871" si="466">AB1871</f>
        <v>-7.9950000000000004E-3</v>
      </c>
      <c r="AD1871" s="400">
        <f t="shared" ref="AD1871" si="467">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5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53"/>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INT($C$29)+2</f>
        <v>3</v>
      </c>
      <c r="D1873" s="73"/>
      <c r="E1873" s="406"/>
      <c r="F1873" s="406" t="s">
        <v>3592</v>
      </c>
      <c r="G1873" s="407"/>
      <c r="H1873" s="184" t="s">
        <v>3510</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68">V1873</f>
        <v>-6.7655397499999994</v>
      </c>
      <c r="X1873" s="410">
        <f t="shared" si="468"/>
        <v>-6.7655397499999994</v>
      </c>
      <c r="Y1873" s="410">
        <f t="shared" si="468"/>
        <v>-6.7655397499999994</v>
      </c>
      <c r="Z1873" s="410">
        <f>AA1873</f>
        <v>-6.7655397499999994</v>
      </c>
      <c r="AA1873" s="409">
        <f t="shared" si="45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69">INT($C$29)+3</f>
        <v>4</v>
      </c>
      <c r="D1874" s="73"/>
      <c r="E1874" s="70"/>
      <c r="F1874" s="70" t="s">
        <v>3598</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69"/>
        <v>4</v>
      </c>
      <c r="D1875" s="73"/>
      <c r="E1875" s="70"/>
      <c r="F1875" s="70" t="s">
        <v>3599</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69"/>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69"/>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69"/>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7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7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7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0"/>
        <v>4</v>
      </c>
      <c r="D1888" s="73"/>
      <c r="E1888" s="70"/>
      <c r="F1888" s="70" t="s">
        <v>3606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0"/>
        <v>4</v>
      </c>
      <c r="D1889" s="73"/>
      <c r="E1889" s="70"/>
      <c r="F1889" s="70" t="s">
        <v>3607</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0"/>
        <v>4</v>
      </c>
      <c r="D1890" s="73"/>
      <c r="E1890" s="70"/>
      <c r="F1890" s="70" t="s">
        <v>3608</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0"/>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0"/>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0"/>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7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7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7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1"/>
        <v>4</v>
      </c>
      <c r="D1903" s="73"/>
      <c r="E1903" s="70"/>
      <c r="F1903" s="70" t="s">
        <v>3615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1"/>
        <v>4</v>
      </c>
      <c r="D1904" s="73"/>
      <c r="E1904" s="70"/>
      <c r="F1904" s="70" t="s">
        <v>3616</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1"/>
        <v>4</v>
      </c>
      <c r="D1905" s="73"/>
      <c r="E1905" s="70"/>
      <c r="F1905" s="70" t="s">
        <v>3617</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1"/>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1"/>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1"/>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7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7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7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2"/>
        <v>4</v>
      </c>
      <c r="D1918" s="73"/>
      <c r="E1918" s="70"/>
      <c r="F1918" s="70" t="s">
        <v>3624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2"/>
        <v>4</v>
      </c>
      <c r="D1919" s="73"/>
      <c r="E1919" s="70"/>
      <c r="F1919" s="70" t="s">
        <v>3625</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2"/>
        <v>4</v>
      </c>
      <c r="D1920" s="73"/>
      <c r="E1920" s="70"/>
      <c r="F1920" s="70" t="s">
        <v>3626</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2"/>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2"/>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2"/>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7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7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7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3"/>
        <v>4</v>
      </c>
      <c r="D1933" s="73"/>
      <c r="E1933" s="70"/>
      <c r="F1933" s="70" t="s">
        <v>3633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3"/>
        <v>4</v>
      </c>
      <c r="D1934" s="73"/>
      <c r="E1934" s="70"/>
      <c r="F1934" s="70" t="s">
        <v>3634</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3"/>
        <v>4</v>
      </c>
      <c r="D1935" s="73"/>
      <c r="E1935" s="70"/>
      <c r="F1935" s="70" t="s">
        <v>3635</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3"/>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3"/>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3"/>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7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7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7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4"/>
        <v>4</v>
      </c>
      <c r="D1948" s="73"/>
      <c r="E1948" s="70"/>
      <c r="F1948" s="70" t="s">
        <v>3642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4"/>
        <v>4</v>
      </c>
      <c r="D1949" s="73"/>
      <c r="E1949" s="70"/>
      <c r="F1949" s="70" t="s">
        <v>3643</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4"/>
        <v>4</v>
      </c>
      <c r="D1950" s="73"/>
      <c r="E1950" s="70"/>
      <c r="F1950" s="70" t="s">
        <v>3644</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4"/>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4"/>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4"/>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7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7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7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5"/>
        <v>4</v>
      </c>
      <c r="D1963" s="73"/>
      <c r="E1963" s="70"/>
      <c r="F1963" s="70" t="s">
        <v>3651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5"/>
        <v>4</v>
      </c>
      <c r="D1964" s="73"/>
      <c r="E1964" s="70"/>
      <c r="F1964" s="70" t="s">
        <v>3652</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5"/>
        <v>4</v>
      </c>
      <c r="D1965" s="73"/>
      <c r="E1965" s="70"/>
      <c r="F1965" s="70" t="s">
        <v>3653</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5"/>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5"/>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5"/>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7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7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3660</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77">INT($C$29)+3</f>
        <v>4</v>
      </c>
      <c r="D1979" s="73"/>
      <c r="E1979" s="70"/>
      <c r="F1979" s="70" t="s">
        <v>3661</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77"/>
        <v>4</v>
      </c>
      <c r="D1980" s="73"/>
      <c r="E1980" s="70"/>
      <c r="F1980" s="70" t="s">
        <v>3662</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77"/>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7"/>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7"/>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7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7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7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7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7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7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78"/>
        <v>4</v>
      </c>
      <c r="D1993" s="73"/>
      <c r="E1993" s="70"/>
      <c r="F1993" s="70" t="s">
        <v>3669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78"/>
        <v>4</v>
      </c>
      <c r="D1994" s="73"/>
      <c r="E1994" s="70"/>
      <c r="F1994" s="70" t="s">
        <v>3670</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78"/>
        <v>4</v>
      </c>
      <c r="D1995" s="73"/>
      <c r="E1995" s="70"/>
      <c r="F1995" s="70" t="s">
        <v>3671</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78"/>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78"/>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78"/>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7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7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7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7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7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7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79"/>
        <v>4</v>
      </c>
      <c r="D2008" s="73"/>
      <c r="E2008" s="70"/>
      <c r="F2008" s="70" t="s">
        <v>3678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79"/>
        <v>4</v>
      </c>
      <c r="D2009" s="73"/>
      <c r="E2009" s="70"/>
      <c r="F2009" s="70" t="s">
        <v>3679</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79"/>
        <v>4</v>
      </c>
      <c r="D2010" s="73"/>
      <c r="E2010" s="70"/>
      <c r="F2010" s="70" t="s">
        <v>3680</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79"/>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79"/>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79"/>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8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8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8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0"/>
        <v>4</v>
      </c>
      <c r="D2023" s="73"/>
      <c r="E2023" s="70"/>
      <c r="F2023" s="70" t="s">
        <v>3687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0"/>
        <v>4</v>
      </c>
      <c r="D2024" s="73"/>
      <c r="E2024" s="70"/>
      <c r="F2024" s="70" t="s">
        <v>3688</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0"/>
        <v>4</v>
      </c>
      <c r="D2025" s="73"/>
      <c r="E2025" s="70"/>
      <c r="F2025" s="70" t="s">
        <v>3689</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0"/>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0"/>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0"/>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8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8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8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1"/>
        <v>4</v>
      </c>
      <c r="D2038" s="73"/>
      <c r="E2038" s="70"/>
      <c r="F2038" s="70" t="s">
        <v>3696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1"/>
        <v>4</v>
      </c>
      <c r="D2039" s="73"/>
      <c r="E2039" s="70"/>
      <c r="F2039" s="70" t="s">
        <v>3697</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1"/>
        <v>4</v>
      </c>
      <c r="D2040" s="73"/>
      <c r="E2040" s="70"/>
      <c r="F2040" s="70" t="s">
        <v>3698</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1"/>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1"/>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1"/>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8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8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8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2"/>
        <v>4</v>
      </c>
      <c r="D2053" s="73"/>
      <c r="E2053" s="70"/>
      <c r="F2053" s="70" t="s">
        <v>3705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2"/>
        <v>4</v>
      </c>
      <c r="D2054" s="73"/>
      <c r="E2054" s="70"/>
      <c r="F2054" s="70" t="s">
        <v>3706</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2"/>
        <v>4</v>
      </c>
      <c r="D2055" s="73"/>
      <c r="E2055" s="70"/>
      <c r="F2055" s="70" t="s">
        <v>3707</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2"/>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2"/>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2"/>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8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8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8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3"/>
        <v>4</v>
      </c>
      <c r="D2068" s="73"/>
      <c r="E2068" s="70"/>
      <c r="F2068" s="70" t="s">
        <v>3714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3"/>
        <v>4</v>
      </c>
      <c r="D2069" s="73"/>
      <c r="E2069" s="70"/>
      <c r="F2069" s="70" t="s">
        <v>3715</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3"/>
        <v>4</v>
      </c>
      <c r="D2070" s="73"/>
      <c r="E2070" s="70"/>
      <c r="F2070" s="70" t="s">
        <v>3716</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3"/>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3"/>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3"/>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8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8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3723</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3724</v>
      </c>
      <c r="G2084" s="73"/>
      <c r="H2084" s="76" t="s">
        <v>3353</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85">U2084</f>
        <v>-1.0469999999999999</v>
      </c>
      <c r="X2084" s="255">
        <f t="shared" ref="X2084:X2085" si="486">V2084</f>
        <v>-1.0469999999999999</v>
      </c>
      <c r="Y2084" s="255">
        <f>V2084</f>
        <v>-1.0469999999999999</v>
      </c>
      <c r="Z2084" s="255">
        <f>AA2084</f>
        <v>-1.0469999999999999</v>
      </c>
      <c r="AA2084" s="97">
        <f>U2084</f>
        <v>-1.0469999999999999</v>
      </c>
      <c r="AB2084" s="255">
        <f t="shared" ref="AB2084:AB2085" si="487">AA2084</f>
        <v>-1.0469999999999999</v>
      </c>
      <c r="AC2084" s="255">
        <f t="shared" ref="AC2084:AC2085" si="488">AB2084</f>
        <v>-1.0469999999999999</v>
      </c>
      <c r="AD2084" s="255">
        <f t="shared" ref="AD2084:AD2085" si="489">AC2084</f>
        <v>-1.0469999999999999</v>
      </c>
      <c r="AE2084" s="76"/>
      <c r="AF2084" s="97" t="s">
        <v>3597</v>
      </c>
      <c r="AG2084" s="76"/>
      <c r="AH2084" s="76">
        <v>1</v>
      </c>
      <c r="AI2084" s="76">
        <v>1</v>
      </c>
      <c r="AJ2084" s="73"/>
      <c r="AK2084" s="57"/>
      <c r="AL2084" s="45"/>
      <c r="AM2084" s="45"/>
      <c r="AN2084" s="45"/>
    </row>
    <row r="2085" spans="1:40" hidden="1" outlineLevel="2" collapsed="1"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7.5389999999999997E-3</v>
      </c>
      <c r="V2085" s="255">
        <f>U2085</f>
        <v>7.5389999999999997E-3</v>
      </c>
      <c r="W2085" s="255">
        <f t="shared" si="485"/>
        <v>7.5389999999999997E-3</v>
      </c>
      <c r="X2085" s="255">
        <f t="shared" si="486"/>
        <v>7.5389999999999997E-3</v>
      </c>
      <c r="Y2085" s="255">
        <f>V2085</f>
        <v>7.5389999999999997E-3</v>
      </c>
      <c r="Z2085" s="255">
        <f>AA2085</f>
        <v>7.5389999999999997E-3</v>
      </c>
      <c r="AA2085" s="97">
        <f t="shared" ref="AA2085" si="490">U2085</f>
        <v>7.5389999999999997E-3</v>
      </c>
      <c r="AB2085" s="255">
        <f t="shared" si="487"/>
        <v>7.5389999999999997E-3</v>
      </c>
      <c r="AC2085" s="255">
        <f t="shared" si="488"/>
        <v>7.5389999999999997E-3</v>
      </c>
      <c r="AD2085" s="255">
        <f t="shared" si="489"/>
        <v>7.5389999999999997E-3</v>
      </c>
      <c r="AE2085" s="76"/>
      <c r="AF2085" s="97" t="s">
        <v>3355</v>
      </c>
      <c r="AG2085" s="76"/>
      <c r="AH2085" s="76">
        <v>1</v>
      </c>
      <c r="AI2085" s="76">
        <v>1</v>
      </c>
      <c r="AJ2085" s="73"/>
      <c r="AK2085" s="57"/>
      <c r="AL2085" s="45"/>
      <c r="AM2085" s="45"/>
      <c r="AN2085" s="45"/>
    </row>
    <row r="2086" spans="1:40" hidden="1" outlineLevel="3" x14ac:dyDescent="0.25">
      <c r="A2086" s="45"/>
      <c r="B2086" s="54"/>
      <c r="C2086" s="47">
        <f t="shared" ref="C2086:C2097" si="491">INT($C$29)+3</f>
        <v>4</v>
      </c>
      <c r="D2086" s="73"/>
      <c r="E2086" s="70"/>
      <c r="F2086" s="70" t="s">
        <v>3726</v>
      </c>
      <c r="G2086" s="73"/>
      <c r="H2086" s="373" t="s">
        <v>3503</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91"/>
        <v>4</v>
      </c>
      <c r="D2087" s="73"/>
      <c r="E2087" s="70"/>
      <c r="F2087" s="70" t="s">
        <v>3727</v>
      </c>
      <c r="G2087" s="73"/>
      <c r="H2087" s="373" t="s">
        <v>3497</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25">
      <c r="A2088" s="45"/>
      <c r="B2088" s="54"/>
      <c r="C2088" s="47">
        <f t="shared" si="491"/>
        <v>4</v>
      </c>
      <c r="D2088" s="73"/>
      <c r="E2088" s="70"/>
      <c r="F2088" s="70" t="s">
        <v>3728</v>
      </c>
      <c r="G2088" s="73"/>
      <c r="H2088" s="76" t="s">
        <v>3593</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92">U2088</f>
        <v>-0.23419999999999999</v>
      </c>
      <c r="X2088" s="255">
        <f t="shared" ref="X2088:X2091" si="493">V2088</f>
        <v>-0.23419999999999999</v>
      </c>
      <c r="Y2088" s="255">
        <f>V2088</f>
        <v>-0.23419999999999999</v>
      </c>
      <c r="Z2088" s="255">
        <f>AA2088</f>
        <v>-0.23419999999999999</v>
      </c>
      <c r="AA2088" s="97">
        <f t="shared" ref="AA2088:AA2091" si="494">U2088</f>
        <v>-0.23419999999999999</v>
      </c>
      <c r="AB2088" s="255">
        <f t="shared" ref="AB2088:AB2091" si="495">AA2088</f>
        <v>-0.23419999999999999</v>
      </c>
      <c r="AC2088" s="255">
        <f t="shared" ref="AC2088:AC2091" si="496">AB2088</f>
        <v>-0.23419999999999999</v>
      </c>
      <c r="AD2088" s="255">
        <f t="shared" ref="AD2088:AD2091" si="497">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91"/>
        <v>4</v>
      </c>
      <c r="D2089" s="73"/>
      <c r="E2089" s="70"/>
      <c r="F2089" s="70" t="s">
        <v>3729</v>
      </c>
      <c r="G2089" s="73"/>
      <c r="H2089" s="76" t="s">
        <v>3594</v>
      </c>
      <c r="I2089" s="76"/>
      <c r="J2089" s="76"/>
      <c r="K2089" s="76"/>
      <c r="L2089" s="76"/>
      <c r="M2089" s="76"/>
      <c r="N2089" s="76"/>
      <c r="O2089" s="76"/>
      <c r="P2089" s="76"/>
      <c r="Q2089" s="76"/>
      <c r="R2089" s="76"/>
      <c r="S2089" s="76"/>
      <c r="T2089" s="76"/>
      <c r="U2089" s="97"/>
      <c r="V2089" s="255">
        <f t="shared" ref="V2089" si="498">U2089</f>
        <v>0</v>
      </c>
      <c r="W2089" s="255">
        <f t="shared" si="492"/>
        <v>0</v>
      </c>
      <c r="X2089" s="255">
        <f t="shared" si="493"/>
        <v>0</v>
      </c>
      <c r="Y2089" s="255">
        <f t="shared" ref="Y2089" si="499">V2089</f>
        <v>0</v>
      </c>
      <c r="Z2089" s="255">
        <f t="shared" ref="Z2089" si="500">AA2089</f>
        <v>0</v>
      </c>
      <c r="AA2089" s="97">
        <f t="shared" si="494"/>
        <v>0</v>
      </c>
      <c r="AB2089" s="255">
        <f t="shared" si="495"/>
        <v>0</v>
      </c>
      <c r="AC2089" s="255">
        <f t="shared" si="496"/>
        <v>0</v>
      </c>
      <c r="AD2089" s="255">
        <f t="shared" si="497"/>
        <v>0</v>
      </c>
      <c r="AE2089" s="76"/>
      <c r="AF2089" s="76"/>
      <c r="AG2089" s="76"/>
      <c r="AH2089" s="76">
        <v>1</v>
      </c>
      <c r="AI2089" s="76">
        <v>1</v>
      </c>
      <c r="AJ2089" s="73"/>
      <c r="AK2089" s="57"/>
      <c r="AL2089" s="45"/>
      <c r="AM2089" s="45"/>
      <c r="AN2089" s="45"/>
    </row>
    <row r="2090" spans="1:40" hidden="1" outlineLevel="2" collapsed="1" x14ac:dyDescent="0.25">
      <c r="A2090" s="45"/>
      <c r="B2090" s="54"/>
      <c r="C2090" s="47">
        <f t="shared" si="491"/>
        <v>4</v>
      </c>
      <c r="D2090" s="73"/>
      <c r="E2090" s="70"/>
      <c r="F2090" s="70" t="s">
        <v>3730</v>
      </c>
      <c r="G2090" s="73"/>
      <c r="H2090" s="76" t="s">
        <v>3595</v>
      </c>
      <c r="I2090" s="76"/>
      <c r="J2090" s="76"/>
      <c r="K2090" s="76"/>
      <c r="L2090" s="76"/>
      <c r="M2090" s="76"/>
      <c r="N2090" s="76"/>
      <c r="O2090" s="76"/>
      <c r="P2090" s="76"/>
      <c r="Q2090" s="76"/>
      <c r="R2090" s="76"/>
      <c r="S2090" s="76"/>
      <c r="T2090" s="76"/>
      <c r="U2090" s="97">
        <v>-0.24959999999999999</v>
      </c>
      <c r="V2090" s="255">
        <f>U2090</f>
        <v>-0.24959999999999999</v>
      </c>
      <c r="W2090" s="255">
        <f t="shared" si="492"/>
        <v>-0.24959999999999999</v>
      </c>
      <c r="X2090" s="255">
        <f t="shared" si="493"/>
        <v>-0.24959999999999999</v>
      </c>
      <c r="Y2090" s="255">
        <f>V2090</f>
        <v>-0.24959999999999999</v>
      </c>
      <c r="Z2090" s="255">
        <f>AA2090</f>
        <v>-0.24959999999999999</v>
      </c>
      <c r="AA2090" s="97">
        <f t="shared" si="494"/>
        <v>-0.24959999999999999</v>
      </c>
      <c r="AB2090" s="255">
        <f t="shared" si="495"/>
        <v>-0.24959999999999999</v>
      </c>
      <c r="AC2090" s="255">
        <f t="shared" si="496"/>
        <v>-0.24959999999999999</v>
      </c>
      <c r="AD2090" s="255">
        <f t="shared" si="497"/>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91"/>
        <v>4</v>
      </c>
      <c r="D2091" s="73"/>
      <c r="E2091" s="70"/>
      <c r="F2091" s="70" t="s">
        <v>3731</v>
      </c>
      <c r="G2091" s="73"/>
      <c r="H2091" s="76" t="s">
        <v>3596</v>
      </c>
      <c r="I2091" s="76"/>
      <c r="J2091" s="76"/>
      <c r="K2091" s="76"/>
      <c r="L2091" s="76"/>
      <c r="M2091" s="76"/>
      <c r="N2091" s="76"/>
      <c r="O2091" s="76"/>
      <c r="P2091" s="76"/>
      <c r="Q2091" s="76"/>
      <c r="R2091" s="76"/>
      <c r="S2091" s="76"/>
      <c r="T2091" s="76"/>
      <c r="U2091" s="97"/>
      <c r="V2091" s="255">
        <f t="shared" ref="V2091" si="501">U2091</f>
        <v>0</v>
      </c>
      <c r="W2091" s="255">
        <f t="shared" si="492"/>
        <v>0</v>
      </c>
      <c r="X2091" s="255">
        <f t="shared" si="493"/>
        <v>0</v>
      </c>
      <c r="Y2091" s="255">
        <f t="shared" ref="Y2091" si="502">V2091</f>
        <v>0</v>
      </c>
      <c r="Z2091" s="255">
        <f t="shared" ref="Z2091" si="503">AA2091</f>
        <v>0</v>
      </c>
      <c r="AA2091" s="97">
        <f t="shared" si="494"/>
        <v>0</v>
      </c>
      <c r="AB2091" s="255">
        <f t="shared" si="495"/>
        <v>0</v>
      </c>
      <c r="AC2091" s="255">
        <f t="shared" si="496"/>
        <v>0</v>
      </c>
      <c r="AD2091" s="255">
        <f t="shared" si="497"/>
        <v>0</v>
      </c>
      <c r="AE2091" s="76"/>
      <c r="AF2091" s="76"/>
      <c r="AG2091" s="76"/>
      <c r="AH2091" s="76">
        <v>1</v>
      </c>
      <c r="AI2091" s="76">
        <v>1</v>
      </c>
      <c r="AJ2091" s="73"/>
      <c r="AK2091" s="57"/>
      <c r="AL2091" s="45"/>
      <c r="AM2091" s="45"/>
      <c r="AN2091" s="45"/>
    </row>
    <row r="2092" spans="1:40" hidden="1" outlineLevel="3" x14ac:dyDescent="0.25">
      <c r="A2092" s="45"/>
      <c r="B2092" s="54"/>
      <c r="C2092" s="47">
        <f t="shared" si="491"/>
        <v>4</v>
      </c>
      <c r="D2092" s="73"/>
      <c r="E2092" s="70"/>
      <c r="F2092" s="70" t="str">
        <f>SUBSTITUTE(F2088,",4)",",8)")</f>
        <v>C(U6,23,8)</v>
      </c>
      <c r="G2092" s="73"/>
      <c r="H2092" s="373" t="s">
        <v>3359</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91"/>
        <v>4</v>
      </c>
      <c r="D2093" s="73"/>
      <c r="E2093" s="70"/>
      <c r="F2093" s="70" t="str">
        <f>SUBSTITUTE(F2089,",5)",",9)")</f>
        <v>C(U6,23,9)</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91"/>
        <v>4</v>
      </c>
      <c r="D2094" s="73"/>
      <c r="E2094" s="70"/>
      <c r="F2094" s="70" t="str">
        <f>SUBSTITUTE(F2090,",6)",",10)")</f>
        <v>C(U6,23,10)</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91"/>
        <v>4</v>
      </c>
      <c r="D2095" s="73"/>
      <c r="E2095" s="70"/>
      <c r="F2095" s="70" t="str">
        <f>SUBSTITUTE(F2091,",7)",",11)")</f>
        <v>C(U6,23,11)</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91"/>
        <v>4</v>
      </c>
      <c r="D2096" s="73"/>
      <c r="E2096" s="70"/>
      <c r="F2096" s="70" t="str">
        <f>SUBSTITUTE(F2090,",6)",",12)")</f>
        <v>C(U6,23,12)</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91"/>
        <v>4</v>
      </c>
      <c r="D2097" s="73"/>
      <c r="E2097" s="70"/>
      <c r="F2097" s="70" t="str">
        <f>SUBSTITUTE(F2091,",7)",",13)")</f>
        <v>C(U6,23,13)</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3732</v>
      </c>
      <c r="G2098" s="73"/>
      <c r="H2098" s="76" t="s">
        <v>3365</v>
      </c>
      <c r="I2098" s="76"/>
      <c r="J2098" s="76"/>
      <c r="K2098" s="76"/>
      <c r="L2098" s="76"/>
      <c r="M2098" s="76"/>
      <c r="N2098" s="76"/>
      <c r="O2098" s="76"/>
      <c r="P2098" s="76"/>
      <c r="Q2098" s="76"/>
      <c r="R2098" s="76"/>
      <c r="S2098" s="76"/>
      <c r="T2098" s="76"/>
      <c r="U2098" s="97">
        <v>28.52</v>
      </c>
      <c r="V2098" s="255">
        <f t="shared" ref="V2098" si="504">U2098</f>
        <v>28.52</v>
      </c>
      <c r="W2098" s="255">
        <f t="shared" ref="W2098" si="505">U2098</f>
        <v>28.52</v>
      </c>
      <c r="X2098" s="255">
        <f t="shared" ref="X2098" si="506">V2098</f>
        <v>28.52</v>
      </c>
      <c r="Y2098" s="255">
        <f t="shared" ref="Y2098" si="507">V2098</f>
        <v>28.52</v>
      </c>
      <c r="Z2098" s="255">
        <f t="shared" ref="Z2098" si="508">AA2098</f>
        <v>28.52</v>
      </c>
      <c r="AA2098" s="97">
        <f>U2098</f>
        <v>28.52</v>
      </c>
      <c r="AB2098" s="255">
        <f t="shared" ref="AB2098" si="509">AA2098</f>
        <v>28.52</v>
      </c>
      <c r="AC2098" s="255">
        <f t="shared" ref="AC2098" si="510">AB2098</f>
        <v>28.52</v>
      </c>
      <c r="AD2098" s="255">
        <f t="shared" ref="AD2098" si="511">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hidden="1"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hidden="1"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filterColumn colId="15">
      <filters>
        <filter val="calibration"/>
      </filters>
    </filterColumn>
  </autoFilter>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2350</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2361</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3281</v>
      </c>
      <c r="B34">
        <v>50</v>
      </c>
      <c r="C34" s="1" t="s">
        <v>2903</v>
      </c>
    </row>
    <row r="35" spans="1:3" ht="7.15" customHeight="1" x14ac:dyDescent="0.25"/>
    <row r="36" spans="1:3" x14ac:dyDescent="0.25">
      <c r="A36" t="s">
        <v>3282</v>
      </c>
      <c r="B36">
        <v>60</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3285</v>
      </c>
      <c r="B77">
        <f>0.3*harvest_maint</f>
        <v>16.5</v>
      </c>
      <c r="C77" s="1" t="s">
        <v>3286</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3281</v>
      </c>
      <c r="B34">
        <v>40</v>
      </c>
      <c r="C34" s="1" t="s">
        <v>2903</v>
      </c>
    </row>
    <row r="35" spans="1:3" ht="7.15" customHeight="1" x14ac:dyDescent="0.25"/>
    <row r="36" spans="1:3" x14ac:dyDescent="0.25">
      <c r="A36" t="s">
        <v>3282</v>
      </c>
      <c r="B36">
        <v>35</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3285</v>
      </c>
      <c r="B77">
        <f>0.3*harvest_maint</f>
        <v>12</v>
      </c>
      <c r="C77" s="1" t="s">
        <v>3286</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3281</v>
      </c>
      <c r="B33">
        <v>60</v>
      </c>
      <c r="C33" s="1" t="s">
        <v>2903</v>
      </c>
    </row>
    <row r="34" spans="1:3" ht="7.15" customHeight="1" x14ac:dyDescent="0.25"/>
    <row r="35" spans="1:3" x14ac:dyDescent="0.25">
      <c r="A35" t="s">
        <v>3282</v>
      </c>
      <c r="B35">
        <v>78</v>
      </c>
      <c r="C35" s="1" t="s">
        <v>3284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3285</v>
      </c>
      <c r="B76">
        <f>0.3*harvest_maint</f>
        <v>24</v>
      </c>
      <c r="C76" s="1" t="s">
        <v>3286</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2026-06-06T12:26:24Z</dcterms:modified>
</cp:coreProperties>
</file>