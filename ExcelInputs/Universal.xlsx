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77065F60-DBA6-431E-BAB2-A3A16048F753}" xr6:coauthVersionLast="47" xr6:coauthVersionMax="47" xr10:uidLastSave="{00000000-0000-0000-0000-000000000000}"/>
  <bookViews>
    <workbookView xWindow="810" yWindow="-120" windowWidth="28110" windowHeight="16440" tabRatio="625" firstSheet="1"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5"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Parameters!$E$36:$AJ$1540</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Parameters!$W$924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Emissions!$L$67</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General!$M$37:$M$40</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Parameters!$U$820:$AE$923</definedName>
    <definedName name="i_cl0_len">Parameters!$U$819</definedName>
    <definedName name="i_cl0_len2">Parameters!$V$819</definedName>
    <definedName name="i_cl0_pos">Parameters!$W$819</definedName>
    <definedName name="i_cl0_y">Parameters!$AH$820:$AI$923</definedName>
    <definedName name="i_cl1_c2">Parameters!$U$925:$AE$1028</definedName>
    <definedName name="i_cl1_len">Parameters!$U$924</definedName>
    <definedName name="i_cl1_len2">Parameters!$V$924</definedName>
    <definedName name="i_cl1_pos">Parameters!$W$924</definedName>
    <definedName name="i_cl1_y">Parameters!$AH$925:$AI$1028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Parameters!$U$1030:$AE$1034</definedName>
    <definedName name="i_cu0_len">Parameters!$U$1029</definedName>
    <definedName name="i_cu0_pos">Parameters!$W$1029</definedName>
    <definedName name="i_cu0_y">Parameters!$AH$1030:$AI$1034</definedName>
    <definedName name="i_cu1_c2">Parameters!$U$1036:$AE$1187</definedName>
    <definedName name="i_cu1_len">Parameters!$U$1035</definedName>
    <definedName name="i_cu1_len2">Parameters!$V$1035</definedName>
    <definedName name="i_cu1_pos">Parameters!$W$1035</definedName>
    <definedName name="i_cu1_y">Parameters!$AH$1036:$AI$1187</definedName>
    <definedName name="i_cu2_c2">Parameters!$U$1189:$AE$1526</definedName>
    <definedName name="i_cu2_len">Parameters!$U$1188</definedName>
    <definedName name="i_cu2_len2">Parameters!$V$1188</definedName>
    <definedName name="i_cu2_pos">Parameters!$W$1188</definedName>
    <definedName name="i_cu2_y">Parameters!$AH$1189:$AI$1526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Emissions!$L$53</definedName>
    <definedName name="i_ef_fert" localSheetId="7">Emissions!$L$50</definedName>
    <definedName name="i_ef_leach_runoff" localSheetId="7">Emissions!$L$36</definedName>
    <definedName name="i_ef_limestone" localSheetId="7">Emissions!$L$52</definedName>
    <definedName name="i_ef_n2o_burning" localSheetId="7">Emissions!$L$41</definedName>
    <definedName name="i_ef_residue" localSheetId="7">Emissions!$L$40</definedName>
    <definedName name="i_ef_urea" localSheetId="7">Emissions!$L$51</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General!$K$37:$K$41</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Emissions!$N$100</definedName>
    <definedName name="i_FracGASM_manure" localSheetId="7">Emissions!$L$100</definedName>
    <definedName name="i_FracLEACH_fert" localSheetId="7">Emissions!$N$104</definedName>
    <definedName name="i_FracLEACH_manure" localSheetId="7">Emissions!$L$104</definedName>
    <definedName name="i_FracLEACH_residue" localSheetId="7">Emissions!$P$104</definedName>
    <definedName name="i_FracLime" localSheetId="7">Emissions!$N$108</definedName>
    <definedName name="i_FracRENEWAL" localSheetId="7">Emissions!$AA$67</definedName>
    <definedName name="i_FracWET_fert" localSheetId="7">Emissions!$N$103</definedName>
    <definedName name="i_FracWET_manure" localSheetId="7">Emissions!$L$103</definedName>
    <definedName name="i_FracWET_residue" localSheetId="7">Emissions!$P$103</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Parameters!$U$1031:$AE$1031</definedName>
    <definedName name="i_kgcs_y">Parameters!$AH$1031:$AI$1031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Emissions!$I$67</definedName>
    <definedName name="i_NCAG_t" localSheetId="7">Emissions!$W$67:$W$70</definedName>
    <definedName name="i_NCb" localSheetId="7">Emissions!$G$67</definedName>
    <definedName name="i_NCBG_t" localSheetId="7">Emissions!$Y$67:$Y$70</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Emissions!$N$110</definedName>
    <definedName name="i_purity_limestone" localSheetId="7">Emissions!$N$109</definedName>
    <definedName name="i_rain_t" localSheetId="4">CropResidue!$J$289:$AK$289</definedName>
    <definedName name="i_Rbg" localSheetId="7">Emissions!$Q$67:$Q$85</definedName>
    <definedName name="i_RBG_t" localSheetId="7">Emissions!$U$67:$U$70</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Emissions!$N$67</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86" i="25" l="1"/>
  <c r="Z186" i="25"/>
  <c r="AD186" i="25"/>
  <c r="AC186" i="25"/>
  <c r="X186" i="25"/>
  <c r="C335" i="24" l="1"/>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AG329" i="25"/>
  <c r="C2" i="25"/>
  <c r="C3" i="25"/>
  <c r="C4" i="25"/>
  <c r="C7" i="25"/>
  <c r="C8" i="25"/>
  <c r="C9" i="25"/>
  <c r="C10" i="25"/>
  <c r="C11" i="25"/>
  <c r="C12" i="25"/>
  <c r="C13" i="25"/>
  <c r="C14" i="25"/>
  <c r="C15" i="25"/>
  <c r="C16" i="25"/>
  <c r="C17" i="25"/>
  <c r="C18" i="25"/>
  <c r="C19" i="25"/>
  <c r="C20" i="25"/>
  <c r="C21" i="25"/>
  <c r="C22" i="25"/>
  <c r="C23" i="25"/>
  <c r="C24" i="25"/>
  <c r="C25" i="25"/>
  <c r="C26" i="25"/>
  <c r="C27" i="25"/>
  <c r="H29" i="25"/>
  <c r="C30" i="25"/>
  <c r="C31" i="25"/>
  <c r="C32" i="25"/>
  <c r="C33" i="25"/>
  <c r="C34" i="25"/>
  <c r="C35" i="25"/>
  <c r="C36" i="25"/>
  <c r="C39" i="25"/>
  <c r="I39" i="25"/>
  <c r="C40" i="25"/>
  <c r="C41" i="25"/>
  <c r="C42" i="25"/>
  <c r="I42" i="25"/>
  <c r="C43" i="25"/>
  <c r="C44" i="25"/>
  <c r="C45" i="25"/>
  <c r="C46" i="25"/>
  <c r="C47" i="25"/>
  <c r="C48" i="25"/>
  <c r="J48" i="25"/>
  <c r="K48" i="25"/>
  <c r="L48" i="25"/>
  <c r="M48" i="25"/>
  <c r="N48" i="25"/>
  <c r="C49" i="25"/>
  <c r="C50" i="25"/>
  <c r="C51" i="25"/>
  <c r="P51" i="25"/>
  <c r="C52" i="25"/>
  <c r="P52" i="25"/>
  <c r="C53" i="25"/>
  <c r="C54" i="25"/>
  <c r="C55" i="25"/>
  <c r="C56" i="25"/>
  <c r="I56" i="25"/>
  <c r="C57" i="25"/>
  <c r="C58" i="25"/>
  <c r="C59" i="25"/>
  <c r="C60" i="25"/>
  <c r="C61" i="25"/>
  <c r="C62" i="25"/>
  <c r="C63" i="25"/>
  <c r="C64" i="25"/>
  <c r="C65" i="25"/>
  <c r="C66" i="25"/>
  <c r="C67" i="25"/>
  <c r="C68" i="25"/>
  <c r="C69" i="25"/>
  <c r="C70" i="25"/>
  <c r="C71" i="25"/>
  <c r="C72" i="25"/>
  <c r="C73" i="25"/>
  <c r="C74" i="25"/>
  <c r="C75" i="25"/>
  <c r="C76" i="25"/>
  <c r="C77" i="25"/>
  <c r="C78" i="25"/>
  <c r="C79" i="25"/>
  <c r="H81" i="25"/>
  <c r="C82" i="25"/>
  <c r="C83" i="25"/>
  <c r="C84" i="25"/>
  <c r="C85" i="25"/>
  <c r="C86" i="25"/>
  <c r="C87" i="25"/>
  <c r="C88" i="25"/>
  <c r="AF89" i="25"/>
  <c r="C91" i="25"/>
  <c r="I91" i="25"/>
  <c r="C92" i="25"/>
  <c r="C93" i="25"/>
  <c r="C94" i="25"/>
  <c r="AX94" i="25"/>
  <c r="C95" i="25"/>
  <c r="AF95" i="25"/>
  <c r="AJ95" i="25"/>
  <c r="AX95" i="25"/>
  <c r="AY95" i="25"/>
  <c r="AZ95" i="25"/>
  <c r="BF95" i="25"/>
  <c r="BD104" i="25" s="1"/>
  <c r="BI95" i="25"/>
  <c r="BE108" i="25" s="1"/>
  <c r="C96" i="25"/>
  <c r="F96" i="25"/>
  <c r="C97" i="25"/>
  <c r="F97" i="25"/>
  <c r="AX97" i="25"/>
  <c r="AY97" i="25"/>
  <c r="AZ97" i="25"/>
  <c r="BC97" i="25"/>
  <c r="BD97" i="25" s="1"/>
  <c r="C98" i="25"/>
  <c r="F98" i="25"/>
  <c r="AX98" i="25"/>
  <c r="AY98" i="25"/>
  <c r="AZ98" i="25"/>
  <c r="BC98" i="25"/>
  <c r="BD98" i="25" s="1"/>
  <c r="BE98" i="25"/>
  <c r="C99" i="25"/>
  <c r="F99" i="25"/>
  <c r="AX99" i="25"/>
  <c r="AY99" i="25"/>
  <c r="AZ99" i="25"/>
  <c r="BC99" i="25"/>
  <c r="BD99" i="25" s="1"/>
  <c r="C100" i="25"/>
  <c r="F100" i="25"/>
  <c r="X100" i="25"/>
  <c r="X99" i="25" s="1"/>
  <c r="X98" i="25" s="1"/>
  <c r="X97" i="25" s="1"/>
  <c r="X96" i="25" s="1"/>
  <c r="AX100" i="25"/>
  <c r="AY100" i="25"/>
  <c r="AZ100" i="25"/>
  <c r="BC100" i="25"/>
  <c r="BD100" i="25" s="1"/>
  <c r="C101" i="25"/>
  <c r="F101" i="25"/>
  <c r="N101" i="25"/>
  <c r="N100" i="25" s="1"/>
  <c r="N99" i="25" s="1"/>
  <c r="N98" i="25" s="1"/>
  <c r="N97" i="25" s="1"/>
  <c r="N96" i="25" s="1"/>
  <c r="X101" i="25"/>
  <c r="Z101" i="25"/>
  <c r="Z100" i="25" s="1"/>
  <c r="Z99" i="25" s="1"/>
  <c r="Z98" i="25" s="1"/>
  <c r="Z97" i="25" s="1"/>
  <c r="Z96" i="25" s="1"/>
  <c r="AA101" i="25"/>
  <c r="AA100" i="25" s="1"/>
  <c r="AA99" i="25" s="1"/>
  <c r="AA98" i="25" s="1"/>
  <c r="AA97" i="25" s="1"/>
  <c r="AA96" i="25" s="1"/>
  <c r="AX101" i="25"/>
  <c r="AY101" i="25"/>
  <c r="AZ101" i="25"/>
  <c r="BC101" i="25"/>
  <c r="BD101" i="25"/>
  <c r="C102" i="25"/>
  <c r="F102" i="25"/>
  <c r="N102" i="25"/>
  <c r="S102" i="25"/>
  <c r="S101" i="25" s="1"/>
  <c r="S100" i="25" s="1"/>
  <c r="S99" i="25" s="1"/>
  <c r="S98" i="25" s="1"/>
  <c r="S97" i="25" s="1"/>
  <c r="S96" i="25" s="1"/>
  <c r="U102" i="25"/>
  <c r="U101" i="25" s="1"/>
  <c r="U100" i="25" s="1"/>
  <c r="U99" i="25" s="1"/>
  <c r="U98" i="25" s="1"/>
  <c r="U97" i="25" s="1"/>
  <c r="U96" i="25" s="1"/>
  <c r="V102" i="25"/>
  <c r="V101" i="25" s="1"/>
  <c r="V100" i="25" s="1"/>
  <c r="V99" i="25" s="1"/>
  <c r="V98" i="25" s="1"/>
  <c r="V97" i="25" s="1"/>
  <c r="V96" i="25" s="1"/>
  <c r="W102" i="25"/>
  <c r="W101" i="25" s="1"/>
  <c r="W100" i="25" s="1"/>
  <c r="W99" i="25" s="1"/>
  <c r="W98" i="25" s="1"/>
  <c r="W97" i="25" s="1"/>
  <c r="W96" i="25" s="1"/>
  <c r="X102" i="25"/>
  <c r="Y102" i="25"/>
  <c r="Y101" i="25" s="1"/>
  <c r="Y100" i="25" s="1"/>
  <c r="Y99" i="25" s="1"/>
  <c r="Y98" i="25" s="1"/>
  <c r="Y97" i="25" s="1"/>
  <c r="Y96" i="25" s="1"/>
  <c r="Z102" i="25"/>
  <c r="AA102" i="25"/>
  <c r="AB102" i="25"/>
  <c r="AB101" i="25" s="1"/>
  <c r="AB100" i="25" s="1"/>
  <c r="AB99" i="25" s="1"/>
  <c r="AB98" i="25" s="1"/>
  <c r="AB97" i="25" s="1"/>
  <c r="AB96" i="25" s="1"/>
  <c r="AC102" i="25"/>
  <c r="AC101" i="25" s="1"/>
  <c r="AC100" i="25" s="1"/>
  <c r="AC99" i="25" s="1"/>
  <c r="AC98" i="25" s="1"/>
  <c r="AC97" i="25" s="1"/>
  <c r="AC96" i="25" s="1"/>
  <c r="AD102" i="25"/>
  <c r="AD101" i="25" s="1"/>
  <c r="AD100" i="25" s="1"/>
  <c r="AD99" i="25" s="1"/>
  <c r="AD98" i="25" s="1"/>
  <c r="AD97" i="25" s="1"/>
  <c r="AD96" i="25" s="1"/>
  <c r="AX102" i="25"/>
  <c r="AY102" i="25"/>
  <c r="AZ102" i="25"/>
  <c r="BC102" i="25"/>
  <c r="BD102" i="25" s="1"/>
  <c r="C103" i="25"/>
  <c r="F103" i="25"/>
  <c r="O103" i="25"/>
  <c r="O104" i="25" s="1"/>
  <c r="O105" i="25" s="1"/>
  <c r="O106" i="25" s="1"/>
  <c r="O107" i="25" s="1"/>
  <c r="O108" i="25" s="1"/>
  <c r="O109" i="25" s="1"/>
  <c r="P103" i="25"/>
  <c r="P104" i="25" s="1"/>
  <c r="P105" i="25" s="1"/>
  <c r="P106" i="25" s="1"/>
  <c r="P107" i="25" s="1"/>
  <c r="P108" i="25" s="1"/>
  <c r="P109" i="25" s="1"/>
  <c r="R103" i="25"/>
  <c r="R104" i="25" s="1"/>
  <c r="R105" i="25" s="1"/>
  <c r="R106" i="25" s="1"/>
  <c r="R107" i="25" s="1"/>
  <c r="R108" i="25" s="1"/>
  <c r="R109" i="25" s="1"/>
  <c r="T103" i="25"/>
  <c r="T104" i="25" s="1"/>
  <c r="T105" i="25" s="1"/>
  <c r="T106" i="25" s="1"/>
  <c r="T107" i="25" s="1"/>
  <c r="T108" i="25" s="1"/>
  <c r="T109" i="25" s="1"/>
  <c r="AX103" i="25"/>
  <c r="AY103" i="25"/>
  <c r="AZ103" i="25"/>
  <c r="BC103" i="25"/>
  <c r="BD103" i="25"/>
  <c r="C104" i="25"/>
  <c r="F104" i="25"/>
  <c r="N104" i="25"/>
  <c r="N105" i="25" s="1"/>
  <c r="N106" i="25" s="1"/>
  <c r="N107" i="25" s="1"/>
  <c r="N108" i="25" s="1"/>
  <c r="N109" i="25" s="1"/>
  <c r="S104" i="25"/>
  <c r="U104" i="25"/>
  <c r="U105" i="25" s="1"/>
  <c r="U106" i="25" s="1"/>
  <c r="U107" i="25" s="1"/>
  <c r="U108" i="25" s="1"/>
  <c r="U109" i="25" s="1"/>
  <c r="V104" i="25"/>
  <c r="V105" i="25" s="1"/>
  <c r="V106" i="25" s="1"/>
  <c r="V107" i="25" s="1"/>
  <c r="V108" i="25" s="1"/>
  <c r="V109" i="25" s="1"/>
  <c r="W104" i="25"/>
  <c r="W105" i="25" s="1"/>
  <c r="W106" i="25" s="1"/>
  <c r="W107" i="25" s="1"/>
  <c r="W108" i="25" s="1"/>
  <c r="W109" i="25" s="1"/>
  <c r="X104" i="25"/>
  <c r="X105" i="25" s="1"/>
  <c r="X106" i="25" s="1"/>
  <c r="X107" i="25" s="1"/>
  <c r="X108" i="25" s="1"/>
  <c r="X109" i="25" s="1"/>
  <c r="Y104" i="25"/>
  <c r="Z104" i="25"/>
  <c r="Z105" i="25" s="1"/>
  <c r="Z106" i="25" s="1"/>
  <c r="Z107" i="25" s="1"/>
  <c r="Z108" i="25" s="1"/>
  <c r="AA104" i="25"/>
  <c r="AB104" i="25"/>
  <c r="AB105" i="25" s="1"/>
  <c r="AB106" i="25" s="1"/>
  <c r="AB107" i="25" s="1"/>
  <c r="AB108" i="25" s="1"/>
  <c r="AC104" i="25"/>
  <c r="AC105" i="25" s="1"/>
  <c r="AC106" i="25" s="1"/>
  <c r="AC107" i="25" s="1"/>
  <c r="AC108" i="25" s="1"/>
  <c r="AD104" i="25"/>
  <c r="AD105" i="25" s="1"/>
  <c r="AD106" i="25" s="1"/>
  <c r="AD107" i="25" s="1"/>
  <c r="AD108" i="25" s="1"/>
  <c r="AD109" i="25" s="1"/>
  <c r="BC104" i="25"/>
  <c r="C105" i="25"/>
  <c r="F105" i="25"/>
  <c r="S105" i="25"/>
  <c r="S106" i="25" s="1"/>
  <c r="S107" i="25" s="1"/>
  <c r="S108" i="25" s="1"/>
  <c r="S109" i="25" s="1"/>
  <c r="Y105" i="25"/>
  <c r="Y106" i="25" s="1"/>
  <c r="Y107" i="25" s="1"/>
  <c r="Y108" i="25" s="1"/>
  <c r="AA105" i="25"/>
  <c r="AA106" i="25" s="1"/>
  <c r="AA107" i="25" s="1"/>
  <c r="AA108" i="25" s="1"/>
  <c r="AX105" i="25"/>
  <c r="AY105" i="25"/>
  <c r="AZ105" i="25"/>
  <c r="BC105" i="25"/>
  <c r="BD105" i="25"/>
  <c r="BE105" i="25"/>
  <c r="C106" i="25"/>
  <c r="F106" i="25"/>
  <c r="AX106" i="25"/>
  <c r="AY106" i="25"/>
  <c r="AZ106" i="25"/>
  <c r="BC106" i="25"/>
  <c r="BD106" i="25" s="1"/>
  <c r="C107" i="25"/>
  <c r="F107" i="25"/>
  <c r="AX107" i="25"/>
  <c r="AY107" i="25"/>
  <c r="AZ107" i="25"/>
  <c r="BC107" i="25"/>
  <c r="BD107" i="25"/>
  <c r="C108" i="25"/>
  <c r="F108" i="25"/>
  <c r="AX108" i="25"/>
  <c r="AY108" i="25"/>
  <c r="AZ108" i="25"/>
  <c r="BC108" i="25"/>
  <c r="BD108" i="25" s="1"/>
  <c r="C109" i="25"/>
  <c r="F109" i="25"/>
  <c r="AX109" i="25"/>
  <c r="AY109" i="25"/>
  <c r="AZ109" i="25"/>
  <c r="BC109" i="25"/>
  <c r="BD109" i="25" s="1"/>
  <c r="C110" i="25"/>
  <c r="F110" i="25"/>
  <c r="Y110" i="25"/>
  <c r="Y112" i="25" s="1"/>
  <c r="Z110" i="25"/>
  <c r="AA110" i="25"/>
  <c r="AA112" i="25" s="1"/>
  <c r="AB110" i="25"/>
  <c r="AB112" i="25" s="1"/>
  <c r="AC110" i="25"/>
  <c r="AC112" i="25" s="1"/>
  <c r="AX110" i="25"/>
  <c r="AY110" i="25"/>
  <c r="AZ110" i="25"/>
  <c r="BC110" i="25"/>
  <c r="BD110" i="25" s="1"/>
  <c r="C111" i="25"/>
  <c r="Y111" i="25"/>
  <c r="Z111" i="25"/>
  <c r="AA111" i="25"/>
  <c r="AA113" i="25" s="1"/>
  <c r="AB111" i="25"/>
  <c r="AC111" i="25"/>
  <c r="AX111" i="25"/>
  <c r="AY111" i="25"/>
  <c r="AZ111" i="25"/>
  <c r="BC111" i="25"/>
  <c r="BD111" i="25" s="1"/>
  <c r="C112" i="25"/>
  <c r="Z112" i="25"/>
  <c r="AX112" i="25"/>
  <c r="AY112" i="25"/>
  <c r="AZ112" i="25"/>
  <c r="BC112" i="25"/>
  <c r="BD112" i="25" s="1"/>
  <c r="Y113" i="25"/>
  <c r="Z113" i="25"/>
  <c r="AB113" i="25"/>
  <c r="AC113" i="25"/>
  <c r="AX113" i="25"/>
  <c r="AY113" i="25"/>
  <c r="AZ113" i="25"/>
  <c r="BC113" i="25"/>
  <c r="BD113" i="25" s="1"/>
  <c r="C114" i="25"/>
  <c r="C115" i="25"/>
  <c r="C116" i="25"/>
  <c r="I116" i="25"/>
  <c r="J116" i="25"/>
  <c r="K116" i="25"/>
  <c r="L116" i="25"/>
  <c r="M116" i="25"/>
  <c r="C117" i="25"/>
  <c r="C118" i="25"/>
  <c r="C119" i="25"/>
  <c r="C120" i="25"/>
  <c r="C121" i="25"/>
  <c r="C122" i="25"/>
  <c r="C123" i="25"/>
  <c r="J123" i="25"/>
  <c r="J129" i="25" s="1"/>
  <c r="K123" i="25"/>
  <c r="K129" i="25" s="1"/>
  <c r="L123" i="25"/>
  <c r="L129" i="25" s="1"/>
  <c r="M123" i="25"/>
  <c r="M129" i="25" s="1"/>
  <c r="N123" i="25"/>
  <c r="N129" i="25" s="1"/>
  <c r="O123" i="25"/>
  <c r="O129" i="25" s="1"/>
  <c r="C124" i="25"/>
  <c r="O124" i="25"/>
  <c r="M125" i="25" s="1"/>
  <c r="C125" i="25"/>
  <c r="J125" i="25"/>
  <c r="K125" i="25"/>
  <c r="L125" i="25"/>
  <c r="N125" i="25"/>
  <c r="P125" i="25"/>
  <c r="C126" i="25"/>
  <c r="C127" i="25"/>
  <c r="K127" i="25"/>
  <c r="L127" i="25"/>
  <c r="J127" i="25" s="1"/>
  <c r="M127" i="25"/>
  <c r="N127" i="25"/>
  <c r="O127" i="25"/>
  <c r="C128" i="25"/>
  <c r="C129" i="25"/>
  <c r="P129" i="25"/>
  <c r="C130" i="25"/>
  <c r="C131" i="25"/>
  <c r="C132" i="25"/>
  <c r="K132" i="25"/>
  <c r="L132" i="25"/>
  <c r="M132" i="25"/>
  <c r="N132" i="25"/>
  <c r="O132" i="25"/>
  <c r="C133" i="25"/>
  <c r="C134" i="25"/>
  <c r="C135" i="25"/>
  <c r="C136" i="25"/>
  <c r="C137" i="25"/>
  <c r="C138" i="25"/>
  <c r="C139" i="25"/>
  <c r="C140" i="25"/>
  <c r="C141" i="25"/>
  <c r="C142" i="25"/>
  <c r="C143" i="25"/>
  <c r="C144" i="25"/>
  <c r="C145" i="25"/>
  <c r="C146" i="25"/>
  <c r="C147" i="25"/>
  <c r="C148" i="25"/>
  <c r="C149" i="25"/>
  <c r="C150" i="25"/>
  <c r="C151" i="25"/>
  <c r="K151" i="25"/>
  <c r="K155" i="25" s="1"/>
  <c r="C152" i="25"/>
  <c r="C153" i="25"/>
  <c r="C154" i="25"/>
  <c r="C155" i="25"/>
  <c r="C156" i="25"/>
  <c r="C157" i="25"/>
  <c r="L157" i="25"/>
  <c r="C158" i="25"/>
  <c r="C159" i="25"/>
  <c r="C160" i="25"/>
  <c r="C161" i="25"/>
  <c r="C162" i="25"/>
  <c r="C163" i="25"/>
  <c r="C164" i="25"/>
  <c r="C165" i="25"/>
  <c r="H167" i="25"/>
  <c r="C168" i="25"/>
  <c r="C169" i="25"/>
  <c r="C170" i="25"/>
  <c r="C171" i="25"/>
  <c r="C172" i="25"/>
  <c r="C173" i="25"/>
  <c r="C174" i="25"/>
  <c r="C178" i="25"/>
  <c r="C179" i="25"/>
  <c r="C180" i="25"/>
  <c r="C181" i="25"/>
  <c r="C182" i="25"/>
  <c r="C183" i="25"/>
  <c r="Y183" i="25"/>
  <c r="AL183" i="25"/>
  <c r="AM183" i="25"/>
  <c r="AV183" i="25"/>
  <c r="AX183" i="25"/>
  <c r="C184" i="25"/>
  <c r="Y184" i="25"/>
  <c r="AL184" i="25"/>
  <c r="AM184" i="25"/>
  <c r="AV184" i="25"/>
  <c r="C185" i="25"/>
  <c r="Y185" i="25"/>
  <c r="AL185" i="25"/>
  <c r="AM185" i="25"/>
  <c r="AV185" i="25"/>
  <c r="C186" i="25"/>
  <c r="Y186" i="25"/>
  <c r="AL186" i="25"/>
  <c r="AM186" i="25"/>
  <c r="AV186" i="25"/>
  <c r="C187" i="25"/>
  <c r="Y187" i="25"/>
  <c r="AL187" i="25"/>
  <c r="AM187" i="25"/>
  <c r="AV187" i="25"/>
  <c r="C188" i="25"/>
  <c r="Z188" i="25"/>
  <c r="AA188" i="25"/>
  <c r="AC188" i="25"/>
  <c r="AY188" i="25" s="1"/>
  <c r="AD188" i="25"/>
  <c r="AH188" i="25"/>
  <c r="AL188" i="25" s="1"/>
  <c r="AM188" i="25"/>
  <c r="AV188" i="25"/>
  <c r="C189" i="25"/>
  <c r="Y189" i="25"/>
  <c r="Y188" i="25" s="1"/>
  <c r="AH189" i="25"/>
  <c r="AL189" i="25"/>
  <c r="AM189" i="25"/>
  <c r="AV189" i="25"/>
  <c r="C190" i="25"/>
  <c r="X190" i="25"/>
  <c r="Y190" i="25" s="1"/>
  <c r="Z190" i="25"/>
  <c r="AA190" i="25"/>
  <c r="AC190" i="25"/>
  <c r="AD190" i="25"/>
  <c r="AH190" i="25"/>
  <c r="AL190" i="25"/>
  <c r="AM190" i="25"/>
  <c r="AV190" i="25"/>
  <c r="AW221" i="25" s="1" a="1"/>
  <c r="C191" i="25"/>
  <c r="C192" i="25"/>
  <c r="I192" i="25"/>
  <c r="C193" i="25"/>
  <c r="C194" i="25"/>
  <c r="C195" i="25"/>
  <c r="C196" i="25"/>
  <c r="O196" i="25"/>
  <c r="C197" i="25"/>
  <c r="C198" i="25"/>
  <c r="F198" i="25"/>
  <c r="F199" i="25" s="1"/>
  <c r="H199" i="25" s="1"/>
  <c r="H198" i="25"/>
  <c r="C199" i="25"/>
  <c r="E199" i="25"/>
  <c r="Q199" i="25"/>
  <c r="R199" i="25"/>
  <c r="S199" i="25"/>
  <c r="AW212" i="25" s="1" a="1"/>
  <c r="AW212" i="25" s="1"/>
  <c r="T199" i="25"/>
  <c r="U199" i="25"/>
  <c r="C200" i="25"/>
  <c r="E200" i="25"/>
  <c r="E201" i="25" s="1"/>
  <c r="E202" i="25" s="1"/>
  <c r="E203" i="25" s="1"/>
  <c r="E204" i="25" s="1"/>
  <c r="E205" i="25" s="1"/>
  <c r="C201" i="25"/>
  <c r="C202" i="25"/>
  <c r="C203" i="25"/>
  <c r="I203" i="25"/>
  <c r="AW218" i="25" s="1" a="1"/>
  <c r="AW218" i="25" s="1"/>
  <c r="J203" i="25"/>
  <c r="J204" i="25" s="1"/>
  <c r="K203" i="25"/>
  <c r="K204" i="25" s="1"/>
  <c r="L203" i="25"/>
  <c r="L204" i="25" s="1"/>
  <c r="M203" i="25"/>
  <c r="M204" i="25" s="1"/>
  <c r="N203" i="25"/>
  <c r="N204" i="25" s="1"/>
  <c r="Q203" i="25"/>
  <c r="Q204" i="25" s="1"/>
  <c r="R203" i="25"/>
  <c r="R204" i="25" s="1"/>
  <c r="S203" i="25"/>
  <c r="S204" i="25" s="1"/>
  <c r="T203" i="25"/>
  <c r="T204" i="25" s="1"/>
  <c r="U203" i="25"/>
  <c r="U204" i="25" s="1"/>
  <c r="X203" i="25"/>
  <c r="X204" i="25" s="1"/>
  <c r="Y203" i="25"/>
  <c r="Z203" i="25"/>
  <c r="Z204" i="25" s="1"/>
  <c r="AA203" i="25"/>
  <c r="AB203" i="25"/>
  <c r="AB204" i="25" s="1"/>
  <c r="C204" i="25"/>
  <c r="Y204" i="25"/>
  <c r="AA204" i="25"/>
  <c r="C205" i="25"/>
  <c r="C206" i="25"/>
  <c r="F206" i="25"/>
  <c r="F207" i="25" s="1"/>
  <c r="H206" i="25"/>
  <c r="C207" i="25"/>
  <c r="C208" i="25"/>
  <c r="C209" i="25"/>
  <c r="C210" i="25"/>
  <c r="AW210" i="25" a="1"/>
  <c r="AW210" i="25" s="1"/>
  <c r="AX210" i="25" a="1"/>
  <c r="AX210" i="25" s="1"/>
  <c r="AY210" i="25" a="1"/>
  <c r="AY210" i="25" s="1"/>
  <c r="BA210" i="25" a="1"/>
  <c r="BA210" i="25" s="1"/>
  <c r="BC210" i="25" a="1"/>
  <c r="BC210" i="25" s="1"/>
  <c r="C211" i="25"/>
  <c r="I211" i="25"/>
  <c r="AX218" i="25" s="1" a="1"/>
  <c r="AX218" i="25" s="1"/>
  <c r="AW211" i="25" a="1"/>
  <c r="AW211" i="25" s="1"/>
  <c r="AX211" i="25" a="1"/>
  <c r="AX211" i="25" s="1"/>
  <c r="AY211" i="25" a="1"/>
  <c r="AY211" i="25" s="1"/>
  <c r="BA211" i="25" a="1"/>
  <c r="BA211" i="25" s="1"/>
  <c r="BC211" i="25" a="1"/>
  <c r="BC211" i="25" s="1"/>
  <c r="C212" i="25"/>
  <c r="AX212" i="25" a="1"/>
  <c r="AX212" i="25" s="1"/>
  <c r="AY212" i="25" a="1"/>
  <c r="AY212" i="25" s="1"/>
  <c r="BA212" i="25" a="1"/>
  <c r="BA212" i="25" s="1"/>
  <c r="BC212" i="25" a="1"/>
  <c r="BC212" i="25" s="1"/>
  <c r="C213" i="25"/>
  <c r="AW213" i="25" a="1"/>
  <c r="AW213" i="25" s="1"/>
  <c r="AX213" i="25" a="1"/>
  <c r="AX213" i="25" s="1"/>
  <c r="AY213" i="25" a="1"/>
  <c r="AY213" i="25" s="1"/>
  <c r="BA213" i="25" a="1"/>
  <c r="BA213" i="25" s="1"/>
  <c r="BC213" i="25" a="1"/>
  <c r="BC213" i="25" s="1"/>
  <c r="C214" i="25"/>
  <c r="F214" i="25"/>
  <c r="F215" i="25" s="1"/>
  <c r="H214" i="25"/>
  <c r="AW214" i="25" a="1"/>
  <c r="AW214" i="25" s="1"/>
  <c r="AX214" i="25" a="1"/>
  <c r="AX214" i="25" s="1"/>
  <c r="AY214" i="25" a="1"/>
  <c r="AY214" i="25" s="1"/>
  <c r="BA214" i="25" a="1"/>
  <c r="BA214" i="25" s="1"/>
  <c r="BC214" i="25" a="1"/>
  <c r="BC214" i="25" s="1"/>
  <c r="C215" i="25"/>
  <c r="AW215" i="25" a="1"/>
  <c r="AW215" i="25" s="1"/>
  <c r="AX215" i="25" a="1"/>
  <c r="AX215" i="25" s="1"/>
  <c r="AY215" i="25" a="1"/>
  <c r="AY215" i="25" s="1"/>
  <c r="BA215" i="25" a="1"/>
  <c r="BA215" i="25" s="1"/>
  <c r="BC215" i="25" a="1"/>
  <c r="BC215" i="25" s="1"/>
  <c r="C216" i="25"/>
  <c r="AW216" i="25" a="1"/>
  <c r="AW216" i="25" s="1"/>
  <c r="AX216" i="25" a="1"/>
  <c r="AX216" i="25" s="1"/>
  <c r="AY216" i="25" a="1"/>
  <c r="AY216" i="25" s="1"/>
  <c r="BA216" i="25" a="1"/>
  <c r="BA216" i="25" s="1"/>
  <c r="BC216" i="25" a="1"/>
  <c r="BC216" i="25" s="1"/>
  <c r="C217" i="25"/>
  <c r="AX217" i="25" a="1"/>
  <c r="AX217" i="25" s="1"/>
  <c r="AY217" i="25" a="1"/>
  <c r="AY217" i="25" s="1"/>
  <c r="BA217" i="25" a="1"/>
  <c r="BA217" i="25" s="1"/>
  <c r="BC217" i="25" a="1"/>
  <c r="BC217" i="25" s="1"/>
  <c r="C218" i="25"/>
  <c r="BA218" i="25" a="1"/>
  <c r="BA218" i="25" s="1"/>
  <c r="BC218" i="25" a="1"/>
  <c r="BC218" i="25" s="1"/>
  <c r="C219" i="25"/>
  <c r="I219" i="25"/>
  <c r="AY218" i="25" s="1" a="1"/>
  <c r="AY218" i="25" s="1"/>
  <c r="C220" i="25"/>
  <c r="C221" i="25"/>
  <c r="C222" i="25"/>
  <c r="F222" i="25"/>
  <c r="F223" i="25" s="1"/>
  <c r="H222" i="25"/>
  <c r="I222" i="25"/>
  <c r="AZ223" i="25" s="1" a="1"/>
  <c r="AZ223" i="25" s="1"/>
  <c r="J222" i="25"/>
  <c r="K222" i="25"/>
  <c r="L222" i="25"/>
  <c r="M222" i="25"/>
  <c r="N222" i="25"/>
  <c r="C223" i="25"/>
  <c r="I223" i="25"/>
  <c r="J223" i="25"/>
  <c r="K223" i="25"/>
  <c r="L223" i="25"/>
  <c r="M223" i="25"/>
  <c r="N223" i="25"/>
  <c r="AW223" i="25" a="1"/>
  <c r="AW223" i="25" s="1"/>
  <c r="AX223" i="25" a="1"/>
  <c r="AX223" i="25" s="1"/>
  <c r="AY223" i="25" a="1"/>
  <c r="AY223" i="25" s="1"/>
  <c r="BA223" i="25" a="1"/>
  <c r="BA223" i="25" s="1"/>
  <c r="BC223" i="25" a="1"/>
  <c r="BC223" i="25" s="1"/>
  <c r="C224" i="25"/>
  <c r="I224" i="25"/>
  <c r="AZ227" i="25" s="1" a="1"/>
  <c r="AZ227" i="25" s="1"/>
  <c r="J224" i="25"/>
  <c r="K224" i="25"/>
  <c r="L224" i="25"/>
  <c r="M224" i="25"/>
  <c r="N224" i="25"/>
  <c r="AW224" i="25" a="1"/>
  <c r="AW224" i="25" s="1"/>
  <c r="AX224" i="25" a="1"/>
  <c r="AX224" i="25" s="1"/>
  <c r="AY224" i="25" a="1"/>
  <c r="AY224" i="25" s="1"/>
  <c r="BA224" i="25" a="1"/>
  <c r="BA224" i="25" s="1"/>
  <c r="BC224" i="25" a="1"/>
  <c r="BC224" i="25" s="1"/>
  <c r="C225" i="25"/>
  <c r="I225" i="25"/>
  <c r="J225" i="25"/>
  <c r="K225" i="25"/>
  <c r="L225" i="25"/>
  <c r="M225" i="25"/>
  <c r="N225" i="25"/>
  <c r="AW225" i="25" a="1"/>
  <c r="AW225" i="25" s="1"/>
  <c r="AX225" i="25" a="1"/>
  <c r="AX225" i="25" s="1"/>
  <c r="AY225" i="25" a="1"/>
  <c r="AY225" i="25" s="1"/>
  <c r="BA225" i="25" a="1"/>
  <c r="BA225" i="25" s="1"/>
  <c r="BC225" i="25" a="1"/>
  <c r="BC225" i="25" s="1"/>
  <c r="C226" i="25"/>
  <c r="I226" i="25"/>
  <c r="J226" i="25"/>
  <c r="K226" i="25"/>
  <c r="L226" i="25"/>
  <c r="M226" i="25"/>
  <c r="N226" i="25"/>
  <c r="AW226" i="25" a="1"/>
  <c r="AW226" i="25" s="1"/>
  <c r="AX226" i="25" a="1"/>
  <c r="AX226" i="25" s="1"/>
  <c r="AY226" i="25" a="1"/>
  <c r="AY226" i="25" s="1"/>
  <c r="BA226" i="25" a="1"/>
  <c r="BA226" i="25" s="1"/>
  <c r="BC226" i="25" a="1"/>
  <c r="BC226" i="25" s="1"/>
  <c r="C227" i="25"/>
  <c r="I227" i="25"/>
  <c r="J227" i="25"/>
  <c r="K227" i="25"/>
  <c r="L227" i="25"/>
  <c r="M227" i="25"/>
  <c r="N227" i="25"/>
  <c r="AW227" i="25" a="1"/>
  <c r="AW227" i="25" s="1"/>
  <c r="AX227" i="25" a="1"/>
  <c r="AX227" i="25" s="1"/>
  <c r="AY227" i="25" a="1"/>
  <c r="AY227" i="25" s="1"/>
  <c r="BA227" i="25" a="1"/>
  <c r="BA227" i="25" s="1"/>
  <c r="BC227" i="25" a="1"/>
  <c r="BC227" i="25" s="1"/>
  <c r="C228" i="25"/>
  <c r="AW228" i="25" a="1"/>
  <c r="AW228" i="25" s="1"/>
  <c r="AX228" i="25" a="1"/>
  <c r="AX228" i="25" s="1"/>
  <c r="AY228" i="25" a="1"/>
  <c r="AY228" i="25" s="1"/>
  <c r="BA228" i="25" a="1"/>
  <c r="BA228" i="25" s="1"/>
  <c r="BC228" i="25" a="1"/>
  <c r="BC228" i="25" s="1"/>
  <c r="C229" i="25"/>
  <c r="AW229" i="25" a="1"/>
  <c r="AW229" i="25" s="1"/>
  <c r="AX229" i="25" a="1"/>
  <c r="AX229" i="25" s="1"/>
  <c r="AY229" i="25" a="1"/>
  <c r="AY229" i="25" s="1"/>
  <c r="BA229" i="25" a="1"/>
  <c r="BA229" i="25" s="1"/>
  <c r="BC229" i="25" a="1"/>
  <c r="BC229" i="25" s="1"/>
  <c r="C230" i="25"/>
  <c r="F230" i="25"/>
  <c r="F231" i="25" s="1"/>
  <c r="H230" i="25"/>
  <c r="Z230" i="25"/>
  <c r="AX230" i="25" a="1"/>
  <c r="AX230" i="25" s="1"/>
  <c r="AY230" i="25" a="1"/>
  <c r="AY230" i="25" s="1"/>
  <c r="BA230" i="25" a="1"/>
  <c r="BA230" i="25" s="1"/>
  <c r="BC230" i="25" a="1"/>
  <c r="BC230" i="25" s="1"/>
  <c r="C231" i="25"/>
  <c r="Z231" i="25"/>
  <c r="BA231" i="25" a="1"/>
  <c r="BA231" i="25" s="1"/>
  <c r="BC231" i="25" a="1"/>
  <c r="BC231" i="25" s="1"/>
  <c r="C232" i="25"/>
  <c r="Z232" i="25"/>
  <c r="C233" i="25"/>
  <c r="Z233" i="25"/>
  <c r="C234" i="25"/>
  <c r="Z234" i="25"/>
  <c r="C235" i="25"/>
  <c r="Z235" i="25"/>
  <c r="C236" i="25"/>
  <c r="Z236" i="25"/>
  <c r="C237" i="25"/>
  <c r="C238" i="25"/>
  <c r="F238" i="25"/>
  <c r="H238" i="25"/>
  <c r="I238" i="25"/>
  <c r="C239" i="25"/>
  <c r="F239" i="25"/>
  <c r="H239" i="25" s="1"/>
  <c r="I239" i="25"/>
  <c r="C240" i="25"/>
  <c r="F240" i="25"/>
  <c r="F241" i="25" s="1"/>
  <c r="F242" i="25" s="1"/>
  <c r="F243" i="25" s="1"/>
  <c r="F244" i="25" s="1"/>
  <c r="F245" i="25" s="1"/>
  <c r="C241" i="25"/>
  <c r="I241" i="25"/>
  <c r="C242" i="25"/>
  <c r="C243" i="25"/>
  <c r="C244" i="25"/>
  <c r="C245" i="25"/>
  <c r="C246" i="25"/>
  <c r="F246" i="25"/>
  <c r="F247" i="25" s="1"/>
  <c r="H246" i="25"/>
  <c r="C247" i="25"/>
  <c r="C248" i="25"/>
  <c r="C249" i="25"/>
  <c r="C250" i="25"/>
  <c r="C251" i="25"/>
  <c r="C252" i="25"/>
  <c r="I252" i="25"/>
  <c r="I228" i="25" s="1"/>
  <c r="J252" i="25"/>
  <c r="J228" i="25" s="1"/>
  <c r="K252" i="25"/>
  <c r="K228" i="25" s="1"/>
  <c r="L252" i="25"/>
  <c r="L228" i="25" s="1"/>
  <c r="M252" i="25"/>
  <c r="M228" i="25" s="1"/>
  <c r="N252" i="25"/>
  <c r="N228" i="25" s="1"/>
  <c r="C253" i="25"/>
  <c r="C254" i="25"/>
  <c r="F254" i="25"/>
  <c r="F255" i="25" s="1"/>
  <c r="H254" i="25"/>
  <c r="C255" i="25"/>
  <c r="C256" i="25"/>
  <c r="C257" i="25"/>
  <c r="I257" i="25"/>
  <c r="BD212" i="25" s="1" a="1"/>
  <c r="BD212" i="25" s="1"/>
  <c r="J257" i="25"/>
  <c r="J258" i="25" s="1"/>
  <c r="J259" i="25" s="1"/>
  <c r="J260" i="25" s="1"/>
  <c r="K257" i="25"/>
  <c r="K258" i="25" s="1"/>
  <c r="K259" i="25" s="1"/>
  <c r="K260" i="25" s="1"/>
  <c r="L257" i="25"/>
  <c r="L258" i="25" s="1"/>
  <c r="L259" i="25" s="1"/>
  <c r="L260" i="25" s="1"/>
  <c r="M257" i="25"/>
  <c r="M258" i="25" s="1"/>
  <c r="M259" i="25" s="1"/>
  <c r="M260" i="25" s="1"/>
  <c r="N257" i="25"/>
  <c r="N258" i="25" s="1"/>
  <c r="N259" i="25" s="1"/>
  <c r="N260" i="25" s="1"/>
  <c r="C258" i="25"/>
  <c r="C259" i="25"/>
  <c r="C260" i="25"/>
  <c r="C261" i="25"/>
  <c r="C262" i="25"/>
  <c r="C263" i="25"/>
  <c r="C264" i="25"/>
  <c r="C265" i="25"/>
  <c r="C266" i="25"/>
  <c r="C267" i="25"/>
  <c r="C268" i="25"/>
  <c r="C269" i="25"/>
  <c r="C270" i="25"/>
  <c r="C271" i="25"/>
  <c r="C272" i="25"/>
  <c r="C273" i="25"/>
  <c r="C274" i="25"/>
  <c r="C275" i="25"/>
  <c r="C276" i="25"/>
  <c r="C277" i="25"/>
  <c r="C278" i="25"/>
  <c r="J278" i="25"/>
  <c r="K278" i="25"/>
  <c r="L278" i="25"/>
  <c r="T278" i="25"/>
  <c r="U278" i="25"/>
  <c r="C279" i="25"/>
  <c r="C280" i="25"/>
  <c r="C281" i="25"/>
  <c r="C282" i="25"/>
  <c r="C283" i="25"/>
  <c r="C284" i="25"/>
  <c r="C285" i="25"/>
  <c r="C286" i="25"/>
  <c r="C287" i="25"/>
  <c r="C288" i="25"/>
  <c r="C289" i="25"/>
  <c r="C290" i="25"/>
  <c r="C291" i="25"/>
  <c r="H293" i="25"/>
  <c r="C294" i="25"/>
  <c r="C295" i="25"/>
  <c r="C296" i="25"/>
  <c r="C297" i="25"/>
  <c r="C298" i="25"/>
  <c r="C299" i="25"/>
  <c r="C300" i="25"/>
  <c r="C303" i="25"/>
  <c r="C304" i="25"/>
  <c r="C305" i="25"/>
  <c r="C306" i="25"/>
  <c r="C307" i="25"/>
  <c r="C308" i="25"/>
  <c r="C309" i="25"/>
  <c r="C310" i="25"/>
  <c r="C311" i="25"/>
  <c r="C312" i="25"/>
  <c r="C313" i="25"/>
  <c r="C314" i="25"/>
  <c r="C315" i="25"/>
  <c r="C316" i="25"/>
  <c r="C317" i="25"/>
  <c r="C318" i="25"/>
  <c r="C319" i="25"/>
  <c r="M319" i="25"/>
  <c r="N319" i="25"/>
  <c r="C320" i="25"/>
  <c r="M320" i="25"/>
  <c r="N320" i="25"/>
  <c r="C321" i="25"/>
  <c r="C322" i="25"/>
  <c r="C323" i="25"/>
  <c r="C324" i="25"/>
  <c r="I324" i="25"/>
  <c r="C325" i="25"/>
  <c r="C326" i="25"/>
  <c r="M326" i="25"/>
  <c r="C327" i="25"/>
  <c r="C328" i="25"/>
  <c r="C329" i="25"/>
  <c r="T329" i="25"/>
  <c r="U329" i="25"/>
  <c r="X329" i="25"/>
  <c r="X331" i="25" s="1"/>
  <c r="X335" i="25" s="1"/>
  <c r="Z329" i="25"/>
  <c r="Z331" i="25" s="1"/>
  <c r="Z335" i="25" s="1"/>
  <c r="AA329" i="25"/>
  <c r="AA331" i="25" s="1"/>
  <c r="AA335" i="25" s="1"/>
  <c r="AB329" i="25"/>
  <c r="AB331" i="25" s="1"/>
  <c r="AB335" i="25" s="1"/>
  <c r="AF329" i="25"/>
  <c r="AF331" i="25" s="1"/>
  <c r="AF335" i="25" s="1"/>
  <c r="AG331" i="25"/>
  <c r="AG335" i="25" s="1"/>
  <c r="C330" i="25"/>
  <c r="C331" i="25"/>
  <c r="T331" i="25"/>
  <c r="T335" i="25" s="1"/>
  <c r="U331" i="25"/>
  <c r="U335" i="25" s="1"/>
  <c r="V331" i="25"/>
  <c r="V335" i="25" s="1"/>
  <c r="W331" i="25"/>
  <c r="W335" i="25" s="1"/>
  <c r="Y331" i="25"/>
  <c r="Y335" i="25" s="1"/>
  <c r="AC331" i="25"/>
  <c r="AD331" i="25"/>
  <c r="AD335" i="25" s="1"/>
  <c r="AE331" i="25"/>
  <c r="AE335" i="25" s="1"/>
  <c r="C332" i="25"/>
  <c r="C333" i="25"/>
  <c r="T333" i="25"/>
  <c r="U333" i="25"/>
  <c r="V333" i="25"/>
  <c r="V343" i="25" s="1"/>
  <c r="W333" i="25"/>
  <c r="W343" i="25" s="1"/>
  <c r="X333" i="25"/>
  <c r="X343" i="25" s="1"/>
  <c r="Y333" i="25"/>
  <c r="Y343" i="25" s="1"/>
  <c r="Z333" i="25"/>
  <c r="Z343" i="25" s="1"/>
  <c r="AA333" i="25"/>
  <c r="AA343" i="25" s="1"/>
  <c r="AB333" i="25"/>
  <c r="AB343" i="25" s="1"/>
  <c r="AC333" i="25"/>
  <c r="AC343" i="25" s="1"/>
  <c r="AD333" i="25"/>
  <c r="AD343" i="25" s="1"/>
  <c r="AE333" i="25"/>
  <c r="AE343" i="25" s="1"/>
  <c r="AF333" i="25"/>
  <c r="AF343" i="25" s="1"/>
  <c r="AG333" i="25"/>
  <c r="AG343" i="25" s="1"/>
  <c r="C334" i="25"/>
  <c r="AF334" i="25"/>
  <c r="C335" i="25"/>
  <c r="AC335" i="25"/>
  <c r="C336" i="25"/>
  <c r="C337" i="25"/>
  <c r="C339" i="25"/>
  <c r="I339" i="25"/>
  <c r="C340" i="25"/>
  <c r="C341" i="25"/>
  <c r="C342" i="25"/>
  <c r="T342" i="25"/>
  <c r="U342" i="25"/>
  <c r="V342" i="25"/>
  <c r="W342" i="25"/>
  <c r="X342" i="25"/>
  <c r="Y342" i="25"/>
  <c r="Z342" i="25"/>
  <c r="AA342" i="25"/>
  <c r="AB342" i="25"/>
  <c r="AC342" i="25"/>
  <c r="AD342" i="25"/>
  <c r="AE342" i="25"/>
  <c r="AF342" i="25"/>
  <c r="AG342" i="25"/>
  <c r="C343" i="25"/>
  <c r="T343" i="25"/>
  <c r="U343" i="25"/>
  <c r="C344" i="25"/>
  <c r="J344" i="25"/>
  <c r="C345" i="25"/>
  <c r="J345" i="25"/>
  <c r="C346" i="25"/>
  <c r="J346" i="25"/>
  <c r="C347" i="25"/>
  <c r="J347" i="25"/>
  <c r="C348" i="25"/>
  <c r="J348" i="25"/>
  <c r="C349" i="25"/>
  <c r="J349" i="25"/>
  <c r="C350" i="25"/>
  <c r="J350" i="25"/>
  <c r="N350" i="25"/>
  <c r="C351" i="25"/>
  <c r="J351" i="25"/>
  <c r="N351" i="25"/>
  <c r="C352" i="25"/>
  <c r="J352" i="25"/>
  <c r="C353" i="25"/>
  <c r="J353" i="25"/>
  <c r="N353" i="25"/>
  <c r="C354" i="25"/>
  <c r="J354" i="25"/>
  <c r="N354" i="25"/>
  <c r="C355" i="25"/>
  <c r="J355" i="25"/>
  <c r="N355" i="25"/>
  <c r="N356" i="25" s="1"/>
  <c r="C356" i="25"/>
  <c r="J356" i="25"/>
  <c r="C357" i="25"/>
  <c r="J357" i="25"/>
  <c r="C358" i="25"/>
  <c r="J358" i="25"/>
  <c r="C359" i="25"/>
  <c r="J359" i="25"/>
  <c r="N359" i="25"/>
  <c r="C360" i="25"/>
  <c r="J360" i="25"/>
  <c r="C361" i="25"/>
  <c r="J361" i="25"/>
  <c r="C362" i="25"/>
  <c r="J362" i="25"/>
  <c r="C363" i="25"/>
  <c r="J363" i="25"/>
  <c r="C364" i="25"/>
  <c r="J364" i="25"/>
  <c r="C365" i="25"/>
  <c r="J365" i="25"/>
  <c r="C366" i="25"/>
  <c r="J366" i="25"/>
  <c r="C367" i="25"/>
  <c r="J367" i="25"/>
  <c r="C368" i="25"/>
  <c r="J368" i="25"/>
  <c r="AG368" i="25"/>
  <c r="C369" i="25"/>
  <c r="J369" i="25"/>
  <c r="N369" i="25"/>
  <c r="AG369" i="25" s="1"/>
  <c r="C370" i="25"/>
  <c r="J370" i="25"/>
  <c r="AG370" i="25"/>
  <c r="C371" i="25"/>
  <c r="C372" i="25"/>
  <c r="J372" i="25"/>
  <c r="C373" i="25"/>
  <c r="J373" i="25"/>
  <c r="N373" i="25"/>
  <c r="AG373" i="25" s="1"/>
  <c r="C374" i="25"/>
  <c r="C375" i="25"/>
  <c r="J375" i="25"/>
  <c r="AG375" i="25"/>
  <c r="C376" i="25"/>
  <c r="J376" i="25"/>
  <c r="C377" i="25"/>
  <c r="J377" i="25"/>
  <c r="C378" i="25"/>
  <c r="C379" i="25"/>
  <c r="C380" i="25"/>
  <c r="C381" i="25"/>
  <c r="C382" i="25"/>
  <c r="C383" i="25"/>
  <c r="C384" i="25"/>
  <c r="C385" i="25"/>
  <c r="H387" i="25"/>
  <c r="C388" i="25"/>
  <c r="C389" i="25"/>
  <c r="C390" i="25"/>
  <c r="C391" i="25"/>
  <c r="C392" i="25"/>
  <c r="C393" i="25"/>
  <c r="C394" i="25"/>
  <c r="C397" i="25"/>
  <c r="C398" i="25"/>
  <c r="C399" i="25"/>
  <c r="C400" i="25"/>
  <c r="C401" i="25"/>
  <c r="C402" i="25"/>
  <c r="C403" i="25"/>
  <c r="C404" i="25"/>
  <c r="C405" i="25"/>
  <c r="C406" i="25"/>
  <c r="C407" i="25"/>
  <c r="C408" i="25"/>
  <c r="C409" i="25"/>
  <c r="C410" i="25"/>
  <c r="C411" i="25"/>
  <c r="C412" i="25"/>
  <c r="C413" i="25"/>
  <c r="C414" i="25"/>
  <c r="C415" i="25"/>
  <c r="C416" i="25"/>
  <c r="C417" i="25"/>
  <c r="C418" i="25"/>
  <c r="C419" i="25"/>
  <c r="C420" i="25"/>
  <c r="C421" i="25"/>
  <c r="C422" i="25"/>
  <c r="C423" i="25"/>
  <c r="C424" i="25"/>
  <c r="C425" i="25"/>
  <c r="C426" i="25"/>
  <c r="G1" i="24"/>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Y45" i="24"/>
  <c r="Z45" i="24"/>
  <c r="AA45" i="24"/>
  <c r="AB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AC58" i="24"/>
  <c r="AD58" i="24" s="1"/>
  <c r="C59" i="24"/>
  <c r="C60" i="24"/>
  <c r="AC60" i="24"/>
  <c r="AD60" i="24" s="1"/>
  <c r="C61" i="24"/>
  <c r="AC61" i="24"/>
  <c r="AD61" i="24" s="1"/>
  <c r="C62" i="24"/>
  <c r="AC62" i="24"/>
  <c r="AD62" i="24" s="1"/>
  <c r="C63" i="24"/>
  <c r="AC63" i="24"/>
  <c r="AD63" i="24" s="1"/>
  <c r="C64" i="24"/>
  <c r="C65" i="24"/>
  <c r="C66" i="24"/>
  <c r="C67" i="24"/>
  <c r="U67" i="24"/>
  <c r="V67" i="24"/>
  <c r="W67" i="24"/>
  <c r="X67" i="24"/>
  <c r="AC67" i="24"/>
  <c r="AD67" i="24"/>
  <c r="C68" i="24"/>
  <c r="C69" i="24"/>
  <c r="C70" i="24"/>
  <c r="U70" i="24"/>
  <c r="V70" i="24"/>
  <c r="W70" i="24"/>
  <c r="X70" i="24"/>
  <c r="Y70" i="24"/>
  <c r="Z70" i="24"/>
  <c r="AA70" i="24"/>
  <c r="AB70" i="24"/>
  <c r="AC70" i="24"/>
  <c r="AD70" i="24"/>
  <c r="C71" i="24"/>
  <c r="U71" i="24"/>
  <c r="V71" i="24"/>
  <c r="W71" i="24"/>
  <c r="X71" i="24"/>
  <c r="Y71" i="24"/>
  <c r="Z71" i="24"/>
  <c r="AA71" i="24"/>
  <c r="AB71" i="24"/>
  <c r="AC71" i="24"/>
  <c r="AD71" i="24"/>
  <c r="C72" i="24"/>
  <c r="U72" i="24"/>
  <c r="V72" i="24"/>
  <c r="W72" i="24"/>
  <c r="X72" i="24"/>
  <c r="Y72" i="24"/>
  <c r="Z72" i="24"/>
  <c r="AA72" i="24"/>
  <c r="AB72" i="24"/>
  <c r="AC72" i="24"/>
  <c r="AD72" i="24"/>
  <c r="C73" i="24"/>
  <c r="U73" i="24"/>
  <c r="V73" i="24"/>
  <c r="W73" i="24"/>
  <c r="X73" i="24"/>
  <c r="Y73" i="24"/>
  <c r="Z73" i="24"/>
  <c r="AA73" i="24"/>
  <c r="AB73" i="24"/>
  <c r="AC73" i="24"/>
  <c r="AD73" i="24"/>
  <c r="C74" i="24"/>
  <c r="U74" i="24"/>
  <c r="V74" i="24"/>
  <c r="W74" i="24"/>
  <c r="X74" i="24"/>
  <c r="Y74" i="24"/>
  <c r="Z74" i="24"/>
  <c r="AA74" i="24"/>
  <c r="AB74" i="24"/>
  <c r="AC74" i="24"/>
  <c r="AD74" i="24"/>
  <c r="C75" i="24"/>
  <c r="U75" i="24"/>
  <c r="V75" i="24"/>
  <c r="W75" i="24"/>
  <c r="X75" i="24"/>
  <c r="Y75" i="24"/>
  <c r="Z75" i="24"/>
  <c r="AA75" i="24"/>
  <c r="AB75" i="24"/>
  <c r="AC75" i="24"/>
  <c r="AD75" i="24"/>
  <c r="C76" i="24"/>
  <c r="U76" i="24"/>
  <c r="V76" i="24"/>
  <c r="W76" i="24"/>
  <c r="X76" i="24"/>
  <c r="Y76" i="24"/>
  <c r="Z76" i="24"/>
  <c r="AA76" i="24"/>
  <c r="AB76" i="24"/>
  <c r="AC76" i="24"/>
  <c r="AD76" i="24"/>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AC97" i="24"/>
  <c r="AD97" i="24" s="1"/>
  <c r="C98" i="24"/>
  <c r="AC98" i="24"/>
  <c r="AD98" i="24" s="1"/>
  <c r="C99" i="24"/>
  <c r="AC99" i="24"/>
  <c r="AD99" i="24" s="1"/>
  <c r="C100" i="24"/>
  <c r="AC100" i="24"/>
  <c r="AD100" i="24" s="1"/>
  <c r="C101" i="24"/>
  <c r="C102" i="24"/>
  <c r="C103" i="24"/>
  <c r="C104" i="24"/>
  <c r="U104" i="24"/>
  <c r="V104" i="24"/>
  <c r="Y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B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Y195" i="24" s="1"/>
  <c r="V195" i="24"/>
  <c r="W195" i="24"/>
  <c r="X195" i="24"/>
  <c r="Z195" i="24"/>
  <c r="C196" i="24"/>
  <c r="K196" i="24"/>
  <c r="U196" i="24" s="1"/>
  <c r="C197" i="24"/>
  <c r="K197" i="24"/>
  <c r="W197" i="24" s="1"/>
  <c r="X197" i="24"/>
  <c r="Y197" i="24"/>
  <c r="Z197" i="24"/>
  <c r="AA197" i="24"/>
  <c r="C198" i="24"/>
  <c r="K198" i="24"/>
  <c r="W198" i="24" s="1"/>
  <c r="L198" i="24"/>
  <c r="AB198" i="24" s="1"/>
  <c r="M198" i="24"/>
  <c r="N198" i="24"/>
  <c r="O198" i="24"/>
  <c r="P198" i="24"/>
  <c r="C199" i="24"/>
  <c r="K199" i="24"/>
  <c r="U199" i="24" s="1"/>
  <c r="L199" i="24"/>
  <c r="AB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X203" i="24" s="1"/>
  <c r="C204" i="24"/>
  <c r="K204" i="24"/>
  <c r="L204" i="24" s="1"/>
  <c r="C205" i="24"/>
  <c r="K205" i="24"/>
  <c r="L205" i="24" s="1"/>
  <c r="C206" i="24"/>
  <c r="K206" i="24"/>
  <c r="W206" i="24" s="1"/>
  <c r="C207" i="24"/>
  <c r="L207" i="24"/>
  <c r="AB207" i="24" s="1"/>
  <c r="U207" i="24"/>
  <c r="V207" i="24"/>
  <c r="W207" i="24"/>
  <c r="X207" i="24"/>
  <c r="Y207" i="24"/>
  <c r="Z207" i="24"/>
  <c r="AA207" i="24"/>
  <c r="C208" i="24"/>
  <c r="K208" i="24"/>
  <c r="X208" i="24" s="1"/>
  <c r="C209" i="24"/>
  <c r="L209" i="24"/>
  <c r="AC209" i="24" s="1"/>
  <c r="U209" i="24"/>
  <c r="V209" i="24"/>
  <c r="W209" i="24"/>
  <c r="X209" i="24"/>
  <c r="Y209" i="24"/>
  <c r="Z209" i="24"/>
  <c r="AA209" i="24"/>
  <c r="C210" i="24"/>
  <c r="U210" i="24"/>
  <c r="V210" i="24"/>
  <c r="W210" i="24"/>
  <c r="X210" i="24"/>
  <c r="Y210" i="24"/>
  <c r="Z210" i="24"/>
  <c r="AA210" i="24"/>
  <c r="AB210" i="24"/>
  <c r="AC210" i="24"/>
  <c r="AD210" i="24"/>
  <c r="C211" i="24"/>
  <c r="K211" i="24"/>
  <c r="L211" i="24" s="1"/>
  <c r="C212" i="24"/>
  <c r="K212" i="24"/>
  <c r="V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U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C310" i="24"/>
  <c r="AD310" i="24"/>
  <c r="C311" i="24"/>
  <c r="U311" i="24"/>
  <c r="V311" i="24"/>
  <c r="W311" i="24"/>
  <c r="X311" i="24"/>
  <c r="Y311" i="24"/>
  <c r="Z311" i="24"/>
  <c r="AA311" i="24"/>
  <c r="AC311" i="24"/>
  <c r="AD311" i="24"/>
  <c r="C312" i="24"/>
  <c r="U312" i="24"/>
  <c r="V312" i="24"/>
  <c r="W312" i="24"/>
  <c r="X312" i="24"/>
  <c r="Y312" i="24"/>
  <c r="Z312" i="24"/>
  <c r="AA312" i="24"/>
  <c r="AC312" i="24"/>
  <c r="AD312" i="24"/>
  <c r="C313" i="24"/>
  <c r="C314" i="24"/>
  <c r="U314" i="24"/>
  <c r="V314" i="24"/>
  <c r="W314" i="24"/>
  <c r="X314" i="24"/>
  <c r="Y314" i="24"/>
  <c r="Z314" i="24"/>
  <c r="AA314" i="24"/>
  <c r="AC314" i="24"/>
  <c r="AD314" i="24"/>
  <c r="C315" i="24"/>
  <c r="U315" i="24"/>
  <c r="V315" i="24"/>
  <c r="W315" i="24"/>
  <c r="X315" i="24"/>
  <c r="Y315" i="24"/>
  <c r="Z315" i="24"/>
  <c r="AA315" i="24"/>
  <c r="AC315" i="24"/>
  <c r="AD315" i="24"/>
  <c r="C316" i="24"/>
  <c r="C317" i="24"/>
  <c r="U317" i="24"/>
  <c r="V317" i="24"/>
  <c r="W317" i="24"/>
  <c r="X317" i="24"/>
  <c r="Y317" i="24"/>
  <c r="Z317" i="24"/>
  <c r="AA317" i="24"/>
  <c r="AC317" i="24"/>
  <c r="AD317" i="24"/>
  <c r="C318" i="24"/>
  <c r="U318" i="24"/>
  <c r="V318" i="24"/>
  <c r="W318" i="24"/>
  <c r="X318" i="24"/>
  <c r="Y318" i="24"/>
  <c r="Z318" i="24"/>
  <c r="AA318" i="24"/>
  <c r="AC318" i="24"/>
  <c r="AD318" i="24"/>
  <c r="C319" i="24"/>
  <c r="U319" i="24"/>
  <c r="V319" i="24"/>
  <c r="W319" i="24"/>
  <c r="X319" i="24"/>
  <c r="Y319" i="24"/>
  <c r="Z319" i="24"/>
  <c r="AA319" i="24"/>
  <c r="AC319" i="24"/>
  <c r="AD319" i="24"/>
  <c r="C320" i="24"/>
  <c r="U320" i="24"/>
  <c r="V320" i="24"/>
  <c r="W320" i="24"/>
  <c r="X320" i="24"/>
  <c r="Y320" i="24"/>
  <c r="Z320" i="24"/>
  <c r="AA320" i="24"/>
  <c r="AC320" i="24"/>
  <c r="AD320" i="24"/>
  <c r="C321" i="24"/>
  <c r="AC321" i="24"/>
  <c r="AD321" i="24"/>
  <c r="C322" i="24"/>
  <c r="AC322" i="24"/>
  <c r="AD322" i="24" s="1"/>
  <c r="C323" i="24"/>
  <c r="AC323" i="24"/>
  <c r="AD323" i="24" s="1"/>
  <c r="C324" i="24"/>
  <c r="U324" i="24"/>
  <c r="V324" i="24"/>
  <c r="W324" i="24"/>
  <c r="X324" i="24"/>
  <c r="Y324" i="24"/>
  <c r="Z324" i="24"/>
  <c r="AA324" i="24"/>
  <c r="AB324" i="24"/>
  <c r="AC324" i="24"/>
  <c r="AD324" i="24"/>
  <c r="C325" i="24"/>
  <c r="K325" i="24"/>
  <c r="X325" i="24" s="1"/>
  <c r="L325" i="24"/>
  <c r="AB325" i="24" s="1"/>
  <c r="W325" i="24"/>
  <c r="C326" i="24"/>
  <c r="U326" i="24"/>
  <c r="V326" i="24"/>
  <c r="AC326" i="24"/>
  <c r="AD326" i="24"/>
  <c r="C327" i="24"/>
  <c r="U327" i="24"/>
  <c r="V327" i="24"/>
  <c r="W327" i="24"/>
  <c r="X327" i="24"/>
  <c r="AB327" i="24"/>
  <c r="AC327" i="24" s="1"/>
  <c r="AD327" i="24" s="1"/>
  <c r="C328" i="24"/>
  <c r="U328" i="24"/>
  <c r="AB328" i="24"/>
  <c r="AC328" i="24" s="1"/>
  <c r="AD328" i="24" s="1"/>
  <c r="C329" i="24"/>
  <c r="AC329" i="24"/>
  <c r="AD329" i="24" s="1"/>
  <c r="C330" i="24"/>
  <c r="V330" i="24"/>
  <c r="X330" i="24" s="1"/>
  <c r="W330" i="24"/>
  <c r="AC330" i="24"/>
  <c r="AD330" i="24" s="1"/>
  <c r="C331" i="24"/>
  <c r="U331" i="24"/>
  <c r="V331" i="24"/>
  <c r="W331" i="24"/>
  <c r="X331" i="24"/>
  <c r="AB331" i="24"/>
  <c r="AC331" i="24" s="1"/>
  <c r="AD331" i="24" s="1"/>
  <c r="C336" i="24"/>
  <c r="C337" i="24"/>
  <c r="C338" i="24"/>
  <c r="C339" i="24"/>
  <c r="U339" i="24"/>
  <c r="V339" i="24"/>
  <c r="W339" i="24"/>
  <c r="X339" i="24"/>
  <c r="AC339" i="24"/>
  <c r="AD339" i="24"/>
  <c r="C340" i="24"/>
  <c r="U340" i="24"/>
  <c r="V340" i="24"/>
  <c r="W340" i="24"/>
  <c r="X340" i="24"/>
  <c r="AC340" i="24"/>
  <c r="AD340" i="24"/>
  <c r="C341" i="24"/>
  <c r="U341" i="24"/>
  <c r="V341" i="24"/>
  <c r="W341" i="24"/>
  <c r="X341" i="24"/>
  <c r="AC341" i="24"/>
  <c r="AD341" i="24"/>
  <c r="C342" i="24"/>
  <c r="U342" i="24"/>
  <c r="V342" i="24"/>
  <c r="W342" i="24"/>
  <c r="X342" i="24"/>
  <c r="AC342" i="24"/>
  <c r="AD342" i="24"/>
  <c r="C343" i="24"/>
  <c r="U343" i="24"/>
  <c r="V343" i="24"/>
  <c r="W343" i="24"/>
  <c r="X343" i="24"/>
  <c r="AC343" i="24"/>
  <c r="AD343" i="24"/>
  <c r="C344" i="24"/>
  <c r="U344" i="24"/>
  <c r="V344" i="24"/>
  <c r="W344" i="24"/>
  <c r="X344" i="24"/>
  <c r="AC344" i="24"/>
  <c r="AD344" i="24"/>
  <c r="C345" i="24"/>
  <c r="U345" i="24"/>
  <c r="V345" i="24"/>
  <c r="W345" i="24"/>
  <c r="X345" i="24"/>
  <c r="AC345" i="24"/>
  <c r="AD345" i="24"/>
  <c r="C346" i="24"/>
  <c r="U346" i="24"/>
  <c r="V346" i="24"/>
  <c r="W346" i="24"/>
  <c r="X346" i="24"/>
  <c r="AC346" i="24"/>
  <c r="AD346" i="24"/>
  <c r="C347" i="24"/>
  <c r="U347" i="24"/>
  <c r="V347" i="24"/>
  <c r="W347" i="24"/>
  <c r="X347" i="24"/>
  <c r="AC347" i="24"/>
  <c r="AD347" i="24"/>
  <c r="C348" i="24"/>
  <c r="U348" i="24"/>
  <c r="V348" i="24"/>
  <c r="W348" i="24"/>
  <c r="X348" i="24"/>
  <c r="AC348" i="24"/>
  <c r="AD348" i="24"/>
  <c r="C349" i="24"/>
  <c r="U349" i="24"/>
  <c r="V349" i="24"/>
  <c r="W349" i="24"/>
  <c r="X349" i="24"/>
  <c r="AC349" i="24"/>
  <c r="AD349" i="24"/>
  <c r="C350" i="24"/>
  <c r="U350" i="24"/>
  <c r="V350" i="24"/>
  <c r="W350" i="24"/>
  <c r="X350" i="24"/>
  <c r="AC350" i="24"/>
  <c r="AD350" i="24"/>
  <c r="C351" i="24"/>
  <c r="U351" i="24"/>
  <c r="V351" i="24"/>
  <c r="W351" i="24"/>
  <c r="X351" i="24"/>
  <c r="AC351" i="24"/>
  <c r="AD351" i="24"/>
  <c r="C352" i="24"/>
  <c r="U352" i="24"/>
  <c r="V352" i="24"/>
  <c r="W352" i="24"/>
  <c r="X352" i="24"/>
  <c r="AC352" i="24"/>
  <c r="AD352" i="24"/>
  <c r="C353" i="24"/>
  <c r="U353" i="24"/>
  <c r="V353" i="24"/>
  <c r="W353" i="24"/>
  <c r="X353" i="24"/>
  <c r="AC353" i="24"/>
  <c r="AD353" i="24"/>
  <c r="C354" i="24"/>
  <c r="U354" i="24"/>
  <c r="V354" i="24"/>
  <c r="W354" i="24"/>
  <c r="X354" i="24"/>
  <c r="AC354" i="24"/>
  <c r="AD354" i="24"/>
  <c r="C355" i="24"/>
  <c r="C356" i="24"/>
  <c r="C357" i="24"/>
  <c r="U357" i="24"/>
  <c r="V357" i="24"/>
  <c r="W357" i="24"/>
  <c r="X357" i="24"/>
  <c r="AC357" i="24"/>
  <c r="AD357" i="24"/>
  <c r="C358" i="24"/>
  <c r="U358" i="24"/>
  <c r="V358" i="24"/>
  <c r="W358" i="24"/>
  <c r="X358" i="24"/>
  <c r="AC358" i="24"/>
  <c r="AD358" i="24"/>
  <c r="C359" i="24"/>
  <c r="U359" i="24"/>
  <c r="V359" i="24"/>
  <c r="W359" i="24"/>
  <c r="X359" i="24"/>
  <c r="AC359" i="24"/>
  <c r="AD359" i="24"/>
  <c r="C360" i="24"/>
  <c r="U360" i="24"/>
  <c r="V360" i="24"/>
  <c r="W360" i="24"/>
  <c r="X360" i="24"/>
  <c r="AC360" i="24"/>
  <c r="AD360" i="24"/>
  <c r="C361" i="24"/>
  <c r="U361" i="24"/>
  <c r="V361" i="24"/>
  <c r="W361" i="24"/>
  <c r="X361" i="24"/>
  <c r="AC361" i="24"/>
  <c r="AD361" i="24"/>
  <c r="C362" i="24"/>
  <c r="U362" i="24"/>
  <c r="V362" i="24"/>
  <c r="W362" i="24"/>
  <c r="X362" i="24"/>
  <c r="AC362" i="24"/>
  <c r="AD362" i="24"/>
  <c r="C363" i="24"/>
  <c r="U363" i="24"/>
  <c r="V363" i="24"/>
  <c r="W363" i="24"/>
  <c r="X363" i="24"/>
  <c r="AC363" i="24"/>
  <c r="AD363" i="24"/>
  <c r="C364" i="24"/>
  <c r="U364" i="24"/>
  <c r="V364" i="24"/>
  <c r="AC364" i="24"/>
  <c r="AD364" i="24"/>
  <c r="C365" i="24"/>
  <c r="U365" i="24"/>
  <c r="V365" i="24"/>
  <c r="W365" i="24"/>
  <c r="X365" i="24"/>
  <c r="Y365" i="24"/>
  <c r="Z365" i="24"/>
  <c r="AA365" i="24"/>
  <c r="AC365" i="24"/>
  <c r="C366" i="24"/>
  <c r="U366" i="24"/>
  <c r="V366" i="24"/>
  <c r="W366" i="24"/>
  <c r="X366" i="24"/>
  <c r="AC366" i="24"/>
  <c r="AD366" i="24"/>
  <c r="C367" i="24"/>
  <c r="U367" i="24"/>
  <c r="V367" i="24"/>
  <c r="W367" i="24"/>
  <c r="X367" i="24"/>
  <c r="AC367" i="24"/>
  <c r="AD367" i="24"/>
  <c r="C368" i="24"/>
  <c r="U368" i="24"/>
  <c r="V368" i="24"/>
  <c r="W368" i="24"/>
  <c r="X368" i="24"/>
  <c r="AC368" i="24"/>
  <c r="AD368" i="24"/>
  <c r="C369" i="24"/>
  <c r="U369" i="24"/>
  <c r="V369" i="24"/>
  <c r="W369" i="24"/>
  <c r="X369" i="24"/>
  <c r="AC369" i="24"/>
  <c r="AD369" i="24"/>
  <c r="C370" i="24"/>
  <c r="U370" i="24"/>
  <c r="V370" i="24"/>
  <c r="W370" i="24"/>
  <c r="X370" i="24"/>
  <c r="AC370" i="24"/>
  <c r="AD370" i="24"/>
  <c r="C371" i="24"/>
  <c r="U371" i="24"/>
  <c r="V371" i="24"/>
  <c r="W371" i="24"/>
  <c r="X371" i="24"/>
  <c r="AC371" i="24"/>
  <c r="AD371" i="24"/>
  <c r="C372" i="24"/>
  <c r="C373" i="24"/>
  <c r="C374" i="24"/>
  <c r="U374" i="24"/>
  <c r="V374" i="24"/>
  <c r="W374" i="24"/>
  <c r="X374" i="24"/>
  <c r="AC374" i="24"/>
  <c r="AD374" i="24"/>
  <c r="C375" i="24"/>
  <c r="C376" i="24"/>
  <c r="U376" i="24"/>
  <c r="V376" i="24"/>
  <c r="W376" i="24"/>
  <c r="X376" i="24"/>
  <c r="AC376" i="24"/>
  <c r="AD376" i="24"/>
  <c r="C377" i="24"/>
  <c r="U377" i="24"/>
  <c r="V377" i="24"/>
  <c r="W377" i="24"/>
  <c r="X377" i="24"/>
  <c r="AC377" i="24"/>
  <c r="AD377" i="24"/>
  <c r="C378" i="24"/>
  <c r="U378" i="24"/>
  <c r="V378" i="24"/>
  <c r="W378" i="24"/>
  <c r="X378" i="24"/>
  <c r="AC378" i="24"/>
  <c r="AD378" i="24"/>
  <c r="C379" i="24"/>
  <c r="U379" i="24"/>
  <c r="V379" i="24"/>
  <c r="W379" i="24"/>
  <c r="X379" i="24"/>
  <c r="AC379" i="24"/>
  <c r="AD379" i="24"/>
  <c r="C380" i="24"/>
  <c r="U380" i="24"/>
  <c r="V380" i="24"/>
  <c r="W380" i="24"/>
  <c r="X380" i="24"/>
  <c r="AC380" i="24"/>
  <c r="AD380" i="24"/>
  <c r="C381" i="24"/>
  <c r="U381" i="24"/>
  <c r="V381" i="24"/>
  <c r="W381" i="24"/>
  <c r="X381" i="24"/>
  <c r="AC381" i="24"/>
  <c r="AD381" i="24"/>
  <c r="C382" i="24"/>
  <c r="U382" i="24"/>
  <c r="V382" i="24"/>
  <c r="W382" i="24"/>
  <c r="X382" i="24"/>
  <c r="AC382" i="24"/>
  <c r="AD382" i="24"/>
  <c r="C383" i="24"/>
  <c r="U383" i="24"/>
  <c r="V383" i="24"/>
  <c r="W383" i="24"/>
  <c r="X383" i="24"/>
  <c r="AC383" i="24"/>
  <c r="AD383" i="24"/>
  <c r="C384" i="24"/>
  <c r="U384" i="24"/>
  <c r="V384" i="24"/>
  <c r="W384" i="24"/>
  <c r="X384" i="24"/>
  <c r="AC384" i="24"/>
  <c r="AD384" i="24"/>
  <c r="C385" i="24"/>
  <c r="U385" i="24"/>
  <c r="V385" i="24"/>
  <c r="W385" i="24"/>
  <c r="X385" i="24"/>
  <c r="AC385" i="24"/>
  <c r="AD385" i="24"/>
  <c r="C386" i="24"/>
  <c r="U386" i="24"/>
  <c r="V386" i="24"/>
  <c r="W386" i="24"/>
  <c r="X386" i="24"/>
  <c r="AC386" i="24"/>
  <c r="AD386" i="24"/>
  <c r="C387" i="24"/>
  <c r="U387" i="24"/>
  <c r="V387" i="24"/>
  <c r="W387" i="24"/>
  <c r="X387" i="24"/>
  <c r="AC387" i="24"/>
  <c r="AD387" i="24"/>
  <c r="C388" i="24"/>
  <c r="U388" i="24"/>
  <c r="V388" i="24"/>
  <c r="W388" i="24"/>
  <c r="X388" i="24"/>
  <c r="AC388" i="24"/>
  <c r="AD388" i="24"/>
  <c r="C389" i="24"/>
  <c r="U389" i="24"/>
  <c r="V389" i="24"/>
  <c r="W389" i="24"/>
  <c r="X389" i="24"/>
  <c r="AC389" i="24"/>
  <c r="AD389" i="24"/>
  <c r="C390" i="24"/>
  <c r="U390" i="24"/>
  <c r="V390" i="24"/>
  <c r="W390" i="24"/>
  <c r="X390" i="24"/>
  <c r="AC390" i="24"/>
  <c r="AD390" i="24"/>
  <c r="C391" i="24"/>
  <c r="U391" i="24"/>
  <c r="V391" i="24"/>
  <c r="W391" i="24"/>
  <c r="X391" i="24"/>
  <c r="AC391" i="24"/>
  <c r="AD391" i="24"/>
  <c r="C392" i="24"/>
  <c r="U392" i="24"/>
  <c r="V392" i="24"/>
  <c r="W392" i="24"/>
  <c r="X392" i="24"/>
  <c r="AC392" i="24"/>
  <c r="AD392" i="24"/>
  <c r="C393" i="24"/>
  <c r="U393" i="24"/>
  <c r="V393" i="24"/>
  <c r="W393" i="24"/>
  <c r="X393" i="24"/>
  <c r="AC393" i="24"/>
  <c r="AD393" i="24"/>
  <c r="C394" i="24"/>
  <c r="U394" i="24"/>
  <c r="V394" i="24"/>
  <c r="W394" i="24"/>
  <c r="X394" i="24"/>
  <c r="AC394" i="24"/>
  <c r="AD394" i="24"/>
  <c r="C395" i="24"/>
  <c r="K395" i="24"/>
  <c r="U395" i="24" s="1"/>
  <c r="L395" i="24"/>
  <c r="AD395" i="24" s="1"/>
  <c r="M395" i="24"/>
  <c r="N395" i="24"/>
  <c r="O395" i="24"/>
  <c r="P395" i="24"/>
  <c r="C396" i="24"/>
  <c r="C397" i="24"/>
  <c r="C398" i="24"/>
  <c r="U398" i="24"/>
  <c r="V398" i="24"/>
  <c r="W398" i="24"/>
  <c r="X398" i="24"/>
  <c r="AC398" i="24"/>
  <c r="AD398" i="24"/>
  <c r="C399" i="24"/>
  <c r="U399" i="24"/>
  <c r="V399" i="24"/>
  <c r="W399" i="24"/>
  <c r="X399" i="24"/>
  <c r="AC399" i="24"/>
  <c r="AD399" i="24"/>
  <c r="C400" i="24"/>
  <c r="U400" i="24"/>
  <c r="V400" i="24"/>
  <c r="W400" i="24"/>
  <c r="X400" i="24"/>
  <c r="AC400" i="24"/>
  <c r="AD400" i="24"/>
  <c r="C401" i="24"/>
  <c r="U401" i="24"/>
  <c r="V401" i="24"/>
  <c r="W401" i="24"/>
  <c r="X401" i="24"/>
  <c r="AC401" i="24"/>
  <c r="AD401" i="24"/>
  <c r="C402" i="24"/>
  <c r="U402" i="24"/>
  <c r="V402" i="24"/>
  <c r="W402" i="24"/>
  <c r="X402" i="24"/>
  <c r="AC402" i="24"/>
  <c r="AD402" i="24"/>
  <c r="C403" i="24"/>
  <c r="C404" i="24"/>
  <c r="C405" i="24"/>
  <c r="U405" i="24"/>
  <c r="V405" i="24"/>
  <c r="W405" i="24"/>
  <c r="X405" i="24"/>
  <c r="AC405" i="24"/>
  <c r="AD405" i="24"/>
  <c r="C406" i="24"/>
  <c r="C407" i="24"/>
  <c r="C408" i="24"/>
  <c r="U408" i="24"/>
  <c r="V408" i="24"/>
  <c r="W408" i="24"/>
  <c r="X408" i="24"/>
  <c r="AC408" i="24"/>
  <c r="AD408" i="24"/>
  <c r="C409" i="24"/>
  <c r="C410" i="24"/>
  <c r="C411" i="24"/>
  <c r="C412" i="24"/>
  <c r="K412" i="24"/>
  <c r="V412" i="24" s="1"/>
  <c r="L412" i="24"/>
  <c r="AC412" i="24" s="1"/>
  <c r="Y412" i="24"/>
  <c r="C413" i="24"/>
  <c r="U413" i="24"/>
  <c r="V413" i="24"/>
  <c r="W413" i="24"/>
  <c r="X413" i="24"/>
  <c r="AC413" i="24"/>
  <c r="AD413" i="24"/>
  <c r="C414" i="24"/>
  <c r="U414" i="24"/>
  <c r="V414" i="24"/>
  <c r="W414" i="24"/>
  <c r="X414" i="24"/>
  <c r="AC414" i="24"/>
  <c r="AD414" i="24"/>
  <c r="C415" i="24"/>
  <c r="C416" i="24"/>
  <c r="C417" i="24"/>
  <c r="C418" i="24"/>
  <c r="C419" i="24"/>
  <c r="C420" i="24"/>
  <c r="C421" i="24"/>
  <c r="C422" i="24"/>
  <c r="C423" i="24"/>
  <c r="U423" i="24"/>
  <c r="V423" i="24"/>
  <c r="W423" i="24"/>
  <c r="X423" i="24"/>
  <c r="AC423" i="24"/>
  <c r="AD423" i="24"/>
  <c r="C424" i="24"/>
  <c r="U424" i="24"/>
  <c r="V424" i="24"/>
  <c r="W424" i="24"/>
  <c r="X424" i="24"/>
  <c r="AC424" i="24"/>
  <c r="AD424" i="24"/>
  <c r="C425" i="24"/>
  <c r="U425" i="24"/>
  <c r="V425" i="24"/>
  <c r="W425" i="24"/>
  <c r="X425" i="24"/>
  <c r="AC425" i="24"/>
  <c r="AD425" i="24"/>
  <c r="C426" i="24"/>
  <c r="U426" i="24"/>
  <c r="V426" i="24"/>
  <c r="W426" i="24"/>
  <c r="X426" i="24"/>
  <c r="AC426" i="24"/>
  <c r="AD426" i="24"/>
  <c r="C427" i="24"/>
  <c r="U427" i="24"/>
  <c r="V427" i="24"/>
  <c r="W427" i="24"/>
  <c r="X427" i="24"/>
  <c r="AC427" i="24"/>
  <c r="AD427" i="24"/>
  <c r="C428" i="24"/>
  <c r="U428" i="24"/>
  <c r="V428" i="24"/>
  <c r="W428" i="24"/>
  <c r="X428" i="24"/>
  <c r="AC428" i="24"/>
  <c r="AD428" i="24"/>
  <c r="C429" i="24"/>
  <c r="U429" i="24"/>
  <c r="V429" i="24"/>
  <c r="W429" i="24"/>
  <c r="X429" i="24"/>
  <c r="AC429" i="24"/>
  <c r="AD429" i="24"/>
  <c r="C430" i="24"/>
  <c r="U430" i="24"/>
  <c r="V430" i="24"/>
  <c r="W430" i="24"/>
  <c r="X430" i="24"/>
  <c r="AC430" i="24"/>
  <c r="AD430" i="24"/>
  <c r="C431" i="24"/>
  <c r="U431" i="24"/>
  <c r="V431" i="24"/>
  <c r="W431" i="24"/>
  <c r="X431" i="24"/>
  <c r="AC431" i="24"/>
  <c r="AD431" i="24"/>
  <c r="C432" i="24"/>
  <c r="U432" i="24"/>
  <c r="V432" i="24"/>
  <c r="W432" i="24"/>
  <c r="X432" i="24"/>
  <c r="AC432" i="24"/>
  <c r="AD432" i="24"/>
  <c r="C433" i="24"/>
  <c r="U433" i="24"/>
  <c r="V433" i="24"/>
  <c r="W433" i="24"/>
  <c r="X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W503" i="24" s="1"/>
  <c r="AC503" i="24"/>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AC535" i="24"/>
  <c r="AD535" i="24" s="1"/>
  <c r="C536" i="24"/>
  <c r="AC536" i="24"/>
  <c r="AD536" i="24" s="1"/>
  <c r="C537" i="24"/>
  <c r="AC537" i="24"/>
  <c r="AD537" i="24" s="1"/>
  <c r="C538" i="24"/>
  <c r="AC538" i="24"/>
  <c r="AD538" i="24" s="1"/>
  <c r="C539" i="24"/>
  <c r="AC539" i="24"/>
  <c r="AD539" i="24" s="1"/>
  <c r="AD540" i="24" s="1"/>
  <c r="AD541" i="24" s="1"/>
  <c r="AD542" i="24" s="1"/>
  <c r="C540" i="24"/>
  <c r="U540" i="24"/>
  <c r="U541" i="24" s="1"/>
  <c r="U542" i="24" s="1"/>
  <c r="V540" i="24"/>
  <c r="V541" i="24" s="1"/>
  <c r="V542" i="24" s="1"/>
  <c r="W540" i="24"/>
  <c r="W541" i="24" s="1"/>
  <c r="W542" i="24" s="1"/>
  <c r="X540" i="24"/>
  <c r="X541" i="24" s="1"/>
  <c r="X542" i="24" s="1"/>
  <c r="C541" i="24"/>
  <c r="C542" i="24"/>
  <c r="C543" i="24"/>
  <c r="AC543" i="24"/>
  <c r="AD543" i="24" s="1"/>
  <c r="C544" i="24"/>
  <c r="AC544" i="24"/>
  <c r="AD544" i="24" s="1"/>
  <c r="C545" i="24"/>
  <c r="AC545" i="24"/>
  <c r="AD545" i="24" s="1"/>
  <c r="C546" i="24"/>
  <c r="AC546" i="24"/>
  <c r="AD546" i="24" s="1"/>
  <c r="C547" i="24"/>
  <c r="AC547" i="24"/>
  <c r="AC548" i="24" s="1"/>
  <c r="AC549" i="24" s="1"/>
  <c r="AC550" i="24" s="1"/>
  <c r="C548" i="24"/>
  <c r="U548" i="24"/>
  <c r="U549" i="24" s="1"/>
  <c r="U550" i="24" s="1"/>
  <c r="V548" i="24"/>
  <c r="V549" i="24" s="1"/>
  <c r="V550" i="24" s="1"/>
  <c r="W548" i="24"/>
  <c r="W549" i="24" s="1"/>
  <c r="W550" i="24" s="1"/>
  <c r="X548" i="24"/>
  <c r="X549" i="24" s="1"/>
  <c r="X550" i="24" s="1"/>
  <c r="C549" i="24"/>
  <c r="C550" i="24"/>
  <c r="C551" i="24"/>
  <c r="C552" i="24"/>
  <c r="C553" i="24"/>
  <c r="C554" i="24"/>
  <c r="C555" i="24"/>
  <c r="C556" i="24"/>
  <c r="C557" i="24"/>
  <c r="C558" i="24"/>
  <c r="C559" i="24"/>
  <c r="C560" i="24"/>
  <c r="C561" i="24"/>
  <c r="C562" i="24"/>
  <c r="C563" i="24"/>
  <c r="C564" i="24"/>
  <c r="C565" i="24"/>
  <c r="C566" i="24"/>
  <c r="C567" i="24"/>
  <c r="AC567" i="24"/>
  <c r="AD567" i="24" s="1"/>
  <c r="C568" i="24"/>
  <c r="AC568" i="24"/>
  <c r="AD568" i="24" s="1"/>
  <c r="C569" i="24"/>
  <c r="AC569" i="24"/>
  <c r="AD569" i="24" s="1"/>
  <c r="C570" i="24"/>
  <c r="AC570" i="24"/>
  <c r="AD570" i="24" s="1"/>
  <c r="C571" i="24"/>
  <c r="AC571" i="24"/>
  <c r="AD571" i="24" s="1"/>
  <c r="C572" i="24"/>
  <c r="AC572" i="24"/>
  <c r="AD572" i="24" s="1"/>
  <c r="C573" i="24"/>
  <c r="AC573" i="24"/>
  <c r="AD573" i="24" s="1"/>
  <c r="C574" i="24"/>
  <c r="AC574" i="24"/>
  <c r="AD574" i="24" s="1"/>
  <c r="C575" i="24"/>
  <c r="AC575" i="24"/>
  <c r="AD575" i="24" s="1"/>
  <c r="C576" i="24"/>
  <c r="AC576" i="24"/>
  <c r="AD576" i="24" s="1"/>
  <c r="C577" i="24"/>
  <c r="AC577" i="24"/>
  <c r="AD577" i="24" s="1"/>
  <c r="C578" i="24"/>
  <c r="AC578" i="24"/>
  <c r="AD578" i="24" s="1"/>
  <c r="C579" i="24"/>
  <c r="AC579" i="24"/>
  <c r="AD579" i="24" s="1"/>
  <c r="C580" i="24"/>
  <c r="AC580" i="24"/>
  <c r="AD580" i="24" s="1"/>
  <c r="C581" i="24"/>
  <c r="AC581" i="24"/>
  <c r="AD581" i="24" s="1"/>
  <c r="C582" i="24"/>
  <c r="AC582" i="24"/>
  <c r="AD582" i="24" s="1"/>
  <c r="C583" i="24"/>
  <c r="AC583" i="24"/>
  <c r="AD583" i="24" s="1"/>
  <c r="C584" i="24"/>
  <c r="AC584" i="24"/>
  <c r="AD584" i="24" s="1"/>
  <c r="C585" i="24"/>
  <c r="AC585" i="24"/>
  <c r="AD585" i="24" s="1"/>
  <c r="C586" i="24"/>
  <c r="AC586" i="24"/>
  <c r="AD586" i="24" s="1"/>
  <c r="C587" i="24"/>
  <c r="AC587" i="24"/>
  <c r="AD587" i="24" s="1"/>
  <c r="C588" i="24"/>
  <c r="AC588" i="24"/>
  <c r="AD588" i="24" s="1"/>
  <c r="C589" i="24"/>
  <c r="AC589" i="24"/>
  <c r="AD589" i="24" s="1"/>
  <c r="C590" i="24"/>
  <c r="AC590" i="24"/>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U623" i="24"/>
  <c r="V623" i="24" s="1"/>
  <c r="X623" i="24" s="1"/>
  <c r="AC623" i="24"/>
  <c r="AD623" i="24" s="1"/>
  <c r="C624" i="24"/>
  <c r="U624" i="24"/>
  <c r="W624" i="24" s="1"/>
  <c r="AC624" i="24"/>
  <c r="AD624" i="24" s="1"/>
  <c r="C625" i="24"/>
  <c r="U625" i="24"/>
  <c r="V625" i="24" s="1"/>
  <c r="X625" i="24" s="1"/>
  <c r="AC625" i="24"/>
  <c r="AD625" i="24" s="1"/>
  <c r="C626" i="24"/>
  <c r="U626" i="24"/>
  <c r="V626" i="24" s="1"/>
  <c r="X626" i="24" s="1"/>
  <c r="AC626" i="24"/>
  <c r="AD626" i="24" s="1"/>
  <c r="C627" i="24"/>
  <c r="U627" i="24"/>
  <c r="V627" i="24" s="1"/>
  <c r="X627" i="24" s="1"/>
  <c r="AC627" i="24"/>
  <c r="AD627" i="24" s="1"/>
  <c r="C628" i="24"/>
  <c r="U628" i="24"/>
  <c r="V628" i="24" s="1"/>
  <c r="X628" i="24" s="1"/>
  <c r="AC628" i="24"/>
  <c r="AD628" i="24" s="1"/>
  <c r="C629" i="24"/>
  <c r="U629" i="24"/>
  <c r="V629" i="24" s="1"/>
  <c r="X629" i="24" s="1"/>
  <c r="AC629" i="24"/>
  <c r="AD629" i="24" s="1"/>
  <c r="C630" i="24"/>
  <c r="U630" i="24"/>
  <c r="V630" i="24" s="1"/>
  <c r="X630" i="24" s="1"/>
  <c r="AC630" i="24"/>
  <c r="AD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X656" i="24" s="1"/>
  <c r="X658" i="24" s="1"/>
  <c r="W656" i="24"/>
  <c r="W658" i="24" s="1"/>
  <c r="AC656" i="24"/>
  <c r="AD656" i="24" s="1"/>
  <c r="AD658" i="24" s="1"/>
  <c r="C657" i="24"/>
  <c r="V657" i="24"/>
  <c r="X657" i="24" s="1"/>
  <c r="W657" i="24"/>
  <c r="AC657" i="24"/>
  <c r="AD657" i="24" s="1"/>
  <c r="C658" i="24"/>
  <c r="U658" i="24"/>
  <c r="C659" i="24"/>
  <c r="V659" i="24"/>
  <c r="X659" i="24" s="1"/>
  <c r="W659" i="24"/>
  <c r="AC659" i="24"/>
  <c r="AD659" i="24" s="1"/>
  <c r="C660" i="24"/>
  <c r="V660" i="24"/>
  <c r="X660" i="24" s="1"/>
  <c r="W660" i="24"/>
  <c r="AC660" i="24"/>
  <c r="AD660" i="24" s="1"/>
  <c r="C661" i="24"/>
  <c r="AC661" i="24"/>
  <c r="AD661" i="24" s="1"/>
  <c r="C662" i="24"/>
  <c r="U662" i="24"/>
  <c r="V662" i="24"/>
  <c r="W662" i="24"/>
  <c r="X662" i="24"/>
  <c r="AC662" i="24"/>
  <c r="AD662" i="24"/>
  <c r="C663" i="24"/>
  <c r="U663" i="24"/>
  <c r="V663" i="24"/>
  <c r="W663" i="24"/>
  <c r="X663" i="24"/>
  <c r="AC663" i="24"/>
  <c r="AD663" i="24"/>
  <c r="C664" i="24"/>
  <c r="U664" i="24"/>
  <c r="V664" i="24"/>
  <c r="W664" i="24"/>
  <c r="X664" i="24"/>
  <c r="AC664" i="24"/>
  <c r="AD664" i="24"/>
  <c r="C665" i="24"/>
  <c r="U665" i="24"/>
  <c r="V665" i="24"/>
  <c r="W665" i="24"/>
  <c r="X665" i="24"/>
  <c r="AC665" i="24"/>
  <c r="AD665" i="24"/>
  <c r="C666" i="24"/>
  <c r="U666" i="24"/>
  <c r="V666" i="24"/>
  <c r="W666" i="24"/>
  <c r="X666" i="24"/>
  <c r="AC666" i="24"/>
  <c r="AD666" i="24"/>
  <c r="C667" i="24"/>
  <c r="U667" i="24"/>
  <c r="V667" i="24"/>
  <c r="W667" i="24"/>
  <c r="X667" i="24"/>
  <c r="AC667" i="24"/>
  <c r="AD667" i="24"/>
  <c r="C668" i="24"/>
  <c r="AC668" i="24"/>
  <c r="AD668" i="24" s="1"/>
  <c r="C669" i="24"/>
  <c r="AC669" i="24"/>
  <c r="AD669" i="24" s="1"/>
  <c r="C670" i="24"/>
  <c r="AC670" i="24"/>
  <c r="AD670" i="24" s="1"/>
  <c r="C671" i="24"/>
  <c r="AC671" i="24"/>
  <c r="AD671" i="24" s="1"/>
  <c r="C672" i="24"/>
  <c r="AC672" i="24"/>
  <c r="AD672" i="24" s="1"/>
  <c r="C673" i="24"/>
  <c r="AC673" i="24"/>
  <c r="AD673" i="24" s="1"/>
  <c r="C674" i="24"/>
  <c r="C675" i="24"/>
  <c r="C676" i="24"/>
  <c r="C677" i="24"/>
  <c r="K677" i="24"/>
  <c r="U677" i="24" s="1"/>
  <c r="L677" i="24"/>
  <c r="AD677" i="24" s="1"/>
  <c r="C678" i="24"/>
  <c r="K678" i="24"/>
  <c r="U678" i="24" s="1"/>
  <c r="L678" i="24"/>
  <c r="AC678" i="24" s="1"/>
  <c r="V678" i="24"/>
  <c r="C679" i="24"/>
  <c r="M679" i="24"/>
  <c r="N679" i="24"/>
  <c r="O679" i="24"/>
  <c r="P679" i="24"/>
  <c r="C680" i="24"/>
  <c r="AC680" i="24"/>
  <c r="AD680" i="24" s="1"/>
  <c r="C681" i="24"/>
  <c r="V681" i="24"/>
  <c r="X681" i="24" s="1"/>
  <c r="W681" i="24"/>
  <c r="AC681" i="24"/>
  <c r="AD681" i="24" s="1"/>
  <c r="C682" i="24"/>
  <c r="AC682" i="24"/>
  <c r="AD682" i="24" s="1"/>
  <c r="C683" i="24"/>
  <c r="AC683" i="24"/>
  <c r="AD683" i="24" s="1"/>
  <c r="C684" i="24"/>
  <c r="AC684" i="24"/>
  <c r="AD684" i="24" s="1"/>
  <c r="C685" i="24"/>
  <c r="AC685" i="24"/>
  <c r="AD685" i="24" s="1"/>
  <c r="C686" i="24"/>
  <c r="AC686" i="24"/>
  <c r="AD686" i="24" s="1"/>
  <c r="C687" i="24"/>
  <c r="U687" i="24"/>
  <c r="V687" i="24"/>
  <c r="W687" i="24"/>
  <c r="X687" i="24"/>
  <c r="AC687" i="24"/>
  <c r="AD687" i="24" s="1"/>
  <c r="C688" i="24"/>
  <c r="AC688" i="24"/>
  <c r="AD688" i="24" s="1"/>
  <c r="C689" i="24"/>
  <c r="C690" i="24"/>
  <c r="C691" i="24"/>
  <c r="C692" i="24"/>
  <c r="C693" i="24"/>
  <c r="AC693" i="24"/>
  <c r="AD693" i="24" s="1"/>
  <c r="C694" i="24"/>
  <c r="C695" i="24"/>
  <c r="AC695" i="24"/>
  <c r="AD695" i="24" s="1"/>
  <c r="C696" i="24"/>
  <c r="AC696" i="24"/>
  <c r="AD696" i="24" s="1"/>
  <c r="C697" i="24"/>
  <c r="AC697" i="24"/>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H753" i="24"/>
  <c r="AI753" i="24"/>
  <c r="C754" i="24"/>
  <c r="U754" i="24"/>
  <c r="W754" i="24"/>
  <c r="X754" i="24"/>
  <c r="AH754" i="24"/>
  <c r="AI754" i="24"/>
  <c r="C755" i="24"/>
  <c r="U755" i="24"/>
  <c r="AH755" i="24"/>
  <c r="AI755" i="24"/>
  <c r="C756" i="24"/>
  <c r="U756" i="24"/>
  <c r="W756" i="24"/>
  <c r="X756" i="24"/>
  <c r="AH756" i="24"/>
  <c r="AI756" i="24"/>
  <c r="C757" i="24"/>
  <c r="U757" i="24"/>
  <c r="AH757" i="24"/>
  <c r="AI757" i="24"/>
  <c r="A758" i="24"/>
  <c r="C758" i="24"/>
  <c r="U758" i="24"/>
  <c r="AH758" i="24"/>
  <c r="AI758" i="24"/>
  <c r="C759" i="24"/>
  <c r="C760" i="24"/>
  <c r="C761" i="24"/>
  <c r="C762" i="24"/>
  <c r="C763" i="24"/>
  <c r="A764" i="24"/>
  <c r="C764" i="24"/>
  <c r="C765" i="24"/>
  <c r="C766" i="24"/>
  <c r="C767" i="24"/>
  <c r="C768" i="24"/>
  <c r="C769" i="24"/>
  <c r="A770" i="24"/>
  <c r="C770" i="24"/>
  <c r="C771" i="24"/>
  <c r="V771" i="24"/>
  <c r="X771" i="24" s="1"/>
  <c r="W771" i="24"/>
  <c r="AC771" i="24"/>
  <c r="AD771" i="24" s="1"/>
  <c r="C772" i="24"/>
  <c r="V772" i="24"/>
  <c r="X772" i="24" s="1"/>
  <c r="W772" i="24"/>
  <c r="AC772" i="24"/>
  <c r="AD772" i="24" s="1"/>
  <c r="C773" i="24"/>
  <c r="V773" i="24"/>
  <c r="X773" i="24" s="1"/>
  <c r="W773" i="24"/>
  <c r="AC773" i="24"/>
  <c r="AD773" i="24" s="1"/>
  <c r="C774" i="24"/>
  <c r="V774" i="24"/>
  <c r="X774" i="24" s="1"/>
  <c r="W774" i="24"/>
  <c r="AC774" i="24"/>
  <c r="AD774" i="24" s="1"/>
  <c r="C775" i="24"/>
  <c r="V775" i="24"/>
  <c r="X775" i="24" s="1"/>
  <c r="W775" i="24"/>
  <c r="AC775" i="24"/>
  <c r="AD775" i="24" s="1"/>
  <c r="A776" i="24"/>
  <c r="C776" i="24"/>
  <c r="V776" i="24"/>
  <c r="X776" i="24" s="1"/>
  <c r="W776" i="24"/>
  <c r="AC776" i="24"/>
  <c r="AD776" i="24" s="1"/>
  <c r="C777" i="24"/>
  <c r="AC777" i="24"/>
  <c r="AD777" i="24" s="1"/>
  <c r="C778" i="24"/>
  <c r="AC778" i="24"/>
  <c r="AD778" i="24" s="1"/>
  <c r="C779" i="24"/>
  <c r="AC779" i="24"/>
  <c r="AD779" i="24" s="1"/>
  <c r="C780" i="24"/>
  <c r="AC780" i="24"/>
  <c r="AD780" i="24" s="1"/>
  <c r="C781" i="24"/>
  <c r="AC781" i="24"/>
  <c r="AD781" i="24" s="1"/>
  <c r="A782" i="24"/>
  <c r="C782" i="24"/>
  <c r="AC782" i="24"/>
  <c r="AD782" i="24" s="1"/>
  <c r="C783" i="24"/>
  <c r="AC783" i="24"/>
  <c r="AD783" i="24" s="1"/>
  <c r="C784" i="24"/>
  <c r="AC784" i="24"/>
  <c r="AD784" i="24" s="1"/>
  <c r="C785" i="24"/>
  <c r="AC785" i="24"/>
  <c r="AD785" i="24" s="1"/>
  <c r="C786" i="24"/>
  <c r="AC786" i="24"/>
  <c r="AD786" i="24" s="1"/>
  <c r="C787" i="24"/>
  <c r="AC787" i="24"/>
  <c r="AD787" i="24" s="1"/>
  <c r="A788" i="24"/>
  <c r="C788" i="24"/>
  <c r="AC788" i="24"/>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H801" i="24"/>
  <c r="AI801" i="24"/>
  <c r="C802" i="24"/>
  <c r="U802" i="24"/>
  <c r="AH802" i="24"/>
  <c r="AI802" i="24"/>
  <c r="C803" i="24"/>
  <c r="U803" i="24"/>
  <c r="AH803" i="24"/>
  <c r="AI803" i="24"/>
  <c r="C804" i="24"/>
  <c r="U804" i="24"/>
  <c r="AH804" i="24"/>
  <c r="AI804" i="24"/>
  <c r="C805" i="24"/>
  <c r="U805" i="24"/>
  <c r="AH805" i="24"/>
  <c r="AI805" i="24"/>
  <c r="A806" i="24"/>
  <c r="C806" i="24"/>
  <c r="U806" i="24"/>
  <c r="AH806" i="24"/>
  <c r="AI806" i="24"/>
  <c r="C807" i="24"/>
  <c r="C808" i="24"/>
  <c r="V808" i="24"/>
  <c r="X808" i="24" s="1"/>
  <c r="W808" i="24"/>
  <c r="AC808" i="24"/>
  <c r="AD808" i="24" s="1"/>
  <c r="C809" i="24"/>
  <c r="U809" i="24"/>
  <c r="V809" i="24" s="1"/>
  <c r="X809" i="24" s="1"/>
  <c r="AC809" i="24"/>
  <c r="AD809" i="24" s="1"/>
  <c r="C810" i="24"/>
  <c r="V810" i="24"/>
  <c r="X810" i="24" s="1"/>
  <c r="W810" i="24"/>
  <c r="AC810" i="24"/>
  <c r="AD810" i="24" s="1"/>
  <c r="C811" i="24"/>
  <c r="AC811" i="24"/>
  <c r="AD811" i="24" s="1"/>
  <c r="A812" i="24"/>
  <c r="C812" i="24"/>
  <c r="AC812" i="24"/>
  <c r="AD812" i="24" s="1"/>
  <c r="C813" i="24"/>
  <c r="C814" i="24"/>
  <c r="U814" i="24"/>
  <c r="U815" i="24" s="1"/>
  <c r="V814" i="24"/>
  <c r="X814" i="24" s="1"/>
  <c r="X815" i="24" s="1"/>
  <c r="AC814" i="24"/>
  <c r="AC815" i="24" s="1"/>
  <c r="C815" i="24"/>
  <c r="C816" i="24"/>
  <c r="U816" i="24"/>
  <c r="V816" i="24" s="1"/>
  <c r="AC816" i="24"/>
  <c r="AC817" i="24" s="1"/>
  <c r="AC818" i="24" s="1"/>
  <c r="C817" i="24"/>
  <c r="A818" i="24"/>
  <c r="C818" i="24"/>
  <c r="C819" i="24"/>
  <c r="C820" i="24"/>
  <c r="C821" i="24"/>
  <c r="C822" i="24"/>
  <c r="C823" i="24"/>
  <c r="C824" i="24"/>
  <c r="C825" i="24"/>
  <c r="U825" i="24"/>
  <c r="V825" i="24"/>
  <c r="W825" i="24"/>
  <c r="X825" i="24"/>
  <c r="AC825" i="24"/>
  <c r="AD825" i="24"/>
  <c r="AE825" i="24"/>
  <c r="C826" i="24"/>
  <c r="U826" i="24"/>
  <c r="V826" i="24"/>
  <c r="W826" i="24"/>
  <c r="X826" i="24"/>
  <c r="AC826" i="24"/>
  <c r="AD826" i="24"/>
  <c r="AE826" i="24"/>
  <c r="C827" i="24"/>
  <c r="U827" i="24"/>
  <c r="V827" i="24"/>
  <c r="W827" i="24"/>
  <c r="X827" i="24"/>
  <c r="AC827" i="24"/>
  <c r="AD827" i="24"/>
  <c r="AE827" i="24"/>
  <c r="C828" i="24"/>
  <c r="C829" i="24"/>
  <c r="C830" i="24"/>
  <c r="C831" i="24"/>
  <c r="C832" i="24"/>
  <c r="C833" i="24"/>
  <c r="C834" i="24"/>
  <c r="C835" i="24"/>
  <c r="C836" i="24"/>
  <c r="C837" i="24"/>
  <c r="C838" i="24"/>
  <c r="U838" i="24"/>
  <c r="V838" i="24"/>
  <c r="W838" i="24"/>
  <c r="X838" i="24"/>
  <c r="AC838" i="24"/>
  <c r="AD838" i="24"/>
  <c r="C839" i="24"/>
  <c r="U839" i="24"/>
  <c r="V839" i="24"/>
  <c r="W839" i="24"/>
  <c r="X839" i="24"/>
  <c r="AC839" i="24"/>
  <c r="AD839" i="24"/>
  <c r="C840" i="24"/>
  <c r="C841" i="24"/>
  <c r="C842" i="24"/>
  <c r="U842" i="24"/>
  <c r="V842" i="24"/>
  <c r="W842" i="24"/>
  <c r="X842" i="24"/>
  <c r="AC842" i="24"/>
  <c r="AD842" i="24"/>
  <c r="C843" i="24"/>
  <c r="U843" i="24"/>
  <c r="V843" i="24"/>
  <c r="W843" i="24"/>
  <c r="X843" i="24"/>
  <c r="AC843" i="24"/>
  <c r="AD843" i="24"/>
  <c r="C844" i="24"/>
  <c r="C845" i="24"/>
  <c r="C846" i="24"/>
  <c r="C847" i="24"/>
  <c r="C848" i="24"/>
  <c r="C849" i="24"/>
  <c r="C850" i="24"/>
  <c r="C851" i="24"/>
  <c r="C852" i="24"/>
  <c r="C853" i="24"/>
  <c r="V853" i="24"/>
  <c r="X853" i="24" s="1"/>
  <c r="X753" i="24" s="1"/>
  <c r="W853" i="24"/>
  <c r="W753" i="24" s="1"/>
  <c r="AC853" i="24"/>
  <c r="AC753" i="24" s="1"/>
  <c r="C854" i="24"/>
  <c r="V854" i="24"/>
  <c r="V756" i="24" s="1"/>
  <c r="AC854" i="24"/>
  <c r="AC754" i="24" s="1"/>
  <c r="C855" i="24"/>
  <c r="V855" i="24"/>
  <c r="V758" i="24" s="1"/>
  <c r="W855" i="24"/>
  <c r="W758" i="24" s="1"/>
  <c r="AC855" i="24"/>
  <c r="AC755" i="24" s="1"/>
  <c r="C856" i="24"/>
  <c r="C857" i="24"/>
  <c r="V857" i="24"/>
  <c r="X857" i="24" s="1"/>
  <c r="W857" i="24"/>
  <c r="AC857" i="24"/>
  <c r="AD857" i="24" s="1"/>
  <c r="C858" i="24"/>
  <c r="V858" i="24"/>
  <c r="X858" i="24" s="1"/>
  <c r="W858" i="24"/>
  <c r="AC858" i="24"/>
  <c r="AD858" i="24" s="1"/>
  <c r="C859" i="24"/>
  <c r="V859" i="24"/>
  <c r="X859" i="24" s="1"/>
  <c r="W859" i="24"/>
  <c r="AC859" i="24"/>
  <c r="AD859" i="24" s="1"/>
  <c r="C860" i="24"/>
  <c r="C861" i="24"/>
  <c r="C862" i="24"/>
  <c r="C863" i="24"/>
  <c r="U863" i="24"/>
  <c r="V863" i="24"/>
  <c r="W863" i="24"/>
  <c r="X863" i="24"/>
  <c r="AC863" i="24"/>
  <c r="AD863" i="24"/>
  <c r="C864" i="24"/>
  <c r="C865" i="24"/>
  <c r="C866" i="24"/>
  <c r="C867" i="24"/>
  <c r="C868" i="24"/>
  <c r="C869" i="24"/>
  <c r="C870" i="24"/>
  <c r="C871" i="24"/>
  <c r="C872" i="24"/>
  <c r="C873" i="24"/>
  <c r="C874" i="24"/>
  <c r="C875" i="24"/>
  <c r="C876" i="24"/>
  <c r="C877" i="24"/>
  <c r="U877" i="24"/>
  <c r="V877" i="24"/>
  <c r="W877" i="24"/>
  <c r="X877" i="24"/>
  <c r="AC877" i="24"/>
  <c r="AD877" i="24"/>
  <c r="C878" i="24"/>
  <c r="U878" i="24"/>
  <c r="V878" i="24"/>
  <c r="W878" i="24"/>
  <c r="X878" i="24"/>
  <c r="AC878" i="24"/>
  <c r="AD878" i="24"/>
  <c r="C879" i="24"/>
  <c r="U879" i="24"/>
  <c r="V879" i="24"/>
  <c r="W879" i="24"/>
  <c r="X879" i="24"/>
  <c r="AC879" i="24"/>
  <c r="AD879" i="24"/>
  <c r="C880" i="24"/>
  <c r="C881" i="24"/>
  <c r="U881" i="24"/>
  <c r="U795" i="24" s="1"/>
  <c r="V881" i="24"/>
  <c r="V795" i="24" s="1"/>
  <c r="W881" i="24"/>
  <c r="W795" i="24" s="1"/>
  <c r="X881" i="24"/>
  <c r="X795" i="24" s="1"/>
  <c r="AC881" i="24"/>
  <c r="AC795" i="24" s="1"/>
  <c r="AD881" i="24"/>
  <c r="AD795" i="24" s="1"/>
  <c r="C882" i="24"/>
  <c r="U882" i="24"/>
  <c r="U798" i="24" s="1"/>
  <c r="V882" i="24"/>
  <c r="V796" i="24" s="1"/>
  <c r="W882" i="24"/>
  <c r="W798" i="24" s="1"/>
  <c r="X882" i="24"/>
  <c r="X798" i="24" s="1"/>
  <c r="AC882" i="24"/>
  <c r="AC798" i="24" s="1"/>
  <c r="AD882" i="24"/>
  <c r="AD798" i="24" s="1"/>
  <c r="C883" i="24"/>
  <c r="U883" i="24"/>
  <c r="U799" i="24" s="1"/>
  <c r="V883" i="24"/>
  <c r="V799" i="24" s="1"/>
  <c r="W883" i="24"/>
  <c r="W797" i="24" s="1"/>
  <c r="X883" i="24"/>
  <c r="X797" i="24" s="1"/>
  <c r="AC883" i="24"/>
  <c r="AC797" i="24" s="1"/>
  <c r="AD883" i="24"/>
  <c r="AD797" i="24" s="1"/>
  <c r="C884" i="24"/>
  <c r="C885" i="24"/>
  <c r="V885" i="24"/>
  <c r="V801" i="24" s="1"/>
  <c r="W885" i="24"/>
  <c r="W801" i="24" s="1"/>
  <c r="AC885" i="24"/>
  <c r="AC801" i="24" s="1"/>
  <c r="C886" i="24"/>
  <c r="V886" i="24"/>
  <c r="V802" i="24" s="1"/>
  <c r="W886" i="24"/>
  <c r="W804" i="24" s="1"/>
  <c r="AC886" i="24"/>
  <c r="AD886" i="24" s="1"/>
  <c r="C887" i="24"/>
  <c r="V887" i="24"/>
  <c r="X887" i="24" s="1"/>
  <c r="W887" i="24"/>
  <c r="W805" i="24" s="1"/>
  <c r="AC887" i="24"/>
  <c r="AC805" i="24" s="1"/>
  <c r="C888" i="24"/>
  <c r="C889" i="24"/>
  <c r="C890" i="24"/>
  <c r="C891" i="24"/>
  <c r="C892" i="24"/>
  <c r="C893" i="24"/>
  <c r="C894" i="24"/>
  <c r="C895" i="24"/>
  <c r="C896" i="24"/>
  <c r="C897" i="24"/>
  <c r="C898" i="24"/>
  <c r="C899" i="24"/>
  <c r="C900" i="24"/>
  <c r="C901" i="24"/>
  <c r="C902" i="24"/>
  <c r="C903" i="24"/>
  <c r="C904" i="24"/>
  <c r="C905" i="24"/>
  <c r="C906" i="24"/>
  <c r="C907" i="24"/>
  <c r="C908" i="24"/>
  <c r="C909" i="24"/>
  <c r="AC909" i="24"/>
  <c r="AD909" i="24" s="1"/>
  <c r="C910" i="24"/>
  <c r="AC910" i="24"/>
  <c r="AD910" i="24" s="1"/>
  <c r="C911" i="24"/>
  <c r="AC911" i="24"/>
  <c r="AD911" i="24" s="1"/>
  <c r="C912" i="24"/>
  <c r="C913" i="24"/>
  <c r="U913" i="24"/>
  <c r="V913" i="24" s="1"/>
  <c r="X913" i="24" s="1"/>
  <c r="AC913" i="24"/>
  <c r="AD913" i="24" s="1"/>
  <c r="C914" i="24"/>
  <c r="U914" i="24"/>
  <c r="W914" i="24" s="1"/>
  <c r="AC914" i="24"/>
  <c r="AD914" i="24" s="1"/>
  <c r="C915" i="24"/>
  <c r="U915" i="24"/>
  <c r="V915" i="24" s="1"/>
  <c r="X915" i="24" s="1"/>
  <c r="AC915" i="24"/>
  <c r="AD915" i="24" s="1"/>
  <c r="C916" i="24"/>
  <c r="C917" i="24"/>
  <c r="V917" i="24"/>
  <c r="X917" i="24" s="1"/>
  <c r="W917" i="24"/>
  <c r="AC917" i="24"/>
  <c r="AD917" i="24" s="1"/>
  <c r="C918" i="24"/>
  <c r="V918" i="24"/>
  <c r="X918" i="24" s="1"/>
  <c r="W918" i="24"/>
  <c r="AC918" i="24"/>
  <c r="AD918" i="24" s="1"/>
  <c r="C919" i="24"/>
  <c r="V919" i="24"/>
  <c r="X919" i="24" s="1"/>
  <c r="W919" i="24"/>
  <c r="AC919" i="24"/>
  <c r="AD919" i="24" s="1"/>
  <c r="C920" i="24"/>
  <c r="V920" i="24"/>
  <c r="AC920" i="24"/>
  <c r="AD920" i="24" s="1"/>
  <c r="C921" i="24"/>
  <c r="V921" i="24"/>
  <c r="AC921" i="24"/>
  <c r="AD921" i="24" s="1"/>
  <c r="C922" i="24"/>
  <c r="V922" i="24"/>
  <c r="X922" i="24" s="1"/>
  <c r="W922" i="24"/>
  <c r="AC922" i="24"/>
  <c r="AD922" i="24" s="1"/>
  <c r="C923" i="24"/>
  <c r="V923" i="24"/>
  <c r="X923" i="24" s="1"/>
  <c r="W923" i="24"/>
  <c r="AC923" i="24"/>
  <c r="AD923" i="24" s="1"/>
  <c r="C924" i="24"/>
  <c r="C925" i="24"/>
  <c r="C926" i="24"/>
  <c r="U926" i="24"/>
  <c r="V926" i="24"/>
  <c r="W926" i="24"/>
  <c r="X926" i="24"/>
  <c r="AC926" i="24"/>
  <c r="AD926" i="24"/>
  <c r="C927" i="24"/>
  <c r="U927" i="24"/>
  <c r="V927" i="24"/>
  <c r="W927" i="24"/>
  <c r="X927" i="24"/>
  <c r="AC927" i="24"/>
  <c r="AD927" i="24"/>
  <c r="C928" i="24"/>
  <c r="U928" i="24"/>
  <c r="V928" i="24"/>
  <c r="W928" i="24"/>
  <c r="X928" i="24"/>
  <c r="AC928" i="24"/>
  <c r="AD928" i="24"/>
  <c r="C929" i="24"/>
  <c r="C930" i="24"/>
  <c r="C931" i="24"/>
  <c r="C932" i="24"/>
  <c r="C933" i="24"/>
  <c r="C934" i="24"/>
  <c r="C935" i="24"/>
  <c r="C936" i="24"/>
  <c r="C937" i="24"/>
  <c r="C938" i="24"/>
  <c r="C939" i="24"/>
  <c r="C940" i="24"/>
  <c r="C941" i="24"/>
  <c r="C942" i="24"/>
  <c r="C943" i="24"/>
  <c r="C944" i="24"/>
  <c r="C945" i="24"/>
  <c r="C946" i="24"/>
  <c r="C947" i="24"/>
  <c r="C948" i="24"/>
  <c r="C949" i="24"/>
  <c r="C950" i="24"/>
  <c r="C951" i="24"/>
  <c r="C952" i="24"/>
  <c r="C953" i="24"/>
  <c r="C954" i="24"/>
  <c r="C955" i="24"/>
  <c r="C956" i="24"/>
  <c r="C957" i="24"/>
  <c r="C958" i="24"/>
  <c r="C959" i="24"/>
  <c r="C960" i="24"/>
  <c r="C961" i="24"/>
  <c r="C962" i="24"/>
  <c r="C963" i="24"/>
  <c r="C964" i="24"/>
  <c r="C965" i="24"/>
  <c r="C966" i="24"/>
  <c r="C967" i="24"/>
  <c r="C968" i="24"/>
  <c r="C969" i="24"/>
  <c r="C970" i="24"/>
  <c r="C971" i="24"/>
  <c r="C972" i="24"/>
  <c r="C973" i="24"/>
  <c r="C974" i="24"/>
  <c r="C975" i="24"/>
  <c r="C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U1002" i="24"/>
  <c r="V1002" i="24"/>
  <c r="W1002" i="24"/>
  <c r="X1002" i="24"/>
  <c r="AC1002" i="24"/>
  <c r="AD1002" i="24"/>
  <c r="C1003" i="24"/>
  <c r="U1003" i="24"/>
  <c r="V1003" i="24"/>
  <c r="W1003" i="24"/>
  <c r="X1003" i="24"/>
  <c r="AC1003" i="24"/>
  <c r="AD1003" i="24"/>
  <c r="C1004" i="24"/>
  <c r="U1004" i="24"/>
  <c r="V1004" i="24"/>
  <c r="W1004" i="24"/>
  <c r="X1004" i="24"/>
  <c r="AC1004" i="24"/>
  <c r="AD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U1030" i="24"/>
  <c r="V1030" i="24"/>
  <c r="W1030" i="24"/>
  <c r="X1030" i="24"/>
  <c r="AC1030" i="24"/>
  <c r="AD1030" i="24"/>
  <c r="C1031" i="24"/>
  <c r="C1032" i="24"/>
  <c r="AC1032" i="24"/>
  <c r="AD1032" i="24" s="1"/>
  <c r="C1033" i="24"/>
  <c r="AC1033" i="24"/>
  <c r="AD1033" i="24" s="1"/>
  <c r="C1034" i="24"/>
  <c r="AC1034" i="24"/>
  <c r="AD1034" i="24" s="1"/>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C1072" i="24"/>
  <c r="C1073" i="24"/>
  <c r="C1074" i="24"/>
  <c r="C1075" i="24"/>
  <c r="C1076" i="24"/>
  <c r="C1077" i="24"/>
  <c r="C1078" i="24"/>
  <c r="C1079" i="24"/>
  <c r="C1080" i="24"/>
  <c r="C1081" i="24"/>
  <c r="C1082" i="24"/>
  <c r="C1083" i="24"/>
  <c r="C1084" i="24"/>
  <c r="C1085" i="24"/>
  <c r="C1086" i="24"/>
  <c r="C1087" i="24"/>
  <c r="C1088" i="24"/>
  <c r="C1089" i="24"/>
  <c r="C1090" i="24"/>
  <c r="C1091" i="24"/>
  <c r="C1092" i="24"/>
  <c r="C1093" i="24"/>
  <c r="C1094" i="24"/>
  <c r="C1095" i="24"/>
  <c r="C1096" i="24"/>
  <c r="C1097" i="24"/>
  <c r="C1098" i="24"/>
  <c r="C1099" i="24"/>
  <c r="C1100" i="24"/>
  <c r="C1101" i="24"/>
  <c r="C1102" i="24"/>
  <c r="C1103" i="24"/>
  <c r="C1104" i="24"/>
  <c r="C1105" i="24"/>
  <c r="C1106" i="24"/>
  <c r="C1107" i="24"/>
  <c r="C1108" i="24"/>
  <c r="C1109" i="24"/>
  <c r="C1110" i="24"/>
  <c r="C1111" i="24"/>
  <c r="C1112" i="24"/>
  <c r="C1113" i="24"/>
  <c r="C1114" i="24"/>
  <c r="C1115" i="24"/>
  <c r="C1116" i="24"/>
  <c r="C1117" i="24"/>
  <c r="C1118" i="24"/>
  <c r="C1119" i="24"/>
  <c r="C1120" i="24"/>
  <c r="C1121" i="24"/>
  <c r="C1122" i="24"/>
  <c r="C1123" i="24"/>
  <c r="C1124" i="24"/>
  <c r="C1125" i="24"/>
  <c r="C1126" i="24"/>
  <c r="C1127" i="24"/>
  <c r="C1128" i="24"/>
  <c r="C1129" i="24"/>
  <c r="C1130" i="24"/>
  <c r="C1131" i="24"/>
  <c r="C1132" i="24"/>
  <c r="AC1132" i="24"/>
  <c r="AD1132" i="24" s="1"/>
  <c r="C1133" i="24"/>
  <c r="AH1133" i="24"/>
  <c r="AI1133" i="24"/>
  <c r="C1134" i="24"/>
  <c r="U1134" i="24"/>
  <c r="U1133" i="24" s="1"/>
  <c r="V1134" i="24"/>
  <c r="V1133" i="24" s="1"/>
  <c r="W1134" i="24"/>
  <c r="W1133" i="24" s="1"/>
  <c r="X1134" i="24"/>
  <c r="X1133" i="24" s="1"/>
  <c r="AC1134" i="24"/>
  <c r="AC1133" i="24" s="1"/>
  <c r="C1135" i="24"/>
  <c r="U1135" i="24"/>
  <c r="V1135" i="24"/>
  <c r="W1135" i="24"/>
  <c r="X1135" i="24"/>
  <c r="AC1135" i="24"/>
  <c r="AD1135" i="24" s="1"/>
  <c r="C1136" i="24"/>
  <c r="C1137" i="24"/>
  <c r="C1138" i="24"/>
  <c r="C1139" i="24"/>
  <c r="AC1139" i="24"/>
  <c r="AD1139" i="24" s="1"/>
  <c r="C1140" i="24"/>
  <c r="AC1140" i="24"/>
  <c r="AD1140" i="24" s="1"/>
  <c r="C1141" i="24"/>
  <c r="AH1141" i="24"/>
  <c r="AI1141" i="24"/>
  <c r="C1142" i="24"/>
  <c r="U1142" i="24"/>
  <c r="U1141" i="24" s="1"/>
  <c r="V1142" i="24"/>
  <c r="V1141" i="24" s="1"/>
  <c r="W1142" i="24"/>
  <c r="W1141" i="24" s="1"/>
  <c r="X1142" i="24"/>
  <c r="X1141" i="24" s="1"/>
  <c r="AC1142" i="24"/>
  <c r="AC1141" i="24" s="1"/>
  <c r="C1143" i="24"/>
  <c r="U1143" i="24"/>
  <c r="V1143" i="24"/>
  <c r="W1143" i="24"/>
  <c r="X1143" i="24"/>
  <c r="AC1143" i="24"/>
  <c r="AD1143" i="24" s="1"/>
  <c r="C1144" i="24"/>
  <c r="C1145" i="24"/>
  <c r="C1146" i="24"/>
  <c r="C1147" i="24"/>
  <c r="AC1147" i="24"/>
  <c r="AD1147" i="24" s="1"/>
  <c r="C1148" i="24"/>
  <c r="C1149" i="24"/>
  <c r="C1150" i="24"/>
  <c r="C1151" i="24"/>
  <c r="C1152" i="24"/>
  <c r="C1153" i="24"/>
  <c r="C1154" i="24"/>
  <c r="C1155" i="24"/>
  <c r="C1156" i="24"/>
  <c r="C1157" i="24"/>
  <c r="C1158" i="24"/>
  <c r="C1159" i="24"/>
  <c r="C1160" i="24"/>
  <c r="C1161" i="24"/>
  <c r="C1162" i="24"/>
  <c r="C1163" i="24"/>
  <c r="C1164" i="24"/>
  <c r="V1164" i="24"/>
  <c r="X1164" i="24" s="1"/>
  <c r="W1164" i="24"/>
  <c r="AC1164" i="24"/>
  <c r="AD1164" i="24" s="1"/>
  <c r="C1165" i="24"/>
  <c r="U1165" i="24"/>
  <c r="AH1165" i="24"/>
  <c r="AI1165" i="24"/>
  <c r="C1166" i="24"/>
  <c r="V1166" i="24"/>
  <c r="X1166" i="24" s="1"/>
  <c r="X1165" i="24" s="1"/>
  <c r="W1166" i="24"/>
  <c r="W1165" i="24" s="1"/>
  <c r="AC1166" i="24"/>
  <c r="AC1165" i="24" s="1"/>
  <c r="C1167" i="24"/>
  <c r="V1167" i="24"/>
  <c r="X1167" i="24" s="1"/>
  <c r="W1167" i="24"/>
  <c r="AC1167" i="24"/>
  <c r="AD1167" i="24" s="1"/>
  <c r="C1168" i="24"/>
  <c r="C1169" i="24"/>
  <c r="C1170" i="24"/>
  <c r="C1171" i="24"/>
  <c r="AC1171" i="24"/>
  <c r="AD1171" i="24" s="1"/>
  <c r="C1172" i="24"/>
  <c r="AC1172" i="24"/>
  <c r="AD1172" i="24" s="1"/>
  <c r="C1173" i="24"/>
  <c r="AH1173" i="24"/>
  <c r="AI1173" i="24"/>
  <c r="C1174" i="24"/>
  <c r="U1174" i="24"/>
  <c r="U1173" i="24" s="1"/>
  <c r="V1174" i="24"/>
  <c r="V1173" i="24" s="1"/>
  <c r="W1174" i="24"/>
  <c r="W1173" i="24" s="1"/>
  <c r="X1174" i="24"/>
  <c r="X1173" i="24" s="1"/>
  <c r="AC1174" i="24"/>
  <c r="AD1174" i="24" s="1"/>
  <c r="AD1173" i="24" s="1"/>
  <c r="C1175" i="24"/>
  <c r="U1175" i="24"/>
  <c r="V1175" i="24"/>
  <c r="W1175" i="24"/>
  <c r="X1175" i="24"/>
  <c r="AC1175" i="24"/>
  <c r="AD1175" i="24" s="1"/>
  <c r="C1176" i="24"/>
  <c r="U1176" i="24"/>
  <c r="V1176" i="24"/>
  <c r="W1176" i="24"/>
  <c r="X1176" i="24"/>
  <c r="AC1176" i="24"/>
  <c r="AD1176" i="24" s="1"/>
  <c r="C1177" i="24"/>
  <c r="AC1177" i="24"/>
  <c r="AD1177" i="24" s="1"/>
  <c r="C1178" i="24"/>
  <c r="AC1178" i="24"/>
  <c r="AD1178" i="24" s="1"/>
  <c r="C1179" i="24"/>
  <c r="AC1179" i="24"/>
  <c r="AD1179" i="24" s="1"/>
  <c r="C1180" i="24"/>
  <c r="U1180" i="24"/>
  <c r="U1182" i="24" s="1"/>
  <c r="U1181" i="24" s="1"/>
  <c r="V1180" i="24"/>
  <c r="V1184" i="24" s="1"/>
  <c r="W1180" i="24"/>
  <c r="W1183" i="24" s="1"/>
  <c r="X1180" i="24"/>
  <c r="X1183" i="24" s="1"/>
  <c r="AC1180" i="24"/>
  <c r="AD1180" i="24" s="1"/>
  <c r="C1181" i="24"/>
  <c r="AH1181" i="24"/>
  <c r="AI1181" i="24"/>
  <c r="C1182" i="24"/>
  <c r="W1182" i="24"/>
  <c r="W1181" i="24" s="1"/>
  <c r="X1182" i="24"/>
  <c r="X1181" i="24" s="1"/>
  <c r="AC1182" i="24"/>
  <c r="AC1181" i="24" s="1"/>
  <c r="C1183" i="24"/>
  <c r="AC1183" i="24"/>
  <c r="AD1183" i="24" s="1"/>
  <c r="C1184" i="24"/>
  <c r="AC1184" i="24"/>
  <c r="AD1184" i="24" s="1"/>
  <c r="C1185" i="24"/>
  <c r="U1185" i="24"/>
  <c r="V1185" i="24"/>
  <c r="W1185" i="24"/>
  <c r="X1185" i="24"/>
  <c r="AC1185" i="24"/>
  <c r="AD1185" i="24" s="1"/>
  <c r="C1186" i="24"/>
  <c r="U1186" i="24"/>
  <c r="V1186" i="24"/>
  <c r="W1186" i="24"/>
  <c r="X1186" i="24"/>
  <c r="AC1186" i="24"/>
  <c r="AD1186" i="24" s="1"/>
  <c r="C1187" i="24"/>
  <c r="U1187" i="24"/>
  <c r="V1187" i="24"/>
  <c r="W1187" i="24"/>
  <c r="X1187" i="24"/>
  <c r="AC1187" i="24"/>
  <c r="AD1187" i="24" s="1"/>
  <c r="C1188" i="24"/>
  <c r="C1189" i="24"/>
  <c r="C1190" i="24"/>
  <c r="C1191" i="24"/>
  <c r="C1192" i="24"/>
  <c r="C1193" i="24"/>
  <c r="C1194" i="24"/>
  <c r="C1195" i="24"/>
  <c r="C1196" i="24"/>
  <c r="C1197" i="24"/>
  <c r="F1197" i="24"/>
  <c r="C1198" i="24"/>
  <c r="F1198" i="24"/>
  <c r="C1199" i="24"/>
  <c r="F1199" i="24"/>
  <c r="C1200" i="24"/>
  <c r="F1200" i="24"/>
  <c r="C1201" i="24"/>
  <c r="C1202" i="24"/>
  <c r="C1203" i="24"/>
  <c r="C1204" i="24"/>
  <c r="C1205" i="24"/>
  <c r="C1206" i="24"/>
  <c r="C1210" i="24"/>
  <c r="F1210" i="24"/>
  <c r="C1211" i="24"/>
  <c r="F1211" i="24"/>
  <c r="C1212" i="24"/>
  <c r="F1212" i="24"/>
  <c r="C1213" i="24"/>
  <c r="F1213" i="24"/>
  <c r="C1214" i="24"/>
  <c r="C1215" i="24"/>
  <c r="C1216" i="24"/>
  <c r="C1217" i="24"/>
  <c r="C1218" i="24"/>
  <c r="C1219" i="24"/>
  <c r="C1223" i="24"/>
  <c r="F1223" i="24"/>
  <c r="C1224" i="24"/>
  <c r="F1224" i="24"/>
  <c r="C1225" i="24"/>
  <c r="F1225" i="24"/>
  <c r="C1226" i="24"/>
  <c r="F1226" i="24"/>
  <c r="C1227" i="24"/>
  <c r="C1228" i="24"/>
  <c r="C1229" i="24"/>
  <c r="C1230" i="24"/>
  <c r="C1231" i="24"/>
  <c r="C1232" i="24"/>
  <c r="C1236" i="24"/>
  <c r="F1236" i="24"/>
  <c r="C1237" i="24"/>
  <c r="F1237" i="24"/>
  <c r="C1238" i="24"/>
  <c r="F1238" i="24"/>
  <c r="C1239" i="24"/>
  <c r="F1239" i="24"/>
  <c r="C1240" i="24"/>
  <c r="C1241" i="24"/>
  <c r="C1242" i="24"/>
  <c r="C1243" i="24"/>
  <c r="C1244" i="24"/>
  <c r="C1245" i="24"/>
  <c r="C1249" i="24"/>
  <c r="F1249" i="24"/>
  <c r="C1250" i="24"/>
  <c r="F1250" i="24"/>
  <c r="C1251" i="24"/>
  <c r="F1251" i="24"/>
  <c r="C1252" i="24"/>
  <c r="F1252" i="24"/>
  <c r="C1253" i="24"/>
  <c r="C1254" i="24"/>
  <c r="C1255" i="24"/>
  <c r="C1256" i="24"/>
  <c r="C1257" i="24"/>
  <c r="C1258" i="24"/>
  <c r="C1262" i="24"/>
  <c r="F1262" i="24"/>
  <c r="C1263" i="24"/>
  <c r="F1263" i="24"/>
  <c r="C1264" i="24"/>
  <c r="F1264" i="24"/>
  <c r="C1265" i="24"/>
  <c r="F1265" i="24"/>
  <c r="C1266" i="24"/>
  <c r="C1267" i="24"/>
  <c r="C1268" i="24"/>
  <c r="C1269" i="24"/>
  <c r="C1270" i="24"/>
  <c r="C1271" i="24"/>
  <c r="C1275" i="24"/>
  <c r="F1275" i="24"/>
  <c r="C1276" i="24"/>
  <c r="F1276" i="24"/>
  <c r="C1277" i="24"/>
  <c r="F1277" i="24"/>
  <c r="C1278" i="24"/>
  <c r="F1278" i="24"/>
  <c r="C1279" i="24"/>
  <c r="C1280" i="24"/>
  <c r="C1281" i="24"/>
  <c r="C1282" i="24"/>
  <c r="C1283" i="24"/>
  <c r="C1284" i="24"/>
  <c r="C1288" i="24"/>
  <c r="F1288" i="24"/>
  <c r="C1289" i="24"/>
  <c r="F1289" i="24"/>
  <c r="C1290" i="24"/>
  <c r="F1290" i="24"/>
  <c r="C1291" i="24"/>
  <c r="F1291" i="24"/>
  <c r="C1292" i="24"/>
  <c r="C1293" i="24"/>
  <c r="V1293" i="24"/>
  <c r="X1293" i="24" s="1"/>
  <c r="W1293" i="24"/>
  <c r="AC1293" i="24"/>
  <c r="AD1293" i="24" s="1"/>
  <c r="C1294" i="24"/>
  <c r="V1294" i="24"/>
  <c r="X1294" i="24" s="1"/>
  <c r="W1294" i="24"/>
  <c r="AC1294" i="24"/>
  <c r="AD1294" i="24" s="1"/>
  <c r="C1295" i="24"/>
  <c r="V1295" i="24"/>
  <c r="X1295" i="24" s="1"/>
  <c r="W1295" i="24"/>
  <c r="AC1295" i="24"/>
  <c r="AD1295" i="24" s="1"/>
  <c r="C1296" i="24"/>
  <c r="C1297" i="24"/>
  <c r="U1297" i="24"/>
  <c r="V1297" i="24" s="1"/>
  <c r="X1297" i="24" s="1"/>
  <c r="AC1297" i="24"/>
  <c r="AD1297" i="24" s="1"/>
  <c r="C1298" i="24"/>
  <c r="U1298" i="24"/>
  <c r="V1298" i="24" s="1"/>
  <c r="X1298" i="24" s="1"/>
  <c r="AC1298" i="24"/>
  <c r="AD1298" i="24" s="1"/>
  <c r="C1299" i="24"/>
  <c r="C1300" i="24"/>
  <c r="C1301" i="24"/>
  <c r="F1301" i="24"/>
  <c r="C1302" i="24"/>
  <c r="F1302" i="24"/>
  <c r="C1303" i="24"/>
  <c r="F1303" i="24"/>
  <c r="C1304" i="24"/>
  <c r="F1304" i="24"/>
  <c r="C1305" i="24"/>
  <c r="V1305" i="24"/>
  <c r="AC1305" i="24"/>
  <c r="AD1305" i="24" s="1"/>
  <c r="C1306" i="24"/>
  <c r="C1307" i="24"/>
  <c r="C1308" i="24"/>
  <c r="C1309" i="24"/>
  <c r="C1310" i="24"/>
  <c r="C1314" i="24"/>
  <c r="F1314" i="24"/>
  <c r="C1315" i="24"/>
  <c r="F1315" i="24"/>
  <c r="C1316" i="24"/>
  <c r="F1316" i="24"/>
  <c r="C1317" i="24"/>
  <c r="F1317" i="24"/>
  <c r="C1318" i="24"/>
  <c r="C1319" i="24"/>
  <c r="C1320" i="24"/>
  <c r="C1321" i="24"/>
  <c r="C1322" i="24"/>
  <c r="C1323" i="24"/>
  <c r="C1327" i="24"/>
  <c r="F1327" i="24"/>
  <c r="C1328" i="24"/>
  <c r="F1328" i="24"/>
  <c r="C1329" i="24"/>
  <c r="F1329" i="24"/>
  <c r="C1330" i="24"/>
  <c r="F1330" i="24"/>
  <c r="C1331" i="24"/>
  <c r="C1332" i="24"/>
  <c r="C1333" i="24"/>
  <c r="C1334" i="24"/>
  <c r="C1335" i="24"/>
  <c r="C1336" i="24"/>
  <c r="C1340" i="24"/>
  <c r="F1340" i="24"/>
  <c r="C1341" i="24"/>
  <c r="F1341" i="24"/>
  <c r="C1342" i="24"/>
  <c r="F1342" i="24"/>
  <c r="C1343" i="24"/>
  <c r="F1343" i="24"/>
  <c r="C1344" i="24"/>
  <c r="C1345" i="24"/>
  <c r="C1346" i="24"/>
  <c r="C1347" i="24"/>
  <c r="C1348" i="24"/>
  <c r="C1349" i="24"/>
  <c r="C1353" i="24"/>
  <c r="F1353" i="24"/>
  <c r="C1354" i="24"/>
  <c r="F1354" i="24"/>
  <c r="C1355" i="24"/>
  <c r="F1355" i="24"/>
  <c r="C1356" i="24"/>
  <c r="F1356" i="24"/>
  <c r="C1357" i="24"/>
  <c r="C1358" i="24"/>
  <c r="C1359" i="24"/>
  <c r="C1360" i="24"/>
  <c r="C1361" i="24"/>
  <c r="C1362" i="24"/>
  <c r="C1366" i="24"/>
  <c r="F1366" i="24"/>
  <c r="C1367" i="24"/>
  <c r="F1367" i="24"/>
  <c r="C1368" i="24"/>
  <c r="F1368" i="24"/>
  <c r="C1369" i="24"/>
  <c r="F1369" i="24"/>
  <c r="C1370" i="24"/>
  <c r="C1371" i="24"/>
  <c r="C1372" i="24"/>
  <c r="C1373" i="24"/>
  <c r="C1374" i="24"/>
  <c r="C1375" i="24"/>
  <c r="C1379" i="24"/>
  <c r="F1379" i="24"/>
  <c r="C1380" i="24"/>
  <c r="F1380" i="24"/>
  <c r="C1381" i="24"/>
  <c r="F1381" i="24"/>
  <c r="C1382" i="24"/>
  <c r="F1382" i="24"/>
  <c r="C1383" i="24"/>
  <c r="C1384" i="24"/>
  <c r="C1385" i="24"/>
  <c r="C1386" i="24"/>
  <c r="C1387" i="24"/>
  <c r="C1388" i="24"/>
  <c r="C1392" i="24"/>
  <c r="F1392" i="24"/>
  <c r="C1393" i="24"/>
  <c r="F1393" i="24"/>
  <c r="C1394" i="24"/>
  <c r="F1394" i="24"/>
  <c r="C1395" i="24"/>
  <c r="F1395" i="24"/>
  <c r="C1396" i="24"/>
  <c r="C1397" i="24"/>
  <c r="C1398" i="24"/>
  <c r="C1399" i="24"/>
  <c r="C1400" i="24"/>
  <c r="C1401" i="24"/>
  <c r="C1405" i="24"/>
  <c r="F1405" i="24"/>
  <c r="C1406" i="24"/>
  <c r="F1406" i="24"/>
  <c r="C1407" i="24"/>
  <c r="F1407" i="24"/>
  <c r="C1408" i="24"/>
  <c r="F1408" i="24"/>
  <c r="C1409" i="24"/>
  <c r="C1410" i="24"/>
  <c r="C1411" i="24"/>
  <c r="C1412" i="24"/>
  <c r="C1413" i="24"/>
  <c r="C1414" i="24"/>
  <c r="C1418" i="24"/>
  <c r="F1418" i="24"/>
  <c r="C1419" i="24"/>
  <c r="F1419" i="24"/>
  <c r="C1420" i="24"/>
  <c r="F1420" i="24"/>
  <c r="C1421" i="24"/>
  <c r="F1421" i="24"/>
  <c r="C1422" i="24"/>
  <c r="C1423" i="24"/>
  <c r="C1424" i="24"/>
  <c r="C1425" i="24"/>
  <c r="C1426" i="24"/>
  <c r="C1427" i="24"/>
  <c r="C1431" i="24"/>
  <c r="F1431" i="24"/>
  <c r="C1432" i="24"/>
  <c r="F1432" i="24"/>
  <c r="C1433" i="24"/>
  <c r="F1433" i="24"/>
  <c r="C1434" i="24"/>
  <c r="F1434" i="24"/>
  <c r="C1435" i="24"/>
  <c r="C1436" i="24"/>
  <c r="C1437" i="24"/>
  <c r="C1438" i="24"/>
  <c r="C1439" i="24"/>
  <c r="C1440" i="24"/>
  <c r="C1444" i="24"/>
  <c r="F1444" i="24"/>
  <c r="C1445" i="24"/>
  <c r="F1445" i="24"/>
  <c r="C1446" i="24"/>
  <c r="F1446" i="24"/>
  <c r="C1447" i="24"/>
  <c r="F1447" i="24"/>
  <c r="C1448" i="24"/>
  <c r="C1449" i="24"/>
  <c r="AC1449" i="24"/>
  <c r="AD1449" i="24" s="1"/>
  <c r="C1450" i="24"/>
  <c r="AC1450" i="24"/>
  <c r="AD1450" i="24" s="1"/>
  <c r="C1451" i="24"/>
  <c r="C1452" i="24"/>
  <c r="C1453" i="24"/>
  <c r="C1454" i="24"/>
  <c r="C1455" i="24"/>
  <c r="C1456" i="24"/>
  <c r="C1457" i="24"/>
  <c r="F1457" i="24"/>
  <c r="C1458" i="24"/>
  <c r="F1458" i="24"/>
  <c r="C1459" i="24"/>
  <c r="F1459" i="24"/>
  <c r="C1460" i="24"/>
  <c r="F1460" i="24"/>
  <c r="C1461" i="24"/>
  <c r="AC1461" i="24"/>
  <c r="AD1461" i="24" s="1"/>
  <c r="C1462" i="24"/>
  <c r="C1463" i="24"/>
  <c r="C1464" i="24"/>
  <c r="C1465" i="24"/>
  <c r="C1466" i="24"/>
  <c r="C1470" i="24"/>
  <c r="F1470" i="24"/>
  <c r="C1471" i="24"/>
  <c r="F1471" i="24"/>
  <c r="C1472" i="24"/>
  <c r="F1472" i="24"/>
  <c r="C1473" i="24"/>
  <c r="F1473" i="24"/>
  <c r="C1474" i="24"/>
  <c r="C1475" i="24"/>
  <c r="V1475" i="24"/>
  <c r="X1475" i="24" s="1"/>
  <c r="W1475" i="24"/>
  <c r="AC1475" i="24"/>
  <c r="AD1475" i="24" s="1"/>
  <c r="C1476" i="24"/>
  <c r="V1476" i="24"/>
  <c r="X1476" i="24" s="1"/>
  <c r="W1476" i="24"/>
  <c r="AC1476" i="24"/>
  <c r="AD1476" i="24" s="1"/>
  <c r="C1477" i="24"/>
  <c r="C1478" i="24"/>
  <c r="C1479" i="24"/>
  <c r="C1480" i="24"/>
  <c r="C1481" i="24"/>
  <c r="C1482" i="24"/>
  <c r="C1483" i="24"/>
  <c r="F1483" i="24"/>
  <c r="C1484" i="24"/>
  <c r="F1484" i="24"/>
  <c r="C1485" i="24"/>
  <c r="F1485" i="24"/>
  <c r="C1486" i="24"/>
  <c r="F1486" i="24"/>
  <c r="C1487" i="24"/>
  <c r="V1487" i="24"/>
  <c r="X1487" i="24" s="1"/>
  <c r="W1487" i="24"/>
  <c r="AC1487" i="24"/>
  <c r="AD1487" i="24" s="1"/>
  <c r="C1488" i="24"/>
  <c r="U1488" i="24"/>
  <c r="V1488" i="24" s="1"/>
  <c r="AC1488" i="24"/>
  <c r="AD1488" i="24" s="1"/>
  <c r="C1489" i="24"/>
  <c r="U1489" i="24"/>
  <c r="V1489" i="24" s="1"/>
  <c r="X1489" i="24" s="1"/>
  <c r="AC1489" i="24"/>
  <c r="AD1489" i="24" s="1"/>
  <c r="C1490" i="24"/>
  <c r="U1490" i="24"/>
  <c r="V1490" i="24" s="1"/>
  <c r="X1490" i="24" s="1"/>
  <c r="AC1490" i="24"/>
  <c r="AD1490" i="24" s="1"/>
  <c r="C1491" i="24"/>
  <c r="C1492" i="24"/>
  <c r="C1493" i="24"/>
  <c r="C1494" i="24"/>
  <c r="C1495" i="24"/>
  <c r="C1496" i="24"/>
  <c r="F1496" i="24"/>
  <c r="C1497" i="24"/>
  <c r="F1497" i="24"/>
  <c r="C1498" i="24"/>
  <c r="F1498" i="24"/>
  <c r="C1499" i="24"/>
  <c r="F1499" i="24"/>
  <c r="C1500" i="24"/>
  <c r="U1500" i="24"/>
  <c r="W1500" i="24" s="1"/>
  <c r="AC1500" i="24"/>
  <c r="AD1500" i="24" s="1"/>
  <c r="C1501" i="24"/>
  <c r="V1501" i="24"/>
  <c r="X1501" i="24" s="1"/>
  <c r="W1501" i="24"/>
  <c r="AC1501" i="24"/>
  <c r="AD1501" i="24" s="1"/>
  <c r="C1502" i="24"/>
  <c r="V1502" i="24"/>
  <c r="X1502" i="24" s="1"/>
  <c r="W1502" i="24"/>
  <c r="AC1502" i="24"/>
  <c r="AD1502" i="24" s="1"/>
  <c r="C1503" i="24"/>
  <c r="V1503" i="24"/>
  <c r="X1503" i="24" s="1"/>
  <c r="W1503" i="24"/>
  <c r="AC1503" i="24"/>
  <c r="AD1503" i="24" s="1"/>
  <c r="C1504" i="24"/>
  <c r="U1504" i="24"/>
  <c r="W1504" i="24" s="1"/>
  <c r="AC1504" i="24"/>
  <c r="AD1504" i="24" s="1"/>
  <c r="C1505" i="24"/>
  <c r="V1505" i="24"/>
  <c r="X1505" i="24" s="1"/>
  <c r="W1505" i="24"/>
  <c r="AC1505" i="24"/>
  <c r="AD1505" i="24" s="1"/>
  <c r="C1506" i="24"/>
  <c r="C1507" i="24"/>
  <c r="V1507" i="24"/>
  <c r="X1507" i="24" s="1"/>
  <c r="W1507" i="24"/>
  <c r="AC1507" i="24"/>
  <c r="AD1507" i="24" s="1"/>
  <c r="C1508" i="24"/>
  <c r="C1509" i="24"/>
  <c r="F1509" i="24"/>
  <c r="C1510" i="24"/>
  <c r="F1510" i="24"/>
  <c r="C1511" i="24"/>
  <c r="F1511" i="24"/>
  <c r="C1512" i="24"/>
  <c r="F1512" i="24"/>
  <c r="C1513" i="24"/>
  <c r="U1513" i="24"/>
  <c r="V1513" i="24" s="1"/>
  <c r="X1513" i="24" s="1"/>
  <c r="W1513" i="24"/>
  <c r="AC1513" i="24"/>
  <c r="AD1513" i="24" s="1"/>
  <c r="C1514" i="24"/>
  <c r="V1514" i="24"/>
  <c r="X1514" i="24" s="1"/>
  <c r="W1514" i="24"/>
  <c r="AC1514" i="24"/>
  <c r="AD1514" i="24" s="1"/>
  <c r="C1515" i="24"/>
  <c r="V1515" i="24"/>
  <c r="X1515" i="24" s="1"/>
  <c r="W1515" i="24"/>
  <c r="AC1515" i="24"/>
  <c r="AD1515" i="24" s="1"/>
  <c r="C1516" i="24"/>
  <c r="V1516" i="24"/>
  <c r="X1516" i="24" s="1"/>
  <c r="W1516" i="24"/>
  <c r="AC1516" i="24"/>
  <c r="AD1516" i="24" s="1"/>
  <c r="C1517" i="24"/>
  <c r="C1518" i="24"/>
  <c r="V1518" i="24"/>
  <c r="X1518" i="24" s="1"/>
  <c r="W1518" i="24"/>
  <c r="AC1518" i="24"/>
  <c r="AD1518" i="24" s="1"/>
  <c r="C1519" i="24"/>
  <c r="C1520" i="24"/>
  <c r="V1520" i="24"/>
  <c r="X1520" i="24" s="1"/>
  <c r="W1520" i="24"/>
  <c r="AC1520" i="24"/>
  <c r="AD1520" i="24" s="1"/>
  <c r="C1521" i="24"/>
  <c r="C1522" i="24"/>
  <c r="F1522" i="24"/>
  <c r="V1522" i="24"/>
  <c r="X1522" i="24" s="1"/>
  <c r="W1522" i="24"/>
  <c r="AC1522" i="24"/>
  <c r="AD1522" i="24" s="1"/>
  <c r="C1523" i="24"/>
  <c r="F1523" i="24"/>
  <c r="V1523" i="24"/>
  <c r="X1523" i="24" s="1"/>
  <c r="W1523" i="24"/>
  <c r="AC1523" i="24"/>
  <c r="AD1523" i="24" s="1"/>
  <c r="C1524" i="24"/>
  <c r="F1524" i="24"/>
  <c r="V1524" i="24"/>
  <c r="X1524" i="24" s="1"/>
  <c r="W1524" i="24"/>
  <c r="AC1524" i="24"/>
  <c r="AD1524" i="24" s="1"/>
  <c r="C1525" i="24"/>
  <c r="F1525" i="24"/>
  <c r="V1525" i="24"/>
  <c r="X1525" i="24" s="1"/>
  <c r="W1525" i="24"/>
  <c r="AC1525" i="24"/>
  <c r="AD1525" i="24" s="1"/>
  <c r="C1526" i="24"/>
  <c r="V1526" i="24"/>
  <c r="X1526" i="24" s="1"/>
  <c r="W1526" i="24"/>
  <c r="AC1526" i="24"/>
  <c r="AD1526" i="24" s="1"/>
  <c r="C1527" i="24"/>
  <c r="C1528" i="24"/>
  <c r="C1529" i="24"/>
  <c r="C1530" i="24"/>
  <c r="C1531" i="24"/>
  <c r="C1532" i="24"/>
  <c r="C1533" i="24"/>
  <c r="C1534" i="24"/>
  <c r="C1535" i="24"/>
  <c r="C1536" i="24"/>
  <c r="C1537" i="24"/>
  <c r="C1538" i="24"/>
  <c r="C1539" i="24"/>
  <c r="C1540" i="24"/>
  <c r="AW230" i="25" l="1" a="1"/>
  <c r="AW230" i="25" s="1"/>
  <c r="AZ226" i="25" a="1"/>
  <c r="AZ226" i="25" s="1"/>
  <c r="I258" i="25"/>
  <c r="I259" i="25" s="1"/>
  <c r="I260" i="25" s="1"/>
  <c r="BD229" i="25" a="1"/>
  <c r="BD229" i="25" s="1"/>
  <c r="V624" i="24"/>
  <c r="X624" i="24" s="1"/>
  <c r="H223" i="25"/>
  <c r="F224" i="25"/>
  <c r="F225" i="25" s="1"/>
  <c r="F226" i="25" s="1"/>
  <c r="F227" i="25" s="1"/>
  <c r="F228" i="25" s="1"/>
  <c r="F229" i="25" s="1"/>
  <c r="BC221" i="25"/>
  <c r="BB221" i="25"/>
  <c r="AZ224" i="25" a="1"/>
  <c r="AZ224" i="25" s="1"/>
  <c r="BD210" i="25" a="1"/>
  <c r="BD210" i="25" s="1"/>
  <c r="AZ210" i="25" a="1"/>
  <c r="AZ210" i="25" s="1"/>
  <c r="O125" i="25"/>
  <c r="C80" i="25"/>
  <c r="C37" i="25"/>
  <c r="U412" i="24"/>
  <c r="C396" i="25"/>
  <c r="C302" i="25"/>
  <c r="AZ229" i="25" a="1"/>
  <c r="AZ229" i="25" s="1"/>
  <c r="C5" i="25"/>
  <c r="C292" i="25"/>
  <c r="BD218" i="25" a="1"/>
  <c r="BD218" i="25" s="1"/>
  <c r="C386" i="25"/>
  <c r="BD213" i="25" a="1"/>
  <c r="BD213" i="25" s="1"/>
  <c r="K156" i="25"/>
  <c r="K157" i="25" s="1"/>
  <c r="AD678" i="24"/>
  <c r="J132" i="25"/>
  <c r="AV112" i="25" s="1"/>
  <c r="AV113" i="25" s="1"/>
  <c r="BD228" i="25" a="1"/>
  <c r="BD228" i="25" s="1"/>
  <c r="BD217" i="25" a="1"/>
  <c r="BD217" i="25" s="1"/>
  <c r="AW208" i="25" a="1"/>
  <c r="U197" i="24"/>
  <c r="BD225" i="25" a="1"/>
  <c r="BD225" i="25" s="1"/>
  <c r="BE104" i="25"/>
  <c r="BF104" i="25" s="1"/>
  <c r="AZ228" i="25" a="1"/>
  <c r="AZ228" i="25" s="1"/>
  <c r="AZ217" i="25" a="1"/>
  <c r="AZ217" i="25" s="1"/>
  <c r="BE111" i="25"/>
  <c r="BF111" i="25" s="1"/>
  <c r="P130" i="25"/>
  <c r="C89" i="25"/>
  <c r="O130" i="25"/>
  <c r="AW217" i="25" a="1"/>
  <c r="AW217" i="25" s="1"/>
  <c r="AZ212" i="25" a="1"/>
  <c r="AZ212" i="25" s="1"/>
  <c r="AY186" i="25"/>
  <c r="AZ186" i="25" s="1"/>
  <c r="N130" i="25"/>
  <c r="M130" i="25"/>
  <c r="BD231" i="25" a="1"/>
  <c r="BD231" i="25" s="1"/>
  <c r="K130" i="25"/>
  <c r="J130" i="25"/>
  <c r="BD211" i="25" a="1"/>
  <c r="BD211" i="25" s="1"/>
  <c r="T102" i="25"/>
  <c r="T101" i="25" s="1"/>
  <c r="T100" i="25" s="1"/>
  <c r="T99" i="25" s="1"/>
  <c r="T98" i="25" s="1"/>
  <c r="T97" i="25" s="1"/>
  <c r="T96" i="25" s="1"/>
  <c r="BD230" i="25" a="1"/>
  <c r="BD230" i="25" s="1"/>
  <c r="AZ211" i="25" a="1"/>
  <c r="AZ211" i="25" s="1"/>
  <c r="R102" i="25"/>
  <c r="R101" i="25" s="1"/>
  <c r="R100" i="25" s="1"/>
  <c r="R99" i="25" s="1"/>
  <c r="R98" i="25" s="1"/>
  <c r="R97" i="25" s="1"/>
  <c r="R96" i="25" s="1"/>
  <c r="Z199" i="24"/>
  <c r="BD215" i="25" a="1"/>
  <c r="BD215" i="25" s="1"/>
  <c r="BE110" i="25"/>
  <c r="BF110" i="25" s="1"/>
  <c r="W199" i="24"/>
  <c r="C166" i="25"/>
  <c r="W814" i="24"/>
  <c r="W815" i="24" s="1"/>
  <c r="Y239" i="24"/>
  <c r="AZ230" i="25" a="1"/>
  <c r="AZ230" i="25" s="1"/>
  <c r="BD224" i="25" a="1"/>
  <c r="BD224" i="25" s="1"/>
  <c r="AC45" i="24"/>
  <c r="W1490" i="24"/>
  <c r="AC1173" i="24"/>
  <c r="AD887" i="24"/>
  <c r="AD805" i="24" s="1"/>
  <c r="X886" i="24"/>
  <c r="X804" i="24" s="1"/>
  <c r="V803" i="24"/>
  <c r="AC758" i="24"/>
  <c r="AC757" i="24"/>
  <c r="V1165" i="24"/>
  <c r="AD855" i="24"/>
  <c r="AD758" i="24" s="1"/>
  <c r="AA212" i="24"/>
  <c r="Z212" i="24"/>
  <c r="V914" i="24"/>
  <c r="X914" i="24" s="1"/>
  <c r="U817" i="24"/>
  <c r="U818" i="24" s="1"/>
  <c r="Y212" i="24"/>
  <c r="W212" i="24"/>
  <c r="W806" i="24"/>
  <c r="W757" i="24"/>
  <c r="V197" i="24"/>
  <c r="U812" i="24"/>
  <c r="V812" i="24" s="1"/>
  <c r="X812" i="24" s="1"/>
  <c r="L197" i="24"/>
  <c r="AB197" i="24" s="1"/>
  <c r="AD796" i="24"/>
  <c r="AD199" i="24"/>
  <c r="AD412" i="24"/>
  <c r="AD209" i="24"/>
  <c r="AC199" i="24"/>
  <c r="U811" i="24"/>
  <c r="V811" i="24" s="1"/>
  <c r="X811" i="24" s="1"/>
  <c r="AB209" i="24"/>
  <c r="AA199" i="24"/>
  <c r="AA195" i="24"/>
  <c r="W1489" i="24"/>
  <c r="Y199" i="24"/>
  <c r="X199" i="24"/>
  <c r="V199" i="24"/>
  <c r="U195" i="24"/>
  <c r="W1488" i="24"/>
  <c r="AC802" i="24"/>
  <c r="L195" i="24"/>
  <c r="M195" i="24" s="1"/>
  <c r="N195" i="24" s="1"/>
  <c r="O195" i="24" s="1"/>
  <c r="P195" i="24" s="1"/>
  <c r="W809" i="24"/>
  <c r="W802" i="24"/>
  <c r="X816" i="24"/>
  <c r="X817" i="24" s="1"/>
  <c r="X818" i="24" s="1"/>
  <c r="V817" i="24"/>
  <c r="V818" i="24" s="1"/>
  <c r="Z239" i="24"/>
  <c r="AA204" i="24"/>
  <c r="Y204" i="24"/>
  <c r="V1504" i="24"/>
  <c r="X1504" i="24" s="1"/>
  <c r="V1182" i="24"/>
  <c r="V1181" i="24" s="1"/>
  <c r="V798" i="24"/>
  <c r="X204" i="24"/>
  <c r="AD1142" i="24"/>
  <c r="AD1141" i="24" s="1"/>
  <c r="V797" i="24"/>
  <c r="AC658" i="24"/>
  <c r="U797" i="24"/>
  <c r="W623" i="24"/>
  <c r="L196" i="24"/>
  <c r="AB196" i="24" s="1"/>
  <c r="AD816" i="24"/>
  <c r="AD817" i="24" s="1"/>
  <c r="AD818" i="24" s="1"/>
  <c r="W629" i="24"/>
  <c r="L679" i="24"/>
  <c r="AC679" i="24" s="1"/>
  <c r="V1500" i="24"/>
  <c r="X1500" i="24" s="1"/>
  <c r="W816" i="24"/>
  <c r="W817" i="24" s="1"/>
  <c r="W818" i="24" s="1"/>
  <c r="K679" i="24"/>
  <c r="U679" i="24" s="1"/>
  <c r="AD45" i="24"/>
  <c r="C5" i="24"/>
  <c r="AC395" i="24"/>
  <c r="X212" i="24"/>
  <c r="X45" i="24"/>
  <c r="C37" i="24"/>
  <c r="X1184" i="24"/>
  <c r="X678" i="24"/>
  <c r="W1184" i="24"/>
  <c r="W678" i="24"/>
  <c r="C38" i="24"/>
  <c r="AD198" i="24"/>
  <c r="V198" i="24"/>
  <c r="AD1166" i="24"/>
  <c r="AD1165" i="24" s="1"/>
  <c r="AC806" i="24"/>
  <c r="V503" i="24"/>
  <c r="X503" i="24" s="1"/>
  <c r="AD239" i="24"/>
  <c r="AC239" i="24"/>
  <c r="V1183" i="24"/>
  <c r="AD1134" i="24"/>
  <c r="AD1133" i="24" s="1"/>
  <c r="V806" i="24"/>
  <c r="V754" i="24"/>
  <c r="AD814" i="24"/>
  <c r="AD815" i="24" s="1"/>
  <c r="AC796" i="24"/>
  <c r="X796" i="24"/>
  <c r="W796" i="24"/>
  <c r="U796" i="24"/>
  <c r="X206" i="24"/>
  <c r="W627" i="24"/>
  <c r="V206" i="24"/>
  <c r="U206" i="24"/>
  <c r="AD800" i="24"/>
  <c r="L206" i="24"/>
  <c r="AC206" i="24" s="1"/>
  <c r="X800" i="24"/>
  <c r="V800" i="24"/>
  <c r="AD1182" i="24"/>
  <c r="AD1181" i="24" s="1"/>
  <c r="U800" i="24"/>
  <c r="AD799" i="24"/>
  <c r="W204" i="24"/>
  <c r="V804" i="24"/>
  <c r="V658" i="24"/>
  <c r="W625" i="24"/>
  <c r="X855" i="24"/>
  <c r="X758" i="24" s="1"/>
  <c r="AD1499" i="24"/>
  <c r="W203" i="24"/>
  <c r="X395" i="24"/>
  <c r="W208" i="24"/>
  <c r="U1499" i="24"/>
  <c r="AC803" i="24"/>
  <c r="W45" i="24"/>
  <c r="AD885" i="24"/>
  <c r="AD801" i="24" s="1"/>
  <c r="W803" i="24"/>
  <c r="V45" i="24"/>
  <c r="U212" i="24"/>
  <c r="AD207" i="24"/>
  <c r="AD853" i="24"/>
  <c r="AD753" i="24" s="1"/>
  <c r="U45" i="24"/>
  <c r="L212" i="24"/>
  <c r="AD212" i="24" s="1"/>
  <c r="AC207" i="24"/>
  <c r="AD547" i="24"/>
  <c r="AD548" i="24" s="1"/>
  <c r="AD549" i="24" s="1"/>
  <c r="AD550" i="24" s="1"/>
  <c r="AY187" i="25"/>
  <c r="AZ187" i="25" s="1"/>
  <c r="BA187" i="25" s="1"/>
  <c r="BA202" i="25" s="1" a="1"/>
  <c r="BA202" i="25" s="1"/>
  <c r="AY190" i="25"/>
  <c r="AZ190" i="25" s="1"/>
  <c r="BA190" i="25" s="1"/>
  <c r="AY185" i="25"/>
  <c r="AZ185" i="25" s="1"/>
  <c r="BA185" i="25" s="1"/>
  <c r="BE112" i="25"/>
  <c r="BF112" i="25" s="1"/>
  <c r="AY184" i="25"/>
  <c r="AZ184" i="25" s="1"/>
  <c r="BA184" i="25" s="1"/>
  <c r="AX201" i="25" s="1" a="1"/>
  <c r="AX201" i="25" s="1"/>
  <c r="AD111" i="25"/>
  <c r="AD113" i="25" s="1"/>
  <c r="AD110" i="25"/>
  <c r="AD112" i="25" s="1"/>
  <c r="AZ188" i="25"/>
  <c r="H255" i="25"/>
  <c r="F256" i="25"/>
  <c r="F257" i="25" s="1"/>
  <c r="F258" i="25" s="1"/>
  <c r="F259" i="25" s="1"/>
  <c r="F260" i="25" s="1"/>
  <c r="F261" i="25" s="1"/>
  <c r="BF98" i="25"/>
  <c r="H231" i="25"/>
  <c r="F232" i="25"/>
  <c r="F233" i="25" s="1"/>
  <c r="F234" i="25" s="1"/>
  <c r="F235" i="25" s="1"/>
  <c r="F236" i="25" s="1"/>
  <c r="F237" i="25" s="1"/>
  <c r="W111" i="25"/>
  <c r="W113" i="25" s="1"/>
  <c r="W110" i="25"/>
  <c r="W112" i="25" s="1"/>
  <c r="H215" i="25"/>
  <c r="F216" i="25"/>
  <c r="F217" i="25" s="1"/>
  <c r="F218" i="25" s="1"/>
  <c r="F219" i="25" s="1"/>
  <c r="F220" i="25" s="1"/>
  <c r="F221" i="25" s="1"/>
  <c r="V111" i="25"/>
  <c r="V113" i="25" s="1"/>
  <c r="V110" i="25"/>
  <c r="V112" i="25" s="1"/>
  <c r="U111" i="25"/>
  <c r="U113" i="25" s="1"/>
  <c r="U110" i="25"/>
  <c r="U112" i="25" s="1"/>
  <c r="AV107" i="25"/>
  <c r="AV102" i="25"/>
  <c r="AV106" i="25"/>
  <c r="AV101" i="25"/>
  <c r="AV105" i="25"/>
  <c r="AV100" i="25"/>
  <c r="AV99" i="25"/>
  <c r="AV104" i="25"/>
  <c r="AV98" i="25"/>
  <c r="AV103" i="25"/>
  <c r="AV97" i="25"/>
  <c r="AV96" i="25" s="1"/>
  <c r="AV108" i="25"/>
  <c r="BF105" i="25"/>
  <c r="T111" i="25"/>
  <c r="T113" i="25" s="1"/>
  <c r="T110" i="25"/>
  <c r="T112" i="25" s="1"/>
  <c r="R111" i="25"/>
  <c r="R113" i="25" s="1"/>
  <c r="R110" i="25"/>
  <c r="R112" i="25" s="1"/>
  <c r="H207" i="25"/>
  <c r="F208" i="25"/>
  <c r="F209" i="25" s="1"/>
  <c r="F210" i="25" s="1"/>
  <c r="F211" i="25" s="1"/>
  <c r="F212" i="25" s="1"/>
  <c r="F213" i="25" s="1"/>
  <c r="P110" i="25"/>
  <c r="P112" i="25" s="1"/>
  <c r="P111" i="25"/>
  <c r="P113" i="25" s="1"/>
  <c r="BF108" i="25"/>
  <c r="H247" i="25"/>
  <c r="F248" i="25"/>
  <c r="F249" i="25" s="1"/>
  <c r="F250" i="25" s="1"/>
  <c r="F251" i="25" s="1"/>
  <c r="F252" i="25" s="1"/>
  <c r="F253" i="25" s="1"/>
  <c r="O110" i="25"/>
  <c r="O112" i="25" s="1"/>
  <c r="O111" i="25"/>
  <c r="O113" i="25" s="1"/>
  <c r="X111" i="25"/>
  <c r="X113" i="25" s="1"/>
  <c r="X110" i="25"/>
  <c r="X112" i="25" s="1"/>
  <c r="AV110" i="25"/>
  <c r="AV109" i="25"/>
  <c r="S111" i="25"/>
  <c r="S113" i="25" s="1"/>
  <c r="S110" i="25"/>
  <c r="S112" i="25" s="1"/>
  <c r="N110" i="25"/>
  <c r="N112" i="25" s="1"/>
  <c r="N111" i="25"/>
  <c r="N113" i="25" s="1"/>
  <c r="AW208" i="25"/>
  <c r="AX208" i="25"/>
  <c r="AY208" i="25"/>
  <c r="AZ208" i="25"/>
  <c r="BA208" i="25"/>
  <c r="BB208" i="25"/>
  <c r="BC208" i="25"/>
  <c r="BD208" i="25"/>
  <c r="N377" i="25"/>
  <c r="AG377" i="25" s="1"/>
  <c r="BB223" i="25" a="1"/>
  <c r="BB223" i="25" s="1"/>
  <c r="BA221" i="25"/>
  <c r="AZ214" i="25" a="1"/>
  <c r="AZ214" i="25" s="1"/>
  <c r="L130" i="25"/>
  <c r="N156" i="25" s="1"/>
  <c r="BE97" i="25"/>
  <c r="AZ221" i="25"/>
  <c r="AW194" i="25" a="1"/>
  <c r="C177" i="25"/>
  <c r="AY221" i="25"/>
  <c r="C176" i="25"/>
  <c r="BE109" i="25"/>
  <c r="BF109" i="25" s="1"/>
  <c r="AX221" i="25"/>
  <c r="C175" i="25"/>
  <c r="BE103" i="25"/>
  <c r="AW221" i="25"/>
  <c r="C28" i="25"/>
  <c r="F200" i="25"/>
  <c r="F201" i="25" s="1"/>
  <c r="F202" i="25" s="1"/>
  <c r="F203" i="25" s="1"/>
  <c r="F204" i="25" s="1"/>
  <c r="F205" i="25" s="1"/>
  <c r="BB210" i="25" a="1"/>
  <c r="BB210" i="25" s="1"/>
  <c r="I242" i="25"/>
  <c r="I243" i="25" s="1"/>
  <c r="I244" i="25" s="1"/>
  <c r="BB224" i="25" a="1"/>
  <c r="BB224" i="25" s="1"/>
  <c r="I220" i="25"/>
  <c r="P102" i="25"/>
  <c r="P101" i="25" s="1"/>
  <c r="P100" i="25" s="1"/>
  <c r="P99" i="25" s="1"/>
  <c r="P98" i="25" s="1"/>
  <c r="P97" i="25" s="1"/>
  <c r="P96" i="25" s="1"/>
  <c r="BE99" i="25"/>
  <c r="I204" i="25"/>
  <c r="O102" i="25"/>
  <c r="O101" i="25" s="1"/>
  <c r="O100" i="25" s="1"/>
  <c r="O99" i="25" s="1"/>
  <c r="O98" i="25" s="1"/>
  <c r="O97" i="25" s="1"/>
  <c r="O96" i="25" s="1"/>
  <c r="I212" i="25"/>
  <c r="Q103" i="25"/>
  <c r="BE100" i="25"/>
  <c r="C395" i="25"/>
  <c r="AZ215" i="25" a="1"/>
  <c r="AZ215" i="25" s="1"/>
  <c r="BB231" i="25" a="1"/>
  <c r="BB231" i="25" s="1"/>
  <c r="BE101" i="25"/>
  <c r="C301" i="25"/>
  <c r="BE106" i="25"/>
  <c r="AZ231" i="25" a="1"/>
  <c r="AZ231" i="25" s="1"/>
  <c r="C338" i="25"/>
  <c r="BD216" i="25" a="1"/>
  <c r="BD216" i="25" s="1"/>
  <c r="AZ213" i="25" a="1"/>
  <c r="AZ213" i="25" s="1"/>
  <c r="BE102" i="25"/>
  <c r="AY231" i="25" a="1"/>
  <c r="AY231" i="25" s="1"/>
  <c r="BD226" i="25" a="1"/>
  <c r="BD226" i="25" s="1"/>
  <c r="AZ225" i="25" a="1"/>
  <c r="AZ225" i="25" s="1"/>
  <c r="BB211" i="25" a="1"/>
  <c r="BB211" i="25" s="1"/>
  <c r="AY183" i="25"/>
  <c r="AZ183" i="25" s="1"/>
  <c r="BA183" i="25" s="1"/>
  <c r="AW199" i="25" s="1" a="1"/>
  <c r="AW199" i="25" s="1"/>
  <c r="BE107" i="25"/>
  <c r="AX231" i="25" a="1"/>
  <c r="AX231" i="25" s="1"/>
  <c r="BE113" i="25"/>
  <c r="BF113" i="25" s="1"/>
  <c r="AZ218" i="25" a="1"/>
  <c r="AZ218" i="25" s="1"/>
  <c r="AW231" i="25" a="1"/>
  <c r="AW231" i="25" s="1"/>
  <c r="BD214" i="25" a="1"/>
  <c r="BD214" i="25" s="1"/>
  <c r="AY189" i="25"/>
  <c r="AZ189" i="25" s="1"/>
  <c r="BA189" i="25" s="1"/>
  <c r="AZ216" i="25" a="1"/>
  <c r="AZ216" i="25" s="1"/>
  <c r="C38" i="25"/>
  <c r="BD227" i="25" a="1"/>
  <c r="BD227" i="25" s="1"/>
  <c r="BD223" i="25" a="1"/>
  <c r="BD223" i="25" s="1"/>
  <c r="C90" i="25"/>
  <c r="BD221" i="25"/>
  <c r="AB211" i="24"/>
  <c r="AC211" i="24"/>
  <c r="AD211" i="24"/>
  <c r="AD205" i="24"/>
  <c r="AB205" i="24"/>
  <c r="AC205" i="24"/>
  <c r="X805" i="24"/>
  <c r="X806" i="24"/>
  <c r="X803" i="24"/>
  <c r="AB204" i="24"/>
  <c r="AC204" i="24"/>
  <c r="AD204" i="24"/>
  <c r="AD802" i="24"/>
  <c r="AD804" i="24"/>
  <c r="V1499" i="24"/>
  <c r="X1488" i="24"/>
  <c r="X1499" i="24" s="1"/>
  <c r="AC800" i="24"/>
  <c r="AD757" i="24"/>
  <c r="V325" i="24"/>
  <c r="V208" i="24"/>
  <c r="V203" i="24"/>
  <c r="U198" i="24"/>
  <c r="U1184" i="24"/>
  <c r="U325" i="24"/>
  <c r="U208" i="24"/>
  <c r="AA205" i="24"/>
  <c r="U203" i="24"/>
  <c r="W800" i="24"/>
  <c r="L208" i="24"/>
  <c r="Z205" i="24"/>
  <c r="L203" i="24"/>
  <c r="Y205" i="24"/>
  <c r="V757" i="24"/>
  <c r="X205" i="24"/>
  <c r="C28" i="24"/>
  <c r="X885" i="24"/>
  <c r="X801" i="24" s="1"/>
  <c r="AD854" i="24"/>
  <c r="W205" i="24"/>
  <c r="W915" i="24"/>
  <c r="W628" i="24"/>
  <c r="V205" i="24"/>
  <c r="U205" i="24"/>
  <c r="U1183" i="24"/>
  <c r="V753" i="24"/>
  <c r="AC799" i="24"/>
  <c r="AC756" i="24"/>
  <c r="X799" i="24"/>
  <c r="W799" i="24"/>
  <c r="AA239" i="24"/>
  <c r="Z204" i="24"/>
  <c r="AD755" i="24"/>
  <c r="AC677" i="24"/>
  <c r="W395" i="24"/>
  <c r="X239" i="24"/>
  <c r="X677" i="24"/>
  <c r="V395" i="24"/>
  <c r="W239" i="24"/>
  <c r="V204" i="24"/>
  <c r="W913" i="24"/>
  <c r="W677" i="24"/>
  <c r="W626" i="24"/>
  <c r="V239" i="24"/>
  <c r="AA206" i="24"/>
  <c r="U204" i="24"/>
  <c r="W1298" i="24"/>
  <c r="W755" i="24"/>
  <c r="V677" i="24"/>
  <c r="Z206" i="24"/>
  <c r="AD172" i="24"/>
  <c r="V805" i="24"/>
  <c r="V755" i="24"/>
  <c r="Y206" i="24"/>
  <c r="AC172" i="24"/>
  <c r="AA211" i="24"/>
  <c r="V815" i="24"/>
  <c r="W630" i="24"/>
  <c r="AC540" i="24"/>
  <c r="AC541" i="24" s="1"/>
  <c r="AC542" i="24" s="1"/>
  <c r="AD325" i="24"/>
  <c r="Z211" i="24"/>
  <c r="AC198" i="24"/>
  <c r="AA196" i="24"/>
  <c r="AA172" i="24"/>
  <c r="AC325" i="24"/>
  <c r="Y211" i="24"/>
  <c r="Z196" i="24"/>
  <c r="Z172" i="24"/>
  <c r="X211" i="24"/>
  <c r="AA198" i="24"/>
  <c r="Y196" i="24"/>
  <c r="Y172" i="24"/>
  <c r="AA325" i="24"/>
  <c r="W211" i="24"/>
  <c r="AA208" i="24"/>
  <c r="AA203" i="24"/>
  <c r="Z198" i="24"/>
  <c r="X196" i="24"/>
  <c r="X172" i="24"/>
  <c r="AC804" i="24"/>
  <c r="Z325" i="24"/>
  <c r="V211" i="24"/>
  <c r="Z208" i="24"/>
  <c r="Z203" i="24"/>
  <c r="Y198" i="24"/>
  <c r="W196" i="24"/>
  <c r="W172" i="24"/>
  <c r="W1297" i="24"/>
  <c r="Y325" i="24"/>
  <c r="U211" i="24"/>
  <c r="Y208" i="24"/>
  <c r="Y203" i="24"/>
  <c r="X198" i="24"/>
  <c r="V196" i="24"/>
  <c r="V172" i="24"/>
  <c r="AC1499" i="24"/>
  <c r="BB228" i="25" l="1" a="1"/>
  <c r="BB228" i="25" s="1"/>
  <c r="BB229" i="25" a="1"/>
  <c r="BB229" i="25" s="1"/>
  <c r="W811" i="24"/>
  <c r="X802" i="24"/>
  <c r="X755" i="24"/>
  <c r="BG110" i="25"/>
  <c r="BD197" i="25" a="1"/>
  <c r="BD197" i="25" s="1"/>
  <c r="BB227" i="25" a="1"/>
  <c r="BB227" i="25" s="1"/>
  <c r="BB226" i="25" a="1"/>
  <c r="BB226" i="25" s="1"/>
  <c r="BB215" i="25" a="1"/>
  <c r="BB215" i="25" s="1"/>
  <c r="BB214" i="25" a="1"/>
  <c r="BB214" i="25" s="1"/>
  <c r="W1499" i="24"/>
  <c r="BB216" i="25" a="1"/>
  <c r="BB216" i="25" s="1"/>
  <c r="BG108" i="25"/>
  <c r="AD803" i="24"/>
  <c r="BG98" i="25"/>
  <c r="AB195" i="24"/>
  <c r="BG104" i="25"/>
  <c r="BH104" i="25" s="1"/>
  <c r="BB217" i="25" a="1"/>
  <c r="BB217" i="25" s="1"/>
  <c r="AV111" i="25"/>
  <c r="BG111" i="25" s="1"/>
  <c r="BG105" i="25"/>
  <c r="BB218" i="25" a="1"/>
  <c r="BB218" i="25" s="1"/>
  <c r="BB230" i="25" a="1"/>
  <c r="BB230" i="25" s="1"/>
  <c r="AD806" i="24"/>
  <c r="BB225" i="25" a="1"/>
  <c r="BB225" i="25" s="1"/>
  <c r="BB212" i="25" a="1"/>
  <c r="BB212" i="25" s="1"/>
  <c r="BB213" i="25" a="1"/>
  <c r="BB213" i="25" s="1"/>
  <c r="X679" i="24"/>
  <c r="W812" i="24"/>
  <c r="AC196" i="24"/>
  <c r="X757" i="24"/>
  <c r="AC197" i="24"/>
  <c r="AD197" i="24"/>
  <c r="AD196" i="24"/>
  <c r="AC195" i="24"/>
  <c r="AD195" i="24"/>
  <c r="AD679" i="24"/>
  <c r="BG109" i="25"/>
  <c r="BD199" i="25" a="1"/>
  <c r="BD199" i="25" s="1"/>
  <c r="W679" i="24"/>
  <c r="V679" i="24"/>
  <c r="BA201" i="25" a="1"/>
  <c r="BA201" i="25" s="1"/>
  <c r="BD202" i="25" a="1"/>
  <c r="BD202" i="25" s="1"/>
  <c r="M196" i="24"/>
  <c r="N196" i="24" s="1"/>
  <c r="O196" i="24" s="1"/>
  <c r="P196" i="24" s="1"/>
  <c r="AB206" i="24"/>
  <c r="AD206" i="24"/>
  <c r="AC212" i="24"/>
  <c r="AB212" i="24"/>
  <c r="BA199" i="25" a="1"/>
  <c r="BA199" i="25" s="1"/>
  <c r="BA197" i="25" a="1"/>
  <c r="BA197" i="25" s="1"/>
  <c r="BA200" i="25" a="1"/>
  <c r="BA200" i="25" s="1"/>
  <c r="BD201" i="25" a="1"/>
  <c r="BD201" i="25" s="1"/>
  <c r="BD196" i="25" a="1"/>
  <c r="BD196" i="25" s="1"/>
  <c r="AX203" i="25" a="1"/>
  <c r="AX203" i="25" s="1"/>
  <c r="AY196" i="25" a="1"/>
  <c r="AY196" i="25" s="1"/>
  <c r="AY201" i="25" a="1"/>
  <c r="AY201" i="25" s="1"/>
  <c r="AY202" i="25" a="1"/>
  <c r="AY202" i="25" s="1"/>
  <c r="AY200" i="25" a="1"/>
  <c r="AY200" i="25" s="1"/>
  <c r="AY198" i="25" a="1"/>
  <c r="AY198" i="25" s="1"/>
  <c r="AY203" i="25" a="1"/>
  <c r="AY203" i="25" s="1"/>
  <c r="AY197" i="25" a="1"/>
  <c r="AY197" i="25" s="1"/>
  <c r="AY199" i="25" a="1"/>
  <c r="AY199" i="25" s="1"/>
  <c r="AW203" i="25" a="1"/>
  <c r="AW203" i="25" s="1"/>
  <c r="AW200" i="25" a="1"/>
  <c r="AW200" i="25" s="1"/>
  <c r="AY204" i="25" a="1"/>
  <c r="AY204" i="25" s="1"/>
  <c r="AW204" i="25" a="1"/>
  <c r="AW204" i="25" s="1"/>
  <c r="AW196" i="25" a="1"/>
  <c r="AW196" i="25" s="1"/>
  <c r="AX200" i="25" a="1"/>
  <c r="AX200" i="25" s="1"/>
  <c r="AX196" i="25" a="1"/>
  <c r="AX196" i="25" s="1"/>
  <c r="BA203" i="25" a="1"/>
  <c r="BA203" i="25" s="1"/>
  <c r="BA196" i="25" a="1"/>
  <c r="BA196" i="25" s="1"/>
  <c r="AX197" i="25" a="1"/>
  <c r="AX197" i="25" s="1"/>
  <c r="BD203" i="25" a="1"/>
  <c r="BD203" i="25" s="1"/>
  <c r="BD204" i="25" a="1"/>
  <c r="BD204" i="25" s="1"/>
  <c r="BA198" i="25" a="1"/>
  <c r="BA198" i="25" s="1"/>
  <c r="BD198" i="25" a="1"/>
  <c r="BD198" i="25" s="1"/>
  <c r="AX199" i="25" a="1"/>
  <c r="AX199" i="25" s="1"/>
  <c r="AX202" i="25" a="1"/>
  <c r="AX202" i="25" s="1"/>
  <c r="AX204" i="25" a="1"/>
  <c r="AX204" i="25" s="1"/>
  <c r="AX198" i="25" a="1"/>
  <c r="AX198" i="25" s="1"/>
  <c r="BA204" i="25" a="1"/>
  <c r="BA204" i="25" s="1"/>
  <c r="BD189" i="25"/>
  <c r="BC202" i="25" a="1"/>
  <c r="BC202" i="25" s="1"/>
  <c r="BC201" i="25" a="1"/>
  <c r="BC201" i="25" s="1"/>
  <c r="BC198" i="25" a="1"/>
  <c r="BC198" i="25" s="1"/>
  <c r="BC197" i="25" a="1"/>
  <c r="BC197" i="25" s="1"/>
  <c r="BC203" i="25" a="1"/>
  <c r="BC203" i="25" s="1"/>
  <c r="BC199" i="25" a="1"/>
  <c r="BC199" i="25" s="1"/>
  <c r="BC200" i="25" a="1"/>
  <c r="BC200" i="25" s="1"/>
  <c r="BC204" i="25" a="1"/>
  <c r="BC204" i="25" s="1"/>
  <c r="BC196" i="25" a="1"/>
  <c r="BC196" i="25" s="1"/>
  <c r="AY194" i="25"/>
  <c r="AZ194" i="25"/>
  <c r="BA194" i="25"/>
  <c r="BB194" i="25"/>
  <c r="BC194" i="25"/>
  <c r="BD194" i="25"/>
  <c r="AW194" i="25"/>
  <c r="AX194" i="25"/>
  <c r="BA186" i="25"/>
  <c r="AZ199" i="25" s="1" a="1"/>
  <c r="AZ199" i="25" s="1"/>
  <c r="BD186" i="25"/>
  <c r="BG97" i="25"/>
  <c r="BF97" i="25"/>
  <c r="BF101" i="25"/>
  <c r="BG101" i="25"/>
  <c r="Q104" i="25"/>
  <c r="Q105" i="25" s="1"/>
  <c r="Q106" i="25" s="1"/>
  <c r="Q107" i="25" s="1"/>
  <c r="Q108" i="25" s="1"/>
  <c r="Q109" i="25" s="1"/>
  <c r="Q102" i="25"/>
  <c r="Q101" i="25" s="1"/>
  <c r="Q100" i="25" s="1"/>
  <c r="Q99" i="25" s="1"/>
  <c r="Q98" i="25" s="1"/>
  <c r="Q97" i="25" s="1"/>
  <c r="Q96" i="25" s="1"/>
  <c r="BF100" i="25"/>
  <c r="BG100" i="25"/>
  <c r="BH100" i="25" s="1"/>
  <c r="BF107" i="25"/>
  <c r="BG107" i="25"/>
  <c r="BA188" i="25"/>
  <c r="BD188" i="25"/>
  <c r="AW197" i="25" a="1"/>
  <c r="AW197" i="25" s="1"/>
  <c r="AW202" i="25" a="1"/>
  <c r="AW202" i="25" s="1"/>
  <c r="AW201" i="25" a="1"/>
  <c r="AW201" i="25" s="1"/>
  <c r="BF99" i="25"/>
  <c r="BG99" i="25"/>
  <c r="BF102" i="25"/>
  <c r="BG102" i="25"/>
  <c r="BD200" i="25" a="1"/>
  <c r="BD200" i="25" s="1"/>
  <c r="BG112" i="25"/>
  <c r="BF103" i="25"/>
  <c r="BG103" i="25"/>
  <c r="AW198" i="25" a="1"/>
  <c r="AW198" i="25" s="1"/>
  <c r="BG113" i="25"/>
  <c r="BF106" i="25"/>
  <c r="BG106" i="25"/>
  <c r="AB208" i="24"/>
  <c r="AC208" i="24"/>
  <c r="AD208" i="24"/>
  <c r="AD754" i="24"/>
  <c r="AD756" i="24"/>
  <c r="AB203" i="24"/>
  <c r="AC203" i="24"/>
  <c r="AD203" i="24"/>
  <c r="BB198" i="25" l="1" a="1"/>
  <c r="BB198" i="25" s="1"/>
  <c r="AZ201" i="25" a="1"/>
  <c r="AZ201" i="25" s="1"/>
  <c r="AZ202" i="25" a="1"/>
  <c r="AZ202" i="25" s="1"/>
  <c r="BB199" i="25" a="1"/>
  <c r="BB199" i="25" s="1"/>
  <c r="BB202" i="25" a="1"/>
  <c r="BB202" i="25" s="1"/>
  <c r="BB204" i="25" a="1"/>
  <c r="BB204" i="25" s="1"/>
  <c r="AZ200" i="25" a="1"/>
  <c r="AZ200" i="25" s="1"/>
  <c r="BB200" i="25" a="1"/>
  <c r="BB200" i="25" s="1"/>
  <c r="AZ198" i="25" a="1"/>
  <c r="AZ198" i="25" s="1"/>
  <c r="AZ196" i="25" a="1"/>
  <c r="AZ196" i="25" s="1"/>
  <c r="AZ197" i="25" a="1"/>
  <c r="AZ197" i="25" s="1"/>
  <c r="AZ203" i="25" a="1"/>
  <c r="AZ203" i="25" s="1"/>
  <c r="AZ204" i="25" a="1"/>
  <c r="AZ204" i="25" s="1"/>
  <c r="BB203" i="25" a="1"/>
  <c r="BB203" i="25" s="1"/>
  <c r="BB201" i="25" a="1"/>
  <c r="BB201" i="25" s="1"/>
  <c r="Q110" i="25"/>
  <c r="Q112" i="25" s="1"/>
  <c r="Q111" i="25"/>
  <c r="Q113" i="25" s="1"/>
  <c r="BB196" i="25" a="1"/>
  <c r="BB196" i="25" s="1"/>
  <c r="BB197" i="25" a="1"/>
  <c r="BB197" i="25"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4"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5"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AN371" i="22" l="1"/>
  <c r="C17" i="22"/>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5" i="1" s="1"/>
  <c r="Z61" i="1"/>
  <c r="Z62" i="1" s="1"/>
  <c r="Z58" i="1"/>
  <c r="Z59" i="1" s="1"/>
  <c r="Z57" i="1"/>
  <c r="Z56" i="1"/>
  <c r="Z55" i="1"/>
  <c r="Z54" i="1"/>
  <c r="Z52" i="1"/>
  <c r="Z53" i="1" s="1"/>
  <c r="Z70" i="1"/>
  <c r="Z69"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Z63" i="1" l="1"/>
  <c r="X69" i="1"/>
  <c r="X70" i="1"/>
  <c r="J49" i="10"/>
  <c r="J47" i="10"/>
  <c r="L42" i="10"/>
  <c r="J42" i="10"/>
  <c r="K47" i="10" l="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68" i="20"/>
  <c r="P69" i="20"/>
  <c r="P70" i="20"/>
  <c r="P71" i="20"/>
  <c r="P72" i="20"/>
  <c r="P73" i="20"/>
  <c r="P75" i="20"/>
  <c r="P76" i="20"/>
  <c r="P77" i="20"/>
  <c r="P78" i="20"/>
  <c r="P79" i="20"/>
  <c r="P80" i="20"/>
  <c r="P81" i="20"/>
  <c r="P82" i="20"/>
  <c r="P83" i="20"/>
  <c r="P84" i="20"/>
  <c r="P85" i="20"/>
  <c r="P67"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K42" i="10" l="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88" i="20"/>
  <c r="G114"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6"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34"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J95" authorId="0" shapeId="0" xr:uid="{F646786E-69AF-4A6B-909F-10F617E89AA2}">
      <text>
        <r>
          <rPr>
            <b/>
            <sz val="9"/>
            <color indexed="81"/>
            <rFont val="Tahoma"/>
            <family val="2"/>
          </rPr>
          <t>John:</t>
        </r>
        <r>
          <rPr>
            <sz val="9"/>
            <color indexed="81"/>
            <rFont val="Tahoma"/>
            <family val="2"/>
          </rPr>
          <t xml:space="preserve">
5yr prices</t>
        </r>
      </text>
    </comment>
    <comment ref="K95" authorId="0" shapeId="0" xr:uid="{840C6A5C-ECC2-43CC-91A0-FD7287F8D476}">
      <text>
        <r>
          <rPr>
            <b/>
            <sz val="9"/>
            <color indexed="81"/>
            <rFont val="Tahoma"/>
            <family val="2"/>
          </rPr>
          <t>John:</t>
        </r>
        <r>
          <rPr>
            <sz val="9"/>
            <color indexed="81"/>
            <rFont val="Tahoma"/>
            <family val="2"/>
          </rPr>
          <t xml:space="preserve">
10yr prices</t>
        </r>
      </text>
    </comment>
    <comment ref="L95" authorId="0" shapeId="0" xr:uid="{8B3157CE-1C6E-4479-9A17-A614C8B5C219}">
      <text>
        <r>
          <rPr>
            <b/>
            <sz val="9"/>
            <color indexed="81"/>
            <rFont val="Tahoma"/>
            <family val="2"/>
          </rPr>
          <t>John:</t>
        </r>
        <r>
          <rPr>
            <sz val="9"/>
            <color indexed="81"/>
            <rFont val="Tahoma"/>
            <family val="2"/>
          </rPr>
          <t xml:space="preserve">
20yr prices</t>
        </r>
      </text>
    </comment>
    <comment ref="AG95" authorId="0" shapeId="0" xr:uid="{B27B70C3-E804-4300-8C0F-E1CCACB4B557}">
      <text>
        <r>
          <rPr>
            <b/>
            <sz val="9"/>
            <color indexed="81"/>
            <rFont val="Tahoma"/>
            <family val="2"/>
          </rPr>
          <t>John:</t>
        </r>
        <r>
          <rPr>
            <sz val="9"/>
            <color indexed="81"/>
            <rFont val="Tahoma"/>
            <family val="2"/>
          </rPr>
          <t xml:space="preserve">
5yr prices</t>
        </r>
      </text>
    </comment>
    <comment ref="AH95" authorId="0" shapeId="0" xr:uid="{3CA4C204-C1F3-4477-8BFF-B4FBA84F7AD2}">
      <text>
        <r>
          <rPr>
            <b/>
            <sz val="9"/>
            <color indexed="81"/>
            <rFont val="Tahoma"/>
            <family val="2"/>
          </rPr>
          <t>John:</t>
        </r>
        <r>
          <rPr>
            <sz val="9"/>
            <color indexed="81"/>
            <rFont val="Tahoma"/>
            <family val="2"/>
          </rPr>
          <t xml:space="preserve">
10yr prices</t>
        </r>
      </text>
    </comment>
    <comment ref="AI95" authorId="0" shapeId="0" xr:uid="{438C49DC-2F3A-4B19-B9F4-2AD963E74C74}">
      <text>
        <r>
          <rPr>
            <b/>
            <sz val="9"/>
            <color indexed="81"/>
            <rFont val="Tahoma"/>
            <family val="2"/>
          </rPr>
          <t>John:</t>
        </r>
        <r>
          <rPr>
            <sz val="9"/>
            <color indexed="81"/>
            <rFont val="Tahoma"/>
            <family val="2"/>
          </rPr>
          <t xml:space="preserve">
20yr prices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A182" authorId="0" shapeId="0" xr:uid="{6C0115D6-D3EA-41EB-8D30-E20738A22F78}">
      <text>
        <r>
          <rPr>
            <b/>
            <sz val="9"/>
            <color indexed="81"/>
            <rFont val="Tahoma"/>
            <family val="2"/>
          </rPr>
          <t>John:</t>
        </r>
        <r>
          <rPr>
            <sz val="9"/>
            <color indexed="81"/>
            <rFont val="Tahoma"/>
            <family val="2"/>
          </rPr>
          <t xml:space="preserve">
5yr prices</t>
        </r>
      </text>
    </comment>
    <comment ref="AB182" authorId="0" shapeId="0" xr:uid="{4B6CAC43-DEE1-4864-99B9-882DEA1C3EDC}">
      <text>
        <r>
          <rPr>
            <b/>
            <sz val="9"/>
            <color indexed="81"/>
            <rFont val="Tahoma"/>
            <family val="2"/>
          </rPr>
          <t>John:</t>
        </r>
        <r>
          <rPr>
            <sz val="9"/>
            <color indexed="81"/>
            <rFont val="Tahoma"/>
            <family val="2"/>
          </rPr>
          <t xml:space="preserve">
10yr prices</t>
        </r>
      </text>
    </comment>
    <comment ref="AC182" authorId="0" shapeId="0" xr:uid="{20B9A55A-BD69-43B9-9697-BDC107C94051}">
      <text>
        <r>
          <rPr>
            <b/>
            <sz val="9"/>
            <color indexed="81"/>
            <rFont val="Tahoma"/>
            <family val="2"/>
          </rPr>
          <t>John:</t>
        </r>
        <r>
          <rPr>
            <sz val="9"/>
            <color indexed="81"/>
            <rFont val="Tahoma"/>
            <family val="2"/>
          </rPr>
          <t xml:space="preserve">
20yr prices</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Average price of lamb &amp;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Q198" authorId="0" shapeId="0" xr:uid="{9BE46DD7-3BDE-4A3A-A8E9-05763F41F4D1}">
      <text>
        <r>
          <rPr>
            <b/>
            <sz val="9"/>
            <color indexed="81"/>
            <rFont val="Tahoma"/>
            <family val="2"/>
          </rPr>
          <t>John:</t>
        </r>
        <r>
          <rPr>
            <sz val="9"/>
            <color indexed="81"/>
            <rFont val="Tahoma"/>
            <family val="2"/>
          </rPr>
          <t xml:space="preserve">
Adjusted for MLP so that price per kg is flat for 10kg carcase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X200" authorId="0" shapeId="0" xr:uid="{FABFDF16-0882-47E7-8F91-FC72C0EA6A6F}">
      <text>
        <r>
          <rPr>
            <b/>
            <sz val="9"/>
            <color indexed="81"/>
            <rFont val="Tahoma"/>
            <family val="2"/>
          </rPr>
          <t>John:</t>
        </r>
        <r>
          <rPr>
            <sz val="9"/>
            <color indexed="81"/>
            <rFont val="Tahoma"/>
            <family val="2"/>
          </rPr>
          <t xml:space="preserve">
Adjusted because this had been a bit of a hole</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97F92D76-482C-4F38-9FDF-718720E049D0}">
      <text>
        <r>
          <rPr>
            <b/>
            <sz val="9"/>
            <color indexed="81"/>
            <rFont val="Tahoma"/>
            <family val="2"/>
          </rPr>
          <t>Southern Dirt:</t>
        </r>
        <r>
          <rPr>
            <sz val="9"/>
            <color indexed="81"/>
            <rFont val="Tahoma"/>
            <family val="2"/>
          </rPr>
          <t xml:space="preserve">
non-irigated pastures</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G66"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6"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6"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6"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6"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6"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5" authorId="1" shapeId="0" xr:uid="{24ACAB97-59CF-4554-ABC3-57EE1368C527}">
      <text>
        <r>
          <rPr>
            <b/>
            <sz val="9"/>
            <color indexed="81"/>
            <rFont val="Tahoma"/>
            <family val="2"/>
          </rPr>
          <t>Michael:</t>
        </r>
        <r>
          <rPr>
            <sz val="9"/>
            <color indexed="81"/>
            <rFont val="Tahoma"/>
            <family val="2"/>
          </rPr>
          <t xml:space="preserve">
combo of ceral and pulse</t>
        </r>
      </text>
    </comment>
    <comment ref="I100"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3"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4"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V69" authorId="0" shapeId="0" xr:uid="{EAEEA7B2-04E3-49AF-89E3-B04BA14B24DC}">
      <text>
        <r>
          <rPr>
            <b/>
            <sz val="9"/>
            <color indexed="81"/>
            <rFont val="Tahoma"/>
            <family val="2"/>
          </rPr>
          <t>John:</t>
        </r>
        <r>
          <rPr>
            <sz val="9"/>
            <color indexed="81"/>
            <rFont val="Tahoma"/>
            <family val="2"/>
          </rPr>
          <t xml:space="preserve">
0 if yearling progeny are all sold and not used as replacements</t>
        </r>
      </text>
    </comment>
    <comment ref="W69" authorId="0" shapeId="0" xr:uid="{A02E8FD4-91CB-4520-AA73-10B125141921}">
      <text>
        <r>
          <rPr>
            <b/>
            <sz val="9"/>
            <color indexed="81"/>
            <rFont val="Tahoma"/>
            <family val="2"/>
          </rPr>
          <t>John:</t>
        </r>
        <r>
          <rPr>
            <sz val="9"/>
            <color indexed="81"/>
            <rFont val="Tahoma"/>
            <family val="2"/>
          </rPr>
          <t xml:space="preserve">
0 if yearling progeny are all sold and not used as replacements</t>
        </r>
      </text>
    </comment>
    <comment ref="X69" authorId="0" shapeId="0" xr:uid="{7ED4D780-935B-45EE-BAF8-C0B02F83C2EB}">
      <text>
        <r>
          <rPr>
            <b/>
            <sz val="9"/>
            <color indexed="81"/>
            <rFont val="Tahoma"/>
            <family val="2"/>
          </rPr>
          <t>John:</t>
        </r>
        <r>
          <rPr>
            <sz val="9"/>
            <color indexed="81"/>
            <rFont val="Tahoma"/>
            <family val="2"/>
          </rPr>
          <t xml:space="preserve">
0 if yearling progeny are all sold and not used as replacements</t>
        </r>
      </text>
    </comment>
    <comment ref="Y69" authorId="0" shapeId="0" xr:uid="{10007754-052C-4F21-A988-D2B4C59077AC}">
      <text>
        <r>
          <rPr>
            <b/>
            <sz val="9"/>
            <color indexed="81"/>
            <rFont val="Tahoma"/>
            <family val="2"/>
          </rPr>
          <t>John:</t>
        </r>
        <r>
          <rPr>
            <sz val="9"/>
            <color indexed="81"/>
            <rFont val="Tahoma"/>
            <family val="2"/>
          </rPr>
          <t xml:space="preserve">
0 if yearling progeny are all sold and not used as replacements</t>
        </r>
      </text>
    </comment>
    <comment ref="Z69" authorId="0" shapeId="0" xr:uid="{B4281B7E-A5E1-4D6B-AE78-0C4A3F2360DE}">
      <text>
        <r>
          <rPr>
            <b/>
            <sz val="9"/>
            <color indexed="81"/>
            <rFont val="Tahoma"/>
            <family val="2"/>
          </rPr>
          <t>John:</t>
        </r>
        <r>
          <rPr>
            <sz val="9"/>
            <color indexed="81"/>
            <rFont val="Tahoma"/>
            <family val="2"/>
          </rPr>
          <t xml:space="preserve">
0 if yearling progeny are all sold and not used as replacements</t>
        </r>
      </text>
    </comment>
    <comment ref="AA69" authorId="0" shapeId="0" xr:uid="{A54418A5-DB56-4D98-851D-B8F8A6618243}">
      <text>
        <r>
          <rPr>
            <b/>
            <sz val="9"/>
            <color indexed="81"/>
            <rFont val="Tahoma"/>
            <family val="2"/>
          </rPr>
          <t>John:</t>
        </r>
        <r>
          <rPr>
            <sz val="9"/>
            <color indexed="81"/>
            <rFont val="Tahoma"/>
            <family val="2"/>
          </rPr>
          <t xml:space="preserve">
0 if yearling progeny are all sold and not used as replacements</t>
        </r>
      </text>
    </comment>
    <comment ref="AB69" authorId="0" shapeId="0" xr:uid="{64B54E50-2997-4D41-8E5B-988B46ADC395}">
      <text>
        <r>
          <rPr>
            <b/>
            <sz val="9"/>
            <color indexed="81"/>
            <rFont val="Tahoma"/>
            <family val="2"/>
          </rPr>
          <t>John:</t>
        </r>
        <r>
          <rPr>
            <sz val="9"/>
            <color indexed="81"/>
            <rFont val="Tahoma"/>
            <family val="2"/>
          </rPr>
          <t xml:space="preserve">
0 if yearling progeny are all sold and not used as replacements</t>
        </r>
      </text>
    </comment>
    <comment ref="AC69" authorId="0" shapeId="0" xr:uid="{DC6ECC96-59D7-434A-BE3D-FED0808F8A56}">
      <text>
        <r>
          <rPr>
            <b/>
            <sz val="9"/>
            <color indexed="81"/>
            <rFont val="Tahoma"/>
            <family val="2"/>
          </rPr>
          <t>John:</t>
        </r>
        <r>
          <rPr>
            <sz val="9"/>
            <color indexed="81"/>
            <rFont val="Tahoma"/>
            <family val="2"/>
          </rPr>
          <t xml:space="preserve">
0 if yearling progeny are all sold and not used as replacements</t>
        </r>
      </text>
    </comment>
    <comment ref="AD69" authorId="0" shapeId="0" xr:uid="{402634DE-75D0-485E-BD68-4C16D5DEFBB8}">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Y283" authorId="0" shapeId="0" xr:uid="{1E7754E6-2441-4DDE-917E-12DB1BA8257A}">
      <text>
        <r>
          <rPr>
            <b/>
            <sz val="9"/>
            <color indexed="81"/>
            <rFont val="Tahoma"/>
            <family val="2"/>
          </rPr>
          <t>John:</t>
        </r>
        <r>
          <rPr>
            <sz val="9"/>
            <color indexed="81"/>
            <rFont val="Tahoma"/>
            <family val="2"/>
          </rPr>
          <t xml:space="preserve">
Calibrated to increase Wwt</t>
        </r>
      </text>
    </comment>
    <comment ref="Z283" authorId="0" shapeId="0" xr:uid="{1A31FCB3-A5CD-4B1D-8F22-655EBABEC4BA}">
      <text>
        <r>
          <rPr>
            <b/>
            <sz val="9"/>
            <color indexed="81"/>
            <rFont val="Tahoma"/>
            <family val="2"/>
          </rPr>
          <t>John:</t>
        </r>
        <r>
          <rPr>
            <sz val="9"/>
            <color indexed="81"/>
            <rFont val="Tahoma"/>
            <family val="2"/>
          </rPr>
          <t xml:space="preserve">
Calibrated to increase Wwt</t>
        </r>
      </text>
    </comment>
    <comment ref="AA283" authorId="0" shapeId="0" xr:uid="{BABDCC2B-DC32-4900-B809-699B9D97832E}">
      <text>
        <r>
          <rPr>
            <b/>
            <sz val="9"/>
            <color indexed="81"/>
            <rFont val="Tahoma"/>
            <family val="2"/>
          </rPr>
          <t>John:</t>
        </r>
        <r>
          <rPr>
            <sz val="9"/>
            <color indexed="81"/>
            <rFont val="Tahoma"/>
            <family val="2"/>
          </rPr>
          <t xml:space="preserve">
Calibrated to increase Wwt</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B331" authorId="0" shapeId="0" xr:uid="{912EBE95-00EF-4469-9DED-8FC1656D9425}">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54" authorId="0" shapeId="0" xr:uid="{0CB42334-4B56-4971-99E4-88E13FE09584}">
      <text>
        <r>
          <rPr>
            <b/>
            <sz val="9"/>
            <color indexed="81"/>
            <rFont val="Tahoma"/>
            <family val="2"/>
          </rPr>
          <t>John:</t>
        </r>
        <r>
          <rPr>
            <sz val="9"/>
            <color indexed="81"/>
            <rFont val="Tahoma"/>
            <family val="2"/>
          </rPr>
          <t xml:space="preserve">
Calibrate to reduce TwS to about 70%</t>
        </r>
      </text>
    </comment>
    <comment ref="Z854" authorId="0" shapeId="0" xr:uid="{B788AD77-A877-4774-8729-5B71A5AEE668}">
      <text>
        <r>
          <rPr>
            <b/>
            <sz val="9"/>
            <color indexed="81"/>
            <rFont val="Tahoma"/>
            <family val="2"/>
          </rPr>
          <t>John:</t>
        </r>
        <r>
          <rPr>
            <sz val="9"/>
            <color indexed="81"/>
            <rFont val="Tahoma"/>
            <family val="2"/>
          </rPr>
          <t xml:space="preserve">
Calibrate to reduce TwS to about 70%</t>
        </r>
      </text>
    </comment>
    <comment ref="AA854" authorId="0" shapeId="0" xr:uid="{0B85654F-20A1-4FAF-BA8A-E7169E2C6BE7}">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Y920" authorId="0" shapeId="0" xr:uid="{0B4868C7-5417-4405-9269-8C36FC12AD49}">
      <text>
        <r>
          <rPr>
            <b/>
            <sz val="9"/>
            <color indexed="81"/>
            <rFont val="Tahoma"/>
            <family val="2"/>
          </rPr>
          <t>John:</t>
        </r>
        <r>
          <rPr>
            <sz val="9"/>
            <color indexed="81"/>
            <rFont val="Tahoma"/>
            <family val="2"/>
          </rPr>
          <t xml:space="preserve">
Calibrated for 8% dry</t>
        </r>
      </text>
    </comment>
    <comment ref="Z920" authorId="0" shapeId="0" xr:uid="{48225AB3-CBFF-403B-8283-4B6AB4EEEA16}">
      <text>
        <r>
          <rPr>
            <b/>
            <sz val="9"/>
            <color indexed="81"/>
            <rFont val="Tahoma"/>
            <family val="2"/>
          </rPr>
          <t>John:</t>
        </r>
        <r>
          <rPr>
            <sz val="9"/>
            <color indexed="81"/>
            <rFont val="Tahoma"/>
            <family val="2"/>
          </rPr>
          <t xml:space="preserve">
Calibrated for 8% dry</t>
        </r>
      </text>
    </comment>
    <comment ref="AA920" authorId="0" shapeId="0" xr:uid="{A7AFDEC2-8437-4251-8945-AD8A06AC2784}">
      <text>
        <r>
          <rPr>
            <b/>
            <sz val="9"/>
            <color indexed="81"/>
            <rFont val="Tahoma"/>
            <family val="2"/>
          </rPr>
          <t>John:</t>
        </r>
        <r>
          <rPr>
            <sz val="9"/>
            <color indexed="81"/>
            <rFont val="Tahoma"/>
            <family val="2"/>
          </rPr>
          <t xml:space="preserve">
Calibrated for 8% dry</t>
        </r>
      </text>
    </comment>
    <comment ref="W921"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1"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21" authorId="0" shapeId="0" xr:uid="{67EA9BD4-81CD-4C32-9074-AD9E7AC108CE}">
      <text>
        <r>
          <rPr>
            <b/>
            <sz val="9"/>
            <color indexed="81"/>
            <rFont val="Tahoma"/>
            <family val="2"/>
          </rPr>
          <t>John:</t>
        </r>
        <r>
          <rPr>
            <sz val="9"/>
            <color indexed="81"/>
            <rFont val="Tahoma"/>
            <family val="2"/>
          </rPr>
          <t xml:space="preserve">
Adjusted to keep scanning % similar when % drys increased</t>
        </r>
      </text>
    </comment>
    <comment ref="Z921" authorId="0" shapeId="0" xr:uid="{87ED2BD0-6B74-4D3A-9641-A2315A7018E4}">
      <text>
        <r>
          <rPr>
            <b/>
            <sz val="9"/>
            <color indexed="81"/>
            <rFont val="Tahoma"/>
            <family val="2"/>
          </rPr>
          <t>John:</t>
        </r>
        <r>
          <rPr>
            <sz val="9"/>
            <color indexed="81"/>
            <rFont val="Tahoma"/>
            <family val="2"/>
          </rPr>
          <t xml:space="preserve">
Adjusted to keep scanning % similar when % drys increased</t>
        </r>
      </text>
    </comment>
    <comment ref="AA921" authorId="0" shapeId="0" xr:uid="{57E2A611-6C73-4392-86FD-11553C01082F}">
      <text>
        <r>
          <rPr>
            <b/>
            <sz val="9"/>
            <color indexed="81"/>
            <rFont val="Tahoma"/>
            <family val="2"/>
          </rPr>
          <t>John:</t>
        </r>
        <r>
          <rPr>
            <sz val="9"/>
            <color indexed="81"/>
            <rFont val="Tahoma"/>
            <family val="2"/>
          </rPr>
          <t xml:space="preserve">
Adjusted to keep scanning % similar when % drys increased</t>
        </r>
      </text>
    </comment>
    <comment ref="W92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Y924" authorId="0" shapeId="0" xr:uid="{9B150632-758E-4293-8C06-6F7186449D60}">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Z924" authorId="0" shapeId="0" xr:uid="{496A789E-600C-48EF-A84E-E48709D1876C}">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AA924" authorId="0" shapeId="0" xr:uid="{C0289CF3-C565-449E-AEC7-7F3F4D0DE3A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2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13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13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13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14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14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16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17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18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188"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Y1188" authorId="0" shapeId="0" xr:uid="{1630264D-9E35-47D7-9A4C-29D954219165}">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Z1188" authorId="0" shapeId="0" xr:uid="{D3A2C2EF-16C4-4A63-81BD-75BD43E933B1}">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188" authorId="0" shapeId="0" xr:uid="{0EB75CA6-B105-4FCF-B38D-A6E871403162}">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U129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U149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50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H1507"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520"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<sst xmlns="http://schemas.openxmlformats.org/spreadsheetml/2006/main" count="5766" uniqueCount="3344">
  <si>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</si>
  <si>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</si>
  <si>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</si>
  <si>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</si>
  <si>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</si>
  <si>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</si>
  <si>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</si>
  <si>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</si>
  <si>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</si>
  <si>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</si>
  <si>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</si>
  <si>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</si>
  <si>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</si>
  <si>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</si>
  <si>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</si>
  <si>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</si>
  <si>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</si>
  <si>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</si>
  <si>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</si>
  <si>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</si>
  <si>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</si>
  <si>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</si>
  <si>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</si>
  <si>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</si>
  <si>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</si>
  <si>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</si>
  <si>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</si>
  <si>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</si>
  <si>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</si>
  <si>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</si>
  <si>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</si>
  <si>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</si>
  <si>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</si>
  <si>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</si>
  <si>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</si>
  <si>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</si>
  <si>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</si>
  <si>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</si>
  <si>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</si>
  <si>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</si>
  <si>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</si>
  <si>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</si>
  <si>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</si>
  <si>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</si>
  <si>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</si>
  <si>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</si>
  <si>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</si>
  <si>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</si>
  <si>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</si>
  <si>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</si>
  <si>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</si>
  <si>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</si>
  <si>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</si>
  <si>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</si>
  <si>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</si>
  <si>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</si>
  <si>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</si>
  <si>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</si>
  <si>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</si>
  <si>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</si>
  <si>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</si>
  <si>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</si>
  <si>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</si>
  <si>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</si>
  <si>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</si>
  <si>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</si>
  <si>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</si>
  <si>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</si>
  <si>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</si>
  <si>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</si>
  <si>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</si>
  <si>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</si>
  <si>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</si>
  <si>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</si>
  <si>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</si>
  <si>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</si>
  <si>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</si>
  <si>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</si>
  <si>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</si>
  <si>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</si>
  <si>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</si>
  <si>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</si>
  <si>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</si>
  <si>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</si>
  <si>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</si>
  <si>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</si>
  <si>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</si>
  <si>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</si>
  <si>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</si>
  <si>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</si>
  <si>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</si>
  <si>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</si>
  <si>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</si>
  <si>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</si>
  <si>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</si>
  <si>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</si>
  <si>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</si>
  <si>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</si>
  <si>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</si>
  <si>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</si>
  <si>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</si>
  <si>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</si>
  <si>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</si>
  <si>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</si>
  <si>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</si>
  <si>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</si>
  <si>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</si>
  <si>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</si>
  <si>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</si>
  <si>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</si>
  <si>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</si>
  <si>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</si>
  <si>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</si>
  <si>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</si>
  <si>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</si>
  <si>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</si>
  <si>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</si>
  <si>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</si>
  <si>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</si>
  <si>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</si>
  <si>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</si>
  <si>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</si>
  <si>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</si>
  <si>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</si>
  <si>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</si>
  <si>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</si>
  <si>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</si>
  <si>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</si>
  <si>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</si>
  <si>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</si>
  <si>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</si>
  <si>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</si>
  <si>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</si>
  <si>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</si>
  <si>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</si>
  <si>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</si>
  <si>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</si>
  <si>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</si>
  <si>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</si>
  <si>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</si>
  <si>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</si>
  <si>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</si>
  <si>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</si>
  <si>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</si>
  <si>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</si>
  <si>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</si>
  <si>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</si>
  <si>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</si>
  <si>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</si>
  <si>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</si>
  <si>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</si>
  <si>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</si>
  <si>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</si>
  <si>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</si>
  <si>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</si>
  <si>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</si>
  <si>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</si>
  <si>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</si>
  <si>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</si>
  <si>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</si>
  <si>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</si>
  <si>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</si>
  <si>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</si>
  <si>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</si>
  <si>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</si>
  <si>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</si>
  <si>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</si>
  <si>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</si>
  <si>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</si>
  <si>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</si>
  <si>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</si>
  <si>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</si>
  <si>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</si>
  <si>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</si>
  <si>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</si>
  <si>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</si>
  <si>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</si>
  <si>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</si>
  <si>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</si>
  <si>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</si>
  <si>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</si>
  <si>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</si>
  <si>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</si>
  <si>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</si>
  <si>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</si>
  <si>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</si>
  <si>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</si>
  <si>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</si>
  <si>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</si>
  <si>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</si>
  <si>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</si>
  <si>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</si>
  <si>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</si>
  <si>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</si>
  <si>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</si>
  <si>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</si>
  <si>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</si>
  <si>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</si>
  <si>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</si>
  <si>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</si>
  <si>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</si>
  <si>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</si>
  <si>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</si>
  <si>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</si>
  <si>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</si>
  <si>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</si>
  <si>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</si>
  <si>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</si>
  <si>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</si>
  <si>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</si>
  <si>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</si>
  <si>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</si>
  <si>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</si>
  <si>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</si>
  <si>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</si>
  <si>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</si>
  <si>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</si>
  <si>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</si>
  <si>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</si>
  <si>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</si>
  <si>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</si>
  <si>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</si>
  <si>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</si>
  <si>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</si>
  <si>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</si>
  <si>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</si>
  <si>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</si>
  <si>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</si>
  <si>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</si>
  <si>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</si>
  <si>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</si>
  <si>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</si>
  <si>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</si>
  <si>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</si>
  <si>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</si>
  <si>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</si>
  <si>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</si>
  <si>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</si>
  <si>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</si>
  <si>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</si>
  <si>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</si>
  <si>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</si>
  <si>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</si>
  <si>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</si>
  <si>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</si>
  <si>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</si>
  <si>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</si>
  <si>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</si>
  <si>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</si>
  <si>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</si>
  <si>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</si>
  <si>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</si>
  <si>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</si>
  <si>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</si>
  <si>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</si>
  <si>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</si>
  <si>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</si>
  <si>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</si>
  <si>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</si>
  <si>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</si>
  <si>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</si>
  <si>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</si>
  <si>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</si>
  <si>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</si>
  <si>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</si>
  <si>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</si>
  <si>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</si>
  <si>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</si>
  <si>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</si>
  <si>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</si>
  <si>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</si>
  <si>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</si>
  <si>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</si>
  <si>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</si>
  <si>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</si>
  <si>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</si>
  <si>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</si>
  <si>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</si>
  <si>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</si>
  <si>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</si>
  <si>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</si>
  <si>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</si>
  <si>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</si>
  <si>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</si>
  <si>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</si>
  <si>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</si>
  <si>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</si>
  <si>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</si>
  <si>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</si>
  <si>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</si>
  <si>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</si>
  <si>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</si>
  <si>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</si>
  <si>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</si>
  <si>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</si>
  <si>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</si>
  <si>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</si>
  <si>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</si>
  <si>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</si>
  <si>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</si>
  <si>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</si>
  <si>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</si>
  <si>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</si>
  <si>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</si>
  <si>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</si>
  <si>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</si>
  <si>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</si>
  <si>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</si>
  <si>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</si>
  <si>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</si>
  <si>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</si>
  <si>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</si>
  <si>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</si>
  <si>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</si>
  <si>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</si>
  <si>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</si>
  <si>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</si>
  <si>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</si>
  <si>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</si>
  <si>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</si>
  <si>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</si>
  <si>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</si>
  <si>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</si>
  <si>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</si>
  <si>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</si>
  <si>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</si>
  <si>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</si>
  <si>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</si>
  <si>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</si>
  <si>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</si>
  <si>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</si>
  <si>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</si>
  <si>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</si>
  <si>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</si>
  <si>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</si>
  <si>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</si>
  <si>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</si>
  <si>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</si>
  <si>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</si>
  <si>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</si>
  <si>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</si>
  <si>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</si>
  <si>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</si>
  <si>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</si>
  <si>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</si>
  <si>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</si>
  <si>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</si>
  <si>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</si>
  <si>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</si>
  <si>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</si>
  <si>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</si>
  <si>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</si>
  <si>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</si>
  <si>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</si>
  <si>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</si>
  <si>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</si>
  <si>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</si>
  <si>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</si>
  <si>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</si>
  <si>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</si>
  <si>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</si>
  <si>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</si>
  <si>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</si>
  <si>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</si>
  <si>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</si>
  <si>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</si>
  <si>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</si>
  <si>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</si>
  <si>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</si>
  <si>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</si>
  <si>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</si>
  <si>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</si>
  <si>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</si>
  <si>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</si>
  <si>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</si>
  <si>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</si>
  <si>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</si>
  <si>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</si>
  <si>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</si>
  <si>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</si>
  <si>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</si>
  <si>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</si>
  <si>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</si>
  <si>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</si>
  <si>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</si>
  <si>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</si>
  <si>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</si>
  <si>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</si>
  <si>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</si>
  <si>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</si>
  <si>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</si>
  <si>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</si>
  <si>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</si>
  <si>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</si>
  <si>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</si>
  <si>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</si>
  <si>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</si>
  <si>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</si>
  <si>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</si>
  <si>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</si>
  <si>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</si>
  <si>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</si>
  <si>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</si>
  <si>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</si>
  <si>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</si>
  <si>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</si>
  <si>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</si>
  <si>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</si>
  <si>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</si>
  <si>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</si>
  <si>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</si>
  <si>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</si>
  <si>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</si>
  <si>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</si>
  <si>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</si>
  <si>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</si>
  <si>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</si>
  <si>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</si>
  <si>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</si>
  <si>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</si>
  <si>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</si>
  <si>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</si>
  <si>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</si>
  <si>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</si>
  <si>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</si>
  <si>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</si>
  <si>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</si>
  <si>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</si>
  <si>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</si>
  <si>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</si>
  <si>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</si>
  <si>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</si>
  <si>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</si>
  <si>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</si>
  <si>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</si>
  <si>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</si>
  <si>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</si>
  <si>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</si>
  <si>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</si>
  <si>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</si>
  <si>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</si>
  <si>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</si>
  <si>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</si>
  <si>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</si>
  <si>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</si>
  <si>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</si>
  <si>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</si>
  <si>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</si>
  <si>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</si>
  <si>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</si>
  <si>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</si>
  <si>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</si>
  <si>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</si>
  <si>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</si>
  <si>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</si>
  <si>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</si>
  <si>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</si>
  <si>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</si>
  <si>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</si>
  <si>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</si>
  <si>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</si>
  <si>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</si>
  <si>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</si>
  <si>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</si>
  <si>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</si>
  <si>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</si>
  <si>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</si>
  <si>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</si>
  <si>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</si>
  <si>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</si>
  <si>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</si>
  <si>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</si>
  <si>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</si>
  <si>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</si>
  <si>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</si>
  <si>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</si>
  <si>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</si>
  <si>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</si>
  <si>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</si>
  <si>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</si>
  <si>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</si>
  <si>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</si>
  <si>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</si>
  <si>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</si>
  <si>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</si>
  <si>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</si>
  <si>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</si>
  <si>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</si>
  <si>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</si>
  <si>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</si>
  <si>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</si>
  <si>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</si>
  <si>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</si>
  <si>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</si>
  <si>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</si>
  <si>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</si>
  <si>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</si>
  <si>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</si>
  <si>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</si>
  <si>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</si>
  <si>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</si>
  <si>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</si>
  <si>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</si>
  <si>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</si>
  <si>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</si>
  <si>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</si>
  <si>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</si>
  <si>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</si>
  <si>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</si>
  <si>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</si>
  <si>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</si>
  <si>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</si>
  <si>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</si>
  <si>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</si>
  <si>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</si>
  <si>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</si>
  <si>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</si>
  <si>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</si>
  <si>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</si>
  <si>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</si>
  <si>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</si>
  <si>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</si>
  <si>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</si>
  <si>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</si>
  <si>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</si>
  <si>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</si>
  <si>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</si>
  <si>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</si>
  <si>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</si>
  <si>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</si>
  <si>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</si>
  <si>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</si>
  <si>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</si>
  <si>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</si>
  <si>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</si>
  <si>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</si>
  <si>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</si>
  <si>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</si>
  <si>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</si>
  <si>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</si>
  <si>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</si>
  <si>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</si>
  <si>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</si>
  <si>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</si>
  <si>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</si>
  <si>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</si>
  <si>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</si>
  <si>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</si>
  <si>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</si>
  <si>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</si>
  <si>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</si>
  <si>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</si>
  <si>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</si>
  <si>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</si>
  <si>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</si>
  <si>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</si>
  <si>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</si>
  <si>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</si>
  <si>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</si>
  <si>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</si>
  <si>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</si>
  <si>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</si>
  <si>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</si>
  <si>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</si>
  <si>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</si>
  <si>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</si>
  <si>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</si>
  <si>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</si>
  <si>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</si>
  <si>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</si>
  <si>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</si>
  <si>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</si>
  <si>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</si>
  <si>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</si>
  <si>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</si>
  <si>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</si>
  <si>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</si>
  <si>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</si>
  <si>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</si>
  <si>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</si>
  <si>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</si>
  <si>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</si>
  <si>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</si>
  <si>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</si>
  <si>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</si>
  <si>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</si>
  <si>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</si>
  <si>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</si>
  <si>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</si>
  <si>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</si>
  <si>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</si>
  <si>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</si>
  <si>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</si>
  <si>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</si>
  <si>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</si>
  <si>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</si>
  <si>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</si>
  <si>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</si>
  <si>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</si>
  <si>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</si>
  <si>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</si>
  <si>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</si>
  <si>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</si>
  <si>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</si>
  <si>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</si>
  <si>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</si>
  <si>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</si>
  <si>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</si>
  <si>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</si>
  <si>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</si>
  <si>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</si>
  <si>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</si>
  <si>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</si>
  <si>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</si>
  <si>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</si>
  <si>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</si>
  <si>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</si>
  <si>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</si>
  <si>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</si>
  <si>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</si>
  <si>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</si>
  <si>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</si>
  <si>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</si>
  <si>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</si>
  <si>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</si>
  <si>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</si>
  <si>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</si>
  <si>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</si>
  <si>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</si>
  <si>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</si>
  <si>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</si>
  <si>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</si>
  <si>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</si>
  <si>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</si>
  <si>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</si>
  <si>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</si>
  <si>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</si>
  <si>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</si>
  <si>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</si>
  <si>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</si>
  <si>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</si>
  <si>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</si>
  <si>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</si>
  <si>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</si>
  <si>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</si>
  <si>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</si>
  <si>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</si>
  <si>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</si>
  <si>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</si>
  <si>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</si>
  <si>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</si>
  <si>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</si>
  <si>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</si>
  <si>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</si>
  <si>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</si>
  <si>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</si>
  <si>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</si>
  <si>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</si>
  <si>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</si>
  <si>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</si>
  <si>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</si>
  <si>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</si>
  <si>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</si>
  <si>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</si>
  <si>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</si>
  <si>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</si>
  <si>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</si>
  <si>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</si>
  <si>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</si>
  <si>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</si>
  <si>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</si>
  <si>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</si>
  <si>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</si>
  <si>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</si>
  <si>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</si>
  <si>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</si>
  <si>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</si>
  <si>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</si>
  <si>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</si>
  <si>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</si>
  <si>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</si>
  <si>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</si>
  <si>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</si>
  <si>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</si>
  <si>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</si>
  <si>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</si>
  <si>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</si>
  <si>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</si>
  <si>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</si>
  <si>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</si>
  <si>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</si>
  <si>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</si>
  <si>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</si>
  <si>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</si>
  <si>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</si>
  <si>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</si>
  <si>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</si>
  <si>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</si>
  <si>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</si>
  <si>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</si>
  <si>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</si>
  <si>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</si>
  <si>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</si>
  <si>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</si>
  <si>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</si>
  <si>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</si>
  <si>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</si>
  <si>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</si>
  <si>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</si>
  <si>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</si>
  <si>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</si>
  <si>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</si>
  <si>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</si>
  <si>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</si>
  <si>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</si>
  <si>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</si>
  <si>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</si>
  <si>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</si>
  <si>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</si>
  <si>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</si>
  <si>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</si>
  <si>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</si>
  <si>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</si>
  <si>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</si>
  <si>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</si>
  <si>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</si>
  <si>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</si>
  <si>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</si>
  <si>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</si>
  <si>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</si>
  <si>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</si>
  <si>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</si>
  <si>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</si>
  <si>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</si>
  <si>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</si>
  <si>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</si>
  <si>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</si>
  <si>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</si>
  <si>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</si>
  <si>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</si>
  <si>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</si>
  <si>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</si>
  <si>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</si>
  <si>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</si>
  <si>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</si>
  <si>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</si>
  <si>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</si>
  <si>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</si>
  <si>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</si>
  <si>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</si>
  <si>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</si>
  <si>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</si>
  <si>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</si>
  <si>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</si>
  <si>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</si>
  <si>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</si>
  <si>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</si>
  <si>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</si>
  <si>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</si>
  <si>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</si>
  <si>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</si>
  <si>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</si>
  <si>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</si>
  <si>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</si>
  <si>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</si>
  <si>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</si>
  <si>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</si>
  <si>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</si>
  <si>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</si>
  <si>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</si>
  <si>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</si>
  <si>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</si>
  <si>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</si>
  <si>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</si>
  <si>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</si>
  <si>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</si>
  <si>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</si>
  <si>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</si>
  <si>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</si>
  <si>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</si>
  <si>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</si>
  <si>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</si>
  <si>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</si>
  <si>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</si>
  <si>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</si>
  <si>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</si>
  <si>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</si>
  <si>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</si>
  <si>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</si>
  <si>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</si>
  <si>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</si>
  <si>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</si>
  <si>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</si>
  <si>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</si>
  <si>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</si>
  <si>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</si>
  <si>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</si>
  <si>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</si>
  <si>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</si>
  <si>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</si>
  <si>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</si>
  <si>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</si>
  <si>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</si>
  <si>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</si>
  <si>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</si>
  <si>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</si>
  <si>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</si>
  <si>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</si>
  <si>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</si>
  <si>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</si>
  <si>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</si>
  <si>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</si>
  <si>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</si>
  <si>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</si>
  <si>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</si>
  <si>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</si>
  <si>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</si>
  <si>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</si>
  <si>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</si>
  <si>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</si>
  <si>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</si>
  <si>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</si>
  <si>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</si>
  <si>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</si>
  <si>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</si>
  <si>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</si>
  <si>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</si>
  <si>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</si>
  <si>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</si>
  <si>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</si>
  <si>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</si>
  <si>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</si>
  <si>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</si>
  <si>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</si>
  <si>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</si>
  <si>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</si>
  <si>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</si>
  <si>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</si>
  <si>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</si>
  <si>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</si>
  <si>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</si>
  <si>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</si>
  <si>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</si>
  <si>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</si>
  <si>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</si>
  <si>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</si>
  <si>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</si>
  <si>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</si>
  <si>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</si>
  <si>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</si>
  <si>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</si>
  <si>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</si>
  <si>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</si>
  <si>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</si>
  <si>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</si>
  <si>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</si>
  <si>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</si>
  <si>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</si>
  <si>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</si>
  <si>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</si>
  <si>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</si>
  <si>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</si>
  <si>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</si>
  <si>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</si>
  <si>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</si>
  <si>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</si>
  <si>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</si>
  <si>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</si>
  <si>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</si>
  <si>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</si>
  <si>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</si>
  <si>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</si>
  <si>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</si>
  <si>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</si>
  <si>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</si>
  <si>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</si>
  <si>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</si>
  <si>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</si>
  <si>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</si>
  <si>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</si>
  <si>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</si>
  <si>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</si>
  <si>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</si>
  <si>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</si>
  <si>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</si>
  <si>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</si>
  <si>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</si>
  <si>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</si>
  <si>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</si>
  <si>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</si>
  <si>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</si>
  <si>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</si>
  <si>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</si>
  <si>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</si>
  <si>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</si>
  <si>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</si>
  <si>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</si>
  <si>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</si>
  <si>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</si>
  <si>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</si>
  <si>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</si>
  <si>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</si>
  <si>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</si>
  <si>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</si>
  <si>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</si>
  <si>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</si>
  <si>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</si>
  <si>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</si>
  <si>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</si>
  <si>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</si>
  <si>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</si>
  <si>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</si>
  <si>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</si>
  <si>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</si>
  <si>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</si>
  <si>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</si>
  <si>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</si>
  <si>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</si>
  <si>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</si>
  <si>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</si>
  <si>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</si>
  <si>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</si>
  <si>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</si>
  <si>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</si>
  <si>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</si>
  <si>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</si>
  <si>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</si>
  <si>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</si>
  <si>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</si>
  <si>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</si>
  <si>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</si>
  <si>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</si>
  <si>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</si>
  <si>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</si>
  <si>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</si>
  <si>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</si>
  <si>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</si>
  <si>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</si>
  <si>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</si>
  <si>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</si>
  <si>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</si>
  <si>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</si>
  <si>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</si>
  <si>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</si>
  <si>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</si>
  <si>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</si>
  <si>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</si>
  <si>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</si>
  <si>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</si>
  <si>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</si>
  <si>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</si>
  <si>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</si>
  <si>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</si>
  <si>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</si>
  <si>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</si>
  <si>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</si>
  <si>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</si>
  <si>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</si>
  <si>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</si>
  <si>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</si>
  <si>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</si>
  <si>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</si>
  <si>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</si>
  <si>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</si>
  <si>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</si>
  <si>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</si>
  <si>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</si>
  <si>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</si>
  <si>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</si>
  <si>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</si>
  <si>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</si>
  <si>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</si>
  <si>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</si>
  <si>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</si>
  <si>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</si>
  <si>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</si>
  <si>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</si>
  <si>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</si>
  <si>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</si>
  <si>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</si>
  <si>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</si>
  <si>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</si>
  <si>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</si>
  <si>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</si>
  <si>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</si>
  <si>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</si>
  <si>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</si>
  <si>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</si>
  <si>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</si>
  <si>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</si>
  <si>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</si>
  <si>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</si>
  <si>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</si>
  <si>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</si>
  <si>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</si>
  <si>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</si>
  <si>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</si>
  <si>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</si>
  <si>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</si>
  <si>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</si>
  <si>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</si>
  <si>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</si>
  <si>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</si>
  <si>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</si>
  <si>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</si>
  <si>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</si>
  <si>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</si>
  <si>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</si>
  <si>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</si>
  <si>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</si>
  <si>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</si>
  <si>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</si>
  <si>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</si>
  <si>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</si>
  <si>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</si>
  <si>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</si>
  <si>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</si>
  <si>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</si>
  <si>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</si>
  <si>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</si>
  <si>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</si>
  <si>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</si>
  <si>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</si>
  <si>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</si>
  <si>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</si>
  <si>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</si>
  <si>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</si>
  <si>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</si>
  <si>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</si>
  <si>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</si>
  <si>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</si>
  <si>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</si>
  <si>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</si>
  <si>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</si>
  <si>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</si>
  <si>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</si>
  <si>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</si>
  <si>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</si>
  <si>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</si>
  <si>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</si>
  <si>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</si>
  <si>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</si>
  <si>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</si>
  <si>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</si>
  <si>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</si>
  <si>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</si>
  <si>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</si>
  <si>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</si>
  <si>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</si>
  <si>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</si>
  <si>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</si>
  <si>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</si>
  <si>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</si>
  <si>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</si>
  <si>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</si>
  <si>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</si>
  <si>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</si>
  <si>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</si>
  <si>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</si>
  <si>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</si>
  <si>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</si>
  <si>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</si>
  <si>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</si>
  <si>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</si>
  <si>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</si>
  <si>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</si>
  <si>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</si>
  <si>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</si>
  <si>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</si>
  <si>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</si>
  <si>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</si>
  <si>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</si>
  <si>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</si>
  <si>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</si>
  <si>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</si>
  <si>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</si>
  <si>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</si>
  <si>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</si>
  <si>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</si>
  <si>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</si>
  <si>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</si>
  <si>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</si>
  <si>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</si>
  <si>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</si>
  <si>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</si>
  <si>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</si>
  <si>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</si>
  <si>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</si>
  <si>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</si>
  <si>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</si>
  <si>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</si>
  <si>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</si>
  <si>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</si>
  <si>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</si>
  <si>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</si>
  <si>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</si>
  <si>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</si>
  <si>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</si>
  <si>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</si>
  <si>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</si>
  <si>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</si>
  <si>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</si>
  <si>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</si>
  <si>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</si>
  <si>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</si>
  <si>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</si>
  <si>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</si>
  <si>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</si>
  <si>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</si>
  <si>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</si>
  <si>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</si>
  <si>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</si>
  <si>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</si>
  <si>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</si>
  <si>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</si>
  <si>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</si>
  <si>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</si>
  <si>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</si>
  <si>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</si>
  <si>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</si>
  <si>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</si>
  <si>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</si>
  <si>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</si>
  <si>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</si>
  <si>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</si>
  <si>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</si>
  <si>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</si>
  <si>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</si>
  <si>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</si>
  <si>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</si>
  <si>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</si>
  <si>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</si>
  <si>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</si>
  <si>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</si>
  <si>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</si>
  <si>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</si>
  <si>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</si>
  <si>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</si>
  <si>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</si>
  <si>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</si>
  <si>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</si>
  <si>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</si>
  <si>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</si>
  <si>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</si>
  <si>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</si>
  <si>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</si>
  <si>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</si>
  <si>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</si>
  <si>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</si>
  <si>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</si>
  <si>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</si>
  <si>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</si>
  <si>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</si>
  <si>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</si>
  <si>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</si>
  <si>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</si>
  <si>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</si>
  <si>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</si>
  <si>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</si>
  <si>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</si>
  <si>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</si>
  <si>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</si>
  <si>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</si>
  <si>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</si>
  <si>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</si>
  <si>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</si>
  <si>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</si>
  <si>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</si>
  <si>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</si>
  <si>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</si>
  <si>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</si>
  <si>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</si>
  <si>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</si>
  <si>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</si>
  <si>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</si>
  <si>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</si>
  <si>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</si>
  <si>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</si>
  <si>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</si>
  <si>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</si>
  <si>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</si>
  <si>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</si>
  <si>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</si>
  <si>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</si>
  <si>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</si>
  <si>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</si>
  <si>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</si>
  <si>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</si>
  <si>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</si>
  <si>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</si>
  <si>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</si>
  <si>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</si>
  <si>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</si>
  <si>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</si>
  <si>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</si>
  <si>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</si>
  <si>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</si>
  <si>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</si>
  <si>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</si>
  <si>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</si>
  <si>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</si>
  <si>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</si>
  <si>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</si>
  <si>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</si>
  <si>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</si>
  <si>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</si>
  <si>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</si>
  <si>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</si>
  <si>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</si>
  <si>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</si>
  <si>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</si>
  <si>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</si>
  <si>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</si>
  <si>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</si>
  <si>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</si>
  <si>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</si>
  <si>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</si>
  <si>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</si>
  <si>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</si>
  <si>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</si>
  <si>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</si>
  <si>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</si>
  <si>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</si>
  <si>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</si>
  <si>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</si>
  <si>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</si>
  <si>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</si>
  <si>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</si>
  <si>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</si>
  <si>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</si>
  <si>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</si>
  <si>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</si>
  <si>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</si>
  <si>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</si>
  <si>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</si>
  <si>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</si>
  <si>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</si>
  <si>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</si>
  <si>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</si>
  <si>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</si>
  <si>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</si>
  <si>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</si>
  <si>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</si>
  <si>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</si>
  <si>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</si>
  <si>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</si>
  <si>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</si>
  <si>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</si>
  <si>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</si>
  <si>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</si>
  <si>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</si>
  <si>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</si>
  <si>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</si>
  <si>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</si>
  <si>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</si>
  <si>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</si>
  <si>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</si>
  <si>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</si>
  <si>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</si>
  <si>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</si>
  <si>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</si>
  <si>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</si>
  <si>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</si>
  <si>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</si>
  <si>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</si>
  <si>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</si>
  <si>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</si>
  <si>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</si>
  <si>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</si>
  <si>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</si>
  <si>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</si>
  <si>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</si>
  <si>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</si>
  <si>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</si>
  <si>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</si>
  <si>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</si>
  <si>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</si>
  <si>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</si>
  <si>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</si>
  <si>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</si>
  <si>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</si>
  <si>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</si>
  <si>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</si>
  <si>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</si>
  <si>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</si>
  <si>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</si>
  <si>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</si>
  <si>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</si>
  <si>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</si>
  <si>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</si>
  <si>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</si>
  <si>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</si>
  <si>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</si>
  <si>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</si>
  <si>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</si>
  <si>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</si>
  <si>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</si>
  <si>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</si>
  <si>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</si>
  <si>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</si>
  <si>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</si>
  <si>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</si>
  <si>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</si>
  <si>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</si>
  <si>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</si>
  <si>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</si>
  <si>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</si>
  <si>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</si>
  <si>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</si>
  <si>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</si>
  <si>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</si>
  <si>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</si>
  <si>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</si>
  <si>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</si>
  <si>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</si>
  <si>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</si>
  <si>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</si>
  <si>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</si>
  <si>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</si>
  <si>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</si>
  <si>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</si>
  <si>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</si>
  <si>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</si>
  <si>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</si>
  <si>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</si>
  <si>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</si>
  <si>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</si>
  <si>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</si>
  <si>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</si>
  <si>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</si>
  <si>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</si>
  <si>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</si>
  <si>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</si>
  <si>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</si>
  <si>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</si>
  <si>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</si>
  <si>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</si>
  <si>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</si>
  <si>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</si>
  <si>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</si>
  <si>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</si>
  <si>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</si>
  <si>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</si>
  <si>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</si>
  <si>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</si>
  <si>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</si>
  <si>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</si>
  <si>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</si>
  <si>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</si>
  <si>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</si>
  <si>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</si>
  <si>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</si>
  <si>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</si>
  <si>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</si>
  <si>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</si>
  <si>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</si>
  <si>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</si>
  <si>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</si>
  <si>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</si>
  <si>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</si>
  <si>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</si>
  <si>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</si>
  <si>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</si>
  <si>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</si>
  <si>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</si>
  <si>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</si>
  <si>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</si>
  <si>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</si>
  <si>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</si>
  <si>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</si>
  <si>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</si>
  <si>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</si>
  <si>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</si>
  <si>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</si>
  <si>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</si>
  <si>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</si>
  <si>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</si>
  <si>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</si>
  <si>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</si>
  <si>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</si>
  <si>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</si>
  <si>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</si>
  <si>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</si>
  <si>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</si>
  <si>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</si>
  <si>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</si>
  <si>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</si>
  <si>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</si>
  <si>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</si>
  <si>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</si>
  <si>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</si>
  <si>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</si>
  <si>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</si>
  <si>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</si>
  <si>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</si>
  <si>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</si>
  <si>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</si>
  <si>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</si>
  <si>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</si>
  <si>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</si>
  <si>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</si>
  <si>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</si>
  <si>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</si>
  <si>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</si>
  <si>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</si>
  <si>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</si>
  <si>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</si>
  <si>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</si>
  <si>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</si>
  <si>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</si>
  <si>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</si>
  <si>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</si>
  <si>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</si>
  <si>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</si>
  <si>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</si>
  <si>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</si>
  <si>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</si>
  <si>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</si>
  <si>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</si>
  <si>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</si>
  <si>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</si>
  <si>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</si>
  <si>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</si>
  <si>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</si>
  <si>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</si>
  <si>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</si>
  <si>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</si>
  <si>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</si>
  <si>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</si>
  <si>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</si>
  <si>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</si>
  <si>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</si>
  <si>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</si>
  <si>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</si>
  <si>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</si>
  <si>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</si>
  <si>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</si>
  <si>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</si>
  <si>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</si>
  <si>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</si>
  <si>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</si>
  <si>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</si>
  <si>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</si>
  <si>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</si>
  <si>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</si>
  <si>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</si>
  <si>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</si>
  <si>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</si>
  <si>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</si>
  <si>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</si>
  <si>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</si>
  <si>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</si>
  <si>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</si>
  <si>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</si>
  <si>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</si>
  <si>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</si>
  <si>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</si>
  <si>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</si>
  <si>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</si>
  <si>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</si>
  <si>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</si>
  <si>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</si>
  <si>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</si>
  <si>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</si>
  <si>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</si>
  <si>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</si>
  <si>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</si>
  <si>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</si>
  <si>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</si>
  <si>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</si>
  <si>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</si>
  <si>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</si>
  <si>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</si>
  <si>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</si>
  <si>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</si>
  <si>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</si>
  <si>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</si>
  <si>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</si>
  <si>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</si>
  <si>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</si>
  <si>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</si>
  <si>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</si>
  <si>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</si>
  <si>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</si>
  <si>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</si>
  <si>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</si>
  <si>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</si>
  <si>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</si>
  <si>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</si>
  <si>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</si>
  <si>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</si>
  <si>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</si>
  <si>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</si>
  <si>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</si>
  <si>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</si>
  <si>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</si>
  <si>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</si>
  <si>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</si>
  <si>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</si>
  <si>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</si>
  <si>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</si>
  <si>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</si>
  <si>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</si>
  <si>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</si>
  <si>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</si>
  <si>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</si>
  <si>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</si>
  <si>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</si>
  <si>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</si>
  <si>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</si>
  <si>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</si>
  <si>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</si>
  <si>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</si>
  <si>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</si>
  <si>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</si>
  <si>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</si>
  <si>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</si>
  <si>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</si>
  <si>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</si>
  <si>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</si>
  <si>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</si>
  <si>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</si>
  <si>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</si>
  <si>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</si>
  <si>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</si>
  <si>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</si>
  <si>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</si>
  <si>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</si>
  <si>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</si>
  <si>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</si>
  <si>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</si>
  <si>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</si>
  <si>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</si>
  <si>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</si>
  <si>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</si>
  <si>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</si>
  <si>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</si>
  <si>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</si>
  <si>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</si>
  <si>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</si>
  <si>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</si>
  <si>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</si>
  <si>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</si>
  <si>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</si>
  <si>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</si>
  <si>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</si>
  <si>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</si>
  <si>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</si>
  <si>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</si>
  <si>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</si>
  <si>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</si>
  <si>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</si>
  <si>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</si>
  <si>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</si>
  <si>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</si>
  <si>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</si>
  <si>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</si>
  <si>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</si>
  <si>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</si>
  <si>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</si>
  <si>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</si>
  <si>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</si>
  <si>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</si>
  <si>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</si>
  <si>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</si>
  <si>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</si>
  <si>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</si>
  <si>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</si>
  <si>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</si>
  <si>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</si>
  <si>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</si>
  <si>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</si>
  <si>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</si>
  <si>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</si>
  <si>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</si>
  <si>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</si>
  <si>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</si>
  <si>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</si>
  <si>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</si>
  <si>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</si>
  <si>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</si>
  <si>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</si>
  <si>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</si>
  <si>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</si>
  <si>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</si>
  <si>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</si>
  <si>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</si>
  <si>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</si>
  <si>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</si>
  <si>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</si>
  <si>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</si>
  <si>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</si>
  <si>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</si>
  <si>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</si>
  <si>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</si>
  <si>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</si>
  <si>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</si>
  <si>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</si>
  <si>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</si>
  <si>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</si>
  <si>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</si>
  <si>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</si>
  <si>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</si>
  <si>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</si>
  <si>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</si>
  <si>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</si>
  <si>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</si>
  <si>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</si>
  <si>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</si>
  <si>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</si>
  <si>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</si>
  <si>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</si>
  <si>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</si>
  <si>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</si>
  <si>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</si>
  <si>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</si>
  <si>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</si>
  <si>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</si>
  <si>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</si>
  <si>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</si>
  <si>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</si>
  <si>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</si>
  <si>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</si>
  <si>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</si>
  <si>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</si>
  <si>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</si>
  <si>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</si>
  <si>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</si>
  <si>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</si>
  <si>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</si>
  <si>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</si>
  <si>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</si>
  <si>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</si>
  <si>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</si>
  <si>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</si>
  <si>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</si>
  <si>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</si>
  <si>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</si>
  <si>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</si>
  <si>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</si>
  <si>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</si>
  <si>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</si>
  <si>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</si>
  <si>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</si>
  <si>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</si>
  <si>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</si>
  <si>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</si>
  <si>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</si>
  <si>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</si>
  <si>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</si>
  <si>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</si>
  <si>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</si>
  <si>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</si>
  <si>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</si>
  <si>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</si>
  <si>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</si>
  <si>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</si>
  <si>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</si>
  <si>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</si>
  <si>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</si>
  <si>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</si>
  <si>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</si>
  <si>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</si>
  <si>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</si>
  <si>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</si>
  <si>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</si>
  <si>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</si>
  <si>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</si>
  <si>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</si>
  <si>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</si>
  <si>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</si>
  <si>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</si>
  <si>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</si>
  <si>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</si>
  <si>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</si>
  <si>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</si>
  <si>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</si>
  <si>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</si>
  <si>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</si>
  <si>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</si>
  <si>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</si>
  <si>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</si>
  <si>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</si>
  <si>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</si>
  <si>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</si>
  <si>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</si>
  <si>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</si>
  <si>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</si>
  <si>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</si>
  <si>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</si>
  <si>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</si>
  <si>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</si>
  <si>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</si>
  <si>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</si>
  <si>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</si>
  <si>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</si>
  <si>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</si>
  <si>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</si>
  <si>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</si>
  <si>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</si>
  <si>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</si>
  <si>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</si>
  <si>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</si>
  <si>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</si>
  <si>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</si>
  <si>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</si>
  <si>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</si>
  <si>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</si>
  <si>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</si>
  <si>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</si>
  <si>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</si>
  <si>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</si>
  <si>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</si>
  <si>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</si>
  <si>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</si>
  <si>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</si>
  <si>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</si>
  <si>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</si>
  <si>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</si>
  <si>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</si>
  <si>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</si>
  <si>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</si>
  <si>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</si>
  <si>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</si>
  <si>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</si>
  <si>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</si>
  <si>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</si>
  <si>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</si>
  <si>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</si>
  <si>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</si>
  <si>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</si>
  <si>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</si>
  <si>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</si>
  <si>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</si>
  <si>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</si>
  <si>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</si>
  <si>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</si>
  <si>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</si>
  <si>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</si>
  <si>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</si>
  <si>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</si>
  <si>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</si>
  <si>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</si>
  <si>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</si>
  <si>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</si>
  <si>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</si>
  <si>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</si>
  <si>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</si>
  <si>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</si>
  <si>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</si>
  <si>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</si>
  <si>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</si>
  <si>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</si>
  <si>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</si>
  <si>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</si>
  <si>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</si>
  <si>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</si>
  <si>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</si>
  <si>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</si>
  <si>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</si>
  <si>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</si>
  <si>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</si>
  <si>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</si>
  <si>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</si>
  <si>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</si>
  <si>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</si>
  <si>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</si>
  <si>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</si>
  <si>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</si>
  <si>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</si>
  <si>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</si>
  <si>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</si>
  <si>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</si>
  <si>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</si>
  <si>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</si>
  <si>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</si>
  <si>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</si>
  <si>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</si>
  <si>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</si>
  <si>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</si>
  <si>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</si>
  <si>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</si>
  <si>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</si>
  <si>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</si>
  <si>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</si>
  <si>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</si>
  <si>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</si>
  <si>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</si>
  <si>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</si>
  <si>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</si>
  <si>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</si>
  <si>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</si>
  <si>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</si>
  <si>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</si>
  <si>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</si>
  <si>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</si>
  <si>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</si>
  <si>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</si>
  <si>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</si>
  <si>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</si>
  <si>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</si>
  <si>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</si>
  <si>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</si>
  <si>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</si>
  <si>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</si>
  <si>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</si>
  <si>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</si>
  <si>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</si>
  <si>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</si>
  <si>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</si>
  <si>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</si>
  <si>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</si>
  <si>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</si>
  <si>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</si>
  <si>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</si>
  <si>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</si>
  <si>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</si>
  <si>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</si>
  <si>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</si>
  <si>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</si>
  <si>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</si>
  <si>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</si>
  <si>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</si>
  <si>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</si>
  <si>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</si>
  <si>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</si>
  <si>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</si>
  <si>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</si>
  <si>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</si>
  <si>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</si>
  <si>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</si>
  <si>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</si>
  <si>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</si>
  <si>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</si>
  <si>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</si>
  <si>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</si>
  <si>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</si>
  <si>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</si>
  <si>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</si>
  <si>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</si>
  <si>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</si>
  <si>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</si>
  <si>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</si>
  <si>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</si>
  <si>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</si>
  <si>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</si>
  <si>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</si>
  <si>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</si>
  <si>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</si>
  <si>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</si>
  <si>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</si>
  <si>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</si>
  <si>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</si>
  <si>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</si>
  <si>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</si>
  <si>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</si>
  <si>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</si>
  <si>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</si>
  <si>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</si>
  <si>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</si>
  <si>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</si>
  <si>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</si>
  <si>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</si>
  <si>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</si>
  <si>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</si>
  <si>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</si>
  <si>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</si>
  <si>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</si>
  <si>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</si>
  <si>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</si>
  <si>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</si>
  <si>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</si>
  <si>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</si>
  <si>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</si>
  <si>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</si>
  <si>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</si>
  <si>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</si>
  <si>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</si>
  <si>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</si>
  <si>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</si>
  <si>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</si>
  <si>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</si>
  <si>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</si>
  <si>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</si>
  <si>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</si>
  <si>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</si>
  <si>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</si>
  <si>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</si>
  <si>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</si>
  <si>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</si>
  <si>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</si>
  <si>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</si>
  <si>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</si>
  <si>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</si>
  <si>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</si>
  <si>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</si>
  <si>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</si>
  <si>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</si>
  <si>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</si>
  <si>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</si>
  <si>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</si>
  <si>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</si>
  <si>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</si>
  <si>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</si>
  <si>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</si>
  <si>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</si>
  <si>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</si>
  <si>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</si>
  <si>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</si>
  <si>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</si>
  <si>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</si>
  <si>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</si>
  <si>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</si>
  <si>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</si>
  <si>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</si>
  <si>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</si>
  <si>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</si>
  <si>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</si>
  <si>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</si>
  <si>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</si>
  <si>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</si>
  <si>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</si>
  <si>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</si>
  <si>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</si>
  <si>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</si>
  <si>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</si>
  <si>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</si>
  <si>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</si>
  <si>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</si>
  <si>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</si>
  <si>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</si>
  <si>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</si>
  <si>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</si>
  <si>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</si>
  <si>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</si>
  <si>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</si>
  <si>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</si>
  <si>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</si>
  <si>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</si>
  <si>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</si>
  <si>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</si>
  <si>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</si>
  <si>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</si>
  <si>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</si>
  <si>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</si>
  <si>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</si>
  <si>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</si>
  <si>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</si>
  <si>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</si>
  <si>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</si>
  <si>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</si>
  <si>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</si>
  <si>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</si>
  <si>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</si>
  <si>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</si>
  <si>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</si>
  <si>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</si>
  <si>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</si>
  <si>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</si>
  <si>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</si>
  <si>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</si>
  <si>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</si>
  <si>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</si>
  <si>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</si>
  <si>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</si>
  <si>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</si>
  <si>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</si>
  <si>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</si>
  <si>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</si>
  <si>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</si>
  <si>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</si>
  <si>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</si>
  <si>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</si>
  <si>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</si>
  <si>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</si>
  <si>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</si>
  <si>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</si>
  <si>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</si>
  <si>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</si>
  <si>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</si>
  <si>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</si>
  <si>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</si>
  <si>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</si>
  <si>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</si>
  <si>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</si>
  <si>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</si>
  <si>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</si>
  <si>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</si>
  <si>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</si>
  <si>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</si>
  <si>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</si>
  <si>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</si>
  <si>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</si>
  <si>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</si>
  <si>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</si>
  <si>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</si>
  <si>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</si>
  <si>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</si>
  <si>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</si>
  <si>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</si>
  <si>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</si>
  <si>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</si>
  <si>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</si>
  <si>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</si>
  <si>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</si>
  <si>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</si>
  <si>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</si>
  <si>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</si>
  <si>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</si>
  <si>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</si>
  <si>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</si>
  <si>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</si>
  <si>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</si>
  <si>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</si>
  <si>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</si>
  <si>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</si>
  <si>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</si>
  <si>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</si>
  <si>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</si>
  <si>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</si>
  <si>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</si>
  <si>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</si>
  <si>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</si>
  <si>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</si>
  <si>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</si>
  <si>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</si>
  <si>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</si>
  <si>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</si>
  <si>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</si>
  <si>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</si>
  <si>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</si>
  <si>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</si>
  <si>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</si>
  <si>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</si>
  <si>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</si>
  <si>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</si>
  <si>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</si>
  <si>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</si>
  <si>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</si>
  <si>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</si>
  <si>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</si>
  <si>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</si>
  <si>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</si>
  <si>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</si>
  <si>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</si>
  <si>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</si>
  <si>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</si>
  <si>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</si>
  <si>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</si>
  <si>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</si>
  <si>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</si>
  <si>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</si>
  <si>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</si>
  <si>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</si>
  <si>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</si>
  <si>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</si>
  <si>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</si>
  <si>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</si>
  <si>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</si>
  <si>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</si>
  <si>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</si>
  <si>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</si>
  <si>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</si>
  <si>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</si>
  <si>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</si>
  <si>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</si>
  <si>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</si>
  <si>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</si>
  <si>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</si>
  <si>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</si>
  <si>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</si>
  <si>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</si>
  <si>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</si>
  <si>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</si>
  <si>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</si>
  <si>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</si>
  <si>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</si>
  <si>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</si>
  <si>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</si>
  <si>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</si>
  <si>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</si>
  <si>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</si>
  <si>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</si>
  <si>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</si>
  <si>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</si>
  <si>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</si>
  <si>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</si>
  <si>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</si>
  <si>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</si>
  <si>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</si>
  <si>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</si>
  <si>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</si>
  <si>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</si>
  <si>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</si>
  <si>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</si>
  <si>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</si>
  <si>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</si>
  <si>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</si>
  <si>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</si>
  <si>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</si>
  <si>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</si>
  <si>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</si>
  <si>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</si>
  <si>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</si>
  <si>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</si>
  <si>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</si>
  <si>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</si>
  <si>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</si>
  <si>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</si>
  <si>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</si>
  <si>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</si>
  <si>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</si>
  <si>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</si>
  <si>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</si>
  <si>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</si>
  <si>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</si>
  <si>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</si>
  <si>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</si>
  <si>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</si>
  <si>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</si>
  <si>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</si>
  <si>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</si>
  <si>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</si>
  <si>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</si>
  <si>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</si>
  <si>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</si>
  <si>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</si>
  <si>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</si>
  <si>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</si>
  <si>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</si>
  <si>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</si>
  <si>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</si>
  <si>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</si>
  <si>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</si>
  <si>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</si>
  <si>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</si>
  <si>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</si>
  <si>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</si>
  <si>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</si>
  <si>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</si>
  <si>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</si>
  <si>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</si>
  <si>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</si>
  <si>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</si>
  <si>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</si>
  <si>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</si>
  <si>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</si>
  <si>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</si>
  <si>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</si>
  <si>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</si>
  <si>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</si>
  <si>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</si>
  <si>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</si>
  <si>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</si>
  <si>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</si>
  <si>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</si>
  <si>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</si>
  <si>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</si>
  <si>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</si>
  <si>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</si>
  <si>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</si>
  <si>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</si>
  <si>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</si>
  <si>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</si>
  <si>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</si>
  <si>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</si>
  <si>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</si>
  <si>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</si>
  <si>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</si>
  <si>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</si>
  <si>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</si>
  <si>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</si>
  <si>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</si>
  <si>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</si>
  <si>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</si>
  <si>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</si>
  <si>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</si>
  <si>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</si>
  <si>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</si>
  <si>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</si>
  <si>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</si>
  <si>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</si>
  <si>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</si>
  <si>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</si>
  <si>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</si>
  <si>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</si>
  <si>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</si>
  <si>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</si>
  <si>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</si>
  <si>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</si>
  <si>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</si>
  <si>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</si>
  <si>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</si>
  <si>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</si>
  <si>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</si>
  <si>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</si>
  <si>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</si>
  <si>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</si>
  <si>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</si>
  <si>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</si>
  <si>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</si>
  <si>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</si>
  <si>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</si>
  <si>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</si>
  <si>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</si>
  <si>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</si>
  <si>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</si>
  <si>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</si>
  <si>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</si>
  <si>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</si>
  <si>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</si>
  <si>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</si>
  <si>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</si>
  <si>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</si>
  <si>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</si>
  <si>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</si>
  <si>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</si>
  <si>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</si>
  <si>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</si>
  <si>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</si>
  <si>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</si>
  <si>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</si>
  <si>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</si>
  <si>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</si>
  <si>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</si>
  <si>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</si>
  <si>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</si>
  <si>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</si>
  <si>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</si>
  <si>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</si>
  <si>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</si>
  <si>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</si>
  <si>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</si>
  <si>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</si>
  <si>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</si>
  <si>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</si>
  <si>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</si>
  <si>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</si>
  <si>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</si>
  <si>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</si>
  <si>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</si>
  <si>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</si>
  <si>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</si>
  <si>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</si>
  <si>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</si>
  <si>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</si>
  <si>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</si>
  <si>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</si>
  <si>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</si>
  <si>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</si>
  <si>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</si>
  <si>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</si>
  <si>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</si>
  <si>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</si>
  <si>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</si>
  <si>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</si>
  <si>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</si>
  <si>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</si>
  <si>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</si>
  <si>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</si>
  <si>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</si>
  <si>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</si>
  <si>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</si>
  <si>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</si>
  <si>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</si>
  <si>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</si>
  <si>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</si>
  <si>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</si>
  <si>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</si>
  <si>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</si>
  <si>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</si>
  <si>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</si>
  <si>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</si>
  <si>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</si>
  <si>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</si>
  <si>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</si>
  <si>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</si>
  <si>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</si>
  <si>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</si>
  <si>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</si>
  <si>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</si>
  <si>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</si>
  <si>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</si>
  <si>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</si>
  <si>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</si>
  <si>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</si>
  <si>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</si>
  <si>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</si>
  <si>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</si>
  <si>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</si>
  <si>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</si>
  <si>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</si>
  <si>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</si>
  <si>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</si>
  <si>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</si>
  <si>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</si>
  <si>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</si>
  <si>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</si>
  <si>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</si>
  <si>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</si>
  <si>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</si>
  <si>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</si>
  <si>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</si>
  <si>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</si>
  <si>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</si>
  <si>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</si>
  <si>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</si>
  <si>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</si>
  <si>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</si>
  <si>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</si>
  <si>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</si>
  <si>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</si>
  <si>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</si>
  <si>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</si>
  <si>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</si>
  <si>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</si>
  <si>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</si>
  <si>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</si>
  <si>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</si>
  <si>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</si>
  <si>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</si>
  <si>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</si>
  <si>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</si>
  <si>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</si>
  <si>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</si>
  <si>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</si>
  <si>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</si>
  <si>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</si>
  <si>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</si>
  <si>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</si>
  <si>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</si>
  <si>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</si>
  <si>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</si>
  <si>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</si>
  <si>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</si>
  <si>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</si>
  <si>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</si>
  <si>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</si>
  <si>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</si>
  <si>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</si>
  <si>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</si>
  <si>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</si>
  <si>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</si>
  <si>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</si>
  <si>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</si>
  <si>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</si>
  <si>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</si>
  <si>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</si>
  <si>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</si>
  <si>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</si>
  <si>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</si>
  <si>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</si>
  <si>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</si>
  <si>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</si>
  <si>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</si>
  <si>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</si>
  <si>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</si>
  <si>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</si>
  <si>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</si>
  <si>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</si>
  <si>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</si>
  <si>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</si>
  <si>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</si>
  <si>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</si>
  <si>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</si>
  <si>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</si>
  <si>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</si>
  <si>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</si>
  <si>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</si>
  <si>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</si>
  <si>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</si>
  <si>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</si>
  <si>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</si>
  <si>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</si>
  <si>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</si>
  <si>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</si>
  <si>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</si>
  <si>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</si>
  <si>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</si>
  <si>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</si>
  <si>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</si>
  <si>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</si>
  <si>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</si>
  <si>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</si>
  <si>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</si>
  <si>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</si>
  <si>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</si>
  <si>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</si>
  <si>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</si>
  <si>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</si>
  <si>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</si>
  <si>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</si>
  <si>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</si>
  <si>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</si>
  <si>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</si>
  <si>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</si>
  <si>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</si>
  <si>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</si>
  <si>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</si>
  <si>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</si>
  <si>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</si>
  <si>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</si>
  <si>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</si>
  <si>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</si>
  <si>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</si>
  <si>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</si>
  <si>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</si>
  <si>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</si>
  <si>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</si>
  <si>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</si>
  <si>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</si>
  <si>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</si>
  <si>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</si>
  <si>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</si>
  <si>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</si>
  <si>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</si>
  <si>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</si>
  <si>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</si>
  <si>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</si>
  <si>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</si>
  <si>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</si>
  <si>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</si>
  <si>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</si>
  <si>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</si>
  <si>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</si>
  <si>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</si>
  <si>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</si>
  <si>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</si>
  <si>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</si>
  <si>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</si>
  <si>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</si>
  <si>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</si>
  <si>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</si>
  <si>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</si>
  <si>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</si>
  <si>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</si>
  <si>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</si>
  <si>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</si>
  <si>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</si>
  <si>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</si>
  <si>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</si>
  <si>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</si>
  <si>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</si>
  <si>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</si>
  <si>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</si>
  <si>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</si>
  <si>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</si>
  <si>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</si>
  <si>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</si>
  <si>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</si>
  <si>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</si>
  <si>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</si>
  <si>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</si>
  <si>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</si>
  <si>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</si>
  <si>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</si>
  <si>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</si>
  <si>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</si>
  <si>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</si>
  <si>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</si>
  <si>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</si>
  <si>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</si>
  <si>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</si>
  <si>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</si>
  <si>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</si>
  <si>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</si>
  <si>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</si>
  <si>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</si>
  <si>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</si>
  <si>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</si>
  <si>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</si>
  <si>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</si>
  <si>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</si>
  <si>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</si>
  <si>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</si>
  <si>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</si>
  <si>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</si>
  <si>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</si>
  <si>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</si>
  <si>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</si>
  <si>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</si>
  <si>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</si>
  <si>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</si>
  <si>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</si>
  <si>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</si>
  <si>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</si>
  <si>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</si>
  <si>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</si>
  <si>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</si>
  <si>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</si>
  <si>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</si>
  <si>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</si>
  <si>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</si>
  <si>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</si>
  <si>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</si>
  <si>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</si>
  <si>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</si>
  <si>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</si>
  <si>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</si>
  <si>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</si>
  <si>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</si>
  <si>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</si>
  <si>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</si>
  <si>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</si>
  <si>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</si>
  <si>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</si>
  <si>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</si>
  <si>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</si>
  <si>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</si>
  <si>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</si>
  <si>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</si>
  <si>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</si>
  <si>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</si>
  <si>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</si>
  <si>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</si>
  <si>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</si>
  <si>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</si>
  <si>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</si>
  <si>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</si>
  <si>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</si>
  <si>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</si>
  <si>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</si>
  <si>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</si>
  <si>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</si>
  <si>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</si>
  <si>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</si>
  <si>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</si>
  <si>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</si>
  <si>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</si>
  <si>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</si>
  <si>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</si>
  <si>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</si>
  <si>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</si>
  <si>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</si>
  <si>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</si>
  <si>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</si>
  <si>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</si>
  <si>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</si>
  <si>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</si>
  <si>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</si>
  <si>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</si>
  <si>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</si>
  <si>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</si>
  <si>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</si>
  <si>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</si>
  <si>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</si>
  <si>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</si>
  <si>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</si>
  <si>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</si>
  <si>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</si>
  <si>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</si>
  <si>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</si>
  <si>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</si>
  <si>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</si>
  <si>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</si>
  <si>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</si>
  <si>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</si>
  <si>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</si>
  <si>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</si>
  <si>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</si>
  <si>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</si>
  <si>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</si>
  <si>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</si>
  <si>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</si>
  <si>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</si>
  <si>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</si>
  <si>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</si>
  <si>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</si>
  <si>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</si>
  <si>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</si>
  <si>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</si>
  <si>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</si>
  <si>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</si>
  <si>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</si>
  <si>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</si>
  <si>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</si>
  <si>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</si>
  <si>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</si>
  <si>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</si>
  <si>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</si>
  <si>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</si>
  <si>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</si>
  <si>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</si>
  <si>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</si>
  <si>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</si>
  <si>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</si>
  <si>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</si>
  <si>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</si>
  <si>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</si>
  <si>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</si>
  <si>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</si>
  <si>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</si>
  <si>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</si>
  <si>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</si>
  <si>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</si>
  <si>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</si>
  <si>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</si>
  <si>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</si>
  <si>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</si>
  <si>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</si>
  <si>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</si>
  <si>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</si>
  <si>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</si>
  <si>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</si>
  <si>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</si>
  <si>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</si>
  <si>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</si>
  <si>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</si>
  <si>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</si>
  <si>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</si>
  <si>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</si>
  <si>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</si>
  <si>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</si>
  <si>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</si>
  <si>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</si>
  <si>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</si>
  <si>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</si>
  <si>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</si>
  <si>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</si>
  <si>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</si>
  <si>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</si>
  <si>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</si>
  <si>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</si>
  <si>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</si>
  <si>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</si>
  <si>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</si>
  <si>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</si>
  <si>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</si>
  <si>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</si>
  <si>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</si>
  <si>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</si>
  <si>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</si>
  <si>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</si>
  <si>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</si>
  <si>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</si>
  <si>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</si>
  <si>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</si>
  <si>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</si>
  <si>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</si>
  <si>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</si>
  <si>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</si>
  <si>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</si>
  <si>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</si>
  <si>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</si>
  <si>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</si>
  <si>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</si>
  <si>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</si>
  <si>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</si>
  <si>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</si>
  <si>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</si>
  <si>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</si>
  <si>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</si>
  <si>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</si>
  <si>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</si>
  <si>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</si>
  <si>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</si>
  <si>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</si>
  <si>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</si>
  <si>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</si>
  <si>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</si>
  <si>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</si>
  <si>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</si>
  <si>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</si>
  <si>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</si>
  <si>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</si>
  <si>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</si>
  <si>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</si>
  <si>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</si>
  <si>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</si>
  <si>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</si>
  <si>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</si>
  <si>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</si>
  <si>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</si>
  <si>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</si>
  <si>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</si>
  <si>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</si>
  <si>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</si>
  <si>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</si>
  <si>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</si>
  <si>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</si>
  <si>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</si>
  <si>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</si>
  <si>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</si>
  <si>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</si>
  <si>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</si>
  <si>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</si>
  <si>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</si>
  <si>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</si>
  <si>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</si>
  <si>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</si>
  <si>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</si>
  <si>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</si>
  <si>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</si>
  <si>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</si>
  <si>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</si>
  <si>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</si>
  <si>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</si>
  <si>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</si>
  <si>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</si>
  <si>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</si>
  <si>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</si>
  <si>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</si>
  <si>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</si>
  <si>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</si>
  <si>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</si>
  <si>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</si>
  <si>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</si>
  <si>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</si>
  <si>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</si>
  <si>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</si>
  <si>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</si>
  <si>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</si>
  <si>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</si>
  <si>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</si>
  <si>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</si>
  <si>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</si>
  <si>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</si>
  <si>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</si>
  <si>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</si>
  <si>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</si>
  <si>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</si>
  <si>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</si>
  <si>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</si>
  <si>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</si>
  <si>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</si>
  <si>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</si>
  <si>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</si>
  <si>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</si>
  <si>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</si>
  <si>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</si>
  <si>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</si>
  <si>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</si>
  <si>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</si>
  <si>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</si>
  <si>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</si>
  <si>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</si>
  <si>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</si>
  <si>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</si>
  <si>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</si>
  <si>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</si>
  <si>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</si>
  <si>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</si>
  <si>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</si>
  <si>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</si>
  <si>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</si>
  <si>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</si>
  <si>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</si>
  <si>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</si>
  <si>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</si>
  <si>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</si>
  <si>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</si>
  <si>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</si>
  <si>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</si>
  <si>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</si>
  <si>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</si>
  <si>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</si>
  <si>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</si>
  <si>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</si>
  <si>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</si>
  <si>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</si>
  <si>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</si>
  <si>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</si>
  <si>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</si>
  <si>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</si>
  <si>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</si>
  <si>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</si>
  <si>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</si>
  <si>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</si>
  <si>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</si>
  <si>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</si>
  <si>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</si>
  <si>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</si>
  <si>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</si>
  <si>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</si>
  <si>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</si>
  <si>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</si>
  <si>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</si>
  <si>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</si>
  <si>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</si>
  <si>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</si>
  <si>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</si>
  <si>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</si>
  <si>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</si>
  <si>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</si>
  <si>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</si>
  <si>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</si>
  <si>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</si>
  <si>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</si>
  <si>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</si>
  <si>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</si>
  <si>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</si>
  <si>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</si>
  <si>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</si>
  <si>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</si>
  <si>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</si>
  <si>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</si>
  <si>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</si>
  <si>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</si>
  <si>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</si>
  <si>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</si>
  <si>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</si>
  <si>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</si>
  <si>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</si>
  <si>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</si>
  <si>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</si>
  <si>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</si>
  <si>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</si>
  <si>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</si>
  <si>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</si>
  <si>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</si>
  <si>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</si>
  <si>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</si>
  <si>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</si>
  <si>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</si>
  <si>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</si>
  <si>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</si>
  <si>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</si>
  <si>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</si>
  <si>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</si>
  <si>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</si>
  <si>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</si>
  <si>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</si>
  <si>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</si>
  <si>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</si>
  <si>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</si>
  <si>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</si>
  <si>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</si>
  <si>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</si>
  <si>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</si>
  <si>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</si>
  <si>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</si>
  <si>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</si>
  <si>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</si>
  <si>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</si>
  <si>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</si>
  <si>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</si>
  <si>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</si>
  <si>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</si>
  <si>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</si>
  <si>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</si>
  <si>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</si>
  <si>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</si>
  <si>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</si>
  <si>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</si>
  <si>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</si>
  <si>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</si>
  <si>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</si>
  <si>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</si>
  <si>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</si>
  <si>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</si>
  <si>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</si>
  <si>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</si>
  <si>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</si>
  <si>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</si>
  <si>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</si>
  <si>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</si>
  <si>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</si>
  <si>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</si>
  <si>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</si>
  <si>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</si>
  <si>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</si>
  <si>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</si>
  <si>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</si>
  <si>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</si>
  <si>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</si>
  <si>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</si>
  <si>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</si>
  <si>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</si>
  <si>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</si>
  <si>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</si>
  <si>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</si>
  <si>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</si>
  <si>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</si>
  <si>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</si>
  <si>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</si>
  <si>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</si>
  <si>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</si>
  <si>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</si>
  <si>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</si>
  <si>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</si>
  <si>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</si>
  <si>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</si>
  <si>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</si>
  <si>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</si>
  <si>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</si>
  <si>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</si>
  <si>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</si>
  <si>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</si>
  <si>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</si>
  <si>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</si>
  <si>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</si>
  <si>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</si>
  <si>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</si>
  <si>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</si>
  <si>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</si>
  <si>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</si>
  <si>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</si>
  <si>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</si>
  <si>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</si>
  <si>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</si>
  <si>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</si>
  <si>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</si>
  <si>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</si>
  <si>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</si>
  <si>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</si>
  <si>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</si>
  <si>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</si>
  <si>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</si>
  <si>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</si>
  <si>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</si>
  <si>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</si>
  <si>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</si>
  <si>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</si>
  <si>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</si>
  <si>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</si>
  <si>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</si>
  <si>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</si>
  <si>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</si>
  <si>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</si>
  <si>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</si>
  <si>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</si>
  <si>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</si>
  <si>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</si>
  <si>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</si>
  <si>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</si>
  <si>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</si>
  <si>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</si>
  <si>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</si>
  <si>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</si>
  <si>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</si>
  <si>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</si>
  <si>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</si>
  <si>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</si>
  <si>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</si>
  <si>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</si>
  <si>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</si>
  <si>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</si>
  <si>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</si>
  <si>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</si>
  <si>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</si>
  <si>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</si>
  <si>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</si>
  <si>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</si>
  <si>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</si>
  <si>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</si>
  <si>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</si>
  <si>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</si>
  <si>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</si>
  <si>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</si>
  <si>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</si>
  <si>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</si>
  <si>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</si>
  <si>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</si>
  <si>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</si>
  <si>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</si>
  <si>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</si>
  <si>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</si>
  <si>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</si>
  <si>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</si>
  <si>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</si>
  <si>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</si>
  <si>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</si>
  <si>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</si>
  <si>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</si>
  <si>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</si>
  <si>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</si>
  <si>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</si>
  <si>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</si>
  <si>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</si>
  <si>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</si>
  <si>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</si>
  <si>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</si>
  <si>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</si>
  <si>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</si>
  <si>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</si>
  <si>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</si>
  <si>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</si>
  <si>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</si>
  <si>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</si>
  <si>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</si>
  <si>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</si>
  <si>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</si>
  <si>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</si>
  <si>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</si>
  <si>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</si>
  <si>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</si>
  <si>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</si>
  <si>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</si>
  <si>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</si>
  <si>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</si>
  <si>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</si>
  <si>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</si>
  <si>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</si>
  <si>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</si>
  <si>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</si>
  <si>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</si>
  <si>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</si>
  <si>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</si>
  <si>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</si>
  <si>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</si>
  <si>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</si>
  <si>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</si>
  <si>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</si>
  <si>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</si>
  <si>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</si>
  <si>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</si>
  <si>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</si>
  <si>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</si>
  <si>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</si>
  <si>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</si>
  <si>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</si>
  <si>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</si>
  <si>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</si>
  <si>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</si>
  <si>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</si>
  <si>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</si>
  <si>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</si>
  <si>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</si>
  <si>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</si>
  <si>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</si>
  <si>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</si>
  <si>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</si>
  <si>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</si>
  <si>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</si>
  <si>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</si>
  <si>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</si>
  <si>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</si>
  <si>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</si>
  <si>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</si>
  <si>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</si>
  <si>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</si>
  <si>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</si>
  <si>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</si>
  <si>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</si>
  <si>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</si>
  <si>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</si>
  <si>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</si>
  <si>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</si>
  <si>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</si>
  <si>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</si>
  <si>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</si>
  <si>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Fert Emission Factor (N2O-N/N)</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</si>
  <si>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</si>
  <si>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</si>
  <si>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</si>
  <si>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</si>
  <si>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</si>
  <si>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</si>
  <si>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</si>
  <si>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</si>
  <si>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</si>
  <si>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</si>
  <si>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</si>
  <si>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</si>
  <si>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</si>
  <si>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</si>
  <si>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</si>
  <si>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</si>
  <si>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</si>
  <si>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</si>
  <si>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</si>
  <si>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</si>
  <si>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</si>
  <si>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</si>
  <si>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</si>
  <si>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</si>
  <si>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</si>
  <si>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</si>
  <si>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</si>
  <si>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</si>
  <si>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</si>
  <si>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</si>
  <si>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</si>
  <si>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</si>
  <si>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</si>
  <si>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</si>
  <si>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</si>
  <si>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</si>
  <si>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</si>
  <si>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</si>
  <si>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</si>
  <si>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</si>
  <si>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</si>
  <si>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</si>
  <si>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</si>
  <si>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</si>
  <si>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</si>
  <si>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</si>
  <si>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</si>
  <si>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</si>
  <si>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</si>
  <si>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</si>
  <si>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</si>
  <si>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</si>
  <si>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</si>
  <si>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</si>
  <si>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</si>
  <si>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</si>
  <si>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</si>
  <si>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</si>
  <si>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</si>
  <si>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</si>
  <si>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</si>
  <si>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</si>
  <si>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</si>
  <si>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</si>
  <si>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</si>
  <si>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</si>
  <si>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</si>
  <si>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</si>
  <si>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</si>
  <si>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</si>
  <si>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</si>
  <si>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</si>
  <si>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</si>
  <si>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</si>
  <si>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</si>
  <si>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</si>
  <si>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</si>
  <si>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</si>
  <si>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</si>
  <si>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</si>
  <si>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</si>
  <si>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</si>
  <si>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</si>
  <si>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</si>
  <si>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</si>
  <si>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</si>
  <si>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</si>
  <si>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</si>
  <si>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</si>
  <si>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</si>
  <si>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</si>
  <si>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</si>
  <si>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</si>
  <si>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</si>
  <si>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</si>
  <si>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</si>
  <si>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</si>
  <si>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</si>
  <si>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</si>
  <si>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</si>
  <si>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</si>
  <si>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</si>
  <si>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</si>
  <si>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</si>
  <si>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</si>
  <si>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</si>
  <si>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</si>
  <si>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</si>
  <si>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</si>
  <si>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</si>
  <si>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</si>
  <si>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</si>
  <si>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</si>
  <si>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</si>
  <si>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</si>
  <si>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</si>
  <si>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</si>
  <si>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</si>
  <si>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</si>
  <si>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</si>
  <si>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</si>
  <si>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</si>
  <si>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</si>
  <si>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</si>
  <si>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</si>
  <si>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</si>
  <si>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</si>
  <si>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</si>
  <si>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</si>
  <si>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</si>
  <si>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</si>
  <si>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</si>
  <si>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</si>
  <si>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</si>
  <si>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</si>
  <si>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</si>
  <si>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</si>
  <si>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</si>
  <si>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</si>
  <si>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</si>
  <si>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</si>
  <si>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</si>
  <si>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</si>
  <si>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</si>
  <si>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</si>
  <si>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</si>
  <si>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</si>
  <si>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</si>
  <si>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</si>
  <si>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</si>
  <si>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</si>
  <si>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</si>
  <si>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</si>
  <si>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</si>
  <si>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</si>
  <si>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</si>
  <si>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</si>
  <si>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</si>
  <si>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</si>
  <si>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</si>
  <si>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</si>
  <si>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</si>
  <si>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</si>
  <si>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</si>
  <si>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</si>
  <si>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</si>
  <si>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</si>
  <si>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</si>
  <si>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</si>
  <si>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</si>
  <si>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</si>
  <si>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</si>
  <si>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</si>
  <si>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</si>
  <si>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</si>
  <si>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</si>
  <si>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</si>
  <si>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</si>
  <si>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</si>
  <si>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</si>
  <si>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</si>
  <si>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</si>
  <si>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</si>
  <si>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</si>
  <si>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</si>
  <si>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</si>
  <si>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</si>
  <si>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</si>
  <si>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</si>
  <si>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</si>
  <si>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</si>
  <si>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</si>
  <si>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</si>
  <si>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</si>
  <si>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</si>
  <si>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</si>
  <si>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</si>
  <si>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</si>
  <si>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</si>
  <si>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</si>
  <si>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</si>
  <si>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</si>
  <si>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</si>
  <si>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</si>
  <si>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</si>
  <si>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</si>
  <si>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</si>
  <si>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</si>
  <si>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</si>
  <si>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</si>
  <si>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</si>
  <si>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</si>
  <si>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</si>
  <si>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</si>
  <si>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</si>
  <si>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</si>
  <si>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</si>
  <si>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</si>
  <si>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</si>
  <si>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</si>
  <si>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</si>
  <si>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</si>
  <si>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</si>
  <si>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</si>
  <si>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</si>
  <si>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</si>
  <si>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</si>
  <si>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</si>
  <si>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</si>
  <si>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</si>
  <si>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</si>
  <si>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</si>
  <si>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</si>
  <si>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</si>
  <si>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</si>
  <si>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</si>
  <si>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</si>
  <si>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</si>
  <si>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</si>
  <si>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</si>
  <si>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</si>
  <si>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</si>
  <si>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</si>
  <si>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</si>
  <si>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</si>
  <si>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</si>
  <si>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</si>
  <si>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</si>
  <si>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</si>
  <si>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</si>
  <si>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</si>
  <si>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</si>
  <si>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</si>
  <si>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</si>
  <si>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</si>
  <si>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</si>
  <si>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</si>
  <si>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</si>
  <si>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</si>
  <si>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</si>
  <si>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</si>
  <si>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</si>
  <si>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</si>
  <si>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</si>
  <si>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</si>
  <si>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</si>
  <si>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</si>
  <si>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</si>
  <si>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</si>
  <si>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</si>
  <si>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</si>
  <si>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</si>
  <si>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</si>
  <si>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</si>
  <si>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GEPEP-CFS</t>
  </si>
  <si>
    <t>GEPEP-GFS</t>
  </si>
  <si>
    <t>Fuel use</t>
  </si>
  <si>
    <t>seeder_maint</t>
  </si>
  <si>
    <t>crop_scalar</t>
  </si>
  <si>
    <t>$/mach hr</t>
  </si>
  <si>
    <t>truck and chaser R&amp;M</t>
  </si>
  <si>
    <t>$/hr of harvest activity</t>
  </si>
  <si>
    <t>calibration</t>
  </si>
  <si>
    <t>SFD</t>
  </si>
  <si>
    <t>SFW</t>
  </si>
  <si>
    <t>SRW</t>
  </si>
  <si>
    <t>MLP-EWW</t>
  </si>
  <si>
    <t>MLP-GSW</t>
  </si>
  <si>
    <t>MLP-SWV</t>
  </si>
  <si>
    <t>C(W,23)</t>
  </si>
  <si>
    <t>C(W,24)</t>
  </si>
  <si>
    <t>C(W,25)</t>
  </si>
  <si>
    <t>Lower age limit when the SFW scalar begins increasing</t>
  </si>
  <si>
    <t>Upper age limit when SFW scalar equal 1</t>
  </si>
  <si>
    <t>MLP site data</t>
  </si>
  <si>
    <t>n i r k m rd a p l w c g h f d e x b0 lo l1 u0 u1 u2</t>
  </si>
  <si>
    <t>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</si>
  <si>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Scalar of SFW for young animals (hoggets relative to adults)</t>
  </si>
  <si>
    <t>C(W,26)</t>
  </si>
  <si>
    <t>Scalar of cfw_ave to alter FD of young animals (hoggets relative to adults)</t>
  </si>
  <si>
    <t>4Jun25: Update coefficients for MLP GSW (i5). Update coefficients for GEPEP GFS (i7) &amp; SS
3Jun25: Update coefficients for gepep CFS (i7) &amp; SS
2Jun25: Update the coefficients for the standard GEPEP genotypes, including changing the growth curve coefficient to be similar to the MLP calibrated value
1Jun25: Alter the coefficients for the MLP GSW genotype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Created MLP version by converting the 3 genotypes Pingelly, Shedding &amp; Greeline to MLP regions. As of 25May only the GSW is calibrated for MLP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</si>
  <si>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5Jul25: Remove premium for yearling over mutton &amp; set monthly premiums as for mutton (add back in if/when the yearling market happens).
27May25: Wool, FD &amp; Meat percentile prices changed so that 30, 50 &amp; 80 percentiles are 5, 10 &amp; 20 yr median prices.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</si>
</sst>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7">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3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2" fontId="7" fillId="34" borderId="47" xfId="0" applyNumberFormat="1" applyFont="1" applyFill="1" applyBorder="1" applyAlignment="1">
      <alignment horizontal="center" vertical="top"/>
    </xf>
    <xf numFmtId="2" fontId="7" fillId="34" borderId="43" xfId="0" applyNumberFormat="1" applyFont="1" applyFill="1" applyBorder="1" applyAlignment="1">
      <alignment horizontal="center"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46AB-4B3B-960E-E76FE25DB79A}"/>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46AB-4B3B-960E-E76FE25DB79A}"/>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46AB-4B3B-960E-E76FE25DB79A}"/>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46AB-4B3B-960E-E76FE25DB79A}"/>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46AB-4B3B-960E-E76FE25DB79A}"/>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46AB-4B3B-960E-E76FE25DB79A}"/>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46AB-4B3B-960E-E76FE25DB79A}"/>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46AB-4B3B-960E-E76FE25DB79A}"/>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CFF00761-5B94-4AE1-860F-B9B2A1F6D5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AA68"/>
  <sheetViews>
    <sheetView topLeftCell="A11" workbookViewId="0">
      <selection activeCell="I48" sqref="I48"/>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2197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2338</v>
      </c>
      <c r="G16" s="351"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49" t="s">
        <v>2346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2348</v>
      </c>
      <c r="G20" s="350"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2339</v>
      </c>
      <c r="G21" s="386" t="s">
        <v>2341</v>
      </c>
      <c r="H21" s="385">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49" t="s">
        <v>2347</v>
      </c>
      <c r="G23" s="94"/>
      <c r="H23" s="94"/>
      <c r="I23" s="94"/>
      <c r="J23" s="94"/>
      <c r="K23" s="349" t="s">
        <v>2341</v>
      </c>
      <c r="L23" s="94"/>
      <c r="M23" s="94"/>
      <c r="N23" s="94"/>
      <c r="O23" s="94"/>
      <c r="P23" s="349" t="s">
        <v>2342</v>
      </c>
      <c r="Q23" s="94"/>
      <c r="R23" s="94"/>
      <c r="S23" s="94"/>
      <c r="T23" s="94"/>
      <c r="U23" s="94"/>
      <c r="V23" s="94"/>
      <c r="W23" s="73"/>
      <c r="X23" s="57"/>
      <c r="Y23" s="45"/>
      <c r="Z23" s="45"/>
      <c r="AA23" s="45"/>
    </row>
    <row r="24" spans="1:27" ht="60" outlineLevel="3" x14ac:dyDescent="0.25">
      <c r="A24" s="45"/>
      <c r="B24" s="54"/>
      <c r="C24" s="73"/>
      <c r="D24" s="73"/>
      <c r="E24" s="76"/>
      <c r="F24" s="353" t="s">
        <v>2340</v>
      </c>
      <c r="G24" s="352" t="s">
        <v>2341</v>
      </c>
      <c r="H24" s="76"/>
      <c r="I24" s="76"/>
      <c r="J24" s="76"/>
      <c r="K24" s="353" t="s">
        <v>2343</v>
      </c>
      <c r="L24" s="350">
        <v>5.0000000000000004E-6</v>
      </c>
      <c r="M24" s="76"/>
      <c r="N24" s="76"/>
      <c r="O24" s="76"/>
      <c r="P24" s="353" t="s">
        <v>2344</v>
      </c>
      <c r="Q24" s="350">
        <v>0.7</v>
      </c>
      <c r="R24" s="76"/>
      <c r="S24" s="76"/>
      <c r="T24" s="76"/>
      <c r="U24" s="76"/>
      <c r="V24" s="76"/>
      <c r="W24" s="73"/>
      <c r="X24" s="57"/>
      <c r="Y24" s="45"/>
      <c r="Z24" s="45"/>
      <c r="AA24" s="45"/>
    </row>
    <row r="25" spans="1:27" outlineLevel="3" x14ac:dyDescent="0.25">
      <c r="A25" s="45"/>
      <c r="B25" s="54"/>
      <c r="C25" s="73"/>
      <c r="D25" s="73"/>
      <c r="E25" s="76"/>
      <c r="F25" s="76"/>
      <c r="G25" s="352" t="s">
        <v>2342</v>
      </c>
      <c r="H25" s="76"/>
      <c r="I25" s="76"/>
      <c r="J25" s="76"/>
      <c r="K25" s="76"/>
      <c r="L25" s="76"/>
      <c r="M25" s="76"/>
      <c r="N25" s="76"/>
      <c r="O25" s="76"/>
      <c r="P25" s="76" t="s">
        <v>2345</v>
      </c>
      <c r="Q25" s="350">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27"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27" x14ac:dyDescent="0.25"/>
    <row r="36" spans="1:27" x14ac:dyDescent="0.25">
      <c r="G36" t="s">
        <v>2316</v>
      </c>
      <c r="I36" t="s">
        <v>2317</v>
      </c>
      <c r="K36" t="s">
        <v>2725</v>
      </c>
      <c r="M36" t="s">
        <v>2726</v>
      </c>
    </row>
    <row r="37" spans="1:27" x14ac:dyDescent="0.25">
      <c r="G37" s="337" t="s">
        <v>4</v>
      </c>
      <c r="I37" s="337" t="s">
        <v>2318</v>
      </c>
      <c r="K37" s="337" t="s">
        <v>45</v>
      </c>
      <c r="M37" s="430" t="s">
        <v>2727</v>
      </c>
    </row>
    <row r="38" spans="1:27" x14ac:dyDescent="0.25">
      <c r="G38" s="338" t="s">
        <v>2310</v>
      </c>
      <c r="I38" s="338" t="s">
        <v>2584</v>
      </c>
      <c r="K38" s="338" t="s">
        <v>2934</v>
      </c>
      <c r="M38" s="431" t="s">
        <v>2728</v>
      </c>
    </row>
    <row r="39" spans="1:27" ht="45" x14ac:dyDescent="0.25">
      <c r="G39" s="338" t="s">
        <v>10</v>
      </c>
      <c r="I39" s="338" t="s">
        <v>4</v>
      </c>
      <c r="K39" s="338" t="s">
        <v>2717</v>
      </c>
      <c r="M39" s="431" t="s">
        <v>2729</v>
      </c>
    </row>
    <row r="40" spans="1:27" ht="30" x14ac:dyDescent="0.25">
      <c r="G40" t="s">
        <v>60</v>
      </c>
      <c r="H40" s="342"/>
      <c r="I40" s="338" t="s">
        <v>2310</v>
      </c>
      <c r="K40" s="338" t="s">
        <v>2718</v>
      </c>
      <c r="M40" s="432" t="s">
        <v>2730</v>
      </c>
    </row>
    <row r="41" spans="1:27" x14ac:dyDescent="0.25">
      <c r="G41" s="338" t="s">
        <v>61</v>
      </c>
      <c r="I41" s="338" t="s">
        <v>10</v>
      </c>
      <c r="K41" s="339" t="s">
        <v>2935</v>
      </c>
    </row>
    <row r="42" spans="1:27" x14ac:dyDescent="0.25">
      <c r="G42" s="338" t="s">
        <v>62</v>
      </c>
      <c r="I42" s="338" t="s">
        <v>60</v>
      </c>
    </row>
    <row r="43" spans="1:27" x14ac:dyDescent="0.25">
      <c r="G43" s="338" t="s">
        <v>7</v>
      </c>
      <c r="I43" s="338" t="s">
        <v>61</v>
      </c>
    </row>
    <row r="44" spans="1:27" x14ac:dyDescent="0.25">
      <c r="G44" s="338" t="s">
        <v>3311</v>
      </c>
      <c r="I44" s="338" t="s">
        <v>2319</v>
      </c>
    </row>
    <row r="45" spans="1:27" x14ac:dyDescent="0.25">
      <c r="G45" s="338" t="s">
        <v>3235</v>
      </c>
      <c r="I45" s="338" t="s">
        <v>107</v>
      </c>
    </row>
    <row r="46" spans="1:27" x14ac:dyDescent="0.25">
      <c r="G46" s="338" t="s">
        <v>6</v>
      </c>
      <c r="I46" s="338" t="s">
        <v>62</v>
      </c>
    </row>
    <row r="47" spans="1:27" x14ac:dyDescent="0.25">
      <c r="G47" s="338" t="s">
        <v>2314</v>
      </c>
      <c r="I47" s="338" t="s">
        <v>7</v>
      </c>
    </row>
    <row r="48" spans="1:27" x14ac:dyDescent="0.25">
      <c r="G48" s="338" t="s">
        <v>72</v>
      </c>
      <c r="I48" s="338" t="s">
        <v>3311</v>
      </c>
    </row>
    <row r="49" spans="7:9" x14ac:dyDescent="0.25">
      <c r="G49" s="338" t="s">
        <v>9</v>
      </c>
      <c r="I49" s="338" t="s">
        <v>113</v>
      </c>
    </row>
    <row r="50" spans="7:9" x14ac:dyDescent="0.25">
      <c r="G50" s="338" t="s">
        <v>2313</v>
      </c>
      <c r="I50" s="338" t="s">
        <v>3235</v>
      </c>
    </row>
    <row r="51" spans="7:9" x14ac:dyDescent="0.25">
      <c r="G51" s="338" t="s">
        <v>63</v>
      </c>
      <c r="I51" s="338" t="s">
        <v>6</v>
      </c>
    </row>
    <row r="52" spans="7:9" x14ac:dyDescent="0.25">
      <c r="G52" s="338" t="s">
        <v>5</v>
      </c>
      <c r="I52" s="338" t="s">
        <v>2314</v>
      </c>
    </row>
    <row r="53" spans="7:9" x14ac:dyDescent="0.25">
      <c r="G53" s="338" t="s">
        <v>2312</v>
      </c>
      <c r="I53" s="338" t="s">
        <v>72</v>
      </c>
    </row>
    <row r="54" spans="7:9" x14ac:dyDescent="0.25">
      <c r="G54" s="338" t="s">
        <v>8</v>
      </c>
      <c r="I54" s="338" t="s">
        <v>9</v>
      </c>
    </row>
    <row r="55" spans="7:9" x14ac:dyDescent="0.25">
      <c r="G55" s="339" t="s">
        <v>2311</v>
      </c>
      <c r="I55" s="338" t="s">
        <v>2313</v>
      </c>
    </row>
    <row r="56" spans="7:9" x14ac:dyDescent="0.25">
      <c r="I56" s="338" t="s">
        <v>2320</v>
      </c>
    </row>
    <row r="57" spans="7:9" x14ac:dyDescent="0.25">
      <c r="I57" s="338" t="s">
        <v>2570</v>
      </c>
    </row>
    <row r="58" spans="7:9" x14ac:dyDescent="0.25">
      <c r="I58" s="338" t="s">
        <v>2321</v>
      </c>
    </row>
    <row r="59" spans="7:9" x14ac:dyDescent="0.25">
      <c r="I59" s="338" t="s">
        <v>106</v>
      </c>
    </row>
    <row r="60" spans="7:9" x14ac:dyDescent="0.25">
      <c r="I60" s="338" t="s">
        <v>2322</v>
      </c>
    </row>
    <row r="61" spans="7:9" x14ac:dyDescent="0.25">
      <c r="I61" s="338" t="s">
        <v>108</v>
      </c>
    </row>
    <row r="62" spans="7:9" x14ac:dyDescent="0.25">
      <c r="I62" s="338" t="s">
        <v>63</v>
      </c>
    </row>
    <row r="63" spans="7:9" x14ac:dyDescent="0.25">
      <c r="I63" s="338" t="s">
        <v>5</v>
      </c>
    </row>
    <row r="64" spans="7:9" x14ac:dyDescent="0.25">
      <c r="I64" s="338" t="s">
        <v>2312</v>
      </c>
    </row>
    <row r="65" spans="9:9" x14ac:dyDescent="0.25">
      <c r="I65" s="338" t="s">
        <v>2323</v>
      </c>
    </row>
    <row r="66" spans="9:9" x14ac:dyDescent="0.25">
      <c r="I66" s="338" t="s">
        <v>109</v>
      </c>
    </row>
    <row r="67" spans="9:9" x14ac:dyDescent="0.25">
      <c r="I67" s="338" t="s">
        <v>8</v>
      </c>
    </row>
    <row r="68" spans="9:9" x14ac:dyDescent="0.25">
      <c r="I68" s="339" t="s">
        <v>2311</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3040</v>
      </c>
    </row>
    <row r="9" spans="1:3" x14ac:dyDescent="0.25">
      <c r="A9" s="340" t="str">
        <f>General!G37</f>
        <v>b</v>
      </c>
      <c r="B9">
        <v>680</v>
      </c>
      <c r="C9" s="1" t="s">
        <v>2912</v>
      </c>
    </row>
    <row r="10" spans="1:3" x14ac:dyDescent="0.25">
      <c r="A10" s="340" t="str">
        <f>General!G38</f>
        <v>bd</v>
      </c>
      <c r="B10">
        <v>680</v>
      </c>
      <c r="C10" s="1" t="s">
        <v>2912</v>
      </c>
    </row>
    <row r="11" spans="1:3" x14ac:dyDescent="0.25">
      <c r="A11" s="340" t="str">
        <f>General!G39</f>
        <v>f</v>
      </c>
      <c r="B11">
        <v>680</v>
      </c>
      <c r="C11" s="1" t="s">
        <v>2912</v>
      </c>
    </row>
    <row r="12" spans="1:3" x14ac:dyDescent="0.25">
      <c r="A12" s="340" t="str">
        <f>General!G40</f>
        <v>h</v>
      </c>
      <c r="B12">
        <v>680</v>
      </c>
      <c r="C12" s="1" t="s">
        <v>2912</v>
      </c>
    </row>
    <row r="13" spans="1:3" x14ac:dyDescent="0.25">
      <c r="A13" s="340" t="str">
        <f>General!G41</f>
        <v>i</v>
      </c>
      <c r="B13">
        <v>680</v>
      </c>
      <c r="C13" s="1" t="s">
        <v>2912</v>
      </c>
    </row>
    <row r="14" spans="1:3" x14ac:dyDescent="0.25">
      <c r="A14" s="340" t="str">
        <f>General!G42</f>
        <v>k</v>
      </c>
      <c r="B14">
        <v>680</v>
      </c>
      <c r="C14" s="1" t="s">
        <v>2912</v>
      </c>
    </row>
    <row r="15" spans="1:3" x14ac:dyDescent="0.25">
      <c r="A15" s="340" t="str">
        <f>General!G43</f>
        <v>l</v>
      </c>
      <c r="B15">
        <v>680</v>
      </c>
      <c r="C15" s="1" t="s">
        <v>2912</v>
      </c>
    </row>
    <row r="16" spans="1:3" x14ac:dyDescent="0.25">
      <c r="A16" s="340" t="str">
        <f>General!G44</f>
        <v>lf</v>
      </c>
      <c r="B16">
        <v>680</v>
      </c>
      <c r="C16" s="1" t="s">
        <v>2912</v>
      </c>
    </row>
    <row r="17" spans="1:3" x14ac:dyDescent="0.25">
      <c r="A17" s="340" t="str">
        <f>General!G45</f>
        <v>ms</v>
      </c>
      <c r="B17">
        <v>680</v>
      </c>
      <c r="C17" s="1" t="s">
        <v>2912</v>
      </c>
    </row>
    <row r="18" spans="1:3" x14ac:dyDescent="0.25">
      <c r="A18" s="340" t="str">
        <f>General!G46</f>
        <v>o</v>
      </c>
      <c r="B18">
        <v>680</v>
      </c>
      <c r="C18" s="1" t="s">
        <v>2912</v>
      </c>
    </row>
    <row r="19" spans="1:3" x14ac:dyDescent="0.25">
      <c r="A19" s="340" t="str">
        <f>General!G47</f>
        <v>od</v>
      </c>
      <c r="B19">
        <v>680</v>
      </c>
      <c r="C19" s="1" t="s">
        <v>2912</v>
      </c>
    </row>
    <row r="20" spans="1:3" x14ac:dyDescent="0.25">
      <c r="A20" s="340" t="str">
        <f>General!G48</f>
        <v>of</v>
      </c>
      <c r="B20">
        <v>680</v>
      </c>
      <c r="C20" s="1" t="s">
        <v>2912</v>
      </c>
    </row>
    <row r="21" spans="1:3" x14ac:dyDescent="0.25">
      <c r="A21" s="340" t="str">
        <f>General!G49</f>
        <v>r</v>
      </c>
      <c r="B21">
        <v>680</v>
      </c>
      <c r="C21" s="1" t="s">
        <v>2912</v>
      </c>
    </row>
    <row r="22" spans="1:3" x14ac:dyDescent="0.25">
      <c r="A22" s="340" t="str">
        <f>General!G50</f>
        <v>rd</v>
      </c>
      <c r="B22">
        <v>680</v>
      </c>
      <c r="C22" s="1" t="s">
        <v>2912</v>
      </c>
    </row>
    <row r="23" spans="1:3" x14ac:dyDescent="0.25">
      <c r="A23" s="340" t="str">
        <f>General!G51</f>
        <v>v</v>
      </c>
      <c r="B23">
        <v>680</v>
      </c>
      <c r="C23" s="1" t="s">
        <v>2912</v>
      </c>
    </row>
    <row r="24" spans="1:3" x14ac:dyDescent="0.25">
      <c r="A24" s="340" t="str">
        <f>General!G52</f>
        <v>w</v>
      </c>
      <c r="B24">
        <v>680</v>
      </c>
      <c r="C24" s="1" t="s">
        <v>2912</v>
      </c>
    </row>
    <row r="25" spans="1:3" x14ac:dyDescent="0.25">
      <c r="A25" s="340" t="str">
        <f>General!G53</f>
        <v>wd</v>
      </c>
      <c r="B25">
        <v>680</v>
      </c>
      <c r="C25" s="1" t="s">
        <v>2912</v>
      </c>
    </row>
    <row r="26" spans="1:3" x14ac:dyDescent="0.25">
      <c r="A26" s="340" t="str">
        <f>General!G54</f>
        <v>z</v>
      </c>
      <c r="B26">
        <v>680</v>
      </c>
      <c r="C26" s="1" t="s">
        <v>2912</v>
      </c>
    </row>
    <row r="27" spans="1:3" x14ac:dyDescent="0.25">
      <c r="A27" s="340" t="str">
        <f>General!G55</f>
        <v>zd</v>
      </c>
      <c r="B27">
        <v>680</v>
      </c>
      <c r="C27" s="1" t="s">
        <v>2912</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4">
        <f>MIN(364,INT((C46 - DATE(YEAR(C46),1,1))))</f>
        <v>226</v>
      </c>
      <c r="C46" s="4">
        <v>43692</v>
      </c>
    </row>
    <row r="48" spans="1:11" x14ac:dyDescent="0.25">
      <c r="A48" s="1" t="s">
        <v>2273</v>
      </c>
      <c r="B48">
        <v>50</v>
      </c>
      <c r="K48" s="1" t="s">
        <v>2274</v>
      </c>
    </row>
    <row r="49" spans="1:27" x14ac:dyDescent="0.25">
      <c r="A49" s="3"/>
      <c r="B49" s="3"/>
      <c r="C49" s="3"/>
      <c r="M49" s="611" t="s">
        <v>2324</v>
      </c>
      <c r="N49" s="611"/>
      <c r="O49" s="611"/>
      <c r="P49" s="611"/>
      <c r="Q49" s="611"/>
      <c r="R49" s="611" t="s">
        <v>2328</v>
      </c>
      <c r="S49" s="611"/>
      <c r="T49" s="611"/>
      <c r="U49" s="611"/>
      <c r="V49" s="611"/>
      <c r="W49" s="611" t="s">
        <v>2329</v>
      </c>
      <c r="X49" s="611"/>
      <c r="Y49" s="611"/>
      <c r="Z49" s="611"/>
      <c r="AA49" s="611"/>
    </row>
    <row r="50" spans="1:27" x14ac:dyDescent="0.25">
      <c r="A50" s="3"/>
      <c r="B50" s="3"/>
      <c r="C50" s="3"/>
      <c r="L50" s="1" t="s">
        <v>2330</v>
      </c>
      <c r="M50" t="s">
        <v>2325</v>
      </c>
      <c r="N50" t="s">
        <v>2325</v>
      </c>
      <c r="O50" t="s">
        <v>2325</v>
      </c>
      <c r="P50" t="s">
        <v>2325</v>
      </c>
      <c r="Q50" t="s">
        <v>2325</v>
      </c>
      <c r="R50" t="s">
        <v>2327</v>
      </c>
      <c r="S50" t="s">
        <v>2327</v>
      </c>
      <c r="T50" t="s">
        <v>2327</v>
      </c>
      <c r="U50" t="s">
        <v>2327</v>
      </c>
      <c r="V50" t="s">
        <v>2327</v>
      </c>
      <c r="W50" t="s">
        <v>2326</v>
      </c>
      <c r="X50" t="s">
        <v>2326</v>
      </c>
      <c r="Y50" t="s">
        <v>2326</v>
      </c>
      <c r="Z50" t="s">
        <v>2326</v>
      </c>
      <c r="AA50" t="s">
        <v>2326</v>
      </c>
    </row>
    <row r="51" spans="1:27" x14ac:dyDescent="0.25">
      <c r="A51" t="s">
        <v>59</v>
      </c>
      <c r="B51" t="s">
        <v>3301</v>
      </c>
      <c r="C51" t="s">
        <v>3303</v>
      </c>
      <c r="D51" t="s">
        <v>2275</v>
      </c>
      <c r="E51" t="s">
        <v>64</v>
      </c>
      <c r="F51" t="s">
        <v>65</v>
      </c>
      <c r="G51" t="s">
        <v>3274</v>
      </c>
      <c r="H51" t="s">
        <v>66</v>
      </c>
      <c r="I51" t="s">
        <v>67</v>
      </c>
      <c r="J51" t="s">
        <v>73</v>
      </c>
      <c r="L51" s="1" t="s">
        <v>2272</v>
      </c>
      <c r="M51">
        <v>10</v>
      </c>
      <c r="N51">
        <v>30</v>
      </c>
      <c r="O51">
        <v>50</v>
      </c>
      <c r="P51">
        <v>70</v>
      </c>
      <c r="Q51">
        <v>90</v>
      </c>
      <c r="R51">
        <v>10</v>
      </c>
      <c r="S51">
        <v>30</v>
      </c>
      <c r="T51">
        <v>50</v>
      </c>
      <c r="U51">
        <v>70</v>
      </c>
      <c r="V51">
        <v>90</v>
      </c>
      <c r="W51">
        <v>10</v>
      </c>
      <c r="X51">
        <v>30</v>
      </c>
      <c r="Y51">
        <v>50</v>
      </c>
      <c r="Z51">
        <v>70</v>
      </c>
      <c r="AA51">
        <v>90</v>
      </c>
    </row>
    <row r="52" spans="1:27" x14ac:dyDescent="0.25">
      <c r="A52" s="340" t="str">
        <f>General!G37</f>
        <v>b</v>
      </c>
      <c r="B52" s="382" t="b">
        <v>1</v>
      </c>
      <c r="C52" s="382" t="b">
        <v>1</v>
      </c>
      <c r="D52" s="382">
        <v>0.1</v>
      </c>
      <c r="E52" s="382">
        <v>0.7</v>
      </c>
      <c r="F52" s="381">
        <f t="shared" ref="F52:F66" si="0">1-E52</f>
        <v>0.30000000000000004</v>
      </c>
      <c r="G52" s="383" t="b">
        <v>1</v>
      </c>
      <c r="H52" s="383">
        <v>0.15</v>
      </c>
      <c r="I52" s="383">
        <v>13.45</v>
      </c>
      <c r="J52" s="383">
        <f>0.86*1.05</f>
        <v>0.90300000000000002</v>
      </c>
      <c r="L52" t="str">
        <f t="shared" ref="L52:L70" si="1">A52</f>
        <v>b</v>
      </c>
      <c r="M52" s="348">
        <v>246</v>
      </c>
      <c r="N52" s="348">
        <v>282</v>
      </c>
      <c r="O52" s="348">
        <v>305</v>
      </c>
      <c r="P52" s="348">
        <v>332</v>
      </c>
      <c r="Q52" s="348">
        <v>368</v>
      </c>
      <c r="R52" s="343">
        <v>0</v>
      </c>
      <c r="S52" s="343">
        <v>0</v>
      </c>
      <c r="T52" s="343">
        <v>0</v>
      </c>
      <c r="U52" s="343">
        <v>0</v>
      </c>
      <c r="V52" s="343">
        <v>0</v>
      </c>
      <c r="W52" s="343">
        <f>Y52*0.65</f>
        <v>97.5</v>
      </c>
      <c r="X52" s="343">
        <f>Y52*0.8</f>
        <v>120</v>
      </c>
      <c r="Y52" s="343">
        <v>150</v>
      </c>
      <c r="Z52" s="343">
        <f>Y52*1.2</f>
        <v>180</v>
      </c>
      <c r="AA52" s="343">
        <f>Y52*1.35</f>
        <v>202.5</v>
      </c>
    </row>
    <row r="53" spans="1:27" x14ac:dyDescent="0.25">
      <c r="A53" s="340" t="str">
        <f>General!G38</f>
        <v>bd</v>
      </c>
      <c r="B53" s="382" t="b">
        <v>1</v>
      </c>
      <c r="C53" s="382" t="b">
        <v>1</v>
      </c>
      <c r="D53" s="379">
        <f t="shared" ref="D53:J53" si="2">D52</f>
        <v>0.1</v>
      </c>
      <c r="E53" s="379">
        <f t="shared" si="2"/>
        <v>0.7</v>
      </c>
      <c r="F53" s="379">
        <f t="shared" si="2"/>
        <v>0.30000000000000004</v>
      </c>
      <c r="G53" s="383" t="b">
        <v>1</v>
      </c>
      <c r="H53" s="379">
        <f t="shared" si="2"/>
        <v>0.15</v>
      </c>
      <c r="I53" s="379">
        <f t="shared" si="2"/>
        <v>13.45</v>
      </c>
      <c r="J53" s="379">
        <f t="shared" si="2"/>
        <v>0.90300000000000002</v>
      </c>
      <c r="L53" t="str">
        <f t="shared" si="1"/>
        <v>bd</v>
      </c>
      <c r="M53" s="379">
        <f>M52</f>
        <v>246</v>
      </c>
      <c r="N53" s="379">
        <f t="shared" ref="N53:Q53" si="3">N52</f>
        <v>282</v>
      </c>
      <c r="O53" s="379">
        <f t="shared" si="3"/>
        <v>305</v>
      </c>
      <c r="P53" s="379">
        <f t="shared" si="3"/>
        <v>332</v>
      </c>
      <c r="Q53" s="379">
        <f t="shared" si="3"/>
        <v>368</v>
      </c>
      <c r="R53" s="379">
        <f t="shared" ref="R53:AA53" si="4">R52</f>
        <v>0</v>
      </c>
      <c r="S53" s="379">
        <f t="shared" ref="S53:V53" si="5">S52</f>
        <v>0</v>
      </c>
      <c r="T53" s="379">
        <f t="shared" si="5"/>
        <v>0</v>
      </c>
      <c r="U53" s="379">
        <f t="shared" si="5"/>
        <v>0</v>
      </c>
      <c r="V53" s="379">
        <f t="shared" si="5"/>
        <v>0</v>
      </c>
      <c r="W53" s="379">
        <f t="shared" si="4"/>
        <v>97.5</v>
      </c>
      <c r="X53" s="379">
        <f t="shared" ref="X53:Z53" si="6">X52</f>
        <v>120</v>
      </c>
      <c r="Y53" s="379">
        <f t="shared" si="4"/>
        <v>150</v>
      </c>
      <c r="Z53" s="379">
        <f t="shared" si="6"/>
        <v>180</v>
      </c>
      <c r="AA53" s="379">
        <f t="shared" si="4"/>
        <v>202.5</v>
      </c>
    </row>
    <row r="54" spans="1:27" x14ac:dyDescent="0.25">
      <c r="A54" s="340" t="str">
        <f>General!G39</f>
        <v>f</v>
      </c>
      <c r="B54" s="382" t="b">
        <v>1</v>
      </c>
      <c r="C54" s="382" t="b">
        <v>1</v>
      </c>
      <c r="D54" s="382">
        <v>0</v>
      </c>
      <c r="E54" s="382">
        <v>1</v>
      </c>
      <c r="F54" s="381">
        <f t="shared" si="0"/>
        <v>0</v>
      </c>
      <c r="G54" s="383" t="b">
        <v>1</v>
      </c>
      <c r="H54" s="383">
        <v>0.15</v>
      </c>
      <c r="I54" s="383">
        <v>15.85</v>
      </c>
      <c r="J54" s="383">
        <f>1.04*1.05</f>
        <v>1.0920000000000001</v>
      </c>
      <c r="L54" t="str">
        <f t="shared" si="1"/>
        <v>f</v>
      </c>
      <c r="M54" s="379">
        <f>M58</f>
        <v>289</v>
      </c>
      <c r="N54" s="379">
        <f t="shared" ref="N54:Q54" si="7">N58</f>
        <v>329</v>
      </c>
      <c r="O54" s="379">
        <f t="shared" si="7"/>
        <v>352</v>
      </c>
      <c r="P54" s="379">
        <f t="shared" si="7"/>
        <v>372</v>
      </c>
      <c r="Q54" s="379">
        <f t="shared" si="7"/>
        <v>434</v>
      </c>
      <c r="R54" s="343">
        <v>0</v>
      </c>
      <c r="S54" s="343">
        <v>0</v>
      </c>
      <c r="T54" s="343">
        <v>0</v>
      </c>
      <c r="U54" s="343">
        <v>0</v>
      </c>
      <c r="V54" s="343">
        <v>0</v>
      </c>
      <c r="W54" s="343">
        <f t="shared" ref="W54:W61" si="8">Y54*0.65</f>
        <v>97.5</v>
      </c>
      <c r="X54" s="343">
        <f t="shared" ref="X54:X61" si="9">Y54*0.8</f>
        <v>120</v>
      </c>
      <c r="Y54" s="343">
        <v>150</v>
      </c>
      <c r="Z54" s="343">
        <f t="shared" ref="Z54:Z61" si="10">Y54*1.2</f>
        <v>180</v>
      </c>
      <c r="AA54" s="343">
        <f t="shared" ref="AA54:AA61" si="11">Y54*1.35</f>
        <v>202.5</v>
      </c>
    </row>
    <row r="55" spans="1:27" x14ac:dyDescent="0.25">
      <c r="A55" s="340" t="str">
        <f>General!G40</f>
        <v>h</v>
      </c>
      <c r="B55" s="382" t="b">
        <v>1</v>
      </c>
      <c r="C55" s="382" t="b">
        <v>1</v>
      </c>
      <c r="D55" s="382">
        <v>0</v>
      </c>
      <c r="E55" s="382">
        <v>1</v>
      </c>
      <c r="F55" s="381">
        <f t="shared" si="0"/>
        <v>0</v>
      </c>
      <c r="G55" s="383" t="b">
        <v>1</v>
      </c>
      <c r="H55" s="383">
        <v>0.5</v>
      </c>
      <c r="I55" s="383">
        <v>1.5</v>
      </c>
      <c r="J55" s="383">
        <f>0.86*1.05</f>
        <v>0.90300000000000002</v>
      </c>
      <c r="L55" t="str">
        <f t="shared" si="1"/>
        <v>h</v>
      </c>
      <c r="M55" s="379">
        <f>M61</f>
        <v>245.65</v>
      </c>
      <c r="N55" s="379">
        <f>N61</f>
        <v>279.64999999999998</v>
      </c>
      <c r="O55" s="379">
        <f>O61</f>
        <v>299.2</v>
      </c>
      <c r="P55" s="379">
        <f>P61</f>
        <v>316.2</v>
      </c>
      <c r="Q55" s="379">
        <f>Q61</f>
        <v>368.9</v>
      </c>
      <c r="R55" s="343">
        <v>0</v>
      </c>
      <c r="S55" s="343">
        <v>0</v>
      </c>
      <c r="T55" s="343">
        <v>0</v>
      </c>
      <c r="U55" s="343">
        <v>0</v>
      </c>
      <c r="V55" s="343">
        <v>0</v>
      </c>
      <c r="W55" s="343">
        <f t="shared" si="8"/>
        <v>97.5</v>
      </c>
      <c r="X55" s="343">
        <f t="shared" si="9"/>
        <v>120</v>
      </c>
      <c r="Y55" s="343">
        <v>150</v>
      </c>
      <c r="Z55" s="343">
        <f t="shared" si="10"/>
        <v>180</v>
      </c>
      <c r="AA55" s="343">
        <f t="shared" si="11"/>
        <v>202.5</v>
      </c>
    </row>
    <row r="56" spans="1:27" x14ac:dyDescent="0.25">
      <c r="A56" s="340" t="str">
        <f>General!G41</f>
        <v>i</v>
      </c>
      <c r="B56" s="382" t="b">
        <v>1</v>
      </c>
      <c r="C56" s="382" t="b">
        <v>1</v>
      </c>
      <c r="D56" s="382">
        <v>0</v>
      </c>
      <c r="E56" s="382">
        <v>1</v>
      </c>
      <c r="F56" s="381">
        <f t="shared" si="0"/>
        <v>0</v>
      </c>
      <c r="G56" s="383" t="b">
        <v>1</v>
      </c>
      <c r="H56" s="383">
        <v>0.15</v>
      </c>
      <c r="I56" s="383">
        <v>15.85</v>
      </c>
      <c r="J56" s="383">
        <f>1.04*1.05</f>
        <v>1.0920000000000001</v>
      </c>
      <c r="L56" t="str">
        <f t="shared" si="1"/>
        <v>i</v>
      </c>
      <c r="M56" s="379">
        <f>M58</f>
        <v>289</v>
      </c>
      <c r="N56" s="379">
        <f t="shared" ref="N56:Q56" si="12">N58</f>
        <v>329</v>
      </c>
      <c r="O56" s="379">
        <f t="shared" si="12"/>
        <v>352</v>
      </c>
      <c r="P56" s="379">
        <f t="shared" si="12"/>
        <v>372</v>
      </c>
      <c r="Q56" s="379">
        <f t="shared" si="12"/>
        <v>434</v>
      </c>
      <c r="R56" s="343">
        <v>0</v>
      </c>
      <c r="S56" s="343">
        <v>0</v>
      </c>
      <c r="T56" s="343">
        <v>0</v>
      </c>
      <c r="U56" s="343">
        <v>0</v>
      </c>
      <c r="V56" s="343">
        <v>0</v>
      </c>
      <c r="W56" s="343">
        <f t="shared" si="8"/>
        <v>97.5</v>
      </c>
      <c r="X56" s="343">
        <f t="shared" si="9"/>
        <v>120</v>
      </c>
      <c r="Y56" s="343">
        <v>150</v>
      </c>
      <c r="Z56" s="343">
        <f t="shared" si="10"/>
        <v>180</v>
      </c>
      <c r="AA56" s="343">
        <f t="shared" si="11"/>
        <v>202.5</v>
      </c>
    </row>
    <row r="57" spans="1:27" x14ac:dyDescent="0.25">
      <c r="A57" s="340" t="str">
        <f>General!G42</f>
        <v>k</v>
      </c>
      <c r="B57" s="382" t="b">
        <v>1</v>
      </c>
      <c r="C57" s="382" t="b">
        <v>1</v>
      </c>
      <c r="D57" s="382">
        <v>0</v>
      </c>
      <c r="E57" s="382">
        <v>1</v>
      </c>
      <c r="F57" s="381">
        <f t="shared" si="0"/>
        <v>0</v>
      </c>
      <c r="G57" s="383" t="b">
        <v>1</v>
      </c>
      <c r="H57" s="383">
        <v>0.15</v>
      </c>
      <c r="I57" s="383">
        <v>15.85</v>
      </c>
      <c r="J57" s="383">
        <f>1.04*1.05</f>
        <v>1.0920000000000001</v>
      </c>
      <c r="L57" t="str">
        <f t="shared" si="1"/>
        <v>k</v>
      </c>
      <c r="M57" s="379">
        <f>M58</f>
        <v>289</v>
      </c>
      <c r="N57" s="379">
        <f t="shared" ref="N57:Q57" si="13">N58</f>
        <v>329</v>
      </c>
      <c r="O57" s="379">
        <f t="shared" si="13"/>
        <v>352</v>
      </c>
      <c r="P57" s="379">
        <f t="shared" si="13"/>
        <v>372</v>
      </c>
      <c r="Q57" s="379">
        <f t="shared" si="13"/>
        <v>434</v>
      </c>
      <c r="R57" s="343">
        <v>0</v>
      </c>
      <c r="S57" s="343">
        <v>0</v>
      </c>
      <c r="T57" s="343">
        <v>0</v>
      </c>
      <c r="U57" s="343">
        <v>0</v>
      </c>
      <c r="V57" s="343">
        <v>0</v>
      </c>
      <c r="W57" s="343">
        <f t="shared" si="8"/>
        <v>97.5</v>
      </c>
      <c r="X57" s="343">
        <f t="shared" si="9"/>
        <v>120</v>
      </c>
      <c r="Y57" s="343">
        <v>150</v>
      </c>
      <c r="Z57" s="343">
        <f t="shared" si="10"/>
        <v>180</v>
      </c>
      <c r="AA57" s="343">
        <f t="shared" si="11"/>
        <v>202.5</v>
      </c>
    </row>
    <row r="58" spans="1:27" x14ac:dyDescent="0.25">
      <c r="A58" s="340" t="str">
        <f>General!G43</f>
        <v>l</v>
      </c>
      <c r="B58" s="382" t="b">
        <v>1</v>
      </c>
      <c r="C58" s="382" t="b">
        <v>1</v>
      </c>
      <c r="D58" s="382">
        <v>0</v>
      </c>
      <c r="E58" s="382">
        <v>1</v>
      </c>
      <c r="F58" s="381">
        <f t="shared" si="0"/>
        <v>0</v>
      </c>
      <c r="G58" s="383" t="b">
        <v>1</v>
      </c>
      <c r="H58" s="383">
        <v>0.15</v>
      </c>
      <c r="I58" s="383">
        <v>12.05</v>
      </c>
      <c r="J58" s="383">
        <f>1.04*1.05</f>
        <v>1.0920000000000001</v>
      </c>
      <c r="L58" t="str">
        <f t="shared" si="1"/>
        <v>l</v>
      </c>
      <c r="M58" s="343">
        <v>289</v>
      </c>
      <c r="N58" s="343">
        <v>329</v>
      </c>
      <c r="O58" s="343">
        <v>352</v>
      </c>
      <c r="P58" s="343">
        <v>372</v>
      </c>
      <c r="Q58" s="343">
        <v>434</v>
      </c>
      <c r="R58" s="343">
        <v>0</v>
      </c>
      <c r="S58" s="343">
        <v>0</v>
      </c>
      <c r="T58" s="343">
        <v>0</v>
      </c>
      <c r="U58" s="343">
        <v>0</v>
      </c>
      <c r="V58" s="343">
        <v>0</v>
      </c>
      <c r="W58" s="343">
        <f t="shared" si="8"/>
        <v>97.5</v>
      </c>
      <c r="X58" s="343">
        <f t="shared" si="9"/>
        <v>120</v>
      </c>
      <c r="Y58" s="343">
        <v>150</v>
      </c>
      <c r="Z58" s="343">
        <f t="shared" si="10"/>
        <v>180</v>
      </c>
      <c r="AA58" s="343">
        <f t="shared" si="11"/>
        <v>202.5</v>
      </c>
    </row>
    <row r="59" spans="1:27" x14ac:dyDescent="0.25">
      <c r="A59" s="340" t="str">
        <f>General!G44</f>
        <v>lf</v>
      </c>
      <c r="B59" s="382" t="b">
        <v>1</v>
      </c>
      <c r="C59" s="382" t="b">
        <v>1</v>
      </c>
      <c r="D59" s="382">
        <v>0</v>
      </c>
      <c r="E59" s="382">
        <v>1</v>
      </c>
      <c r="F59" s="381">
        <f t="shared" ref="F59" si="14">1-E59</f>
        <v>0</v>
      </c>
      <c r="G59" s="383" t="b">
        <v>1</v>
      </c>
      <c r="H59" s="383">
        <v>0.15</v>
      </c>
      <c r="I59" s="383">
        <v>12.05</v>
      </c>
      <c r="J59" s="383">
        <f>1.04*1.05</f>
        <v>1.0920000000000001</v>
      </c>
      <c r="L59" t="str">
        <f t="shared" ref="L59" si="15">A59</f>
        <v>lf</v>
      </c>
      <c r="M59" s="379">
        <f>M58</f>
        <v>289</v>
      </c>
      <c r="N59" s="379">
        <f t="shared" ref="N59:AA59" si="16">N58</f>
        <v>329</v>
      </c>
      <c r="O59" s="379">
        <f t="shared" si="16"/>
        <v>352</v>
      </c>
      <c r="P59" s="379">
        <f t="shared" si="16"/>
        <v>372</v>
      </c>
      <c r="Q59" s="379">
        <f t="shared" si="16"/>
        <v>434</v>
      </c>
      <c r="R59" s="379">
        <f t="shared" si="16"/>
        <v>0</v>
      </c>
      <c r="S59" s="379">
        <f t="shared" si="16"/>
        <v>0</v>
      </c>
      <c r="T59" s="379">
        <f t="shared" si="16"/>
        <v>0</v>
      </c>
      <c r="U59" s="379">
        <f t="shared" si="16"/>
        <v>0</v>
      </c>
      <c r="V59" s="379">
        <f t="shared" si="16"/>
        <v>0</v>
      </c>
      <c r="W59" s="379">
        <f t="shared" si="16"/>
        <v>97.5</v>
      </c>
      <c r="X59" s="379">
        <f t="shared" si="16"/>
        <v>120</v>
      </c>
      <c r="Y59" s="379">
        <f t="shared" si="16"/>
        <v>150</v>
      </c>
      <c r="Z59" s="379">
        <f t="shared" si="16"/>
        <v>180</v>
      </c>
      <c r="AA59" s="379">
        <f t="shared" si="16"/>
        <v>202.5</v>
      </c>
    </row>
    <row r="60" spans="1:27" x14ac:dyDescent="0.25">
      <c r="A60" s="340" t="str">
        <f>General!G45</f>
        <v>ms</v>
      </c>
      <c r="B60" s="382" t="b">
        <v>1</v>
      </c>
      <c r="C60" s="382" t="b">
        <v>1</v>
      </c>
      <c r="D60" s="382">
        <v>0</v>
      </c>
      <c r="E60" s="382">
        <v>1</v>
      </c>
      <c r="F60" s="381">
        <f t="shared" ref="F60" si="17">1-E60</f>
        <v>0</v>
      </c>
      <c r="G60" s="383" t="b">
        <v>0</v>
      </c>
      <c r="H60" s="383">
        <v>0.15</v>
      </c>
      <c r="I60" s="383">
        <v>12.05</v>
      </c>
      <c r="J60" s="383">
        <f>1.04*1.05</f>
        <v>1.0920000000000001</v>
      </c>
      <c r="L60" t="str">
        <f t="shared" si="1"/>
        <v>ms</v>
      </c>
      <c r="M60" s="379">
        <f>M67*$E$67+M67*(1-$D$67)*$F$67</f>
        <v>268.52</v>
      </c>
      <c r="N60" s="379">
        <f t="shared" ref="N60:Q60" si="18">N67*$E$67+N67*(1-$D$67)*$F$67</f>
        <v>303.8</v>
      </c>
      <c r="O60" s="379">
        <f t="shared" si="18"/>
        <v>336.14</v>
      </c>
      <c r="P60" s="379">
        <f t="shared" si="18"/>
        <v>375.34000000000003</v>
      </c>
      <c r="Q60" s="379">
        <f t="shared" si="18"/>
        <v>410.62</v>
      </c>
      <c r="R60" s="343">
        <v>0</v>
      </c>
      <c r="S60" s="343">
        <v>0</v>
      </c>
      <c r="T60" s="343">
        <v>0</v>
      </c>
      <c r="U60" s="343">
        <v>0</v>
      </c>
      <c r="V60" s="343">
        <v>0</v>
      </c>
      <c r="W60" s="343">
        <f t="shared" si="8"/>
        <v>97.5</v>
      </c>
      <c r="X60" s="343">
        <f t="shared" si="9"/>
        <v>120</v>
      </c>
      <c r="Y60" s="343">
        <v>150</v>
      </c>
      <c r="Z60" s="343">
        <f t="shared" si="10"/>
        <v>180</v>
      </c>
      <c r="AA60" s="343">
        <f t="shared" si="11"/>
        <v>202.5</v>
      </c>
    </row>
    <row r="61" spans="1:27" x14ac:dyDescent="0.25">
      <c r="A61" s="340" t="str">
        <f>General!G46</f>
        <v>o</v>
      </c>
      <c r="B61" s="382" t="b">
        <v>1</v>
      </c>
      <c r="C61" s="382" t="b">
        <v>1</v>
      </c>
      <c r="D61" s="382">
        <v>0</v>
      </c>
      <c r="E61" s="382">
        <v>1</v>
      </c>
      <c r="F61" s="381">
        <f t="shared" si="0"/>
        <v>0</v>
      </c>
      <c r="G61" s="383" t="b">
        <v>1</v>
      </c>
      <c r="H61" s="383">
        <v>0.15</v>
      </c>
      <c r="I61" s="383">
        <v>12.85</v>
      </c>
      <c r="J61" s="383">
        <f>0.86*1.05</f>
        <v>0.90300000000000002</v>
      </c>
      <c r="L61" t="str">
        <f t="shared" si="1"/>
        <v>o</v>
      </c>
      <c r="M61" s="379">
        <f>0.85*M58</f>
        <v>245.65</v>
      </c>
      <c r="N61" s="379">
        <f>0.85*N58</f>
        <v>279.64999999999998</v>
      </c>
      <c r="O61" s="379">
        <f>0.85*O58</f>
        <v>299.2</v>
      </c>
      <c r="P61" s="379">
        <f>0.85*P58</f>
        <v>316.2</v>
      </c>
      <c r="Q61" s="379">
        <f>0.85*Q58</f>
        <v>368.9</v>
      </c>
      <c r="R61" s="343">
        <v>0</v>
      </c>
      <c r="S61" s="343">
        <v>0</v>
      </c>
      <c r="T61" s="343">
        <v>0</v>
      </c>
      <c r="U61" s="343">
        <v>0</v>
      </c>
      <c r="V61" s="343">
        <v>0</v>
      </c>
      <c r="W61" s="343">
        <f t="shared" si="8"/>
        <v>97.5</v>
      </c>
      <c r="X61" s="343">
        <f t="shared" si="9"/>
        <v>120</v>
      </c>
      <c r="Y61" s="343">
        <v>150</v>
      </c>
      <c r="Z61" s="343">
        <f t="shared" si="10"/>
        <v>180</v>
      </c>
      <c r="AA61" s="343">
        <f t="shared" si="11"/>
        <v>202.5</v>
      </c>
    </row>
    <row r="62" spans="1:27" x14ac:dyDescent="0.25">
      <c r="A62" s="340" t="str">
        <f>General!G47</f>
        <v>od</v>
      </c>
      <c r="B62" s="382" t="b">
        <v>1</v>
      </c>
      <c r="C62" s="382" t="b">
        <v>1</v>
      </c>
      <c r="D62" s="380">
        <f t="shared" ref="D62:J62" si="19">D61</f>
        <v>0</v>
      </c>
      <c r="E62" s="380">
        <f t="shared" si="19"/>
        <v>1</v>
      </c>
      <c r="F62" s="380">
        <f t="shared" si="19"/>
        <v>0</v>
      </c>
      <c r="G62" s="383" t="b">
        <v>1</v>
      </c>
      <c r="H62" s="380">
        <f t="shared" si="19"/>
        <v>0.15</v>
      </c>
      <c r="I62" s="380">
        <f t="shared" si="19"/>
        <v>12.85</v>
      </c>
      <c r="J62" s="380">
        <f t="shared" si="19"/>
        <v>0.90300000000000002</v>
      </c>
      <c r="L62" t="str">
        <f t="shared" si="1"/>
        <v>od</v>
      </c>
      <c r="M62" s="379">
        <f>M61</f>
        <v>245.65</v>
      </c>
      <c r="N62" s="379">
        <f t="shared" ref="N62:Q62" si="20">N61</f>
        <v>279.64999999999998</v>
      </c>
      <c r="O62" s="379">
        <f t="shared" si="20"/>
        <v>299.2</v>
      </c>
      <c r="P62" s="379">
        <f t="shared" si="20"/>
        <v>316.2</v>
      </c>
      <c r="Q62" s="379">
        <f t="shared" si="20"/>
        <v>368.9</v>
      </c>
      <c r="R62" s="379">
        <f t="shared" ref="R62:AA62" si="21">R61</f>
        <v>0</v>
      </c>
      <c r="S62" s="379">
        <f t="shared" ref="S62:V62" si="22">S61</f>
        <v>0</v>
      </c>
      <c r="T62" s="379">
        <f t="shared" si="22"/>
        <v>0</v>
      </c>
      <c r="U62" s="379">
        <f t="shared" si="22"/>
        <v>0</v>
      </c>
      <c r="V62" s="379">
        <f t="shared" si="22"/>
        <v>0</v>
      </c>
      <c r="W62" s="379">
        <f t="shared" si="21"/>
        <v>97.5</v>
      </c>
      <c r="X62" s="379">
        <f t="shared" ref="X62:Z62" si="23">X61</f>
        <v>120</v>
      </c>
      <c r="Y62" s="379">
        <f t="shared" si="21"/>
        <v>150</v>
      </c>
      <c r="Z62" s="379">
        <f t="shared" si="23"/>
        <v>180</v>
      </c>
      <c r="AA62" s="379">
        <f t="shared" si="21"/>
        <v>202.5</v>
      </c>
    </row>
    <row r="63" spans="1:27" x14ac:dyDescent="0.25">
      <c r="A63" s="340" t="str">
        <f>General!G48</f>
        <v>of</v>
      </c>
      <c r="B63" s="382" t="b">
        <v>1</v>
      </c>
      <c r="C63" s="382" t="b">
        <v>1</v>
      </c>
      <c r="D63" s="380">
        <f t="shared" ref="D63:J63" si="24">D61</f>
        <v>0</v>
      </c>
      <c r="E63" s="380">
        <f t="shared" si="24"/>
        <v>1</v>
      </c>
      <c r="F63" s="380">
        <f t="shared" si="24"/>
        <v>0</v>
      </c>
      <c r="G63" s="383" t="b">
        <v>1</v>
      </c>
      <c r="H63" s="380">
        <f t="shared" si="24"/>
        <v>0.15</v>
      </c>
      <c r="I63" s="380">
        <f t="shared" si="24"/>
        <v>12.85</v>
      </c>
      <c r="J63" s="380">
        <f t="shared" si="24"/>
        <v>0.90300000000000002</v>
      </c>
      <c r="L63" t="str">
        <f t="shared" si="1"/>
        <v>of</v>
      </c>
      <c r="M63" s="379">
        <f>M61</f>
        <v>245.65</v>
      </c>
      <c r="N63" s="379">
        <f t="shared" ref="N63:Q63" si="25">N61</f>
        <v>279.64999999999998</v>
      </c>
      <c r="O63" s="379">
        <f t="shared" si="25"/>
        <v>299.2</v>
      </c>
      <c r="P63" s="379">
        <f t="shared" si="25"/>
        <v>316.2</v>
      </c>
      <c r="Q63" s="379">
        <f t="shared" si="25"/>
        <v>368.9</v>
      </c>
      <c r="R63" s="379">
        <f t="shared" ref="R63:AA63" si="26">R61</f>
        <v>0</v>
      </c>
      <c r="S63" s="379">
        <f t="shared" ref="S63:V63" si="27">S61</f>
        <v>0</v>
      </c>
      <c r="T63" s="379">
        <f t="shared" si="27"/>
        <v>0</v>
      </c>
      <c r="U63" s="379">
        <f t="shared" si="27"/>
        <v>0</v>
      </c>
      <c r="V63" s="379">
        <f t="shared" si="27"/>
        <v>0</v>
      </c>
      <c r="W63" s="379">
        <f t="shared" si="26"/>
        <v>97.5</v>
      </c>
      <c r="X63" s="379">
        <f t="shared" ref="X63:Z63" si="28">X61</f>
        <v>120</v>
      </c>
      <c r="Y63" s="379">
        <f t="shared" si="26"/>
        <v>150</v>
      </c>
      <c r="Z63" s="379">
        <f t="shared" si="28"/>
        <v>180</v>
      </c>
      <c r="AA63" s="379">
        <f t="shared" si="26"/>
        <v>202.5</v>
      </c>
    </row>
    <row r="64" spans="1:27" x14ac:dyDescent="0.25">
      <c r="A64" s="340" t="str">
        <f>General!G49</f>
        <v>r</v>
      </c>
      <c r="B64" s="382" t="b">
        <v>1</v>
      </c>
      <c r="C64" s="382" t="b">
        <v>1</v>
      </c>
      <c r="D64" s="382">
        <v>0</v>
      </c>
      <c r="E64" s="382">
        <v>1</v>
      </c>
      <c r="F64" s="381">
        <f t="shared" si="0"/>
        <v>0</v>
      </c>
      <c r="G64" s="383" t="b">
        <v>1</v>
      </c>
      <c r="H64" s="378">
        <v>0.12</v>
      </c>
      <c r="I64" s="378">
        <v>21.95</v>
      </c>
      <c r="J64" s="378">
        <f>1.04*1.05</f>
        <v>1.0920000000000001</v>
      </c>
      <c r="L64" t="str">
        <f t="shared" si="1"/>
        <v>r</v>
      </c>
      <c r="M64" s="343">
        <v>529</v>
      </c>
      <c r="N64" s="343">
        <v>560</v>
      </c>
      <c r="O64" s="343">
        <v>595</v>
      </c>
      <c r="P64" s="343">
        <v>679</v>
      </c>
      <c r="Q64" s="343">
        <v>843</v>
      </c>
      <c r="R64" s="343">
        <v>0</v>
      </c>
      <c r="S64" s="343">
        <v>0</v>
      </c>
      <c r="T64" s="343">
        <v>0</v>
      </c>
      <c r="U64" s="343">
        <v>0</v>
      </c>
      <c r="V64" s="343">
        <v>0</v>
      </c>
      <c r="W64" s="343">
        <f>Y64*0.65</f>
        <v>97.5</v>
      </c>
      <c r="X64" s="343">
        <f>Y64*0.8</f>
        <v>120</v>
      </c>
      <c r="Y64" s="343">
        <v>150</v>
      </c>
      <c r="Z64" s="343">
        <f>Y64*1.2</f>
        <v>180</v>
      </c>
      <c r="AA64" s="343">
        <f>Y64*1.35</f>
        <v>202.5</v>
      </c>
    </row>
    <row r="65" spans="1:27" x14ac:dyDescent="0.25">
      <c r="A65" s="340" t="str">
        <f>General!G50</f>
        <v>rd</v>
      </c>
      <c r="B65" s="382" t="b">
        <v>1</v>
      </c>
      <c r="C65" s="382" t="b">
        <v>1</v>
      </c>
      <c r="D65" s="382">
        <v>0</v>
      </c>
      <c r="E65" s="382">
        <v>1</v>
      </c>
      <c r="F65" s="381">
        <f>1-E65</f>
        <v>0</v>
      </c>
      <c r="G65" s="383" t="b">
        <v>1</v>
      </c>
      <c r="H65" s="378">
        <v>0.12</v>
      </c>
      <c r="I65" s="378">
        <v>21.95</v>
      </c>
      <c r="J65" s="378">
        <f>1.04*1.05</f>
        <v>1.0920000000000001</v>
      </c>
      <c r="L65" t="str">
        <f t="shared" si="1"/>
        <v>rd</v>
      </c>
      <c r="M65" s="379">
        <f>M64</f>
        <v>529</v>
      </c>
      <c r="N65" s="379">
        <f t="shared" ref="N65:Q65" si="29">N64</f>
        <v>560</v>
      </c>
      <c r="O65" s="379">
        <f t="shared" si="29"/>
        <v>595</v>
      </c>
      <c r="P65" s="379">
        <f t="shared" si="29"/>
        <v>679</v>
      </c>
      <c r="Q65" s="379">
        <f t="shared" si="29"/>
        <v>843</v>
      </c>
      <c r="R65" s="379">
        <f t="shared" ref="R65:AA65" si="30">R$64</f>
        <v>0</v>
      </c>
      <c r="S65" s="379">
        <f t="shared" si="30"/>
        <v>0</v>
      </c>
      <c r="T65" s="379">
        <f t="shared" si="30"/>
        <v>0</v>
      </c>
      <c r="U65" s="379">
        <f t="shared" si="30"/>
        <v>0</v>
      </c>
      <c r="V65" s="379">
        <f t="shared" si="30"/>
        <v>0</v>
      </c>
      <c r="W65" s="379">
        <f t="shared" si="30"/>
        <v>97.5</v>
      </c>
      <c r="X65" s="379">
        <f t="shared" si="30"/>
        <v>120</v>
      </c>
      <c r="Y65" s="379">
        <f t="shared" si="30"/>
        <v>150</v>
      </c>
      <c r="Z65" s="379">
        <f t="shared" si="30"/>
        <v>180</v>
      </c>
      <c r="AA65" s="379">
        <f t="shared" si="30"/>
        <v>202.5</v>
      </c>
    </row>
    <row r="66" spans="1:27" x14ac:dyDescent="0.25">
      <c r="A66" s="340" t="str">
        <f>General!G51</f>
        <v>v</v>
      </c>
      <c r="B66" s="382" t="b">
        <v>1</v>
      </c>
      <c r="C66" s="382" t="b">
        <v>1</v>
      </c>
      <c r="D66" s="382">
        <v>0</v>
      </c>
      <c r="E66" s="382">
        <v>1</v>
      </c>
      <c r="F66" s="381">
        <f t="shared" si="0"/>
        <v>0</v>
      </c>
      <c r="G66" s="383" t="b">
        <v>1</v>
      </c>
      <c r="H66" s="378">
        <v>0.15</v>
      </c>
      <c r="I66" s="378">
        <v>15.85</v>
      </c>
      <c r="J66" s="378">
        <f>1.04*1.05</f>
        <v>1.0920000000000001</v>
      </c>
      <c r="L66" t="str">
        <f t="shared" si="1"/>
        <v>v</v>
      </c>
      <c r="M66" s="379">
        <f>M58</f>
        <v>289</v>
      </c>
      <c r="N66" s="379">
        <f>N58</f>
        <v>329</v>
      </c>
      <c r="O66" s="379">
        <f>O58</f>
        <v>352</v>
      </c>
      <c r="P66" s="379">
        <f>P58</f>
        <v>372</v>
      </c>
      <c r="Q66" s="379">
        <f>Q58</f>
        <v>434</v>
      </c>
      <c r="R66" s="343">
        <v>0</v>
      </c>
      <c r="S66" s="343">
        <v>0</v>
      </c>
      <c r="T66" s="343">
        <v>0</v>
      </c>
      <c r="U66" s="343">
        <v>0</v>
      </c>
      <c r="V66" s="343">
        <v>0</v>
      </c>
      <c r="W66" s="343">
        <f>Y66*0.65</f>
        <v>97.5</v>
      </c>
      <c r="X66" s="343">
        <f>Y66*0.8</f>
        <v>120</v>
      </c>
      <c r="Y66" s="343">
        <v>150</v>
      </c>
      <c r="Z66" s="343">
        <f>Y66*1.2</f>
        <v>180</v>
      </c>
      <c r="AA66" s="343">
        <f>Y66*1.35</f>
        <v>202.5</v>
      </c>
    </row>
    <row r="67" spans="1:27" x14ac:dyDescent="0.25">
      <c r="A67" s="340" t="str">
        <f>General!G52</f>
        <v>w</v>
      </c>
      <c r="B67" s="382" t="b">
        <v>1</v>
      </c>
      <c r="C67" s="382" t="b">
        <v>1</v>
      </c>
      <c r="D67" s="382">
        <v>0.1</v>
      </c>
      <c r="E67" s="382">
        <v>0.8</v>
      </c>
      <c r="F67" s="381">
        <f>1-E67</f>
        <v>0.19999999999999996</v>
      </c>
      <c r="G67" s="383" t="b">
        <v>1</v>
      </c>
      <c r="H67" s="378">
        <v>0.15</v>
      </c>
      <c r="I67" s="378">
        <v>12.05</v>
      </c>
      <c r="J67" s="378">
        <f>0.86*1.05</f>
        <v>0.90300000000000002</v>
      </c>
      <c r="L67" t="str">
        <f t="shared" si="1"/>
        <v>w</v>
      </c>
      <c r="M67" s="343">
        <v>274</v>
      </c>
      <c r="N67" s="343">
        <v>310</v>
      </c>
      <c r="O67" s="343">
        <v>343</v>
      </c>
      <c r="P67" s="343">
        <v>383</v>
      </c>
      <c r="Q67" s="343">
        <v>419</v>
      </c>
      <c r="R67" s="343">
        <v>0</v>
      </c>
      <c r="S67" s="343">
        <v>0</v>
      </c>
      <c r="T67" s="343">
        <v>0</v>
      </c>
      <c r="U67" s="343">
        <v>0</v>
      </c>
      <c r="V67" s="343">
        <v>0</v>
      </c>
      <c r="W67" s="343">
        <f>Y67*0.65</f>
        <v>97.5</v>
      </c>
      <c r="X67" s="343">
        <f>Y67*0.8</f>
        <v>120</v>
      </c>
      <c r="Y67" s="343">
        <v>150</v>
      </c>
      <c r="Z67" s="343">
        <f>Y67*1.2</f>
        <v>180</v>
      </c>
      <c r="AA67" s="343">
        <f>Y67*1.35</f>
        <v>202.5</v>
      </c>
    </row>
    <row r="68" spans="1:27" x14ac:dyDescent="0.25">
      <c r="A68" s="340" t="str">
        <f>General!G53</f>
        <v>wd</v>
      </c>
      <c r="B68" s="382" t="b">
        <v>1</v>
      </c>
      <c r="C68" s="382" t="b">
        <v>1</v>
      </c>
      <c r="D68" s="380">
        <f t="shared" ref="D68:J68" si="31">D67</f>
        <v>0.1</v>
      </c>
      <c r="E68" s="380">
        <f t="shared" si="31"/>
        <v>0.8</v>
      </c>
      <c r="F68" s="380">
        <f t="shared" si="31"/>
        <v>0.19999999999999996</v>
      </c>
      <c r="G68" s="383" t="b">
        <v>1</v>
      </c>
      <c r="H68" s="380">
        <f t="shared" si="31"/>
        <v>0.15</v>
      </c>
      <c r="I68" s="380">
        <f t="shared" si="31"/>
        <v>12.05</v>
      </c>
      <c r="J68" s="380">
        <f t="shared" si="31"/>
        <v>0.90300000000000002</v>
      </c>
      <c r="L68" t="str">
        <f t="shared" si="1"/>
        <v>wd</v>
      </c>
      <c r="M68" s="379">
        <f>M67</f>
        <v>274</v>
      </c>
      <c r="N68" s="379">
        <f t="shared" ref="N68:Q68" si="32">N67</f>
        <v>310</v>
      </c>
      <c r="O68" s="379">
        <f t="shared" si="32"/>
        <v>343</v>
      </c>
      <c r="P68" s="379">
        <f t="shared" si="32"/>
        <v>383</v>
      </c>
      <c r="Q68" s="379">
        <f t="shared" si="32"/>
        <v>419</v>
      </c>
      <c r="R68" s="379">
        <f t="shared" ref="R68:AA68" si="33">R67</f>
        <v>0</v>
      </c>
      <c r="S68" s="379">
        <f t="shared" ref="S68:V68" si="34">S67</f>
        <v>0</v>
      </c>
      <c r="T68" s="379">
        <f t="shared" si="34"/>
        <v>0</v>
      </c>
      <c r="U68" s="379">
        <f t="shared" si="34"/>
        <v>0</v>
      </c>
      <c r="V68" s="379">
        <f t="shared" si="34"/>
        <v>0</v>
      </c>
      <c r="W68" s="379">
        <f t="shared" si="33"/>
        <v>97.5</v>
      </c>
      <c r="X68" s="379">
        <f t="shared" ref="X68:Z68" si="35">X67</f>
        <v>120</v>
      </c>
      <c r="Y68" s="379">
        <f t="shared" si="33"/>
        <v>150</v>
      </c>
      <c r="Z68" s="379">
        <f t="shared" si="35"/>
        <v>180</v>
      </c>
      <c r="AA68" s="379">
        <f t="shared" si="33"/>
        <v>202.5</v>
      </c>
    </row>
    <row r="69" spans="1:27" x14ac:dyDescent="0.25">
      <c r="A69" s="340" t="str">
        <f>General!G54</f>
        <v>z</v>
      </c>
      <c r="B69" s="382" t="b">
        <v>1</v>
      </c>
      <c r="C69" s="382" t="b">
        <v>1</v>
      </c>
      <c r="D69" s="382">
        <v>0</v>
      </c>
      <c r="E69" s="382">
        <v>1</v>
      </c>
      <c r="F69" s="381">
        <f>1-E69</f>
        <v>0</v>
      </c>
      <c r="G69" s="383" t="b">
        <v>1</v>
      </c>
      <c r="H69" s="383">
        <v>0.12</v>
      </c>
      <c r="I69" s="383">
        <v>21.95</v>
      </c>
      <c r="J69" s="383">
        <f>1.04*1.05</f>
        <v>1.0920000000000001</v>
      </c>
      <c r="L69" t="str">
        <f t="shared" si="1"/>
        <v>z</v>
      </c>
      <c r="M69" s="379">
        <f>M64</f>
        <v>529</v>
      </c>
      <c r="N69" s="379">
        <f t="shared" ref="N69:Q69" si="36">N64</f>
        <v>560</v>
      </c>
      <c r="O69" s="379">
        <f t="shared" si="36"/>
        <v>595</v>
      </c>
      <c r="P69" s="379">
        <f t="shared" si="36"/>
        <v>679</v>
      </c>
      <c r="Q69" s="379">
        <f t="shared" si="36"/>
        <v>843</v>
      </c>
      <c r="R69" s="379">
        <f t="shared" ref="R69:AA70" si="37">R$64</f>
        <v>0</v>
      </c>
      <c r="S69" s="379">
        <f t="shared" si="37"/>
        <v>0</v>
      </c>
      <c r="T69" s="379">
        <f t="shared" si="37"/>
        <v>0</v>
      </c>
      <c r="U69" s="379">
        <f t="shared" si="37"/>
        <v>0</v>
      </c>
      <c r="V69" s="379">
        <f t="shared" si="37"/>
        <v>0</v>
      </c>
      <c r="W69" s="379">
        <f t="shared" si="37"/>
        <v>97.5</v>
      </c>
      <c r="X69" s="379">
        <f t="shared" si="37"/>
        <v>120</v>
      </c>
      <c r="Y69" s="379">
        <f t="shared" si="37"/>
        <v>150</v>
      </c>
      <c r="Z69" s="379">
        <f t="shared" si="37"/>
        <v>180</v>
      </c>
      <c r="AA69" s="379">
        <f t="shared" si="37"/>
        <v>202.5</v>
      </c>
    </row>
    <row r="70" spans="1:27" x14ac:dyDescent="0.25">
      <c r="A70" s="340" t="str">
        <f>General!G55</f>
        <v>zd</v>
      </c>
      <c r="B70" s="382" t="b">
        <v>1</v>
      </c>
      <c r="C70" s="382" t="b">
        <v>1</v>
      </c>
      <c r="D70" s="382">
        <v>0</v>
      </c>
      <c r="E70" s="382">
        <v>1</v>
      </c>
      <c r="F70" s="381">
        <f>1-E70</f>
        <v>0</v>
      </c>
      <c r="G70" s="383" t="b">
        <v>1</v>
      </c>
      <c r="H70" s="383">
        <v>0.12</v>
      </c>
      <c r="I70" s="383">
        <v>21.95</v>
      </c>
      <c r="J70" s="383">
        <f>1.04*1.05</f>
        <v>1.0920000000000001</v>
      </c>
      <c r="L70" t="str">
        <f t="shared" si="1"/>
        <v>zd</v>
      </c>
      <c r="M70" s="379">
        <f>M64</f>
        <v>529</v>
      </c>
      <c r="N70" s="379">
        <f t="shared" ref="N70:Q70" si="38">N64</f>
        <v>560</v>
      </c>
      <c r="O70" s="379">
        <f t="shared" si="38"/>
        <v>595</v>
      </c>
      <c r="P70" s="379">
        <f t="shared" si="38"/>
        <v>679</v>
      </c>
      <c r="Q70" s="379">
        <f t="shared" si="38"/>
        <v>843</v>
      </c>
      <c r="R70" s="379">
        <f t="shared" si="37"/>
        <v>0</v>
      </c>
      <c r="S70" s="379">
        <f t="shared" si="37"/>
        <v>0</v>
      </c>
      <c r="T70" s="379">
        <f t="shared" si="37"/>
        <v>0</v>
      </c>
      <c r="U70" s="379">
        <f t="shared" si="37"/>
        <v>0</v>
      </c>
      <c r="V70" s="379">
        <f t="shared" si="37"/>
        <v>0</v>
      </c>
      <c r="W70" s="379">
        <f t="shared" si="37"/>
        <v>97.5</v>
      </c>
      <c r="X70" s="379">
        <f t="shared" si="37"/>
        <v>120</v>
      </c>
      <c r="Y70" s="379">
        <f t="shared" si="37"/>
        <v>150</v>
      </c>
      <c r="Z70" s="379">
        <f t="shared" si="37"/>
        <v>180</v>
      </c>
      <c r="AA70" s="379">
        <f t="shared" si="37"/>
        <v>202.5</v>
      </c>
    </row>
    <row r="71" spans="1:27" x14ac:dyDescent="0.25">
      <c r="L71"/>
      <c r="M71" t="s">
        <v>3271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2315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2221</v>
      </c>
      <c r="B9" s="42">
        <v>0</v>
      </c>
    </row>
    <row r="10" spans="1:2" x14ac:dyDescent="0.25">
      <c r="A10" t="s">
        <v>2222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3050</v>
      </c>
    </row>
    <row r="19" spans="1:2" ht="30" x14ac:dyDescent="0.25">
      <c r="A19" s="5" t="s">
        <v>3049</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2577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2578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7">
        <v>0</v>
      </c>
      <c r="D7" s="13"/>
      <c r="E7" s="18"/>
      <c r="F7" s="14"/>
      <c r="G7" s="398"/>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2579</v>
      </c>
      <c r="K9" s="18"/>
      <c r="L9" s="21" t="s">
        <v>2579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2580</v>
      </c>
      <c r="K10" s="22"/>
      <c r="L10" s="21" t="s">
        <v>2581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9" t="b">
        <v>0</v>
      </c>
      <c r="K11" s="25"/>
      <c r="L11" s="422">
        <v>0.5</v>
      </c>
      <c r="M11" s="400"/>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2705</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2706</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7">
        <v>0</v>
      </c>
      <c r="D21" s="13"/>
      <c r="E21" s="18"/>
      <c r="F21" s="14"/>
      <c r="G21" s="398"/>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2708</v>
      </c>
      <c r="K22" s="21"/>
      <c r="L22" s="21" t="s">
        <v>2708</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2709</v>
      </c>
      <c r="K23" s="18"/>
      <c r="L23" s="18" t="s">
        <v>2710</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2707</v>
      </c>
      <c r="K24" s="22"/>
      <c r="L24" s="18" t="s">
        <v>2711</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2">
        <v>0.5</v>
      </c>
      <c r="K25" s="25"/>
      <c r="L25" s="422">
        <v>0.5</v>
      </c>
      <c r="M25" s="400"/>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3305</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0" t="str">
        <f>J53</f>
        <v>b</v>
      </c>
      <c r="K38" s="340" t="str">
        <f t="shared" ref="K38:AB38" si="0">K53</f>
        <v>bd</v>
      </c>
      <c r="L38" s="340" t="str">
        <f t="shared" si="0"/>
        <v>f</v>
      </c>
      <c r="M38" s="340" t="str">
        <f t="shared" si="0"/>
        <v>h</v>
      </c>
      <c r="N38" s="340" t="str">
        <f t="shared" si="0"/>
        <v>i</v>
      </c>
      <c r="O38" s="340" t="str">
        <f t="shared" si="0"/>
        <v>k</v>
      </c>
      <c r="P38" s="340" t="str">
        <f t="shared" si="0"/>
        <v>l</v>
      </c>
      <c r="Q38" s="340" t="str">
        <f>Q53</f>
        <v>lf</v>
      </c>
      <c r="R38" s="340" t="str">
        <f>R53</f>
        <v>ms</v>
      </c>
      <c r="S38" s="340" t="str">
        <f t="shared" si="0"/>
        <v>o</v>
      </c>
      <c r="T38" s="340" t="str">
        <f t="shared" si="0"/>
        <v>od</v>
      </c>
      <c r="U38" s="340" t="str">
        <f t="shared" si="0"/>
        <v>of</v>
      </c>
      <c r="V38" s="340" t="str">
        <f t="shared" si="0"/>
        <v>r</v>
      </c>
      <c r="W38" s="340" t="str">
        <f t="shared" si="0"/>
        <v>rd</v>
      </c>
      <c r="X38" s="340" t="str">
        <f t="shared" si="0"/>
        <v>v</v>
      </c>
      <c r="Y38" s="340" t="str">
        <f t="shared" si="0"/>
        <v>w</v>
      </c>
      <c r="Z38" s="340" t="str">
        <f t="shared" si="0"/>
        <v>wd</v>
      </c>
      <c r="AA38" s="340" t="str">
        <f t="shared" si="0"/>
        <v>z</v>
      </c>
      <c r="AB38" s="340" t="str">
        <f t="shared" si="0"/>
        <v>zd</v>
      </c>
      <c r="AC38" s="21"/>
      <c r="AD38" s="21"/>
      <c r="AE38" s="21"/>
      <c r="AF38" s="17"/>
      <c r="AG38" s="9"/>
      <c r="AH38" s="9"/>
      <c r="AI38" s="9"/>
    </row>
    <row r="39" spans="1:35" ht="12" customHeight="1" x14ac:dyDescent="0.25">
      <c r="A39" s="7"/>
      <c r="B39" s="8"/>
      <c r="C39" s="18"/>
      <c r="D39" s="18"/>
      <c r="E39" s="18"/>
      <c r="F39" s="24"/>
      <c r="G39" s="28"/>
      <c r="H39" s="28"/>
      <c r="I39" s="41" t="s">
        <v>3302</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0" t="str" cm="1">
        <f t="array" ref="J53:AB53">TRANSPOSE(General!G37:G55)</f>
        <v>b</v>
      </c>
      <c r="K53" s="340" t="str">
        <v>bd</v>
      </c>
      <c r="L53" s="340" t="str">
        <v>f</v>
      </c>
      <c r="M53" s="340" t="str">
        <v>h</v>
      </c>
      <c r="N53" s="340" t="str">
        <v>i</v>
      </c>
      <c r="O53" s="340" t="str">
        <v>k</v>
      </c>
      <c r="P53" s="340" t="str">
        <v>l</v>
      </c>
      <c r="Q53" s="340" t="str">
        <v>lf</v>
      </c>
      <c r="R53" s="340" t="str">
        <v>ms</v>
      </c>
      <c r="S53" s="340" t="str">
        <v>o</v>
      </c>
      <c r="T53" s="340" t="str">
        <v>od</v>
      </c>
      <c r="U53" s="340" t="str">
        <v>of</v>
      </c>
      <c r="V53" s="340" t="str">
        <v>r</v>
      </c>
      <c r="W53" s="340" t="str">
        <v>rd</v>
      </c>
      <c r="X53" s="340" t="str">
        <v>v</v>
      </c>
      <c r="Y53" s="340" t="str">
        <v>w</v>
      </c>
      <c r="Z53" s="340" t="str">
        <v>wd</v>
      </c>
      <c r="AA53" s="340" t="str">
        <v>z</v>
      </c>
      <c r="AB53" s="340" t="str">
        <v>zd</v>
      </c>
      <c r="AC53" s="21"/>
      <c r="AD53" s="21"/>
      <c r="AE53" s="21"/>
      <c r="AF53" s="17"/>
      <c r="AG53" s="9"/>
      <c r="AH53" s="9"/>
      <c r="AI53" s="9"/>
    </row>
    <row r="54" spans="1:35" ht="12" customHeight="1" x14ac:dyDescent="0.25">
      <c r="A54" s="7"/>
      <c r="B54" s="8"/>
      <c r="C54" s="18"/>
      <c r="D54" s="18"/>
      <c r="E54" s="18"/>
      <c r="F54" s="24"/>
      <c r="G54" s="28" t="s">
        <v>3237</v>
      </c>
      <c r="H54" s="28"/>
      <c r="I54" s="41" t="s">
        <v>3236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3238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3239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3240</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3241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0" t="str" cm="1">
        <f t="array" ref="J70:AB70">TRANSPOSE(General!G37:G55)</f>
        <v>b</v>
      </c>
      <c r="K70" s="340" t="str">
        <v>bd</v>
      </c>
      <c r="L70" s="340" t="str">
        <v>f</v>
      </c>
      <c r="M70" s="340" t="str">
        <v>h</v>
      </c>
      <c r="N70" s="340" t="str">
        <v>i</v>
      </c>
      <c r="O70" s="340" t="str">
        <v>k</v>
      </c>
      <c r="P70" s="340" t="str">
        <v>l</v>
      </c>
      <c r="Q70" s="340" t="str">
        <v>lf</v>
      </c>
      <c r="R70" s="340" t="str">
        <v>ms</v>
      </c>
      <c r="S70" s="340" t="str">
        <v>o</v>
      </c>
      <c r="T70" s="340" t="str">
        <v>od</v>
      </c>
      <c r="U70" s="340" t="str">
        <v>of</v>
      </c>
      <c r="V70" s="340" t="str">
        <v>r</v>
      </c>
      <c r="W70" s="340" t="str">
        <v>rd</v>
      </c>
      <c r="X70" s="340" t="str">
        <v>v</v>
      </c>
      <c r="Y70" s="340" t="str">
        <v>w</v>
      </c>
      <c r="Z70" s="340" t="str">
        <v>wd</v>
      </c>
      <c r="AA70" s="340" t="str">
        <v>z</v>
      </c>
      <c r="AB70" s="340"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2331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2332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2333</v>
      </c>
      <c r="AC86" s="27"/>
      <c r="AD86" s="27"/>
      <c r="AE86" s="27"/>
      <c r="AF86" s="17"/>
      <c r="AG86" s="9"/>
      <c r="AH86" s="9"/>
      <c r="AI86" s="9"/>
    </row>
    <row r="87" spans="1:35" ht="12" customHeight="1" x14ac:dyDescent="0.25">
      <c r="A87" s="7"/>
      <c r="B87" s="8"/>
      <c r="C87" s="18"/>
      <c r="D87" s="18"/>
      <c r="E87" s="18"/>
      <c r="F87" s="24"/>
      <c r="I87" s="344"/>
      <c r="J87" s="344"/>
      <c r="K87" s="344"/>
      <c r="L87" s="344"/>
      <c r="M87" s="344"/>
      <c r="AC87" s="27"/>
      <c r="AD87" s="27"/>
      <c r="AE87" s="27"/>
      <c r="AF87" s="17"/>
      <c r="AG87" s="9"/>
      <c r="AH87" s="9"/>
      <c r="AI87" s="9"/>
    </row>
    <row r="88" spans="1:35" ht="12" customHeight="1" x14ac:dyDescent="0.25">
      <c r="A88" s="7"/>
      <c r="B88" s="8"/>
      <c r="C88" s="18"/>
      <c r="D88" s="18"/>
      <c r="E88" s="18"/>
      <c r="F88" s="24"/>
      <c r="J88" t="s">
        <v>2325</v>
      </c>
      <c r="K88" t="s">
        <v>2327</v>
      </c>
      <c r="L88" t="s">
        <v>2326</v>
      </c>
      <c r="AC88" s="27"/>
      <c r="AD88" s="27"/>
      <c r="AE88" s="27"/>
      <c r="AF88" s="17"/>
      <c r="AG88" s="9"/>
      <c r="AH88" s="9"/>
      <c r="AI88" s="9"/>
    </row>
    <row r="89" spans="1:35" ht="12" customHeight="1" x14ac:dyDescent="0.25">
      <c r="A89" s="7"/>
      <c r="B89" s="8"/>
      <c r="C89" s="18"/>
      <c r="D89" s="18"/>
      <c r="E89" s="18"/>
      <c r="F89" s="24"/>
      <c r="I89" s="345" t="str">
        <f>General!G37</f>
        <v>b</v>
      </c>
      <c r="J89" s="347">
        <v>1</v>
      </c>
      <c r="K89" s="347">
        <v>0</v>
      </c>
      <c r="L89" s="347">
        <v>0</v>
      </c>
      <c r="M89" s="346" t="str">
        <f>IF(SUM(J89:L89)&gt;1,"***ERROR***","")</f>
        <v/>
      </c>
      <c r="AC89" s="27"/>
      <c r="AD89" s="27"/>
      <c r="AE89" s="27"/>
      <c r="AF89" s="17"/>
      <c r="AG89" s="9"/>
      <c r="AH89" s="9"/>
      <c r="AI89" s="9"/>
    </row>
    <row r="90" spans="1:35" ht="12" customHeight="1" x14ac:dyDescent="0.25">
      <c r="A90" s="7"/>
      <c r="B90" s="8"/>
      <c r="C90" s="18"/>
      <c r="D90" s="18"/>
      <c r="E90" s="18"/>
      <c r="F90" s="24"/>
      <c r="I90" s="345" t="str">
        <f>General!G38</f>
        <v>bd</v>
      </c>
      <c r="J90" s="347">
        <v>1</v>
      </c>
      <c r="K90" s="347">
        <v>0</v>
      </c>
      <c r="L90" s="347">
        <v>0</v>
      </c>
      <c r="M90" s="346" t="str">
        <f t="shared" ref="M90:M107" si="3">IF(SUM(J90:L90)&gt;1,"***ERROR***","")</f>
        <v/>
      </c>
      <c r="AC90" s="27"/>
      <c r="AD90" s="27"/>
      <c r="AE90" s="27"/>
      <c r="AF90" s="17"/>
      <c r="AG90" s="9"/>
      <c r="AH90" s="9"/>
      <c r="AI90" s="9"/>
    </row>
    <row r="91" spans="1:35" ht="12" customHeight="1" x14ac:dyDescent="0.25">
      <c r="A91" s="7"/>
      <c r="B91" s="8"/>
      <c r="C91" s="18"/>
      <c r="D91" s="18"/>
      <c r="E91" s="18"/>
      <c r="F91" s="24"/>
      <c r="I91" s="345" t="str">
        <f>General!G39</f>
        <v>f</v>
      </c>
      <c r="J91" s="347">
        <v>1</v>
      </c>
      <c r="K91" s="347">
        <v>0</v>
      </c>
      <c r="L91" s="347">
        <v>0</v>
      </c>
      <c r="M91" s="346" t="str">
        <f t="shared" si="3"/>
        <v/>
      </c>
      <c r="AC91" s="27"/>
      <c r="AD91" s="27"/>
      <c r="AE91" s="27"/>
      <c r="AF91" s="17"/>
      <c r="AG91" s="9"/>
      <c r="AH91" s="9"/>
      <c r="AI91" s="9"/>
    </row>
    <row r="92" spans="1:35" ht="12" customHeight="1" x14ac:dyDescent="0.25">
      <c r="A92" s="7"/>
      <c r="B92" s="8"/>
      <c r="C92" s="18"/>
      <c r="D92" s="18"/>
      <c r="E92" s="18"/>
      <c r="F92" s="24"/>
      <c r="I92" s="345" t="str">
        <f>General!G40</f>
        <v>h</v>
      </c>
      <c r="J92" s="347">
        <v>0</v>
      </c>
      <c r="K92" s="347">
        <v>0</v>
      </c>
      <c r="L92" s="347">
        <v>1</v>
      </c>
      <c r="M92" s="346" t="str">
        <f t="shared" si="3"/>
        <v/>
      </c>
      <c r="AC92" s="27"/>
      <c r="AD92" s="27"/>
      <c r="AE92" s="27"/>
      <c r="AF92" s="17"/>
      <c r="AG92" s="9"/>
      <c r="AH92" s="9"/>
      <c r="AI92" s="9"/>
    </row>
    <row r="93" spans="1:35" ht="12" customHeight="1" x14ac:dyDescent="0.25">
      <c r="A93" s="7"/>
      <c r="B93" s="8"/>
      <c r="C93" s="18"/>
      <c r="D93" s="18"/>
      <c r="E93" s="18"/>
      <c r="F93" s="24"/>
      <c r="I93" s="345" t="str">
        <f>General!G41</f>
        <v>i</v>
      </c>
      <c r="J93" s="347">
        <v>1</v>
      </c>
      <c r="K93" s="347">
        <v>0</v>
      </c>
      <c r="L93" s="347">
        <v>0</v>
      </c>
      <c r="M93" s="346" t="str">
        <f t="shared" si="3"/>
        <v/>
      </c>
      <c r="AC93" s="27"/>
      <c r="AD93" s="27"/>
      <c r="AE93" s="27"/>
      <c r="AF93" s="17"/>
      <c r="AG93" s="9"/>
      <c r="AH93" s="9"/>
      <c r="AI93" s="9"/>
    </row>
    <row r="94" spans="1:35" ht="12" customHeight="1" x14ac:dyDescent="0.25">
      <c r="A94" s="7"/>
      <c r="B94" s="8"/>
      <c r="C94" s="18"/>
      <c r="D94" s="18"/>
      <c r="E94" s="18"/>
      <c r="F94" s="24"/>
      <c r="I94" s="345" t="str">
        <f>General!G42</f>
        <v>k</v>
      </c>
      <c r="J94" s="347">
        <v>1</v>
      </c>
      <c r="K94" s="347">
        <v>0</v>
      </c>
      <c r="L94" s="347">
        <v>0</v>
      </c>
      <c r="M94" s="346" t="str">
        <f t="shared" si="3"/>
        <v/>
      </c>
      <c r="AC94" s="27"/>
      <c r="AD94" s="27"/>
      <c r="AE94" s="27"/>
      <c r="AF94" s="17"/>
      <c r="AG94" s="9"/>
      <c r="AH94" s="9"/>
      <c r="AI94" s="9"/>
    </row>
    <row r="95" spans="1:35" ht="12" customHeight="1" x14ac:dyDescent="0.25">
      <c r="A95" s="7"/>
      <c r="B95" s="8"/>
      <c r="C95" s="18"/>
      <c r="D95" s="18"/>
      <c r="E95" s="18"/>
      <c r="F95" s="24"/>
      <c r="I95" s="345" t="str">
        <f>General!G43</f>
        <v>l</v>
      </c>
      <c r="J95" s="347">
        <v>1</v>
      </c>
      <c r="K95" s="347">
        <v>0</v>
      </c>
      <c r="L95" s="347">
        <v>0</v>
      </c>
      <c r="M95" s="346" t="str">
        <f t="shared" si="3"/>
        <v/>
      </c>
      <c r="AC95" s="27"/>
      <c r="AD95" s="27"/>
      <c r="AE95" s="27"/>
      <c r="AF95" s="17"/>
      <c r="AG95" s="9"/>
      <c r="AH95" s="9"/>
      <c r="AI95" s="9"/>
    </row>
    <row r="96" spans="1:35" ht="12" customHeight="1" x14ac:dyDescent="0.25">
      <c r="A96" s="7"/>
      <c r="B96" s="8"/>
      <c r="C96" s="18"/>
      <c r="D96" s="18"/>
      <c r="E96" s="18"/>
      <c r="F96" s="24"/>
      <c r="I96" s="345" t="str">
        <f>General!G44</f>
        <v>lf</v>
      </c>
      <c r="J96" s="347">
        <v>0</v>
      </c>
      <c r="K96" s="347">
        <v>1</v>
      </c>
      <c r="L96" s="347">
        <v>0</v>
      </c>
      <c r="M96" s="346" t="str">
        <f t="shared" ref="M96" si="4">IF(SUM(J96:L96)&gt;1,"***ERROR***","")</f>
        <v/>
      </c>
      <c r="AC96" s="27"/>
      <c r="AD96" s="27"/>
      <c r="AE96" s="27"/>
      <c r="AF96" s="17"/>
      <c r="AG96" s="9"/>
      <c r="AH96" s="9"/>
      <c r="AI96" s="9"/>
    </row>
    <row r="97" spans="1:35" ht="12" customHeight="1" x14ac:dyDescent="0.25">
      <c r="A97" s="7"/>
      <c r="B97" s="8"/>
      <c r="C97" s="18"/>
      <c r="D97" s="18"/>
      <c r="E97" s="18"/>
      <c r="F97" s="24"/>
      <c r="I97" s="345" t="str">
        <f>General!G45</f>
        <v>ms</v>
      </c>
      <c r="J97" s="347">
        <v>1</v>
      </c>
      <c r="K97" s="347">
        <v>0</v>
      </c>
      <c r="L97" s="347">
        <v>0</v>
      </c>
      <c r="M97" s="346" t="str">
        <f t="shared" ref="M97" si="5">IF(SUM(J97:L97)&gt;1,"***ERROR***","")</f>
        <v/>
      </c>
      <c r="AC97" s="27"/>
      <c r="AD97" s="27"/>
      <c r="AE97" s="27"/>
      <c r="AF97" s="17"/>
      <c r="AG97" s="9"/>
      <c r="AH97" s="9"/>
      <c r="AI97" s="9"/>
    </row>
    <row r="98" spans="1:35" ht="12" customHeight="1" x14ac:dyDescent="0.25">
      <c r="A98" s="7"/>
      <c r="B98" s="8"/>
      <c r="C98" s="18"/>
      <c r="D98" s="18"/>
      <c r="E98" s="18"/>
      <c r="F98" s="24"/>
      <c r="I98" s="345" t="str">
        <f>General!G46</f>
        <v>o</v>
      </c>
      <c r="J98" s="347">
        <v>1</v>
      </c>
      <c r="K98" s="347">
        <v>0</v>
      </c>
      <c r="L98" s="347">
        <v>0</v>
      </c>
      <c r="M98" s="346" t="str">
        <f t="shared" si="3"/>
        <v/>
      </c>
      <c r="AC98" s="27"/>
      <c r="AD98" s="27"/>
      <c r="AE98" s="27"/>
      <c r="AF98" s="17"/>
      <c r="AG98" s="9"/>
      <c r="AH98" s="9"/>
      <c r="AI98" s="9"/>
    </row>
    <row r="99" spans="1:35" ht="12" customHeight="1" x14ac:dyDescent="0.25">
      <c r="A99" s="7"/>
      <c r="B99" s="8"/>
      <c r="C99" s="18"/>
      <c r="D99" s="18"/>
      <c r="E99" s="18"/>
      <c r="F99" s="24"/>
      <c r="I99" s="345" t="str">
        <f>General!G47</f>
        <v>od</v>
      </c>
      <c r="J99" s="347">
        <v>1</v>
      </c>
      <c r="K99" s="347">
        <v>0</v>
      </c>
      <c r="L99" s="347">
        <v>0</v>
      </c>
      <c r="M99" s="346" t="str">
        <f t="shared" si="3"/>
        <v/>
      </c>
      <c r="AC99" s="27"/>
      <c r="AD99" s="27"/>
      <c r="AE99" s="27"/>
      <c r="AF99" s="17"/>
      <c r="AG99" s="9"/>
      <c r="AH99" s="9"/>
      <c r="AI99" s="9"/>
    </row>
    <row r="100" spans="1:35" ht="12" customHeight="1" x14ac:dyDescent="0.25">
      <c r="A100" s="7"/>
      <c r="B100" s="8"/>
      <c r="C100" s="18"/>
      <c r="D100" s="18"/>
      <c r="E100" s="18"/>
      <c r="F100" s="24"/>
      <c r="I100" s="345" t="str">
        <f>General!G48</f>
        <v>of</v>
      </c>
      <c r="J100" s="347">
        <v>0</v>
      </c>
      <c r="K100" s="347">
        <v>1</v>
      </c>
      <c r="L100" s="347">
        <v>0</v>
      </c>
      <c r="M100" s="346" t="str">
        <f t="shared" si="3"/>
        <v/>
      </c>
      <c r="AC100" s="27"/>
      <c r="AD100" s="27"/>
      <c r="AE100" s="27"/>
      <c r="AF100" s="17"/>
      <c r="AG100" s="9"/>
      <c r="AH100" s="9"/>
      <c r="AI100" s="9"/>
    </row>
    <row r="101" spans="1:35" ht="12" customHeight="1" x14ac:dyDescent="0.25">
      <c r="A101" s="7"/>
      <c r="B101" s="8"/>
      <c r="C101" s="18"/>
      <c r="D101" s="18"/>
      <c r="E101" s="18"/>
      <c r="F101" s="24"/>
      <c r="I101" s="345" t="str">
        <f>General!G49</f>
        <v>r</v>
      </c>
      <c r="J101" s="347">
        <v>1</v>
      </c>
      <c r="K101" s="347">
        <v>0</v>
      </c>
      <c r="L101" s="347">
        <v>0</v>
      </c>
      <c r="M101" s="346" t="str">
        <f t="shared" si="3"/>
        <v/>
      </c>
      <c r="AC101" s="27"/>
      <c r="AD101" s="27"/>
      <c r="AE101" s="27"/>
      <c r="AF101" s="17"/>
      <c r="AG101" s="9"/>
      <c r="AH101" s="9"/>
      <c r="AI101" s="9"/>
    </row>
    <row r="102" spans="1:35" ht="12" customHeight="1" x14ac:dyDescent="0.25">
      <c r="A102" s="7"/>
      <c r="B102" s="8"/>
      <c r="C102" s="18"/>
      <c r="D102" s="18"/>
      <c r="E102" s="18"/>
      <c r="F102" s="24"/>
      <c r="I102" s="345" t="str">
        <f>General!G50</f>
        <v>rd</v>
      </c>
      <c r="J102" s="347">
        <v>1</v>
      </c>
      <c r="K102" s="347">
        <v>0</v>
      </c>
      <c r="L102" s="347">
        <v>0</v>
      </c>
      <c r="M102" s="346" t="str">
        <f t="shared" si="3"/>
        <v/>
      </c>
      <c r="AC102" s="27"/>
      <c r="AD102" s="27"/>
      <c r="AE102" s="27"/>
      <c r="AF102" s="17"/>
      <c r="AG102" s="9"/>
      <c r="AH102" s="9"/>
      <c r="AI102" s="9"/>
    </row>
    <row r="103" spans="1:35" ht="12" customHeight="1" x14ac:dyDescent="0.25">
      <c r="A103" s="7"/>
      <c r="B103" s="8"/>
      <c r="C103" s="18"/>
      <c r="D103" s="18"/>
      <c r="E103" s="18"/>
      <c r="F103" s="24"/>
      <c r="I103" s="345" t="str">
        <f>General!G51</f>
        <v>v</v>
      </c>
      <c r="J103" s="347">
        <v>1</v>
      </c>
      <c r="K103" s="347">
        <v>0</v>
      </c>
      <c r="L103" s="347">
        <v>0</v>
      </c>
      <c r="M103" s="346" t="str">
        <f t="shared" si="3"/>
        <v/>
      </c>
      <c r="AC103" s="27"/>
      <c r="AD103" s="27"/>
      <c r="AE103" s="27"/>
      <c r="AF103" s="17"/>
      <c r="AG103" s="9"/>
      <c r="AH103" s="9"/>
      <c r="AI103" s="9"/>
    </row>
    <row r="104" spans="1:35" ht="12" customHeight="1" x14ac:dyDescent="0.25">
      <c r="A104" s="7"/>
      <c r="B104" s="8"/>
      <c r="C104" s="18"/>
      <c r="D104" s="18"/>
      <c r="E104" s="18"/>
      <c r="F104" s="24"/>
      <c r="I104" s="345" t="str">
        <f>General!G52</f>
        <v>w</v>
      </c>
      <c r="J104" s="347">
        <v>1</v>
      </c>
      <c r="K104" s="347">
        <v>0</v>
      </c>
      <c r="L104" s="347">
        <v>0</v>
      </c>
      <c r="M104" s="346" t="str">
        <f t="shared" si="3"/>
        <v/>
      </c>
      <c r="AC104" s="27"/>
      <c r="AD104" s="27"/>
      <c r="AE104" s="27"/>
      <c r="AF104" s="17"/>
      <c r="AG104" s="9"/>
      <c r="AH104" s="9"/>
      <c r="AI104" s="9"/>
    </row>
    <row r="105" spans="1:35" ht="12" customHeight="1" x14ac:dyDescent="0.25">
      <c r="A105" s="7"/>
      <c r="B105" s="8"/>
      <c r="C105" s="18"/>
      <c r="D105" s="18"/>
      <c r="E105" s="18"/>
      <c r="F105" s="24"/>
      <c r="I105" s="345" t="str">
        <f>General!G53</f>
        <v>wd</v>
      </c>
      <c r="J105" s="347">
        <v>1</v>
      </c>
      <c r="K105" s="347">
        <v>0</v>
      </c>
      <c r="L105" s="347">
        <v>0</v>
      </c>
      <c r="M105" s="346" t="str">
        <f t="shared" si="3"/>
        <v/>
      </c>
      <c r="AC105" s="27"/>
      <c r="AD105" s="27"/>
      <c r="AE105" s="27"/>
      <c r="AF105" s="17"/>
      <c r="AG105" s="9"/>
      <c r="AH105" s="9"/>
      <c r="AI105" s="9"/>
    </row>
    <row r="106" spans="1:35" ht="12" customHeight="1" x14ac:dyDescent="0.25">
      <c r="A106" s="7"/>
      <c r="B106" s="8"/>
      <c r="C106" s="18"/>
      <c r="D106" s="18"/>
      <c r="E106" s="18"/>
      <c r="F106" s="24"/>
      <c r="I106" s="345" t="str">
        <f>General!G54</f>
        <v>z</v>
      </c>
      <c r="J106" s="347">
        <v>1</v>
      </c>
      <c r="K106" s="347">
        <v>0</v>
      </c>
      <c r="L106" s="347">
        <v>0</v>
      </c>
      <c r="M106" s="346" t="str">
        <f t="shared" si="3"/>
        <v/>
      </c>
      <c r="AC106" s="27"/>
      <c r="AD106" s="27"/>
      <c r="AE106" s="27"/>
      <c r="AF106" s="17"/>
      <c r="AG106" s="9"/>
      <c r="AH106" s="9"/>
      <c r="AI106" s="9"/>
    </row>
    <row r="107" spans="1:35" ht="12" customHeight="1" x14ac:dyDescent="0.25">
      <c r="A107" s="7"/>
      <c r="B107" s="8"/>
      <c r="C107" s="18"/>
      <c r="D107" s="18"/>
      <c r="E107" s="18"/>
      <c r="F107" s="24"/>
      <c r="I107" s="345" t="str">
        <f>General!G55</f>
        <v>zd</v>
      </c>
      <c r="J107" s="347">
        <v>1</v>
      </c>
      <c r="K107" s="347">
        <v>0</v>
      </c>
      <c r="L107" s="347">
        <v>0</v>
      </c>
      <c r="M107" s="346"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B286" zoomScale="80" zoomScaleNormal="80" workbookViewId="0">
      <selection activeCell="J321" sqref="J321:Q323"/>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8">
        <v>45460.954488425901</v>
      </c>
      <c r="J11" s="621" t="s">
        <v>3273</v>
      </c>
      <c r="K11" s="622"/>
      <c r="L11" s="622"/>
      <c r="M11" s="622"/>
      <c r="N11" s="622"/>
      <c r="O11" s="622"/>
      <c r="P11" s="622"/>
      <c r="Q11" s="622"/>
      <c r="R11" s="622"/>
      <c r="S11" s="622"/>
      <c r="T11" s="622"/>
      <c r="U11" s="62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0">
        <v>45499.585434606503</v>
      </c>
      <c r="J12" s="624" t="s">
        <v>3272</v>
      </c>
      <c r="K12" s="625"/>
      <c r="L12" s="625"/>
      <c r="M12" s="625"/>
      <c r="N12" s="625"/>
      <c r="O12" s="625"/>
      <c r="P12" s="625"/>
      <c r="Q12" s="625"/>
      <c r="R12" s="625"/>
      <c r="S12" s="625"/>
      <c r="T12" s="625"/>
      <c r="U12" s="62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3052</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3053</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7"/>
      <c r="D24" s="13"/>
      <c r="E24" s="18"/>
      <c r="F24" s="14"/>
      <c r="G24" s="490"/>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1"/>
      <c r="J30" s="492"/>
      <c r="K30" s="492"/>
      <c r="L30" s="492"/>
      <c r="M30" s="492"/>
      <c r="N30" s="492"/>
      <c r="O30" s="492"/>
      <c r="P30" s="26"/>
      <c r="Q30" s="26"/>
      <c r="R30" s="26"/>
      <c r="S30" s="26"/>
      <c r="T30" s="26"/>
      <c r="U30" s="26"/>
      <c r="V30" s="27"/>
      <c r="W30" s="17"/>
      <c r="X30" s="9"/>
      <c r="Y30" s="9"/>
      <c r="Z30" s="9"/>
    </row>
    <row r="31" spans="1:80" customFormat="1" ht="12" customHeight="1" outlineLevel="1" x14ac:dyDescent="0.25">
      <c r="A31" s="7"/>
      <c r="B31" s="8"/>
      <c r="C31" s="18"/>
      <c r="D31" s="18"/>
      <c r="E31" s="18"/>
      <c r="F31" s="24"/>
      <c r="G31" s="493"/>
      <c r="H31" s="493"/>
      <c r="I31" s="493"/>
      <c r="J31" s="493"/>
      <c r="K31" s="493"/>
      <c r="Q31" s="30"/>
      <c r="R31" s="30"/>
      <c r="S31" s="30"/>
      <c r="T31" s="30"/>
      <c r="U31" s="30"/>
      <c r="V31" s="27"/>
      <c r="W31" s="17"/>
      <c r="X31" s="9"/>
      <c r="Y31" s="9"/>
      <c r="Z31" s="9"/>
    </row>
    <row r="32" spans="1:80" customFormat="1" ht="12" customHeight="1" outlineLevel="1" x14ac:dyDescent="0.25">
      <c r="A32" s="7"/>
      <c r="B32" s="8"/>
      <c r="C32" s="18"/>
      <c r="D32" s="18"/>
      <c r="E32" s="18"/>
      <c r="F32" s="24"/>
      <c r="G32" s="494"/>
      <c r="H32" s="494"/>
      <c r="I32" s="494" t="s">
        <v>3054</v>
      </c>
      <c r="J32" s="495">
        <v>1</v>
      </c>
      <c r="K32" s="494"/>
      <c r="Q32" s="30"/>
      <c r="R32" s="30"/>
      <c r="S32" s="30"/>
      <c r="T32" s="30"/>
      <c r="U32" s="30"/>
      <c r="V32" s="27"/>
      <c r="W32" s="17"/>
      <c r="X32" s="9"/>
      <c r="Y32" s="9"/>
      <c r="Z32" s="9"/>
    </row>
    <row r="33" spans="1:80" customFormat="1" ht="12" customHeight="1" outlineLevel="1" x14ac:dyDescent="0.25">
      <c r="A33" s="7"/>
      <c r="B33" s="8"/>
      <c r="C33" s="18"/>
      <c r="D33" s="18"/>
      <c r="E33" s="18"/>
      <c r="F33" s="24"/>
      <c r="G33" s="494"/>
      <c r="H33" s="494"/>
      <c r="I33" s="496" t="s">
        <v>3055</v>
      </c>
      <c r="J33" s="497">
        <v>0.05</v>
      </c>
      <c r="K33" s="494"/>
      <c r="L33" s="494"/>
      <c r="O33" s="494"/>
      <c r="P33" s="30"/>
      <c r="Q33" s="30"/>
      <c r="R33" s="30"/>
      <c r="S33" s="30"/>
      <c r="T33" s="30"/>
      <c r="U33" s="30"/>
      <c r="V33" s="27"/>
      <c r="W33" s="17"/>
      <c r="X33" s="9"/>
      <c r="Y33" s="9"/>
      <c r="Z33" s="9"/>
    </row>
    <row r="34" spans="1:80" customFormat="1" ht="12" customHeight="1" outlineLevel="1" x14ac:dyDescent="0.25">
      <c r="A34" s="7"/>
      <c r="B34" s="8"/>
      <c r="C34" s="18"/>
      <c r="D34" s="18"/>
      <c r="E34" s="18"/>
      <c r="F34" s="24"/>
      <c r="G34" s="498"/>
      <c r="H34" s="498"/>
      <c r="I34" s="496"/>
      <c r="J34" s="494"/>
      <c r="K34" s="494"/>
      <c r="L34" s="494"/>
      <c r="O34" s="494"/>
      <c r="P34" s="30"/>
      <c r="Q34" s="30"/>
      <c r="R34" s="30"/>
      <c r="S34" s="30"/>
      <c r="T34" s="30"/>
      <c r="U34" s="30"/>
      <c r="V34" s="27"/>
      <c r="W34" s="17"/>
      <c r="X34" s="9"/>
      <c r="Y34" s="9"/>
      <c r="Z34" s="9"/>
    </row>
    <row r="35" spans="1:80" customFormat="1" ht="12" customHeight="1" outlineLevel="1" x14ac:dyDescent="0.25">
      <c r="A35" s="7"/>
      <c r="B35" s="8"/>
      <c r="C35" s="18"/>
      <c r="D35" s="18"/>
      <c r="E35" s="18"/>
      <c r="F35" s="24"/>
      <c r="G35" s="498"/>
      <c r="H35" s="498"/>
      <c r="I35" s="28" t="s">
        <v>3056</v>
      </c>
      <c r="J35" s="28"/>
      <c r="K35" s="14" t="s">
        <v>3057</v>
      </c>
      <c r="L35" s="499"/>
      <c r="M35" s="500">
        <v>0.5</v>
      </c>
      <c r="O35" s="494"/>
      <c r="P35" s="30"/>
      <c r="Q35" s="30"/>
      <c r="R35" s="30"/>
      <c r="S35" s="30"/>
      <c r="T35" s="30"/>
      <c r="U35" s="30"/>
      <c r="V35" s="27"/>
      <c r="W35" s="17"/>
      <c r="X35" s="9"/>
      <c r="Y35" s="9"/>
      <c r="Z35" s="9"/>
    </row>
    <row r="36" spans="1:80" customFormat="1" ht="12" customHeight="1" outlineLevel="1" x14ac:dyDescent="0.25">
      <c r="A36" s="7"/>
      <c r="B36" s="8"/>
      <c r="C36" s="18"/>
      <c r="D36" s="18"/>
      <c r="E36" s="18"/>
      <c r="F36" s="24"/>
      <c r="G36" s="498"/>
      <c r="H36" s="498"/>
      <c r="I36" s="501" t="s">
        <v>3058</v>
      </c>
      <c r="J36" s="502"/>
      <c r="K36" s="503"/>
      <c r="L36" s="503"/>
      <c r="M36" s="504"/>
      <c r="O36" s="494"/>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5"/>
      <c r="J37" s="494"/>
      <c r="K37" s="494"/>
      <c r="L37" s="494"/>
      <c r="O37" s="494"/>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3059</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7"/>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7">
        <v>0</v>
      </c>
      <c r="D47" s="13"/>
      <c r="E47" s="18"/>
      <c r="F47" s="14"/>
      <c r="G47" s="490"/>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08"/>
      <c r="I52" s="508"/>
      <c r="J52" s="508"/>
      <c r="K52" s="24"/>
      <c r="L52" s="24"/>
      <c r="M52" s="24"/>
      <c r="N52" s="508"/>
      <c r="O52" s="508"/>
      <c r="P52" s="508"/>
      <c r="Q52" s="508"/>
      <c r="R52" s="508"/>
      <c r="S52" s="508"/>
      <c r="T52" s="508"/>
      <c r="U52" s="508"/>
      <c r="V52" s="50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4" t="s">
        <v>3060</v>
      </c>
      <c r="H53" s="509"/>
      <c r="I53" s="509"/>
      <c r="J53" s="509"/>
      <c r="K53" s="24"/>
      <c r="L53" s="24"/>
      <c r="M53" s="24"/>
      <c r="N53" s="509"/>
      <c r="O53" s="509"/>
      <c r="P53" s="509"/>
      <c r="Q53" s="509"/>
      <c r="R53" s="509"/>
      <c r="S53" s="509"/>
      <c r="T53" s="509"/>
      <c r="U53" s="509"/>
      <c r="V53" s="51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08" t="s">
        <v>97</v>
      </c>
      <c r="I54" s="511" t="s">
        <v>3061</v>
      </c>
      <c r="J54" s="511" t="s">
        <v>3062</v>
      </c>
      <c r="K54" s="511" t="s">
        <v>3063</v>
      </c>
      <c r="L54" s="511" t="s">
        <v>3064</v>
      </c>
      <c r="M54" s="24"/>
      <c r="N54" s="509"/>
      <c r="O54" s="509"/>
      <c r="P54" s="509"/>
      <c r="Q54" s="509"/>
      <c r="R54" s="509"/>
      <c r="S54" s="509"/>
      <c r="T54" s="509"/>
      <c r="U54" s="509"/>
      <c r="V54" s="51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2" t="str">
        <f>General!G37</f>
        <v>b</v>
      </c>
      <c r="I55" s="513">
        <v>0.9</v>
      </c>
      <c r="J55" s="514">
        <v>1.1000000000000001</v>
      </c>
      <c r="K55" s="513">
        <v>0.7</v>
      </c>
      <c r="L55" s="513">
        <v>0.95</v>
      </c>
      <c r="M55" s="24"/>
      <c r="N55" s="509"/>
      <c r="O55" s="509"/>
      <c r="P55" s="509"/>
      <c r="Q55" s="509"/>
      <c r="R55" s="509"/>
      <c r="S55" s="509"/>
      <c r="T55" s="509"/>
      <c r="U55" s="509"/>
      <c r="V55" s="51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2" t="str">
        <f>General!G38</f>
        <v>bd</v>
      </c>
      <c r="I56" s="513">
        <v>0.9</v>
      </c>
      <c r="J56" s="514">
        <v>1.1000000000000001</v>
      </c>
      <c r="K56" s="513">
        <v>0.7</v>
      </c>
      <c r="L56" s="513">
        <v>0.95</v>
      </c>
      <c r="M56" s="24"/>
      <c r="N56" s="509"/>
      <c r="O56" s="509"/>
      <c r="P56" s="509"/>
      <c r="Q56" s="509"/>
      <c r="R56" s="509"/>
      <c r="S56" s="509"/>
      <c r="T56" s="509"/>
      <c r="U56" s="509"/>
      <c r="V56" s="51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2" t="str">
        <f>General!G39</f>
        <v>f</v>
      </c>
      <c r="I57" s="513">
        <v>0.9</v>
      </c>
      <c r="J57" s="514">
        <v>1.1000000000000001</v>
      </c>
      <c r="K57" s="513">
        <v>0.7</v>
      </c>
      <c r="L57" s="513">
        <v>0.95</v>
      </c>
      <c r="M57" s="24"/>
      <c r="N57" s="509"/>
      <c r="O57" s="509"/>
      <c r="P57" s="509"/>
      <c r="Q57" s="509"/>
      <c r="R57" s="509"/>
      <c r="S57" s="509"/>
      <c r="T57" s="509"/>
      <c r="U57" s="509"/>
      <c r="V57" s="51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2" t="str">
        <f>General!G40</f>
        <v>h</v>
      </c>
      <c r="I58" s="513">
        <v>0.9</v>
      </c>
      <c r="J58" s="514">
        <v>1.1000000000000001</v>
      </c>
      <c r="K58" s="513">
        <v>0.7</v>
      </c>
      <c r="L58" s="513">
        <v>0.95</v>
      </c>
      <c r="M58" s="24"/>
      <c r="N58" s="509"/>
      <c r="O58" s="509"/>
      <c r="P58" s="509"/>
      <c r="Q58" s="509"/>
      <c r="R58" s="509"/>
      <c r="S58" s="509"/>
      <c r="T58" s="509"/>
      <c r="U58" s="509"/>
      <c r="V58" s="51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2" t="str">
        <f>General!G41</f>
        <v>i</v>
      </c>
      <c r="I59" s="513">
        <v>0.9</v>
      </c>
      <c r="J59" s="514">
        <v>1.1000000000000001</v>
      </c>
      <c r="K59" s="513">
        <v>0.7</v>
      </c>
      <c r="L59" s="513">
        <v>0.95</v>
      </c>
      <c r="M59" s="24"/>
      <c r="N59" s="509"/>
      <c r="O59" s="509"/>
      <c r="P59" s="509"/>
      <c r="Q59" s="509"/>
      <c r="R59" s="509"/>
      <c r="S59" s="509"/>
      <c r="T59" s="509"/>
      <c r="U59" s="509"/>
      <c r="V59" s="51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2" t="str">
        <f>General!G42</f>
        <v>k</v>
      </c>
      <c r="I60" s="513">
        <v>0.9</v>
      </c>
      <c r="J60" s="514">
        <v>1.1000000000000001</v>
      </c>
      <c r="K60" s="513">
        <v>0.7</v>
      </c>
      <c r="L60" s="513">
        <v>0.95</v>
      </c>
      <c r="M60" s="24"/>
      <c r="N60" s="509"/>
      <c r="O60" s="509"/>
      <c r="P60" s="509"/>
      <c r="Q60" s="509"/>
      <c r="R60" s="509"/>
      <c r="S60" s="509"/>
      <c r="T60" s="509"/>
      <c r="U60" s="509"/>
      <c r="V60" s="510"/>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2" t="str">
        <f>General!G43</f>
        <v>l</v>
      </c>
      <c r="I61" s="513">
        <v>0.9</v>
      </c>
      <c r="J61" s="514">
        <v>1.1000000000000001</v>
      </c>
      <c r="K61" s="513">
        <v>0.7</v>
      </c>
      <c r="L61" s="513">
        <v>0.95</v>
      </c>
      <c r="M61" s="24"/>
      <c r="N61" s="509"/>
      <c r="O61" s="509"/>
      <c r="P61" s="509"/>
      <c r="Q61" s="509"/>
      <c r="R61" s="509"/>
      <c r="S61" s="509"/>
      <c r="T61" s="509"/>
      <c r="U61" s="509"/>
      <c r="V61" s="510"/>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2" t="str">
        <f>General!G44</f>
        <v>lf</v>
      </c>
      <c r="I62" s="513">
        <v>0.9</v>
      </c>
      <c r="J62" s="514">
        <v>1.1000000000000001</v>
      </c>
      <c r="K62" s="513">
        <v>0.7</v>
      </c>
      <c r="L62" s="513">
        <v>0.95</v>
      </c>
      <c r="M62" s="24"/>
      <c r="N62" s="509"/>
      <c r="O62" s="509"/>
      <c r="P62" s="509"/>
      <c r="Q62" s="509"/>
      <c r="R62" s="509"/>
      <c r="S62" s="509"/>
      <c r="T62" s="509"/>
      <c r="U62" s="509"/>
      <c r="V62" s="510"/>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2" t="str">
        <f>General!G45</f>
        <v>ms</v>
      </c>
      <c r="I63" s="513">
        <v>0.9</v>
      </c>
      <c r="J63" s="514">
        <v>1.1000000000000001</v>
      </c>
      <c r="K63" s="513">
        <v>0.7</v>
      </c>
      <c r="L63" s="513">
        <v>0.95</v>
      </c>
      <c r="M63" s="24"/>
      <c r="N63" s="509"/>
      <c r="O63" s="509"/>
      <c r="P63" s="509"/>
      <c r="Q63" s="509"/>
      <c r="R63" s="509"/>
      <c r="S63" s="509"/>
      <c r="T63" s="509"/>
      <c r="U63" s="509"/>
      <c r="V63" s="510"/>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2" t="str">
        <f>General!G46</f>
        <v>o</v>
      </c>
      <c r="I64" s="513">
        <v>0.9</v>
      </c>
      <c r="J64" s="514">
        <v>1.1000000000000001</v>
      </c>
      <c r="K64" s="513">
        <v>0.7</v>
      </c>
      <c r="L64" s="513">
        <v>0.95</v>
      </c>
      <c r="M64" s="24"/>
      <c r="N64" s="509"/>
      <c r="O64" s="509"/>
      <c r="P64" s="509"/>
      <c r="Q64" s="509"/>
      <c r="R64" s="509"/>
      <c r="S64" s="509"/>
      <c r="T64" s="509"/>
      <c r="U64" s="509"/>
      <c r="V64" s="510"/>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2" t="str">
        <f>General!G47</f>
        <v>od</v>
      </c>
      <c r="I65" s="513">
        <v>0.9</v>
      </c>
      <c r="J65" s="514">
        <v>1.1000000000000001</v>
      </c>
      <c r="K65" s="513">
        <v>0.7</v>
      </c>
      <c r="L65" s="513">
        <v>0.95</v>
      </c>
      <c r="M65" s="24"/>
      <c r="N65" s="509"/>
      <c r="O65" s="509"/>
      <c r="P65" s="509"/>
      <c r="Q65" s="509"/>
      <c r="R65" s="509"/>
      <c r="S65" s="509"/>
      <c r="T65" s="509"/>
      <c r="U65" s="509"/>
      <c r="V65" s="510"/>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2" t="str">
        <f>General!G48</f>
        <v>of</v>
      </c>
      <c r="I66" s="513">
        <v>0.9</v>
      </c>
      <c r="J66" s="514">
        <v>1.1000000000000001</v>
      </c>
      <c r="K66" s="513">
        <v>0.7</v>
      </c>
      <c r="L66" s="513">
        <v>0.95</v>
      </c>
      <c r="M66" s="24"/>
      <c r="N66" s="509"/>
      <c r="O66" s="509"/>
      <c r="P66" s="509"/>
      <c r="Q66" s="509"/>
      <c r="R66" s="509"/>
      <c r="S66" s="509"/>
      <c r="T66" s="509"/>
      <c r="U66" s="509"/>
      <c r="V66" s="510"/>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2" t="str">
        <f>General!G49</f>
        <v>r</v>
      </c>
      <c r="I67" s="513">
        <v>0.9</v>
      </c>
      <c r="J67" s="514">
        <v>1.1000000000000001</v>
      </c>
      <c r="K67" s="513">
        <v>0.7</v>
      </c>
      <c r="L67" s="513">
        <v>0.95</v>
      </c>
      <c r="M67" s="24"/>
      <c r="N67" s="509"/>
      <c r="O67" s="509"/>
      <c r="P67" s="509"/>
      <c r="Q67" s="509"/>
      <c r="R67" s="509"/>
      <c r="S67" s="509"/>
      <c r="T67" s="509"/>
      <c r="U67" s="509"/>
      <c r="V67" s="510"/>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2" t="str">
        <f>General!G50</f>
        <v>rd</v>
      </c>
      <c r="I68" s="513">
        <v>0.9</v>
      </c>
      <c r="J68" s="514">
        <v>1.1000000000000001</v>
      </c>
      <c r="K68" s="513">
        <v>0.7</v>
      </c>
      <c r="L68" s="513">
        <v>0.95</v>
      </c>
      <c r="M68" s="24"/>
      <c r="N68" s="509"/>
      <c r="O68" s="509"/>
      <c r="P68" s="509"/>
      <c r="Q68" s="509"/>
      <c r="R68" s="509"/>
      <c r="S68" s="509"/>
      <c r="T68" s="509"/>
      <c r="U68" s="509"/>
      <c r="V68" s="510"/>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2" t="str">
        <f>General!G51</f>
        <v>v</v>
      </c>
      <c r="I69" s="513">
        <v>0.9</v>
      </c>
      <c r="J69" s="514">
        <v>1.1000000000000001</v>
      </c>
      <c r="K69" s="513">
        <v>0.7</v>
      </c>
      <c r="L69" s="513">
        <v>0.95</v>
      </c>
      <c r="M69" s="24"/>
      <c r="N69" s="509"/>
      <c r="O69" s="509"/>
      <c r="P69" s="509"/>
      <c r="Q69" s="509"/>
      <c r="R69" s="509"/>
      <c r="S69" s="509"/>
      <c r="T69" s="509"/>
      <c r="U69" s="509"/>
      <c r="V69" s="510"/>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2" t="str">
        <f>General!G52</f>
        <v>w</v>
      </c>
      <c r="I70" s="513">
        <v>0.9</v>
      </c>
      <c r="J70" s="514">
        <v>1.1000000000000001</v>
      </c>
      <c r="K70" s="513">
        <v>0.7</v>
      </c>
      <c r="L70" s="513">
        <v>0.95</v>
      </c>
      <c r="M70" s="24"/>
      <c r="N70" s="509"/>
      <c r="O70" s="509"/>
      <c r="P70" s="509"/>
      <c r="Q70" s="509"/>
      <c r="R70" s="509"/>
      <c r="S70" s="509"/>
      <c r="T70" s="509"/>
      <c r="U70" s="509"/>
      <c r="V70" s="510"/>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2" t="str">
        <f>General!G53</f>
        <v>wd</v>
      </c>
      <c r="I71" s="513">
        <v>0.9</v>
      </c>
      <c r="J71" s="514">
        <v>1.1000000000000001</v>
      </c>
      <c r="K71" s="513">
        <v>0.7</v>
      </c>
      <c r="L71" s="513">
        <v>0.95</v>
      </c>
      <c r="M71" s="24"/>
      <c r="N71" s="509"/>
      <c r="O71" s="509"/>
      <c r="P71" s="509"/>
      <c r="Q71" s="509"/>
      <c r="R71" s="509"/>
      <c r="S71" s="509"/>
      <c r="T71" s="509"/>
      <c r="U71" s="509"/>
      <c r="V71" s="510"/>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2" t="str">
        <f>General!G54</f>
        <v>z</v>
      </c>
      <c r="I72" s="513">
        <v>0.9</v>
      </c>
      <c r="J72" s="514">
        <v>1.1000000000000001</v>
      </c>
      <c r="K72" s="513">
        <v>0.7</v>
      </c>
      <c r="L72" s="513">
        <v>0.95</v>
      </c>
      <c r="M72" s="24"/>
      <c r="N72" s="509"/>
      <c r="O72" s="509"/>
      <c r="P72" s="509"/>
      <c r="Q72" s="509"/>
      <c r="R72" s="509"/>
      <c r="S72" s="509"/>
      <c r="T72" s="509"/>
      <c r="U72" s="509"/>
      <c r="V72" s="510"/>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2" t="str">
        <f>General!G55</f>
        <v>zd</v>
      </c>
      <c r="I73" s="513">
        <v>0.9</v>
      </c>
      <c r="J73" s="514">
        <v>1.1000000000000001</v>
      </c>
      <c r="K73" s="513">
        <v>0.7</v>
      </c>
      <c r="L73" s="513">
        <v>0.95</v>
      </c>
      <c r="M73" s="24"/>
      <c r="N73" s="509"/>
      <c r="O73" s="509"/>
      <c r="P73" s="509"/>
      <c r="Q73" s="509"/>
      <c r="R73" s="509"/>
      <c r="S73" s="509"/>
      <c r="T73" s="509"/>
      <c r="U73" s="509"/>
      <c r="V73" s="510"/>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09"/>
      <c r="I74" s="509"/>
      <c r="J74" s="509"/>
      <c r="K74" s="24"/>
      <c r="L74" s="24"/>
      <c r="M74" s="24"/>
      <c r="N74" s="509"/>
      <c r="O74" s="509"/>
      <c r="P74" s="509"/>
      <c r="Q74" s="509"/>
      <c r="R74" s="509"/>
      <c r="S74" s="509"/>
      <c r="T74" s="509"/>
      <c r="U74" s="509"/>
      <c r="V74" s="510"/>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09"/>
      <c r="I75" s="509"/>
      <c r="J75" s="509"/>
      <c r="K75" s="24"/>
      <c r="L75" s="24"/>
      <c r="M75" s="24"/>
      <c r="N75" s="509"/>
      <c r="O75" s="509"/>
      <c r="P75" s="509"/>
      <c r="Q75" s="509"/>
      <c r="R75" s="509"/>
      <c r="S75" s="509"/>
      <c r="T75" s="509"/>
      <c r="U75" s="509"/>
      <c r="V75" s="510"/>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3065</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3053</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7"/>
      <c r="D85" s="13"/>
      <c r="E85" s="18"/>
      <c r="F85" s="14"/>
      <c r="G85" s="490"/>
      <c r="H85" s="14"/>
      <c r="I85" s="14" t="s">
        <v>2801</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1"/>
      <c r="J91" s="492"/>
      <c r="K91" s="492"/>
      <c r="L91" s="492"/>
      <c r="M91" s="492"/>
      <c r="N91" s="492"/>
      <c r="O91" s="492"/>
      <c r="P91" s="26"/>
      <c r="Q91" s="26"/>
      <c r="R91" s="26"/>
      <c r="S91" s="26"/>
      <c r="T91" s="26"/>
      <c r="U91" s="26"/>
      <c r="V91" s="27"/>
      <c r="W91" s="17"/>
      <c r="X91" s="9"/>
      <c r="Y91" s="9"/>
      <c r="Z91" s="9"/>
    </row>
    <row r="92" spans="1:26" customFormat="1" x14ac:dyDescent="0.25">
      <c r="A92" s="7"/>
      <c r="B92" s="8"/>
      <c r="C92" s="18"/>
      <c r="D92" s="18"/>
      <c r="E92" s="18"/>
      <c r="F92" s="24"/>
      <c r="G92" s="344" t="s">
        <v>3066</v>
      </c>
      <c r="I92" s="515"/>
      <c r="K92" s="516"/>
      <c r="L92" s="516"/>
      <c r="M92" s="26"/>
      <c r="O92" s="492"/>
      <c r="P92" s="26"/>
      <c r="Q92" s="26"/>
      <c r="R92" s="26"/>
      <c r="S92" s="26"/>
      <c r="T92" s="26"/>
      <c r="U92" s="26"/>
      <c r="V92" s="27"/>
      <c r="W92" s="17"/>
      <c r="X92" s="9"/>
      <c r="Y92" s="9"/>
      <c r="Z92" s="9"/>
    </row>
    <row r="93" spans="1:26" customFormat="1" outlineLevel="1" x14ac:dyDescent="0.25">
      <c r="A93" s="7"/>
      <c r="B93" s="8"/>
      <c r="C93" s="18"/>
      <c r="D93" s="18"/>
      <c r="E93" s="18"/>
      <c r="F93" s="24"/>
      <c r="G93" s="344"/>
      <c r="H93" s="517" t="s">
        <v>2325</v>
      </c>
      <c r="I93" s="518" t="s">
        <v>2327</v>
      </c>
      <c r="J93" s="519" t="s">
        <v>2326</v>
      </c>
      <c r="K93" s="520"/>
      <c r="L93" s="516"/>
      <c r="M93" s="27"/>
      <c r="O93" s="492"/>
      <c r="P93" s="26"/>
      <c r="Q93" s="26"/>
      <c r="R93" s="26"/>
      <c r="S93" s="27"/>
      <c r="T93" s="26"/>
      <c r="U93" s="26"/>
      <c r="V93" s="27"/>
      <c r="W93" s="17"/>
      <c r="X93" s="9"/>
      <c r="Y93" s="9"/>
      <c r="Z93" s="9"/>
    </row>
    <row r="94" spans="1:26" customFormat="1" outlineLevel="1" x14ac:dyDescent="0.25">
      <c r="A94" s="7"/>
      <c r="B94" s="8"/>
      <c r="C94" s="18"/>
      <c r="D94" s="18"/>
      <c r="E94" s="18"/>
      <c r="F94" s="24"/>
      <c r="H94" s="521" t="s">
        <v>2324</v>
      </c>
      <c r="I94" t="s">
        <v>2328</v>
      </c>
      <c r="J94" t="s">
        <v>2329</v>
      </c>
      <c r="K94" s="516"/>
      <c r="L94" s="516"/>
      <c r="O94" s="505"/>
      <c r="P94" s="30"/>
      <c r="Q94" s="30"/>
      <c r="R94" s="30"/>
      <c r="T94" s="30"/>
      <c r="U94" s="30"/>
      <c r="V94" s="27"/>
      <c r="W94" s="17"/>
      <c r="X94" s="9"/>
      <c r="Y94" s="9"/>
      <c r="Z94" s="9"/>
    </row>
    <row r="95" spans="1:26" customFormat="1" ht="12" customHeight="1" outlineLevel="1" x14ac:dyDescent="0.25">
      <c r="A95" s="7"/>
      <c r="B95" s="8"/>
      <c r="C95" s="18"/>
      <c r="D95" s="18"/>
      <c r="E95" s="18"/>
      <c r="F95" s="24"/>
      <c r="G95" s="345" t="str">
        <f>General!G37</f>
        <v>b</v>
      </c>
      <c r="H95" s="513">
        <v>1</v>
      </c>
      <c r="I95" s="513">
        <v>1</v>
      </c>
      <c r="J95" s="522">
        <f t="shared" ref="J95:J113" si="0">$J55-$I55*$K55*(1-$L55)</f>
        <v>1.0685</v>
      </c>
      <c r="K95" s="520"/>
      <c r="L95" s="516"/>
      <c r="M95" s="28"/>
      <c r="O95" s="505"/>
      <c r="P95" s="30"/>
      <c r="Q95" s="30"/>
      <c r="R95" s="30"/>
      <c r="T95" s="30"/>
      <c r="U95" s="30"/>
      <c r="V95" s="27"/>
      <c r="W95" s="17"/>
      <c r="X95" s="9"/>
      <c r="Y95" s="9"/>
      <c r="Z95" s="9"/>
    </row>
    <row r="96" spans="1:26" customFormat="1" ht="12" customHeight="1" outlineLevel="1" x14ac:dyDescent="0.25">
      <c r="A96" s="7"/>
      <c r="B96" s="8"/>
      <c r="C96" s="18"/>
      <c r="D96" s="18"/>
      <c r="E96" s="18"/>
      <c r="F96" s="24"/>
      <c r="G96" s="345" t="str">
        <f>General!G38</f>
        <v>bd</v>
      </c>
      <c r="H96" s="513">
        <v>1</v>
      </c>
      <c r="I96" s="513">
        <v>1</v>
      </c>
      <c r="J96" s="522">
        <f t="shared" si="0"/>
        <v>1.0685</v>
      </c>
      <c r="K96" s="520"/>
      <c r="L96" s="516"/>
      <c r="M96" s="28"/>
      <c r="O96" s="505"/>
      <c r="P96" s="30"/>
      <c r="Q96" s="30"/>
      <c r="R96" s="30"/>
      <c r="T96" s="30"/>
      <c r="U96" s="30"/>
      <c r="V96" s="27"/>
      <c r="W96" s="17"/>
      <c r="X96" s="9"/>
      <c r="Y96" s="9"/>
      <c r="Z96" s="9"/>
    </row>
    <row r="97" spans="1:26" customFormat="1" ht="12" customHeight="1" outlineLevel="1" x14ac:dyDescent="0.25">
      <c r="A97" s="7"/>
      <c r="B97" s="8"/>
      <c r="C97" s="18"/>
      <c r="D97" s="18"/>
      <c r="E97" s="18"/>
      <c r="F97" s="24"/>
      <c r="G97" s="345" t="str">
        <f>General!G39</f>
        <v>f</v>
      </c>
      <c r="H97" s="513">
        <v>1</v>
      </c>
      <c r="I97" s="513">
        <v>1</v>
      </c>
      <c r="J97" s="522">
        <f t="shared" si="0"/>
        <v>1.0685</v>
      </c>
      <c r="K97" s="520"/>
      <c r="L97" s="516"/>
      <c r="M97" s="28"/>
      <c r="P97" s="30"/>
      <c r="Q97" s="30"/>
      <c r="R97" s="30"/>
      <c r="T97" s="30"/>
      <c r="U97" s="30"/>
      <c r="V97" s="27"/>
      <c r="W97" s="17"/>
      <c r="X97" s="9"/>
      <c r="Y97" s="9"/>
      <c r="Z97" s="9"/>
    </row>
    <row r="98" spans="1:26" customFormat="1" ht="12" customHeight="1" outlineLevel="1" x14ac:dyDescent="0.25">
      <c r="A98" s="7"/>
      <c r="B98" s="8"/>
      <c r="C98" s="18"/>
      <c r="D98" s="18"/>
      <c r="E98" s="18"/>
      <c r="F98" s="24"/>
      <c r="G98" s="345" t="str">
        <f>General!G40</f>
        <v>h</v>
      </c>
      <c r="H98" s="513">
        <v>1</v>
      </c>
      <c r="I98" s="513">
        <v>1</v>
      </c>
      <c r="J98" s="522">
        <f t="shared" si="0"/>
        <v>1.0685</v>
      </c>
      <c r="K98" s="520"/>
      <c r="L98" s="516"/>
      <c r="M98" s="28"/>
      <c r="P98" s="30"/>
      <c r="Q98" s="30"/>
      <c r="R98" s="30"/>
      <c r="T98" s="30"/>
      <c r="U98" s="30"/>
      <c r="V98" s="27"/>
      <c r="W98" s="17"/>
      <c r="X98" s="9"/>
      <c r="Y98" s="9"/>
      <c r="Z98" s="9"/>
    </row>
    <row r="99" spans="1:26" customFormat="1" ht="12" customHeight="1" outlineLevel="1" x14ac:dyDescent="0.25">
      <c r="A99" s="7"/>
      <c r="B99" s="8"/>
      <c r="C99" s="18"/>
      <c r="D99" s="18"/>
      <c r="E99" s="18"/>
      <c r="F99" s="24"/>
      <c r="G99" s="345" t="str">
        <f>General!G41</f>
        <v>i</v>
      </c>
      <c r="H99" s="513">
        <v>1</v>
      </c>
      <c r="I99" s="513">
        <v>1</v>
      </c>
      <c r="J99" s="522">
        <f t="shared" si="0"/>
        <v>1.0685</v>
      </c>
      <c r="K99" s="520"/>
      <c r="L99" s="516"/>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5" t="str">
        <f>General!G42</f>
        <v>k</v>
      </c>
      <c r="H100" s="513">
        <v>1</v>
      </c>
      <c r="I100" s="513">
        <v>1</v>
      </c>
      <c r="J100" s="522">
        <f t="shared" si="0"/>
        <v>1.0685</v>
      </c>
      <c r="K100" s="520"/>
      <c r="L100" s="516"/>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5" t="str">
        <f>General!G43</f>
        <v>l</v>
      </c>
      <c r="H101" s="513">
        <v>1</v>
      </c>
      <c r="I101" s="513">
        <v>1</v>
      </c>
      <c r="J101" s="522">
        <f t="shared" si="0"/>
        <v>1.0685</v>
      </c>
      <c r="K101" s="520"/>
      <c r="L101" s="516"/>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5" t="str">
        <f>General!G44</f>
        <v>lf</v>
      </c>
      <c r="H102" s="513">
        <v>1</v>
      </c>
      <c r="I102" s="513">
        <v>1</v>
      </c>
      <c r="J102" s="522">
        <f t="shared" si="0"/>
        <v>1.0685</v>
      </c>
      <c r="K102" s="520"/>
      <c r="L102" s="516"/>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5" t="str">
        <f>General!G45</f>
        <v>ms</v>
      </c>
      <c r="H103" s="513">
        <v>1</v>
      </c>
      <c r="I103" s="513">
        <v>1</v>
      </c>
      <c r="J103" s="522">
        <f t="shared" si="0"/>
        <v>1.0685</v>
      </c>
      <c r="K103" s="520"/>
      <c r="L103" s="516"/>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5" t="str">
        <f>General!G46</f>
        <v>o</v>
      </c>
      <c r="H104" s="513">
        <v>1</v>
      </c>
      <c r="I104" s="513">
        <v>1</v>
      </c>
      <c r="J104" s="522">
        <f t="shared" si="0"/>
        <v>1.0685</v>
      </c>
      <c r="K104" s="520"/>
      <c r="L104" s="516"/>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5" t="str">
        <f>General!G47</f>
        <v>od</v>
      </c>
      <c r="H105" s="513">
        <v>1</v>
      </c>
      <c r="I105" s="513">
        <v>1</v>
      </c>
      <c r="J105" s="522">
        <f t="shared" si="0"/>
        <v>1.0685</v>
      </c>
      <c r="K105" s="520"/>
      <c r="L105" s="516"/>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5" t="str">
        <f>General!G48</f>
        <v>of</v>
      </c>
      <c r="H106" s="513">
        <v>1</v>
      </c>
      <c r="I106" s="513">
        <v>1</v>
      </c>
      <c r="J106" s="522">
        <f t="shared" si="0"/>
        <v>1.0685</v>
      </c>
      <c r="K106" s="520"/>
      <c r="L106" s="516"/>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5" t="str">
        <f>General!G49</f>
        <v>r</v>
      </c>
      <c r="H107" s="513">
        <v>1</v>
      </c>
      <c r="I107" s="513">
        <v>1</v>
      </c>
      <c r="J107" s="522">
        <f t="shared" si="0"/>
        <v>1.0685</v>
      </c>
      <c r="K107" s="520"/>
      <c r="L107" s="516"/>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5" t="str">
        <f>General!G50</f>
        <v>rd</v>
      </c>
      <c r="H108" s="513">
        <v>1</v>
      </c>
      <c r="I108" s="513">
        <v>1</v>
      </c>
      <c r="J108" s="522">
        <f t="shared" si="0"/>
        <v>1.0685</v>
      </c>
      <c r="K108" s="520"/>
      <c r="L108" s="516"/>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5" t="str">
        <f>General!G51</f>
        <v>v</v>
      </c>
      <c r="H109" s="513">
        <v>1</v>
      </c>
      <c r="I109" s="513">
        <v>1</v>
      </c>
      <c r="J109" s="522">
        <f t="shared" si="0"/>
        <v>1.0685</v>
      </c>
      <c r="K109" s="520"/>
      <c r="L109" s="516"/>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5" t="str">
        <f>General!G52</f>
        <v>w</v>
      </c>
      <c r="H110" s="513">
        <v>1</v>
      </c>
      <c r="I110" s="513">
        <v>1</v>
      </c>
      <c r="J110" s="522">
        <f t="shared" si="0"/>
        <v>1.0685</v>
      </c>
      <c r="K110" s="520"/>
      <c r="L110" s="516"/>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5" t="str">
        <f>General!G53</f>
        <v>wd</v>
      </c>
      <c r="H111" s="513">
        <v>1</v>
      </c>
      <c r="I111" s="513">
        <v>1</v>
      </c>
      <c r="J111" s="522">
        <f t="shared" si="0"/>
        <v>1.0685</v>
      </c>
      <c r="K111" s="520"/>
      <c r="L111" s="516"/>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5" t="str">
        <f>General!G54</f>
        <v>z</v>
      </c>
      <c r="H112" s="513">
        <v>1</v>
      </c>
      <c r="I112" s="513">
        <v>1</v>
      </c>
      <c r="J112" s="522">
        <f t="shared" si="0"/>
        <v>1.0685</v>
      </c>
      <c r="K112" s="520"/>
      <c r="L112" s="516"/>
      <c r="M112" s="493"/>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5" t="str">
        <f>General!G55</f>
        <v>zd</v>
      </c>
      <c r="H113" s="513">
        <v>1</v>
      </c>
      <c r="I113" s="513">
        <v>1</v>
      </c>
      <c r="J113" s="522">
        <f t="shared" si="0"/>
        <v>1.0685</v>
      </c>
      <c r="K113" s="520"/>
      <c r="L113" s="516"/>
      <c r="M113" s="30"/>
      <c r="P113" s="30"/>
      <c r="Q113" s="30"/>
      <c r="R113" s="30"/>
      <c r="S113" s="523"/>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0"/>
      <c r="T114" s="30"/>
      <c r="U114" s="30"/>
      <c r="V114" s="27"/>
      <c r="W114" s="17"/>
      <c r="X114" s="9"/>
      <c r="Y114" s="9"/>
      <c r="Z114" s="9"/>
    </row>
    <row r="115" spans="1:26" customFormat="1" outlineLevel="1" x14ac:dyDescent="0.25">
      <c r="A115" s="7"/>
      <c r="B115" s="8"/>
      <c r="C115" s="18"/>
      <c r="D115" s="18"/>
      <c r="E115" s="18"/>
      <c r="F115" s="24"/>
      <c r="G115" s="25"/>
      <c r="H115" s="24"/>
      <c r="I115" s="491"/>
      <c r="J115" s="27"/>
      <c r="K115" s="492"/>
      <c r="L115" s="492"/>
      <c r="M115" s="26"/>
      <c r="N115" s="27"/>
      <c r="O115" s="492"/>
      <c r="P115" s="26"/>
      <c r="Q115" s="26"/>
      <c r="R115" s="26"/>
      <c r="S115" s="26"/>
      <c r="T115" s="26"/>
      <c r="U115" s="26"/>
      <c r="V115" s="27"/>
      <c r="W115" s="17"/>
      <c r="X115" s="9"/>
      <c r="Y115" s="9"/>
      <c r="Z115" s="9"/>
    </row>
    <row r="116" spans="1:26" customFormat="1" x14ac:dyDescent="0.25">
      <c r="A116" s="7"/>
      <c r="B116" s="8"/>
      <c r="C116" s="18"/>
      <c r="D116" s="18"/>
      <c r="E116" s="18"/>
      <c r="F116" s="24"/>
      <c r="G116" s="524" t="s">
        <v>3067</v>
      </c>
      <c r="I116" s="525"/>
      <c r="K116" s="516"/>
      <c r="L116" s="516"/>
      <c r="M116" s="26"/>
      <c r="O116" s="492"/>
      <c r="P116" s="26"/>
      <c r="Q116" s="26"/>
      <c r="R116" s="26"/>
      <c r="S116" s="26"/>
      <c r="T116" s="26"/>
      <c r="U116" s="26"/>
      <c r="V116" s="27"/>
      <c r="W116" s="17"/>
      <c r="X116" s="9"/>
      <c r="Y116" s="9"/>
      <c r="Z116" s="9"/>
    </row>
    <row r="117" spans="1:26" customFormat="1" outlineLevel="1" x14ac:dyDescent="0.25">
      <c r="A117" s="7"/>
      <c r="B117" s="8"/>
      <c r="C117" s="18"/>
      <c r="D117" s="18"/>
      <c r="E117" s="18"/>
      <c r="F117" s="24"/>
      <c r="H117" s="521" t="s">
        <v>2324</v>
      </c>
      <c r="I117" t="s">
        <v>2328</v>
      </c>
      <c r="J117" t="s">
        <v>2329</v>
      </c>
      <c r="K117" s="516"/>
      <c r="L117" s="516"/>
      <c r="O117" s="505"/>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2" t="str">
        <f>General!G37</f>
        <v>b</v>
      </c>
      <c r="H118" s="526">
        <v>0.44</v>
      </c>
      <c r="I118" s="522">
        <f>H118</f>
        <v>0.44</v>
      </c>
      <c r="J118" s="522">
        <f t="shared" ref="J118:J125" si="1">$I55*$K55*$L55/J95</f>
        <v>0.56013102480112298</v>
      </c>
      <c r="K118" s="520"/>
      <c r="L118" s="516"/>
      <c r="M118" s="28"/>
      <c r="O118" s="505"/>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2" t="str">
        <f>General!G38</f>
        <v>bd</v>
      </c>
      <c r="H119" s="526">
        <v>0.44</v>
      </c>
      <c r="I119" s="522">
        <f t="shared" ref="I119:I136" si="2">H119</f>
        <v>0.44</v>
      </c>
      <c r="J119" s="522">
        <f t="shared" si="1"/>
        <v>0.56013102480112298</v>
      </c>
      <c r="K119" s="516"/>
      <c r="L119" s="516"/>
      <c r="M119" s="28"/>
      <c r="O119" s="505"/>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2" t="str">
        <f>General!G39</f>
        <v>f</v>
      </c>
      <c r="H120" s="526">
        <v>0.3</v>
      </c>
      <c r="I120" s="522">
        <f t="shared" si="2"/>
        <v>0.3</v>
      </c>
      <c r="J120" s="522">
        <f t="shared" si="1"/>
        <v>0.56013102480112298</v>
      </c>
      <c r="K120" s="516"/>
      <c r="L120" s="516"/>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2" t="str">
        <f>General!G40</f>
        <v>h</v>
      </c>
      <c r="H121" s="526">
        <v>0.3</v>
      </c>
      <c r="I121" s="522">
        <f t="shared" si="2"/>
        <v>0.3</v>
      </c>
      <c r="J121" s="522">
        <f t="shared" si="1"/>
        <v>0.56013102480112298</v>
      </c>
      <c r="K121" s="516"/>
      <c r="L121" s="516"/>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2" t="str">
        <f>General!G41</f>
        <v>i</v>
      </c>
      <c r="H122" s="526">
        <v>0.3</v>
      </c>
      <c r="I122" s="522">
        <f t="shared" si="2"/>
        <v>0.3</v>
      </c>
      <c r="J122" s="522">
        <f t="shared" si="1"/>
        <v>0.56013102480112298</v>
      </c>
      <c r="K122" s="516"/>
      <c r="L122" s="516"/>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2" t="str">
        <f>General!G42</f>
        <v>k</v>
      </c>
      <c r="H123" s="526">
        <v>0.3</v>
      </c>
      <c r="I123" s="522">
        <f t="shared" si="2"/>
        <v>0.3</v>
      </c>
      <c r="J123" s="522">
        <f t="shared" si="1"/>
        <v>0.56013102480112298</v>
      </c>
      <c r="K123" s="516"/>
      <c r="L123" s="516"/>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2" t="str">
        <f>General!G43</f>
        <v>l</v>
      </c>
      <c r="H124" s="526">
        <v>0.3</v>
      </c>
      <c r="I124" s="522">
        <f t="shared" si="2"/>
        <v>0.3</v>
      </c>
      <c r="J124" s="522">
        <f t="shared" si="1"/>
        <v>0.56013102480112298</v>
      </c>
      <c r="K124" s="516"/>
      <c r="L124" s="516"/>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2" t="str">
        <f>General!G44</f>
        <v>lf</v>
      </c>
      <c r="H125" s="526">
        <v>0.3</v>
      </c>
      <c r="I125" s="522">
        <f t="shared" ref="I125" si="3">H125</f>
        <v>0.3</v>
      </c>
      <c r="J125" s="522">
        <f t="shared" si="1"/>
        <v>0.56013102480112298</v>
      </c>
      <c r="K125" s="516"/>
      <c r="L125" s="516"/>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2" t="str">
        <f>General!G45</f>
        <v>ms</v>
      </c>
      <c r="H126" s="526">
        <f>0.65*H118+0.35*H124</f>
        <v>0.39100000000000001</v>
      </c>
      <c r="I126" s="522">
        <f t="shared" si="2"/>
        <v>0.39100000000000001</v>
      </c>
      <c r="J126" s="522">
        <f t="shared" ref="J126" si="4">$I63*$K63*$L63/J103</f>
        <v>0.56013102480112298</v>
      </c>
      <c r="K126" s="516"/>
      <c r="L126" s="516"/>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2" t="str">
        <f>General!G46</f>
        <v>o</v>
      </c>
      <c r="H127" s="526">
        <v>0.4</v>
      </c>
      <c r="I127" s="522">
        <f t="shared" si="2"/>
        <v>0.4</v>
      </c>
      <c r="J127" s="522">
        <f t="shared" ref="J127:J136" si="5">$I64*$K64*$L64/J104</f>
        <v>0.56013102480112298</v>
      </c>
      <c r="K127" s="516"/>
      <c r="L127" s="516"/>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2" t="str">
        <f>General!G47</f>
        <v>od</v>
      </c>
      <c r="H128" s="526">
        <v>0.4</v>
      </c>
      <c r="I128" s="522">
        <f t="shared" si="2"/>
        <v>0.4</v>
      </c>
      <c r="J128" s="522">
        <f t="shared" si="5"/>
        <v>0.56013102480112298</v>
      </c>
      <c r="K128" s="516"/>
      <c r="L128" s="516"/>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2" t="str">
        <f>General!G48</f>
        <v>of</v>
      </c>
      <c r="H129" s="526">
        <v>0.4</v>
      </c>
      <c r="I129" s="522">
        <f t="shared" si="2"/>
        <v>0.4</v>
      </c>
      <c r="J129" s="522">
        <f t="shared" si="5"/>
        <v>0.56013102480112298</v>
      </c>
      <c r="K129" s="516"/>
      <c r="L129" s="516"/>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2" t="str">
        <f>General!G49</f>
        <v>r</v>
      </c>
      <c r="H130" s="526">
        <v>0.2</v>
      </c>
      <c r="I130" s="522">
        <f t="shared" si="2"/>
        <v>0.2</v>
      </c>
      <c r="J130" s="522">
        <f t="shared" si="5"/>
        <v>0.56013102480112298</v>
      </c>
      <c r="K130" s="516"/>
      <c r="L130" s="516"/>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2" t="str">
        <f>General!G50</f>
        <v>rd</v>
      </c>
      <c r="H131" s="526">
        <v>0.2</v>
      </c>
      <c r="I131" s="522">
        <f t="shared" si="2"/>
        <v>0.2</v>
      </c>
      <c r="J131" s="522">
        <f t="shared" si="5"/>
        <v>0.56013102480112298</v>
      </c>
      <c r="K131" s="516"/>
      <c r="L131" s="516"/>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2" t="str">
        <f>General!G51</f>
        <v>v</v>
      </c>
      <c r="H132" s="526">
        <v>0.3</v>
      </c>
      <c r="I132" s="522">
        <f t="shared" si="2"/>
        <v>0.3</v>
      </c>
      <c r="J132" s="522">
        <f t="shared" si="5"/>
        <v>0.56013102480112298</v>
      </c>
      <c r="K132" s="516"/>
      <c r="L132" s="516"/>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2" t="str">
        <f>General!G52</f>
        <v>w</v>
      </c>
      <c r="H133" s="526">
        <v>0.42</v>
      </c>
      <c r="I133" s="522">
        <f t="shared" si="2"/>
        <v>0.42</v>
      </c>
      <c r="J133" s="522">
        <f t="shared" si="5"/>
        <v>0.56013102480112298</v>
      </c>
      <c r="K133" s="516"/>
      <c r="L133" s="516"/>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2" t="str">
        <f>General!G53</f>
        <v>wd</v>
      </c>
      <c r="H134" s="526">
        <v>0.42</v>
      </c>
      <c r="I134" s="522">
        <f t="shared" si="2"/>
        <v>0.42</v>
      </c>
      <c r="J134" s="522">
        <f t="shared" si="5"/>
        <v>0.56013102480112298</v>
      </c>
      <c r="K134" s="516"/>
      <c r="L134" s="516"/>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2" t="str">
        <f>General!G54</f>
        <v>z</v>
      </c>
      <c r="H135" s="526">
        <v>0.2</v>
      </c>
      <c r="I135" s="522">
        <f t="shared" si="2"/>
        <v>0.2</v>
      </c>
      <c r="J135" s="522">
        <f t="shared" si="5"/>
        <v>0.56013102480112298</v>
      </c>
      <c r="K135" s="516"/>
      <c r="L135" s="516"/>
      <c r="M135" s="493"/>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2" t="str">
        <f>General!G55</f>
        <v>zd</v>
      </c>
      <c r="H136" s="526">
        <v>0.2</v>
      </c>
      <c r="I136" s="522">
        <f t="shared" si="2"/>
        <v>0.2</v>
      </c>
      <c r="J136" s="522">
        <f t="shared" si="5"/>
        <v>0.56013102480112298</v>
      </c>
      <c r="K136" s="516"/>
      <c r="L136" s="516"/>
      <c r="M136" s="30"/>
      <c r="P136" s="30"/>
      <c r="Q136" s="30"/>
      <c r="R136" s="30"/>
      <c r="S136" s="523"/>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0"/>
      <c r="T137" s="30"/>
      <c r="U137" s="30"/>
      <c r="V137" s="27"/>
      <c r="W137" s="17"/>
      <c r="X137" s="9"/>
      <c r="Y137" s="9"/>
      <c r="Z137" s="9"/>
    </row>
    <row r="138" spans="1:26" customFormat="1" x14ac:dyDescent="0.25">
      <c r="A138" s="7"/>
      <c r="B138" s="8"/>
      <c r="C138" s="18"/>
      <c r="D138" s="18"/>
      <c r="E138" s="18"/>
      <c r="F138" s="24"/>
      <c r="G138" s="524" t="s">
        <v>3068</v>
      </c>
      <c r="I138" s="525"/>
      <c r="K138" s="516"/>
      <c r="L138" s="516"/>
      <c r="M138" s="26"/>
      <c r="O138" s="492"/>
      <c r="P138" s="26"/>
      <c r="Q138" s="26"/>
      <c r="R138" s="26"/>
      <c r="S138" s="26"/>
      <c r="T138" s="26"/>
      <c r="U138" s="26"/>
      <c r="V138" s="27"/>
      <c r="W138" s="17"/>
      <c r="X138" s="9"/>
      <c r="Y138" s="9"/>
      <c r="Z138" s="9"/>
    </row>
    <row r="139" spans="1:26" customFormat="1" outlineLevel="1" x14ac:dyDescent="0.25">
      <c r="A139" s="7"/>
      <c r="B139" s="8"/>
      <c r="C139" s="18"/>
      <c r="D139" s="18"/>
      <c r="E139" s="18"/>
      <c r="F139" s="24"/>
      <c r="H139" s="521" t="s">
        <v>2324</v>
      </c>
      <c r="I139" t="s">
        <v>2328</v>
      </c>
      <c r="J139" t="s">
        <v>2329</v>
      </c>
      <c r="K139" s="516"/>
      <c r="L139" s="516"/>
      <c r="O139" s="505"/>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5" t="str">
        <f>General!G37</f>
        <v>b</v>
      </c>
      <c r="H140" s="527">
        <v>0.94</v>
      </c>
      <c r="I140" s="513">
        <v>0</v>
      </c>
      <c r="J140" s="528">
        <v>1</v>
      </c>
      <c r="K140" s="520"/>
      <c r="L140" s="516"/>
      <c r="M140" s="28"/>
      <c r="O140" s="505"/>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5" t="str">
        <f>General!G38</f>
        <v>bd</v>
      </c>
      <c r="H141" s="527">
        <v>0.94</v>
      </c>
      <c r="I141" s="513">
        <v>0</v>
      </c>
      <c r="J141" s="528">
        <v>1</v>
      </c>
      <c r="K141" s="520"/>
      <c r="L141" s="516"/>
      <c r="M141" s="28"/>
      <c r="O141" s="505"/>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5" t="str">
        <f>General!G39</f>
        <v>f</v>
      </c>
      <c r="H142" s="527">
        <v>0.9</v>
      </c>
      <c r="I142" s="513">
        <v>0</v>
      </c>
      <c r="J142" s="528">
        <v>1</v>
      </c>
      <c r="K142" s="520"/>
      <c r="L142" s="516"/>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5" t="str">
        <f>General!G40</f>
        <v>h</v>
      </c>
      <c r="H143" s="527">
        <v>0.94</v>
      </c>
      <c r="I143" s="513">
        <v>0</v>
      </c>
      <c r="J143" s="528">
        <v>1</v>
      </c>
      <c r="K143" s="520"/>
      <c r="L143" s="516"/>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5" t="str">
        <f>General!G41</f>
        <v>i</v>
      </c>
      <c r="H144" s="527">
        <v>0.9</v>
      </c>
      <c r="I144" s="513">
        <v>0</v>
      </c>
      <c r="J144" s="528">
        <v>1</v>
      </c>
      <c r="K144" s="520"/>
      <c r="L144" s="516"/>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5" t="str">
        <f>General!G42</f>
        <v>k</v>
      </c>
      <c r="H145" s="527">
        <v>0.9</v>
      </c>
      <c r="I145" s="513">
        <v>0</v>
      </c>
      <c r="J145" s="528">
        <v>1</v>
      </c>
      <c r="K145" s="520"/>
      <c r="L145" s="516"/>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5" t="str">
        <f>General!G43</f>
        <v>l</v>
      </c>
      <c r="H146" s="527">
        <v>0.9</v>
      </c>
      <c r="I146" s="513">
        <v>0</v>
      </c>
      <c r="J146" s="528">
        <v>1</v>
      </c>
      <c r="K146" s="520"/>
      <c r="L146" s="516"/>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5" t="str">
        <f>General!G44</f>
        <v>lf</v>
      </c>
      <c r="H147" s="527">
        <v>0.9</v>
      </c>
      <c r="I147" s="513">
        <v>0</v>
      </c>
      <c r="J147" s="528">
        <v>1</v>
      </c>
      <c r="K147" s="520"/>
      <c r="L147" s="516"/>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5" t="str">
        <f>General!G45</f>
        <v>ms</v>
      </c>
      <c r="H148" s="526">
        <f>0.65*H140+0.35*H146</f>
        <v>0.92599999999999993</v>
      </c>
      <c r="I148" s="513">
        <v>0</v>
      </c>
      <c r="J148" s="528">
        <v>1</v>
      </c>
      <c r="K148" s="520"/>
      <c r="L148" s="516"/>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5" t="str">
        <f>General!G46</f>
        <v>o</v>
      </c>
      <c r="H149" s="527">
        <v>0.94</v>
      </c>
      <c r="I149" s="513">
        <v>0</v>
      </c>
      <c r="J149" s="528">
        <v>1</v>
      </c>
      <c r="K149" s="520"/>
      <c r="L149" s="516"/>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5" t="str">
        <f>General!G47</f>
        <v>od</v>
      </c>
      <c r="H150" s="527">
        <v>0.94</v>
      </c>
      <c r="I150" s="513">
        <v>0</v>
      </c>
      <c r="J150" s="528">
        <v>1</v>
      </c>
      <c r="K150" s="520"/>
      <c r="L150" s="516"/>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5" t="str">
        <f>General!G48</f>
        <v>of</v>
      </c>
      <c r="H151" s="527">
        <v>0.94</v>
      </c>
      <c r="I151" s="513">
        <v>0</v>
      </c>
      <c r="J151" s="528">
        <v>1</v>
      </c>
      <c r="K151" s="520"/>
      <c r="L151" s="516"/>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5" t="str">
        <f>General!G49</f>
        <v>r</v>
      </c>
      <c r="H152" s="527">
        <v>0.97</v>
      </c>
      <c r="I152" s="513">
        <v>0</v>
      </c>
      <c r="J152" s="528">
        <v>1</v>
      </c>
      <c r="K152" s="520"/>
      <c r="L152" s="516"/>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5" t="str">
        <f>General!G50</f>
        <v>rd</v>
      </c>
      <c r="H153" s="527">
        <v>0.97</v>
      </c>
      <c r="I153" s="513">
        <v>0</v>
      </c>
      <c r="J153" s="528">
        <v>1</v>
      </c>
      <c r="K153" s="520"/>
      <c r="L153" s="516"/>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5" t="str">
        <f>General!G51</f>
        <v>v</v>
      </c>
      <c r="H154" s="527">
        <v>0.9</v>
      </c>
      <c r="I154" s="513">
        <v>0</v>
      </c>
      <c r="J154" s="528">
        <v>1</v>
      </c>
      <c r="K154" s="520"/>
      <c r="L154" s="516"/>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5" t="str">
        <f>General!G52</f>
        <v>w</v>
      </c>
      <c r="H155" s="527">
        <v>0.94</v>
      </c>
      <c r="I155" s="513">
        <v>0</v>
      </c>
      <c r="J155" s="528">
        <v>1</v>
      </c>
      <c r="K155" s="520"/>
      <c r="L155" s="516"/>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5" t="str">
        <f>General!G53</f>
        <v>wd</v>
      </c>
      <c r="H156" s="527">
        <v>0.94</v>
      </c>
      <c r="I156" s="513">
        <v>0</v>
      </c>
      <c r="J156" s="528">
        <v>1</v>
      </c>
      <c r="K156" s="520"/>
      <c r="L156" s="516"/>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5" t="str">
        <f>General!G54</f>
        <v>z</v>
      </c>
      <c r="H157" s="527">
        <v>0.97</v>
      </c>
      <c r="I157" s="513">
        <v>0</v>
      </c>
      <c r="J157" s="528">
        <v>1</v>
      </c>
      <c r="K157" s="520"/>
      <c r="L157" s="516"/>
      <c r="M157" s="493"/>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5" t="str">
        <f>General!G55</f>
        <v>zd</v>
      </c>
      <c r="H158" s="527">
        <v>0.97</v>
      </c>
      <c r="I158" s="513">
        <v>0</v>
      </c>
      <c r="J158" s="528">
        <v>1</v>
      </c>
      <c r="K158" s="520"/>
      <c r="L158" s="516"/>
      <c r="M158" s="30"/>
      <c r="P158" s="30"/>
      <c r="Q158" s="30"/>
      <c r="R158" s="30"/>
      <c r="S158" s="523"/>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6"/>
      <c r="M159" s="27"/>
      <c r="P159" s="30"/>
      <c r="Q159" s="30"/>
      <c r="R159" s="30"/>
      <c r="S159" s="510"/>
      <c r="T159" s="30"/>
      <c r="U159" s="30"/>
      <c r="V159" s="27"/>
      <c r="W159" s="17"/>
      <c r="X159" s="9"/>
      <c r="Y159" s="9"/>
      <c r="Z159" s="9"/>
    </row>
    <row r="160" spans="1:26" customFormat="1" ht="12" customHeight="1" x14ac:dyDescent="0.25">
      <c r="A160" s="7"/>
      <c r="B160" s="8"/>
      <c r="C160" s="18"/>
      <c r="D160" s="18"/>
      <c r="E160" s="18"/>
      <c r="F160" s="27"/>
      <c r="G160" s="481" t="s">
        <v>3069</v>
      </c>
      <c r="H160" s="27"/>
      <c r="I160" s="27"/>
      <c r="J160" s="27"/>
      <c r="K160" s="27"/>
      <c r="L160" s="516"/>
      <c r="M160" s="27"/>
      <c r="P160" s="30"/>
      <c r="Q160" s="30"/>
      <c r="R160" s="30"/>
      <c r="S160" s="510"/>
      <c r="T160" s="30"/>
      <c r="U160" s="30"/>
      <c r="V160" s="27"/>
      <c r="W160" s="17"/>
      <c r="X160" s="9"/>
      <c r="Y160" s="9"/>
      <c r="Z160" s="9"/>
    </row>
    <row r="161" spans="1:26" customFormat="1" ht="12" customHeight="1" outlineLevel="1" x14ac:dyDescent="0.25">
      <c r="A161" s="7"/>
      <c r="B161" s="8"/>
      <c r="C161" s="18"/>
      <c r="D161" s="18"/>
      <c r="E161" s="18"/>
      <c r="F161" s="24"/>
      <c r="H161" s="28" t="s">
        <v>3070</v>
      </c>
      <c r="I161" s="28" t="s">
        <v>3071</v>
      </c>
      <c r="J161" s="28" t="s">
        <v>3072</v>
      </c>
      <c r="L161" s="516"/>
      <c r="O161" s="505"/>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2" t="str">
        <f>General!G37</f>
        <v>b</v>
      </c>
      <c r="H162" s="529">
        <v>2E-3</v>
      </c>
      <c r="I162" s="530">
        <v>1E-3</v>
      </c>
      <c r="J162" s="531">
        <v>0.1</v>
      </c>
      <c r="L162" s="516"/>
      <c r="M162" s="28"/>
      <c r="O162" s="505"/>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2" t="str">
        <f>General!G38</f>
        <v>bd</v>
      </c>
      <c r="H163" s="529">
        <v>2E-3</v>
      </c>
      <c r="I163" s="530">
        <v>1E-3</v>
      </c>
      <c r="J163" s="531">
        <v>0.1</v>
      </c>
      <c r="L163" s="516"/>
      <c r="M163" s="28"/>
      <c r="O163" s="505"/>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2" t="str">
        <f>General!G39</f>
        <v>f</v>
      </c>
      <c r="H164" s="529">
        <v>2E-3</v>
      </c>
      <c r="I164" s="530">
        <v>1E-3</v>
      </c>
      <c r="J164" s="531">
        <v>0.1</v>
      </c>
      <c r="L164" s="516"/>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2" t="str">
        <f>General!G40</f>
        <v>h</v>
      </c>
      <c r="H165" s="529">
        <v>2E-3</v>
      </c>
      <c r="I165" s="530">
        <v>1E-3</v>
      </c>
      <c r="J165" s="531">
        <v>0.1</v>
      </c>
      <c r="L165" s="516"/>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2" t="str">
        <f>General!G41</f>
        <v>i</v>
      </c>
      <c r="H166" s="529">
        <v>2E-3</v>
      </c>
      <c r="I166" s="530">
        <v>1E-3</v>
      </c>
      <c r="J166" s="531">
        <v>0.1</v>
      </c>
      <c r="L166" s="516"/>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2" t="str">
        <f>General!G42</f>
        <v>k</v>
      </c>
      <c r="H167" s="529">
        <v>2E-3</v>
      </c>
      <c r="I167" s="530">
        <v>1E-3</v>
      </c>
      <c r="J167" s="531">
        <v>0.1</v>
      </c>
      <c r="L167" s="516"/>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2" t="str">
        <f>General!G43</f>
        <v>l</v>
      </c>
      <c r="H168" s="529">
        <v>2E-3</v>
      </c>
      <c r="I168" s="530">
        <v>1E-3</v>
      </c>
      <c r="J168" s="531">
        <v>0.1</v>
      </c>
      <c r="L168" s="516"/>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2" t="str">
        <f>General!G44</f>
        <v>lf</v>
      </c>
      <c r="H169" s="529">
        <v>2E-3</v>
      </c>
      <c r="I169" s="530">
        <v>1E-3</v>
      </c>
      <c r="J169" s="531">
        <v>0.1</v>
      </c>
      <c r="L169" s="516"/>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2" t="str">
        <f>General!G45</f>
        <v>ms</v>
      </c>
      <c r="H170" s="529">
        <v>2E-3</v>
      </c>
      <c r="I170" s="530">
        <v>1E-3</v>
      </c>
      <c r="J170" s="531">
        <v>0.1</v>
      </c>
      <c r="L170" s="516"/>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2" t="str">
        <f>General!G46</f>
        <v>o</v>
      </c>
      <c r="H171" s="529">
        <v>2E-3</v>
      </c>
      <c r="I171" s="530">
        <v>1E-3</v>
      </c>
      <c r="J171" s="531">
        <v>0.1</v>
      </c>
      <c r="L171" s="516"/>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2" t="str">
        <f>General!G47</f>
        <v>od</v>
      </c>
      <c r="H172" s="529">
        <v>2E-3</v>
      </c>
      <c r="I172" s="530">
        <v>1E-3</v>
      </c>
      <c r="J172" s="531">
        <v>0.1</v>
      </c>
      <c r="L172" s="516"/>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2" t="str">
        <f>General!G48</f>
        <v>of</v>
      </c>
      <c r="H173" s="529">
        <v>2E-3</v>
      </c>
      <c r="I173" s="530">
        <v>1E-3</v>
      </c>
      <c r="J173" s="531">
        <v>0.1</v>
      </c>
      <c r="L173" s="516"/>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2" t="str">
        <f>General!G49</f>
        <v>r</v>
      </c>
      <c r="H174" s="529">
        <v>2E-3</v>
      </c>
      <c r="I174" s="530">
        <v>1E-3</v>
      </c>
      <c r="J174" s="531">
        <v>0.1</v>
      </c>
      <c r="L174" s="516"/>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2" t="str">
        <f>General!G50</f>
        <v>rd</v>
      </c>
      <c r="H175" s="529">
        <v>2E-3</v>
      </c>
      <c r="I175" s="530">
        <v>1E-3</v>
      </c>
      <c r="J175" s="531">
        <v>0.1</v>
      </c>
      <c r="L175" s="516"/>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2" t="str">
        <f>General!G51</f>
        <v>v</v>
      </c>
      <c r="H176" s="529">
        <v>2E-3</v>
      </c>
      <c r="I176" s="530">
        <v>1E-3</v>
      </c>
      <c r="J176" s="531">
        <v>0.1</v>
      </c>
      <c r="L176" s="516"/>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2" t="str">
        <f>General!G52</f>
        <v>w</v>
      </c>
      <c r="H177" s="529">
        <v>2E-3</v>
      </c>
      <c r="I177" s="530">
        <v>1E-3</v>
      </c>
      <c r="J177" s="531">
        <v>0.1</v>
      </c>
      <c r="L177" s="516"/>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2" t="str">
        <f>General!G53</f>
        <v>wd</v>
      </c>
      <c r="H178" s="529">
        <v>2E-3</v>
      </c>
      <c r="I178" s="530">
        <v>1E-3</v>
      </c>
      <c r="J178" s="531">
        <v>0.1</v>
      </c>
      <c r="L178" s="516"/>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2" t="str">
        <f>General!G54</f>
        <v>z</v>
      </c>
      <c r="H179" s="529">
        <v>2E-3</v>
      </c>
      <c r="I179" s="530">
        <v>1E-3</v>
      </c>
      <c r="J179" s="531">
        <v>0.1</v>
      </c>
      <c r="L179" s="516"/>
      <c r="M179" s="493"/>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2" t="str">
        <f>General!G55</f>
        <v>zd</v>
      </c>
      <c r="H180" s="529">
        <v>2E-3</v>
      </c>
      <c r="I180" s="530">
        <v>1E-3</v>
      </c>
      <c r="J180" s="531">
        <v>0.1</v>
      </c>
      <c r="L180" s="516"/>
      <c r="M180" s="30"/>
      <c r="P180" s="30"/>
      <c r="Q180" s="30"/>
      <c r="R180" s="30"/>
      <c r="S180" s="523"/>
      <c r="T180" s="30"/>
      <c r="U180" s="30"/>
      <c r="V180" s="27"/>
      <c r="W180" s="17"/>
      <c r="X180" s="9"/>
      <c r="Y180" s="9"/>
      <c r="Z180" s="9"/>
    </row>
    <row r="181" spans="1:26" customFormat="1" ht="12" customHeight="1" outlineLevel="1" x14ac:dyDescent="0.25">
      <c r="A181" s="7"/>
      <c r="B181" s="8"/>
      <c r="C181" s="18"/>
      <c r="D181" s="18"/>
      <c r="E181" s="18"/>
      <c r="F181" s="24"/>
      <c r="G181" s="28"/>
      <c r="H181" s="27"/>
      <c r="I181" s="505"/>
      <c r="J181" s="493"/>
      <c r="K181" s="493"/>
      <c r="L181" s="516"/>
      <c r="M181" s="30"/>
      <c r="N181" s="28"/>
      <c r="P181" s="30"/>
      <c r="Q181" s="30"/>
      <c r="R181" s="30"/>
      <c r="S181" s="523"/>
      <c r="T181" s="30"/>
      <c r="U181" s="30"/>
      <c r="V181" s="27"/>
      <c r="W181" s="17"/>
      <c r="X181" s="9"/>
      <c r="Y181" s="9"/>
      <c r="Z181" s="9"/>
    </row>
    <row r="182" spans="1:26" customFormat="1" ht="12.6" customHeight="1" outlineLevel="1" x14ac:dyDescent="0.25">
      <c r="A182" s="7"/>
      <c r="B182" s="8"/>
      <c r="C182" s="18"/>
      <c r="D182" s="18"/>
      <c r="E182" s="18"/>
      <c r="F182" s="24"/>
      <c r="G182" s="28"/>
      <c r="H182" s="28"/>
      <c r="I182" s="491"/>
      <c r="J182" s="494"/>
      <c r="K182" s="494"/>
      <c r="L182" s="494"/>
      <c r="M182" s="494"/>
      <c r="N182" s="494"/>
      <c r="O182" s="494"/>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1"/>
      <c r="J183" s="494"/>
      <c r="K183" s="494"/>
      <c r="L183" s="494"/>
      <c r="M183" s="494"/>
      <c r="N183" s="494"/>
      <c r="O183" s="494"/>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4" t="s">
        <v>3073</v>
      </c>
      <c r="H184" s="28"/>
      <c r="I184" s="491"/>
      <c r="J184" s="494"/>
      <c r="K184" s="494"/>
      <c r="L184" s="494"/>
      <c r="M184" s="494"/>
      <c r="N184" s="494"/>
      <c r="O184" s="494"/>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2"/>
      <c r="J185" s="533"/>
      <c r="K185" s="533"/>
      <c r="L185" s="534"/>
      <c r="M185" s="533"/>
      <c r="N185" s="533"/>
      <c r="O185" s="533"/>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5" t="s">
        <v>2318</v>
      </c>
      <c r="I186" s="536" t="s">
        <v>4</v>
      </c>
      <c r="J186" s="536" t="s">
        <v>3074</v>
      </c>
      <c r="K186" s="536" t="s">
        <v>529</v>
      </c>
      <c r="L186" s="537" t="s">
        <v>3075</v>
      </c>
      <c r="M186" s="538" t="s">
        <v>10</v>
      </c>
      <c r="N186" s="538" t="s">
        <v>3076</v>
      </c>
      <c r="O186" s="538" t="s">
        <v>60</v>
      </c>
      <c r="P186" s="539" t="s">
        <v>61</v>
      </c>
      <c r="Q186" s="540" t="s">
        <v>2319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3077</v>
      </c>
      <c r="H187" s="541">
        <v>80</v>
      </c>
      <c r="I187" s="541">
        <f>H187-5</f>
        <v>75</v>
      </c>
      <c r="J187" s="541">
        <f t="shared" ref="J187:Q187" si="6">I187-5</f>
        <v>70</v>
      </c>
      <c r="K187" s="541">
        <f t="shared" si="6"/>
        <v>65</v>
      </c>
      <c r="L187" s="541">
        <f t="shared" si="6"/>
        <v>60</v>
      </c>
      <c r="M187" s="541">
        <f t="shared" si="6"/>
        <v>55</v>
      </c>
      <c r="N187" s="541">
        <f t="shared" si="6"/>
        <v>50</v>
      </c>
      <c r="O187" s="541">
        <f t="shared" si="6"/>
        <v>45</v>
      </c>
      <c r="P187" s="541">
        <f t="shared" si="6"/>
        <v>40</v>
      </c>
      <c r="Q187" s="541">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3078</v>
      </c>
      <c r="H188" s="542">
        <v>0.115</v>
      </c>
      <c r="I188" s="543">
        <v>0.1065</v>
      </c>
      <c r="J188" s="529">
        <v>0.10150000000000001</v>
      </c>
      <c r="K188" s="529">
        <v>9.5000000000000001E-2</v>
      </c>
      <c r="L188" s="529">
        <v>8.7999999999999995E-2</v>
      </c>
      <c r="M188" s="529">
        <v>8.2000000000000003E-2</v>
      </c>
      <c r="N188" s="529">
        <v>7.6999999999999999E-2</v>
      </c>
      <c r="O188" s="529">
        <v>7.1199999999999999E-2</v>
      </c>
      <c r="P188" s="544">
        <v>5.9900000000000002E-2</v>
      </c>
      <c r="Q188" s="544">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1"/>
      <c r="J189" s="494"/>
      <c r="K189" s="494"/>
      <c r="L189" s="494"/>
      <c r="M189" s="494"/>
      <c r="N189" s="494"/>
      <c r="O189" s="494"/>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1"/>
      <c r="J190" s="494"/>
      <c r="K190" s="494"/>
      <c r="L190" s="494"/>
      <c r="M190" s="494"/>
      <c r="N190" s="494"/>
      <c r="O190" s="494"/>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1"/>
      <c r="J191" s="494"/>
      <c r="K191" s="494"/>
      <c r="L191" s="494"/>
      <c r="M191" s="494"/>
      <c r="N191" s="494"/>
      <c r="O191" s="494"/>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1"/>
      <c r="J192" s="494"/>
      <c r="K192" s="494"/>
      <c r="L192" s="494"/>
      <c r="M192" s="494"/>
      <c r="N192" s="494"/>
      <c r="O192" s="494"/>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1"/>
      <c r="J193" s="494"/>
      <c r="K193" s="494"/>
      <c r="L193" s="494"/>
      <c r="M193" s="494"/>
      <c r="N193" s="494"/>
      <c r="O193" s="494"/>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5"/>
      <c r="G194" s="28"/>
      <c r="H194" s="28"/>
      <c r="I194" s="491"/>
      <c r="J194" s="493"/>
      <c r="K194" s="493"/>
      <c r="L194" s="493"/>
      <c r="M194" s="493"/>
      <c r="N194" s="493"/>
      <c r="O194" s="493"/>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3079</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3080</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7"/>
      <c r="D204" s="13"/>
      <c r="E204" s="18"/>
      <c r="F204" s="14"/>
      <c r="G204" s="490"/>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3081</v>
      </c>
      <c r="K205" s="21" t="s">
        <v>3082</v>
      </c>
      <c r="L205" s="21" t="s">
        <v>3083</v>
      </c>
      <c r="M205" s="21" t="s">
        <v>3084</v>
      </c>
      <c r="N205" s="21" t="s">
        <v>3085</v>
      </c>
      <c r="O205" s="21" t="s">
        <v>3086</v>
      </c>
      <c r="P205" s="21" t="s">
        <v>3087</v>
      </c>
      <c r="Q205" s="21" t="s">
        <v>3088</v>
      </c>
      <c r="R205" s="21" t="s">
        <v>3089</v>
      </c>
      <c r="S205" s="21" t="s">
        <v>3090</v>
      </c>
      <c r="T205" s="21" t="s">
        <v>3091</v>
      </c>
      <c r="U205" s="21" t="s">
        <v>3092</v>
      </c>
      <c r="V205" s="21" t="s">
        <v>3093</v>
      </c>
      <c r="W205" s="21" t="s">
        <v>3094</v>
      </c>
      <c r="X205" s="21" t="s">
        <v>3095</v>
      </c>
      <c r="Y205" s="21" t="s">
        <v>3096</v>
      </c>
      <c r="Z205" s="21" t="s">
        <v>3097</v>
      </c>
      <c r="AA205" s="21" t="s">
        <v>3098</v>
      </c>
      <c r="AB205" s="21" t="s">
        <v>3099</v>
      </c>
      <c r="AC205" s="21" t="s">
        <v>3100</v>
      </c>
      <c r="AD205" s="21" t="s">
        <v>3101</v>
      </c>
      <c r="AE205" s="21" t="s">
        <v>3102</v>
      </c>
      <c r="AF205" s="21" t="s">
        <v>3103</v>
      </c>
      <c r="AG205" s="21" t="s">
        <v>3104</v>
      </c>
      <c r="AH205" s="21" t="s">
        <v>3105</v>
      </c>
      <c r="AI205" s="21" t="s">
        <v>3106</v>
      </c>
      <c r="AJ205" s="21" t="s">
        <v>3107</v>
      </c>
      <c r="AK205" s="21" t="s">
        <v>3108</v>
      </c>
      <c r="AL205" s="21" t="s">
        <v>3109</v>
      </c>
      <c r="AM205" s="21" t="s">
        <v>3110</v>
      </c>
      <c r="AN205" s="21"/>
      <c r="AO205" s="17"/>
      <c r="AP205" s="9"/>
      <c r="AQ205" s="9"/>
      <c r="AR205" s="9"/>
    </row>
    <row r="206" spans="1:44" customFormat="1" ht="12" customHeight="1" outlineLevel="1" x14ac:dyDescent="0.25">
      <c r="A206" s="7"/>
      <c r="B206" s="8"/>
      <c r="C206" s="18"/>
      <c r="D206" s="18"/>
      <c r="E206" s="18"/>
      <c r="F206" s="18"/>
      <c r="G206" s="18"/>
      <c r="H206" s="18"/>
      <c r="I206" s="18"/>
      <c r="J206" s="546" t="s">
        <v>399</v>
      </c>
      <c r="K206" s="546"/>
      <c r="L206" s="546"/>
      <c r="M206" s="546"/>
      <c r="N206" s="546"/>
      <c r="O206" s="546"/>
      <c r="P206" s="546"/>
      <c r="Q206" s="546"/>
      <c r="R206" s="546" t="s">
        <v>3111</v>
      </c>
      <c r="S206" s="546"/>
      <c r="T206" s="546"/>
      <c r="U206" s="546"/>
      <c r="V206" s="546"/>
      <c r="W206" s="546"/>
      <c r="X206" s="546"/>
      <c r="Y206" s="546"/>
      <c r="Z206" s="546"/>
      <c r="AA206" s="546"/>
      <c r="AB206" s="546"/>
      <c r="AC206" s="546"/>
      <c r="AD206" s="546" t="s">
        <v>400</v>
      </c>
      <c r="AE206" s="546"/>
      <c r="AF206" s="546"/>
      <c r="AG206" s="546"/>
      <c r="AH206" s="546"/>
      <c r="AI206" s="546"/>
      <c r="AJ206" s="546" t="s">
        <v>3112</v>
      </c>
      <c r="AK206" s="546"/>
      <c r="AL206" s="547"/>
      <c r="AM206" s="547"/>
      <c r="AN206" s="21"/>
      <c r="AO206" s="17"/>
      <c r="AP206" s="9"/>
      <c r="AQ206" s="9"/>
      <c r="AR206" s="9"/>
    </row>
    <row r="207" spans="1:44" customFormat="1" ht="12" customHeight="1" outlineLevel="1" x14ac:dyDescent="0.25">
      <c r="A207" s="7"/>
      <c r="B207" s="8"/>
      <c r="C207" s="18"/>
      <c r="D207" s="18"/>
      <c r="E207" s="18"/>
      <c r="F207" s="18"/>
      <c r="G207" s="18"/>
      <c r="H207" s="18"/>
      <c r="I207" s="18"/>
      <c r="J207" s="548" t="s">
        <v>3113</v>
      </c>
      <c r="K207" s="548" t="s">
        <v>3114</v>
      </c>
      <c r="L207" s="548" t="s">
        <v>3115</v>
      </c>
      <c r="M207" s="548" t="s">
        <v>3115</v>
      </c>
      <c r="N207" s="548" t="s">
        <v>3115</v>
      </c>
      <c r="O207" s="548" t="s">
        <v>3115</v>
      </c>
      <c r="P207" s="548" t="s">
        <v>3115</v>
      </c>
      <c r="Q207" s="548" t="s">
        <v>3116</v>
      </c>
      <c r="R207" s="548" t="s">
        <v>3117</v>
      </c>
      <c r="S207" s="548" t="s">
        <v>3117</v>
      </c>
      <c r="T207" s="548" t="s">
        <v>3118</v>
      </c>
      <c r="U207" s="548" t="s">
        <v>3118</v>
      </c>
      <c r="V207" s="548" t="s">
        <v>3119</v>
      </c>
      <c r="W207" s="548" t="s">
        <v>3119</v>
      </c>
      <c r="X207" s="548" t="s">
        <v>3120</v>
      </c>
      <c r="Y207" s="548" t="s">
        <v>3120</v>
      </c>
      <c r="Z207" s="548" t="s">
        <v>3121</v>
      </c>
      <c r="AA207" s="548" t="s">
        <v>3121</v>
      </c>
      <c r="AB207" s="548" t="s">
        <v>3122</v>
      </c>
      <c r="AC207" s="548" t="s">
        <v>3122</v>
      </c>
      <c r="AD207" s="548" t="s">
        <v>3123</v>
      </c>
      <c r="AE207" s="548" t="s">
        <v>3124</v>
      </c>
      <c r="AF207" s="548" t="s">
        <v>3125</v>
      </c>
      <c r="AG207" s="548" t="s">
        <v>3126</v>
      </c>
      <c r="AH207" s="548" t="s">
        <v>3126</v>
      </c>
      <c r="AI207" s="548" t="s">
        <v>3127</v>
      </c>
      <c r="AJ207" s="547" t="s">
        <v>3128</v>
      </c>
      <c r="AK207" s="547" t="s">
        <v>3128</v>
      </c>
      <c r="AL207" s="547"/>
      <c r="AM207" s="547"/>
      <c r="AN207" s="21"/>
      <c r="AO207" s="17"/>
      <c r="AP207" s="9"/>
      <c r="AQ207" s="9"/>
      <c r="AR207" s="9"/>
    </row>
    <row r="208" spans="1:44" customFormat="1" ht="12" customHeight="1" outlineLevel="1" x14ac:dyDescent="0.25">
      <c r="A208" s="7"/>
      <c r="B208" s="8"/>
      <c r="C208" s="18"/>
      <c r="D208" s="18"/>
      <c r="E208" s="18"/>
      <c r="F208" s="18"/>
      <c r="G208" s="18"/>
      <c r="H208" s="18"/>
      <c r="I208" s="21"/>
      <c r="J208" s="548" t="s">
        <v>3129</v>
      </c>
      <c r="K208" s="548" t="s">
        <v>3129</v>
      </c>
      <c r="L208" s="548" t="s">
        <v>3129</v>
      </c>
      <c r="M208" s="548" t="s">
        <v>3129</v>
      </c>
      <c r="N208" s="548" t="s">
        <v>3129</v>
      </c>
      <c r="O208" s="548" t="s">
        <v>3129</v>
      </c>
      <c r="P208" s="548" t="s">
        <v>3129</v>
      </c>
      <c r="Q208" s="548" t="s">
        <v>3129</v>
      </c>
      <c r="R208" s="548" t="s">
        <v>3130</v>
      </c>
      <c r="S208" s="548" t="s">
        <v>3131</v>
      </c>
      <c r="T208" s="548" t="s">
        <v>3132</v>
      </c>
      <c r="U208" s="548" t="s">
        <v>3133</v>
      </c>
      <c r="V208" s="548" t="s">
        <v>3134</v>
      </c>
      <c r="W208" s="548" t="s">
        <v>3135</v>
      </c>
      <c r="X208" s="548" t="s">
        <v>3136</v>
      </c>
      <c r="Y208" s="548" t="s">
        <v>3137</v>
      </c>
      <c r="Z208" s="548" t="s">
        <v>3138</v>
      </c>
      <c r="AA208" s="548" t="s">
        <v>3129</v>
      </c>
      <c r="AB208" s="548" t="s">
        <v>3138</v>
      </c>
      <c r="AC208" s="548" t="s">
        <v>3129</v>
      </c>
      <c r="AD208" s="548" t="s">
        <v>3139</v>
      </c>
      <c r="AE208" s="548" t="s">
        <v>3139</v>
      </c>
      <c r="AF208" s="548" t="s">
        <v>3139</v>
      </c>
      <c r="AG208" s="548" t="s">
        <v>3139</v>
      </c>
      <c r="AH208" s="548" t="s">
        <v>3140</v>
      </c>
      <c r="AI208" s="548" t="s">
        <v>3139</v>
      </c>
      <c r="AJ208" s="548" t="s">
        <v>3141</v>
      </c>
      <c r="AK208" s="548" t="s">
        <v>3140</v>
      </c>
      <c r="AL208" s="547"/>
      <c r="AM208" s="547"/>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48"/>
      <c r="K209" s="548"/>
      <c r="L209" s="548"/>
      <c r="M209" s="548"/>
      <c r="N209" s="548"/>
      <c r="O209" s="548"/>
      <c r="P209" s="548"/>
      <c r="Q209" s="548"/>
      <c r="R209" s="548"/>
      <c r="S209" s="548"/>
      <c r="T209" s="548"/>
      <c r="U209" s="548"/>
      <c r="V209" s="548"/>
      <c r="W209" s="548"/>
      <c r="X209" s="548"/>
      <c r="Y209" s="548"/>
      <c r="Z209" s="548"/>
      <c r="AA209" s="548"/>
      <c r="AB209" s="548"/>
      <c r="AC209" s="548"/>
      <c r="AD209" s="548"/>
      <c r="AE209" s="548"/>
      <c r="AF209" s="548"/>
      <c r="AG209" s="548"/>
      <c r="AH209" s="548"/>
      <c r="AI209" s="548"/>
      <c r="AJ209" s="548"/>
      <c r="AK209" s="548"/>
      <c r="AL209" s="548"/>
      <c r="AM209" s="548"/>
      <c r="AN209" s="21"/>
      <c r="AO209" s="17"/>
      <c r="AP209" s="9"/>
      <c r="AQ209" s="9"/>
      <c r="AR209" s="9"/>
    </row>
    <row r="210" spans="1:44" customFormat="1" ht="5.0999999999999996" customHeight="1" outlineLevel="1" x14ac:dyDescent="0.25">
      <c r="A210" s="7"/>
      <c r="B210" s="8"/>
      <c r="C210" s="18"/>
      <c r="D210" s="18"/>
      <c r="E210" s="18"/>
      <c r="F210" s="24"/>
      <c r="G210" s="25"/>
      <c r="H210" s="25"/>
      <c r="I210" s="491"/>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27"/>
      <c r="AO210" s="17"/>
      <c r="AP210" s="9"/>
      <c r="AQ210" s="9"/>
      <c r="AR210" s="9"/>
    </row>
    <row r="211" spans="1:44" customFormat="1" x14ac:dyDescent="0.25">
      <c r="A211" s="7"/>
      <c r="B211" s="8"/>
      <c r="C211" s="18"/>
      <c r="D211" s="18"/>
      <c r="E211" s="18"/>
      <c r="F211" s="24"/>
      <c r="G211" s="549" t="s">
        <v>3142</v>
      </c>
      <c r="H211" s="25"/>
      <c r="I211" s="491"/>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27"/>
      <c r="AO211" s="17"/>
      <c r="AP211" s="9"/>
      <c r="AQ211" s="9"/>
      <c r="AR211" s="9"/>
    </row>
    <row r="212" spans="1:44" customFormat="1" outlineLevel="1" x14ac:dyDescent="0.25">
      <c r="A212" s="7"/>
      <c r="B212" s="8"/>
      <c r="C212" s="18"/>
      <c r="D212" s="18"/>
      <c r="E212" s="18"/>
      <c r="F212" s="24"/>
      <c r="G212" s="25"/>
      <c r="H212" s="25" t="s">
        <v>3143</v>
      </c>
      <c r="I212" s="491"/>
      <c r="J212" s="550" t="b">
        <v>1</v>
      </c>
      <c r="K212" s="550" t="b">
        <v>1</v>
      </c>
      <c r="L212" s="550" t="b">
        <v>1</v>
      </c>
      <c r="M212" s="550" t="b">
        <v>1</v>
      </c>
      <c r="N212" s="550" t="b">
        <v>1</v>
      </c>
      <c r="O212" s="550" t="b">
        <v>1</v>
      </c>
      <c r="P212" s="550" t="b">
        <v>1</v>
      </c>
      <c r="Q212" s="550" t="b">
        <v>1</v>
      </c>
      <c r="R212" s="550" t="b">
        <v>0</v>
      </c>
      <c r="S212" s="550" t="b">
        <v>1</v>
      </c>
      <c r="T212" s="550" t="b">
        <v>0</v>
      </c>
      <c r="U212" s="550" t="b">
        <v>1</v>
      </c>
      <c r="V212" s="550" t="b">
        <v>0</v>
      </c>
      <c r="W212" s="550" t="b">
        <v>1</v>
      </c>
      <c r="X212" s="550" t="b">
        <v>0</v>
      </c>
      <c r="Y212" s="550" t="b">
        <v>1</v>
      </c>
      <c r="Z212" s="550" t="b">
        <v>0</v>
      </c>
      <c r="AA212" s="550" t="b">
        <v>1</v>
      </c>
      <c r="AB212" s="550" t="b">
        <v>0</v>
      </c>
      <c r="AC212" s="550" t="b">
        <v>1</v>
      </c>
      <c r="AD212" s="550" t="b">
        <v>1</v>
      </c>
      <c r="AE212" s="550" t="b">
        <v>1</v>
      </c>
      <c r="AF212" s="550" t="b">
        <v>1</v>
      </c>
      <c r="AG212" s="550" t="b">
        <v>1</v>
      </c>
      <c r="AH212" s="550" t="b">
        <v>1</v>
      </c>
      <c r="AI212" s="550" t="b">
        <v>1</v>
      </c>
      <c r="AJ212" s="550" t="b">
        <v>1</v>
      </c>
      <c r="AK212" s="550" t="b">
        <v>1</v>
      </c>
      <c r="AL212" s="492"/>
      <c r="AM212" s="492"/>
      <c r="AN212" s="27"/>
      <c r="AO212" s="17"/>
      <c r="AP212" s="9"/>
      <c r="AQ212" s="9"/>
      <c r="AR212" s="9"/>
    </row>
    <row r="213" spans="1:44" customFormat="1" outlineLevel="1" x14ac:dyDescent="0.25">
      <c r="A213" s="7"/>
      <c r="B213" s="8"/>
      <c r="C213" s="18"/>
      <c r="D213" s="18"/>
      <c r="E213" s="18"/>
      <c r="F213" s="24"/>
      <c r="G213" s="25"/>
      <c r="H213" s="25"/>
      <c r="I213" s="491"/>
      <c r="J213" s="491"/>
      <c r="K213" s="491"/>
      <c r="L213" s="491"/>
      <c r="M213" s="491"/>
      <c r="N213" s="491"/>
      <c r="O213" s="491"/>
      <c r="P213" s="491"/>
      <c r="Q213" s="491"/>
      <c r="R213" s="491"/>
      <c r="S213" s="491"/>
      <c r="T213" s="491"/>
      <c r="U213" s="491"/>
      <c r="V213" s="491"/>
      <c r="W213" s="491"/>
      <c r="X213" s="491"/>
      <c r="Y213" s="491"/>
      <c r="Z213" s="491"/>
      <c r="AA213" s="491"/>
      <c r="AB213" s="491"/>
      <c r="AC213" s="491"/>
      <c r="AD213" s="491"/>
      <c r="AE213" s="491"/>
      <c r="AF213" s="491"/>
      <c r="AG213" s="491"/>
      <c r="AH213" s="491"/>
      <c r="AI213" s="491"/>
      <c r="AJ213" s="491"/>
      <c r="AK213" s="491"/>
      <c r="AL213" s="492"/>
      <c r="AM213" s="492"/>
      <c r="AN213" s="27"/>
      <c r="AO213" s="17"/>
      <c r="AP213" s="9"/>
      <c r="AQ213" s="9"/>
      <c r="AR213" s="9"/>
    </row>
    <row r="214" spans="1:44" customFormat="1" outlineLevel="1" x14ac:dyDescent="0.25">
      <c r="A214" s="7"/>
      <c r="B214" s="8"/>
      <c r="C214" s="18"/>
      <c r="D214" s="18"/>
      <c r="E214" s="18"/>
      <c r="F214" s="24"/>
      <c r="G214" s="25"/>
      <c r="H214" s="25" t="s">
        <v>3144</v>
      </c>
      <c r="I214" s="491"/>
      <c r="J214" s="551">
        <v>42402</v>
      </c>
      <c r="K214" s="551">
        <v>42374</v>
      </c>
      <c r="L214" s="551">
        <v>39476</v>
      </c>
      <c r="M214" s="551">
        <v>39476</v>
      </c>
      <c r="N214" s="551">
        <v>41687</v>
      </c>
      <c r="O214" s="551">
        <v>42045</v>
      </c>
      <c r="P214" s="551">
        <v>42045</v>
      </c>
      <c r="Q214" s="551">
        <v>42346</v>
      </c>
      <c r="R214" s="551">
        <v>42347</v>
      </c>
      <c r="S214" s="551">
        <v>42347</v>
      </c>
      <c r="T214" s="551">
        <v>42332</v>
      </c>
      <c r="U214" s="551">
        <v>42332</v>
      </c>
      <c r="V214" s="551">
        <v>42430</v>
      </c>
      <c r="W214" s="551">
        <v>42430</v>
      </c>
      <c r="X214" s="551">
        <v>43080</v>
      </c>
      <c r="Y214" s="551">
        <v>43080</v>
      </c>
      <c r="Z214" s="551">
        <v>43089</v>
      </c>
      <c r="AA214" s="551">
        <v>43089</v>
      </c>
      <c r="AB214" s="551">
        <v>43082</v>
      </c>
      <c r="AC214" s="551">
        <v>43082</v>
      </c>
      <c r="AD214" s="551">
        <v>45258</v>
      </c>
      <c r="AE214" s="551">
        <v>45230</v>
      </c>
      <c r="AF214" s="551">
        <v>45246</v>
      </c>
      <c r="AG214" s="551">
        <v>45233</v>
      </c>
      <c r="AH214" s="551">
        <v>45233</v>
      </c>
      <c r="AI214" s="551">
        <v>45250</v>
      </c>
      <c r="AJ214" s="551">
        <v>43820</v>
      </c>
      <c r="AK214" s="551">
        <f>AVERAGE(AF214:AG214)</f>
        <v>45239.5</v>
      </c>
      <c r="AL214" s="492"/>
      <c r="AM214" s="492"/>
      <c r="AN214" s="27"/>
      <c r="AO214" s="17"/>
      <c r="AP214" s="9"/>
      <c r="AQ214" s="9"/>
      <c r="AR214" s="9"/>
    </row>
    <row r="215" spans="1:44" customFormat="1" outlineLevel="1" x14ac:dyDescent="0.25">
      <c r="A215" s="7"/>
      <c r="B215" s="8"/>
      <c r="C215" s="18"/>
      <c r="D215" s="18"/>
      <c r="E215" s="18"/>
      <c r="F215" s="24"/>
      <c r="G215" s="25"/>
      <c r="H215" s="25" t="s">
        <v>3144</v>
      </c>
      <c r="I215" s="491"/>
      <c r="J215" s="384">
        <f>MIN(364,INT((J214 - DATE(YEAR(J214),1,1))))</f>
        <v>32</v>
      </c>
      <c r="K215" s="384">
        <f t="shared" ref="K215:AI215" si="7">MIN(364,INT((K214 - DATE(YEAR(K214),1,1))))</f>
        <v>4</v>
      </c>
      <c r="L215" s="384">
        <f t="shared" si="7"/>
        <v>28</v>
      </c>
      <c r="M215" s="384">
        <f t="shared" si="7"/>
        <v>28</v>
      </c>
      <c r="N215" s="384">
        <f t="shared" si="7"/>
        <v>47</v>
      </c>
      <c r="O215" s="384">
        <f t="shared" si="7"/>
        <v>40</v>
      </c>
      <c r="P215" s="384">
        <f t="shared" si="7"/>
        <v>40</v>
      </c>
      <c r="Q215" s="384">
        <f t="shared" si="7"/>
        <v>341</v>
      </c>
      <c r="R215" s="384">
        <f t="shared" si="7"/>
        <v>342</v>
      </c>
      <c r="S215" s="384">
        <f t="shared" si="7"/>
        <v>342</v>
      </c>
      <c r="T215" s="384">
        <f t="shared" si="7"/>
        <v>327</v>
      </c>
      <c r="U215" s="384">
        <f t="shared" si="7"/>
        <v>327</v>
      </c>
      <c r="V215" s="384">
        <f t="shared" si="7"/>
        <v>60</v>
      </c>
      <c r="W215" s="384">
        <f t="shared" si="7"/>
        <v>60</v>
      </c>
      <c r="X215" s="384">
        <f t="shared" si="7"/>
        <v>344</v>
      </c>
      <c r="Y215" s="384">
        <f t="shared" si="7"/>
        <v>344</v>
      </c>
      <c r="Z215" s="384">
        <f t="shared" si="7"/>
        <v>353</v>
      </c>
      <c r="AA215" s="384">
        <f t="shared" si="7"/>
        <v>353</v>
      </c>
      <c r="AB215" s="384">
        <f t="shared" si="7"/>
        <v>346</v>
      </c>
      <c r="AC215" s="384">
        <f t="shared" si="7"/>
        <v>346</v>
      </c>
      <c r="AD215" s="384">
        <f t="shared" si="7"/>
        <v>331</v>
      </c>
      <c r="AE215" s="384">
        <f t="shared" si="7"/>
        <v>303</v>
      </c>
      <c r="AF215" s="384">
        <f t="shared" si="7"/>
        <v>319</v>
      </c>
      <c r="AG215" s="384">
        <f t="shared" si="7"/>
        <v>306</v>
      </c>
      <c r="AH215" s="384">
        <f t="shared" si="7"/>
        <v>306</v>
      </c>
      <c r="AI215" s="384">
        <f t="shared" si="7"/>
        <v>323</v>
      </c>
      <c r="AJ215" s="384">
        <f>MIN(364,INT((AJ214 - DATE(YEAR(AJ214),1,1))))</f>
        <v>354</v>
      </c>
      <c r="AK215" s="384">
        <f t="shared" ref="AK215" si="8">MIN(364,INT((AK214 - DATE(YEAR(AK214),1,1))))</f>
        <v>312</v>
      </c>
      <c r="AL215" s="492"/>
      <c r="AM215" s="492"/>
      <c r="AN215" s="27"/>
      <c r="AO215" s="17"/>
      <c r="AP215" s="9"/>
      <c r="AQ215" s="9"/>
      <c r="AR215" s="9"/>
    </row>
    <row r="216" spans="1:44" customFormat="1" ht="12" customHeight="1" outlineLevel="1" x14ac:dyDescent="0.25">
      <c r="A216" s="7"/>
      <c r="B216" s="8"/>
      <c r="C216" s="18"/>
      <c r="D216" s="18"/>
      <c r="E216" s="18"/>
      <c r="F216" s="24"/>
      <c r="G216" s="28"/>
      <c r="H216" s="25" t="s">
        <v>3145</v>
      </c>
      <c r="I216" s="491"/>
      <c r="J216" s="552">
        <f>J214-DATE(YEAR(J214)-1,12,1)</f>
        <v>63</v>
      </c>
      <c r="K216" s="552">
        <f t="shared" ref="K216:P216" si="9">K214-DATE(YEAR(K214)-1,12,1)</f>
        <v>35</v>
      </c>
      <c r="L216" s="552">
        <f t="shared" si="9"/>
        <v>59</v>
      </c>
      <c r="M216" s="552">
        <f t="shared" si="9"/>
        <v>59</v>
      </c>
      <c r="N216" s="552">
        <f t="shared" si="9"/>
        <v>78</v>
      </c>
      <c r="O216" s="552">
        <f t="shared" si="9"/>
        <v>71</v>
      </c>
      <c r="P216" s="552">
        <f t="shared" si="9"/>
        <v>71</v>
      </c>
      <c r="Q216" s="552">
        <f>Q214-DATE(YEAR(Q214),12,1)</f>
        <v>7</v>
      </c>
      <c r="R216" s="552">
        <v>8</v>
      </c>
      <c r="S216" s="552">
        <v>8</v>
      </c>
      <c r="T216" s="552">
        <v>0</v>
      </c>
      <c r="U216" s="552">
        <v>0</v>
      </c>
      <c r="V216" s="552">
        <f t="shared" ref="V216:W216" si="10">V214-DATE(2015,12,1)</f>
        <v>91</v>
      </c>
      <c r="W216" s="552">
        <f t="shared" si="10"/>
        <v>91</v>
      </c>
      <c r="X216" s="552">
        <v>11</v>
      </c>
      <c r="Y216" s="552">
        <v>11</v>
      </c>
      <c r="Z216" s="552">
        <v>20</v>
      </c>
      <c r="AA216" s="552">
        <v>20</v>
      </c>
      <c r="AB216" s="552">
        <v>13</v>
      </c>
      <c r="AC216" s="552">
        <v>13</v>
      </c>
      <c r="AD216" s="552">
        <v>0</v>
      </c>
      <c r="AE216" s="552">
        <v>0</v>
      </c>
      <c r="AF216" s="552">
        <v>0</v>
      </c>
      <c r="AG216" s="552">
        <v>0</v>
      </c>
      <c r="AH216" s="552">
        <v>0</v>
      </c>
      <c r="AI216" s="552">
        <v>20</v>
      </c>
      <c r="AJ216" s="552">
        <v>20</v>
      </c>
      <c r="AK216" s="553">
        <f>AVERAGE(AE216:AF216)</f>
        <v>0</v>
      </c>
      <c r="AL216" s="494"/>
      <c r="AM216" s="494"/>
      <c r="AN216" s="27"/>
      <c r="AO216" s="17"/>
      <c r="AP216" s="9"/>
      <c r="AQ216" s="9"/>
      <c r="AR216" s="9"/>
    </row>
    <row r="217" spans="1:44" customFormat="1" outlineLevel="1" x14ac:dyDescent="0.25">
      <c r="A217" s="7"/>
      <c r="B217" s="8"/>
      <c r="C217" s="18"/>
      <c r="D217" s="18"/>
      <c r="E217" s="18"/>
      <c r="F217" s="24"/>
      <c r="G217" s="25"/>
      <c r="H217" s="25" t="s">
        <v>3146</v>
      </c>
      <c r="I217" s="491"/>
      <c r="J217" s="550">
        <v>9</v>
      </c>
      <c r="K217" s="550">
        <v>9</v>
      </c>
      <c r="L217" s="550">
        <v>9</v>
      </c>
      <c r="M217" s="550">
        <v>9</v>
      </c>
      <c r="N217" s="550">
        <v>9</v>
      </c>
      <c r="O217" s="550">
        <v>9</v>
      </c>
      <c r="P217" s="550">
        <v>9</v>
      </c>
      <c r="Q217" s="550">
        <v>9</v>
      </c>
      <c r="R217" s="550">
        <v>9</v>
      </c>
      <c r="S217" s="550">
        <v>9</v>
      </c>
      <c r="T217" s="550">
        <v>9</v>
      </c>
      <c r="U217" s="550">
        <v>9</v>
      </c>
      <c r="V217" s="550">
        <v>9</v>
      </c>
      <c r="W217" s="550">
        <v>9</v>
      </c>
      <c r="X217" s="550">
        <v>9</v>
      </c>
      <c r="Y217" s="550">
        <v>9</v>
      </c>
      <c r="Z217" s="550">
        <v>9</v>
      </c>
      <c r="AA217" s="550">
        <v>9</v>
      </c>
      <c r="AB217" s="550">
        <v>9</v>
      </c>
      <c r="AC217" s="550">
        <v>9</v>
      </c>
      <c r="AD217" s="550">
        <v>20</v>
      </c>
      <c r="AE217" s="550">
        <v>20</v>
      </c>
      <c r="AF217" s="550">
        <v>20</v>
      </c>
      <c r="AG217" s="550">
        <v>20</v>
      </c>
      <c r="AH217" s="550">
        <v>20</v>
      </c>
      <c r="AI217" s="550">
        <v>20</v>
      </c>
      <c r="AJ217" s="550">
        <v>9</v>
      </c>
      <c r="AK217" s="554">
        <f>INT(AVERAGE(AE217:AF217))</f>
        <v>20</v>
      </c>
      <c r="AL217" s="492"/>
      <c r="AM217" s="492"/>
      <c r="AN217" s="27"/>
      <c r="AO217" s="17"/>
      <c r="AP217" s="9"/>
      <c r="AQ217" s="9"/>
      <c r="AR217" s="9"/>
    </row>
    <row r="218" spans="1:44" customFormat="1" outlineLevel="1" x14ac:dyDescent="0.25">
      <c r="A218" s="7"/>
      <c r="B218" s="8"/>
      <c r="C218" s="18"/>
      <c r="D218" s="18"/>
      <c r="E218" s="18"/>
      <c r="F218" s="24"/>
      <c r="G218" s="25"/>
      <c r="H218" s="25"/>
      <c r="I218" s="491"/>
      <c r="J218" s="492"/>
      <c r="K218" s="492"/>
      <c r="L218" s="492"/>
      <c r="M218" s="492"/>
      <c r="N218" s="492"/>
      <c r="O218" s="492"/>
      <c r="P218" s="492"/>
      <c r="Q218" s="492"/>
      <c r="R218" s="613">
        <v>0.5</v>
      </c>
      <c r="S218" s="612">
        <f t="shared" ref="S218:AC218" si="11">$R218</f>
        <v>0.5</v>
      </c>
      <c r="T218" s="612">
        <f t="shared" si="11"/>
        <v>0.5</v>
      </c>
      <c r="U218" s="612">
        <f t="shared" si="11"/>
        <v>0.5</v>
      </c>
      <c r="V218" s="612">
        <f t="shared" si="11"/>
        <v>0.5</v>
      </c>
      <c r="W218" s="612">
        <f t="shared" si="11"/>
        <v>0.5</v>
      </c>
      <c r="X218" s="612">
        <f t="shared" si="11"/>
        <v>0.5</v>
      </c>
      <c r="Y218" s="612">
        <f t="shared" si="11"/>
        <v>0.5</v>
      </c>
      <c r="Z218" s="612">
        <f t="shared" si="11"/>
        <v>0.5</v>
      </c>
      <c r="AA218" s="612">
        <f t="shared" si="11"/>
        <v>0.5</v>
      </c>
      <c r="AB218" s="612">
        <f t="shared" si="11"/>
        <v>0.5</v>
      </c>
      <c r="AC218" s="612">
        <f t="shared" si="11"/>
        <v>0.5</v>
      </c>
      <c r="AD218" s="492"/>
      <c r="AE218" s="492"/>
      <c r="AF218" s="492"/>
      <c r="AG218" s="492"/>
      <c r="AH218" s="492"/>
      <c r="AI218" s="492"/>
      <c r="AJ218" s="612">
        <f>$R218</f>
        <v>0.5</v>
      </c>
      <c r="AK218" s="492"/>
      <c r="AL218" s="492"/>
      <c r="AM218" s="492"/>
      <c r="AN218" s="27"/>
      <c r="AO218" s="17"/>
      <c r="AP218" s="9"/>
      <c r="AQ218" s="9"/>
      <c r="AR218" s="9"/>
    </row>
    <row r="219" spans="1:44" customFormat="1" outlineLevel="1" x14ac:dyDescent="0.25">
      <c r="A219" s="7"/>
      <c r="B219" s="8"/>
      <c r="C219" s="18"/>
      <c r="D219" s="18"/>
      <c r="E219" s="18"/>
      <c r="F219" s="24"/>
      <c r="G219" s="25"/>
      <c r="H219" s="25" t="s">
        <v>3147</v>
      </c>
      <c r="J219" s="555">
        <v>2.16</v>
      </c>
      <c r="K219" s="555">
        <v>3.16</v>
      </c>
      <c r="L219" s="555">
        <v>1.9799999999999989</v>
      </c>
      <c r="M219" s="555">
        <v>3.96</v>
      </c>
      <c r="N219" s="555">
        <v>2.36</v>
      </c>
      <c r="O219" s="555">
        <v>2.4300000000000002</v>
      </c>
      <c r="P219" s="555">
        <v>2.4699999999999998</v>
      </c>
      <c r="Q219" s="555">
        <v>2.2000000000000002</v>
      </c>
      <c r="R219" s="556">
        <f>R$218*12</f>
        <v>6</v>
      </c>
      <c r="S219" s="556">
        <f>S$218*12</f>
        <v>6</v>
      </c>
      <c r="T219" s="556">
        <f>T$218*9</f>
        <v>4.5</v>
      </c>
      <c r="U219" s="556">
        <f>U$218*9</f>
        <v>4.5</v>
      </c>
      <c r="V219" s="556">
        <f>V$218*7</f>
        <v>3.5</v>
      </c>
      <c r="W219" s="556">
        <f>W$218*7</f>
        <v>3.5</v>
      </c>
      <c r="X219" s="556">
        <f>X$218*7.8</f>
        <v>3.9</v>
      </c>
      <c r="Y219" s="556">
        <f>Y$218*5.6</f>
        <v>2.8</v>
      </c>
      <c r="Z219" s="556">
        <f>Z$218*8.9</f>
        <v>4.45</v>
      </c>
      <c r="AA219" s="556">
        <f>AA$218*8.9</f>
        <v>4.45</v>
      </c>
      <c r="AB219" s="556">
        <f>AB$218*4.8</f>
        <v>2.4</v>
      </c>
      <c r="AC219" s="556">
        <f>AC$218*4.8</f>
        <v>2.4</v>
      </c>
      <c r="AD219" s="556">
        <v>36</v>
      </c>
      <c r="AE219" s="556">
        <v>41</v>
      </c>
      <c r="AF219" s="556">
        <v>32</v>
      </c>
      <c r="AG219" s="556">
        <v>23</v>
      </c>
      <c r="AH219" s="556">
        <v>23</v>
      </c>
      <c r="AI219" s="556">
        <v>25</v>
      </c>
      <c r="AJ219" s="556">
        <f>AJ$218*7.88</f>
        <v>3.94</v>
      </c>
      <c r="AK219" s="557">
        <f>AVERAGE(AE219:AF219)</f>
        <v>36.5</v>
      </c>
      <c r="AL219" s="492"/>
      <c r="AM219" s="492"/>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2"/>
      <c r="AM220" s="492"/>
      <c r="AN220" s="27"/>
      <c r="AO220" s="17"/>
      <c r="AP220" s="9"/>
      <c r="AQ220" s="9"/>
      <c r="AR220" s="9"/>
    </row>
    <row r="221" spans="1:44" customFormat="1" outlineLevel="1" x14ac:dyDescent="0.25">
      <c r="A221" s="7"/>
      <c r="B221" s="8"/>
      <c r="C221" s="18"/>
      <c r="D221" s="18"/>
      <c r="E221" s="18"/>
      <c r="F221" s="24"/>
      <c r="G221" s="25"/>
      <c r="H221" s="25" t="s">
        <v>3148</v>
      </c>
      <c r="I221" s="25"/>
      <c r="J221" s="556" t="s">
        <v>2325</v>
      </c>
      <c r="K221" s="556" t="s">
        <v>2325</v>
      </c>
      <c r="L221" s="556" t="s">
        <v>2325</v>
      </c>
      <c r="M221" s="556" t="s">
        <v>2325</v>
      </c>
      <c r="N221" s="556" t="s">
        <v>2325</v>
      </c>
      <c r="O221" s="556" t="s">
        <v>2325</v>
      </c>
      <c r="P221" s="556" t="s">
        <v>2325</v>
      </c>
      <c r="Q221" s="556" t="s">
        <v>2325</v>
      </c>
      <c r="R221" s="556" t="s">
        <v>3149</v>
      </c>
      <c r="S221" s="556" t="s">
        <v>2325</v>
      </c>
      <c r="T221" s="556" t="s">
        <v>3149</v>
      </c>
      <c r="U221" s="556" t="s">
        <v>2325</v>
      </c>
      <c r="V221" s="556" t="s">
        <v>3149</v>
      </c>
      <c r="W221" s="556" t="s">
        <v>2325</v>
      </c>
      <c r="X221" s="556" t="s">
        <v>3149</v>
      </c>
      <c r="Y221" s="556" t="s">
        <v>2325</v>
      </c>
      <c r="Z221" s="556" t="s">
        <v>3149</v>
      </c>
      <c r="AA221" s="556" t="s">
        <v>2325</v>
      </c>
      <c r="AB221" s="556" t="s">
        <v>3149</v>
      </c>
      <c r="AC221" s="556" t="s">
        <v>2325</v>
      </c>
      <c r="AD221" s="556" t="s">
        <v>2327</v>
      </c>
      <c r="AE221" s="556" t="s">
        <v>2327</v>
      </c>
      <c r="AF221" s="556" t="s">
        <v>2327</v>
      </c>
      <c r="AG221" s="556" t="s">
        <v>2327</v>
      </c>
      <c r="AH221" s="556" t="s">
        <v>2327</v>
      </c>
      <c r="AI221" s="556" t="s">
        <v>2327</v>
      </c>
      <c r="AJ221" s="556" t="s">
        <v>2325</v>
      </c>
      <c r="AK221" s="556" t="s">
        <v>2327</v>
      </c>
      <c r="AL221" s="492"/>
      <c r="AM221" s="492"/>
      <c r="AN221" s="27"/>
      <c r="AO221" s="17"/>
      <c r="AP221" s="9"/>
      <c r="AQ221" s="9"/>
      <c r="AR221" s="9"/>
    </row>
    <row r="222" spans="1:44" customFormat="1" outlineLevel="1" x14ac:dyDescent="0.25">
      <c r="A222" s="7"/>
      <c r="B222" s="8"/>
      <c r="C222" s="18"/>
      <c r="D222" s="18"/>
      <c r="E222" s="18"/>
      <c r="F222" s="24"/>
      <c r="G222" s="25"/>
      <c r="H222" s="25" t="s">
        <v>3150</v>
      </c>
      <c r="I222" s="25"/>
      <c r="J222" s="556" t="s">
        <v>5</v>
      </c>
      <c r="K222" s="556" t="s">
        <v>5</v>
      </c>
      <c r="L222" s="556" t="s">
        <v>5</v>
      </c>
      <c r="M222" s="556" t="s">
        <v>5</v>
      </c>
      <c r="N222" s="556" t="s">
        <v>5</v>
      </c>
      <c r="O222" s="556" t="s">
        <v>5</v>
      </c>
      <c r="P222" s="556" t="s">
        <v>5</v>
      </c>
      <c r="Q222" s="556" t="s">
        <v>5</v>
      </c>
      <c r="R222" s="558" t="s">
        <v>4</v>
      </c>
      <c r="S222" s="558" t="s">
        <v>4</v>
      </c>
      <c r="T222" s="558" t="s">
        <v>8</v>
      </c>
      <c r="U222" s="558" t="s">
        <v>8</v>
      </c>
      <c r="V222" s="558" t="s">
        <v>5</v>
      </c>
      <c r="W222" s="558" t="s">
        <v>5</v>
      </c>
      <c r="X222" s="558" t="s">
        <v>8</v>
      </c>
      <c r="Y222" s="558" t="s">
        <v>8</v>
      </c>
      <c r="Z222" s="558" t="s">
        <v>5</v>
      </c>
      <c r="AA222" s="558" t="s">
        <v>5</v>
      </c>
      <c r="AB222" s="558" t="s">
        <v>5</v>
      </c>
      <c r="AC222" s="558" t="s">
        <v>5</v>
      </c>
      <c r="AD222" s="556" t="s">
        <v>7</v>
      </c>
      <c r="AE222" s="556" t="s">
        <v>7</v>
      </c>
      <c r="AF222" s="556" t="s">
        <v>7</v>
      </c>
      <c r="AG222" s="556" t="s">
        <v>7</v>
      </c>
      <c r="AH222" s="556" t="s">
        <v>72</v>
      </c>
      <c r="AI222" s="556" t="s">
        <v>7</v>
      </c>
      <c r="AJ222" s="556" t="s">
        <v>7</v>
      </c>
      <c r="AK222" s="556" t="s">
        <v>72</v>
      </c>
      <c r="AL222" s="492"/>
      <c r="AM222" s="492"/>
      <c r="AN222" s="27"/>
      <c r="AO222" s="17"/>
      <c r="AP222" s="9"/>
      <c r="AQ222" s="9"/>
      <c r="AR222" s="9"/>
    </row>
    <row r="223" spans="1:44" customFormat="1" ht="14.45" customHeight="1" outlineLevel="1" x14ac:dyDescent="0.25">
      <c r="A223" s="7"/>
      <c r="B223" s="8"/>
      <c r="C223" s="18"/>
      <c r="D223" s="18"/>
      <c r="E223" s="18"/>
      <c r="F223" s="24"/>
      <c r="G223" s="25"/>
      <c r="H223" s="559" t="s">
        <v>3151</v>
      </c>
      <c r="I223" s="25"/>
      <c r="J223" s="560">
        <v>2520</v>
      </c>
      <c r="K223" s="560">
        <v>1470</v>
      </c>
      <c r="L223" s="560">
        <v>1660</v>
      </c>
      <c r="M223" s="560">
        <v>1660</v>
      </c>
      <c r="N223" s="560">
        <v>2690</v>
      </c>
      <c r="O223" s="560">
        <v>2110</v>
      </c>
      <c r="P223" s="560">
        <v>2110</v>
      </c>
      <c r="Q223" s="560">
        <v>2520</v>
      </c>
      <c r="R223" s="560">
        <v>3000</v>
      </c>
      <c r="S223" s="560">
        <v>3000</v>
      </c>
      <c r="T223" s="560">
        <v>2000</v>
      </c>
      <c r="U223" s="560">
        <v>2000</v>
      </c>
      <c r="V223" s="560">
        <v>2100</v>
      </c>
      <c r="W223" s="560">
        <v>2100</v>
      </c>
      <c r="X223" s="560">
        <v>1600</v>
      </c>
      <c r="Y223" s="560">
        <v>1150</v>
      </c>
      <c r="Z223" s="560">
        <v>3000</v>
      </c>
      <c r="AA223" s="560">
        <v>3000</v>
      </c>
      <c r="AB223" s="560">
        <v>3000</v>
      </c>
      <c r="AC223" s="560">
        <v>3000</v>
      </c>
      <c r="AD223" s="560"/>
      <c r="AE223" s="560"/>
      <c r="AF223" s="560"/>
      <c r="AG223" s="560"/>
      <c r="AH223" s="560"/>
      <c r="AI223" s="560"/>
      <c r="AJ223" s="560">
        <v>2000</v>
      </c>
      <c r="AK223" s="560"/>
      <c r="AL223" s="492"/>
      <c r="AM223" s="492"/>
      <c r="AN223" s="27"/>
      <c r="AO223" s="17"/>
      <c r="AP223" s="9"/>
      <c r="AQ223" s="9"/>
      <c r="AR223" s="9"/>
    </row>
    <row r="224" spans="1:44" customFormat="1" outlineLevel="1" x14ac:dyDescent="0.25">
      <c r="A224" s="7"/>
      <c r="B224" s="8"/>
      <c r="C224" s="18"/>
      <c r="D224" s="18"/>
      <c r="E224" s="18"/>
      <c r="F224" s="24"/>
      <c r="G224" s="25"/>
      <c r="H224" s="561" t="s">
        <v>3152</v>
      </c>
      <c r="I224" s="562"/>
      <c r="J224" s="563">
        <f>J223/VLOOKUP(J$222,$G$140:$H$158,2)</f>
        <v>2680.8510638297876</v>
      </c>
      <c r="K224" s="563">
        <f t="shared" ref="K224:S224" si="12">K223/VLOOKUP(K$222,$G$140:$H$158,2)</f>
        <v>1563.8297872340427</v>
      </c>
      <c r="L224" s="563">
        <f t="shared" si="12"/>
        <v>1765.9574468085107</v>
      </c>
      <c r="M224" s="563">
        <f t="shared" si="12"/>
        <v>1765.9574468085107</v>
      </c>
      <c r="N224" s="563">
        <f t="shared" si="12"/>
        <v>2861.7021276595747</v>
      </c>
      <c r="O224" s="563">
        <f t="shared" si="12"/>
        <v>2244.6808510638298</v>
      </c>
      <c r="P224" s="563">
        <f t="shared" si="12"/>
        <v>2244.6808510638298</v>
      </c>
      <c r="Q224" s="563">
        <f t="shared" si="12"/>
        <v>2680.8510638297876</v>
      </c>
      <c r="R224" s="563">
        <f t="shared" si="12"/>
        <v>3191.489361702128</v>
      </c>
      <c r="S224" s="563">
        <f t="shared" si="12"/>
        <v>3191.489361702128</v>
      </c>
      <c r="T224" s="563">
        <f>T223/VLOOKUP(T$222,$G$140:$H$158,2)</f>
        <v>2061.855670103093</v>
      </c>
      <c r="U224" s="563">
        <f t="shared" ref="U224:AC224" si="13">U223/VLOOKUP(U$222,$G$140:$H$158,2)</f>
        <v>2061.855670103093</v>
      </c>
      <c r="V224" s="563">
        <f t="shared" si="13"/>
        <v>2234.0425531914893</v>
      </c>
      <c r="W224" s="563">
        <f t="shared" si="13"/>
        <v>2234.0425531914893</v>
      </c>
      <c r="X224" s="563">
        <f t="shared" si="13"/>
        <v>1649.4845360824743</v>
      </c>
      <c r="Y224" s="563">
        <f t="shared" si="13"/>
        <v>1185.5670103092784</v>
      </c>
      <c r="Z224" s="563">
        <f t="shared" si="13"/>
        <v>3191.489361702128</v>
      </c>
      <c r="AA224" s="563">
        <f t="shared" si="13"/>
        <v>3191.489361702128</v>
      </c>
      <c r="AB224" s="563">
        <f t="shared" si="13"/>
        <v>3191.489361702128</v>
      </c>
      <c r="AC224" s="563">
        <f t="shared" si="13"/>
        <v>3191.489361702128</v>
      </c>
      <c r="AD224" s="558">
        <f>AVERAGE(1700/0.95,3460)</f>
        <v>2624.7368421052633</v>
      </c>
      <c r="AE224" s="558">
        <f>AVERAGE(1750/0.95,2288)</f>
        <v>2065.0526315789475</v>
      </c>
      <c r="AF224" s="558">
        <f>AVERAGE(1700/0.95,1373)</f>
        <v>1581.2368421052633</v>
      </c>
      <c r="AG224" s="558">
        <f>AVERAGE(1800/0.95,4500)</f>
        <v>3197.3684210526317</v>
      </c>
      <c r="AH224" s="558">
        <f>AVERAGE(2800/0.95,4032)</f>
        <v>3489.6842105263158</v>
      </c>
      <c r="AI224" s="558">
        <f>AVERAGE(1800/0.95,2280)</f>
        <v>2087.3684210526317</v>
      </c>
      <c r="AJ224" s="563">
        <f>AJ223/VLOOKUP(AJ$222,$G$140:$H$158,2)</f>
        <v>2222.2222222222222</v>
      </c>
      <c r="AK224" s="558">
        <f t="shared" ref="AK224" si="14">AVERAGE(2800/0.95,4032)</f>
        <v>3489.6842105263158</v>
      </c>
      <c r="AL224" s="492"/>
      <c r="AM224" s="492"/>
      <c r="AN224" s="27"/>
      <c r="AO224" s="17"/>
      <c r="AP224" s="9"/>
      <c r="AQ224" s="9"/>
      <c r="AR224" s="9"/>
    </row>
    <row r="225" spans="1:44" customFormat="1" x14ac:dyDescent="0.25">
      <c r="A225" s="7"/>
      <c r="B225" s="8"/>
      <c r="C225" s="18"/>
      <c r="D225" s="18"/>
      <c r="E225" s="18"/>
      <c r="F225" s="24"/>
      <c r="G225" s="549" t="s">
        <v>3153</v>
      </c>
      <c r="H225" s="25"/>
      <c r="I225" s="491"/>
      <c r="J225" s="491"/>
      <c r="K225" s="491"/>
      <c r="L225" s="491"/>
      <c r="M225" s="491"/>
      <c r="N225" s="491"/>
      <c r="O225" s="491"/>
      <c r="P225" s="491"/>
      <c r="Q225" s="491"/>
      <c r="R225" s="491"/>
      <c r="S225" s="491"/>
      <c r="T225" s="491"/>
      <c r="U225" s="491"/>
      <c r="V225" s="491"/>
      <c r="W225" s="491"/>
      <c r="X225" s="491"/>
      <c r="Y225" s="491"/>
      <c r="Z225" s="491"/>
      <c r="AA225" s="491"/>
      <c r="AB225" s="491"/>
      <c r="AC225" s="491"/>
      <c r="AD225" s="491"/>
      <c r="AE225" s="491"/>
      <c r="AF225" s="491"/>
      <c r="AG225" s="491"/>
      <c r="AH225" s="491"/>
      <c r="AI225" s="491"/>
      <c r="AJ225" s="491"/>
      <c r="AK225" s="491"/>
      <c r="AL225" s="492"/>
      <c r="AM225" s="492"/>
      <c r="AN225" s="27"/>
      <c r="AO225" s="17"/>
      <c r="AP225" s="9"/>
      <c r="AQ225" s="9"/>
      <c r="AR225" s="9"/>
    </row>
    <row r="226" spans="1:44" customFormat="1" outlineLevel="1" x14ac:dyDescent="0.25">
      <c r="A226" s="7"/>
      <c r="B226" s="8"/>
      <c r="C226" s="18"/>
      <c r="D226" s="18"/>
      <c r="E226" s="18"/>
      <c r="F226" s="24"/>
      <c r="G226" s="25"/>
      <c r="H226" s="25" t="s">
        <v>3154</v>
      </c>
      <c r="I226" s="491"/>
      <c r="J226" s="556">
        <v>3</v>
      </c>
      <c r="K226" s="556">
        <v>3</v>
      </c>
      <c r="L226" s="556">
        <v>3</v>
      </c>
      <c r="M226" s="556">
        <v>3</v>
      </c>
      <c r="N226" s="556">
        <v>3</v>
      </c>
      <c r="O226" s="556">
        <v>3</v>
      </c>
      <c r="P226" s="556">
        <v>3</v>
      </c>
      <c r="Q226" s="556">
        <v>3</v>
      </c>
      <c r="R226" s="556">
        <v>3</v>
      </c>
      <c r="S226" s="556">
        <v>3</v>
      </c>
      <c r="T226" s="556">
        <v>3</v>
      </c>
      <c r="U226" s="556">
        <v>3</v>
      </c>
      <c r="V226" s="556">
        <v>3</v>
      </c>
      <c r="W226" s="556">
        <v>3</v>
      </c>
      <c r="X226" s="556">
        <v>3</v>
      </c>
      <c r="Y226" s="556">
        <v>3</v>
      </c>
      <c r="Z226" s="556">
        <v>3</v>
      </c>
      <c r="AA226" s="556">
        <v>3</v>
      </c>
      <c r="AB226" s="556">
        <v>3</v>
      </c>
      <c r="AC226" s="556">
        <v>3</v>
      </c>
      <c r="AD226" s="556">
        <v>1</v>
      </c>
      <c r="AE226" s="556">
        <v>1</v>
      </c>
      <c r="AF226" s="556">
        <v>1</v>
      </c>
      <c r="AG226" s="556">
        <v>1</v>
      </c>
      <c r="AH226" s="556">
        <v>1</v>
      </c>
      <c r="AI226" s="556">
        <v>1</v>
      </c>
      <c r="AJ226" s="556">
        <v>3</v>
      </c>
      <c r="AK226" s="557">
        <f t="shared" ref="AK226:AK231" si="15">AVERAGE(AE226:AF226)</f>
        <v>1</v>
      </c>
      <c r="AL226" s="492"/>
      <c r="AM226" s="492"/>
      <c r="AN226" s="27"/>
      <c r="AO226" s="17"/>
      <c r="AP226" s="9"/>
      <c r="AQ226" s="9"/>
      <c r="AR226" s="9"/>
    </row>
    <row r="227" spans="1:44" customFormat="1" outlineLevel="1" x14ac:dyDescent="0.25">
      <c r="A227" s="7"/>
      <c r="B227" s="8"/>
      <c r="C227" s="18"/>
      <c r="D227" s="18"/>
      <c r="E227" s="18"/>
      <c r="F227" s="24"/>
      <c r="G227" s="25"/>
      <c r="H227" s="25" t="s">
        <v>3155</v>
      </c>
      <c r="I227" s="491"/>
      <c r="J227" s="556">
        <v>3</v>
      </c>
      <c r="K227" s="556">
        <v>3</v>
      </c>
      <c r="L227" s="556">
        <v>3</v>
      </c>
      <c r="M227" s="556">
        <v>3</v>
      </c>
      <c r="N227" s="556">
        <v>3</v>
      </c>
      <c r="O227" s="556">
        <v>3</v>
      </c>
      <c r="P227" s="556">
        <v>3</v>
      </c>
      <c r="Q227" s="556">
        <v>3</v>
      </c>
      <c r="R227" s="556">
        <v>3</v>
      </c>
      <c r="S227" s="556">
        <v>3</v>
      </c>
      <c r="T227" s="556">
        <v>3</v>
      </c>
      <c r="U227" s="556">
        <v>3</v>
      </c>
      <c r="V227" s="556">
        <v>3</v>
      </c>
      <c r="W227" s="556">
        <v>3</v>
      </c>
      <c r="X227" s="556">
        <v>3</v>
      </c>
      <c r="Y227" s="556">
        <v>3</v>
      </c>
      <c r="Z227" s="556">
        <v>3</v>
      </c>
      <c r="AA227" s="556">
        <v>3</v>
      </c>
      <c r="AB227" s="556">
        <v>3</v>
      </c>
      <c r="AC227" s="556">
        <v>3</v>
      </c>
      <c r="AD227" s="556">
        <v>1.2</v>
      </c>
      <c r="AE227" s="556">
        <v>1.2</v>
      </c>
      <c r="AF227" s="556">
        <v>1.2</v>
      </c>
      <c r="AG227" s="556">
        <v>1.2</v>
      </c>
      <c r="AH227" s="556">
        <v>1.2</v>
      </c>
      <c r="AI227" s="556">
        <v>1.2</v>
      </c>
      <c r="AJ227" s="556">
        <v>3</v>
      </c>
      <c r="AK227" s="557">
        <f t="shared" si="15"/>
        <v>1.2</v>
      </c>
      <c r="AL227" s="492"/>
      <c r="AM227" s="492"/>
      <c r="AN227" s="27"/>
      <c r="AO227" s="17"/>
      <c r="AP227" s="9"/>
      <c r="AQ227" s="9"/>
      <c r="AR227" s="9"/>
    </row>
    <row r="228" spans="1:44" customFormat="1" outlineLevel="1" x14ac:dyDescent="0.25">
      <c r="A228" s="7"/>
      <c r="B228" s="8"/>
      <c r="C228" s="18"/>
      <c r="D228" s="18"/>
      <c r="E228" s="18"/>
      <c r="F228" s="24"/>
      <c r="G228" s="25"/>
      <c r="H228" s="25" t="s">
        <v>3156</v>
      </c>
      <c r="I228" s="491"/>
      <c r="J228" s="556">
        <v>21</v>
      </c>
      <c r="K228" s="556">
        <v>21</v>
      </c>
      <c r="L228" s="556">
        <v>21</v>
      </c>
      <c r="M228" s="556">
        <v>21</v>
      </c>
      <c r="N228" s="556">
        <v>21</v>
      </c>
      <c r="O228" s="556">
        <v>21</v>
      </c>
      <c r="P228" s="556">
        <v>21</v>
      </c>
      <c r="Q228" s="556">
        <v>21</v>
      </c>
      <c r="R228" s="556">
        <v>21</v>
      </c>
      <c r="S228" s="556">
        <v>21</v>
      </c>
      <c r="T228" s="556">
        <v>21</v>
      </c>
      <c r="U228" s="556">
        <v>21</v>
      </c>
      <c r="V228" s="556">
        <v>21</v>
      </c>
      <c r="W228" s="556">
        <v>21</v>
      </c>
      <c r="X228" s="556">
        <v>21</v>
      </c>
      <c r="Y228" s="556">
        <v>21</v>
      </c>
      <c r="Z228" s="556">
        <v>21</v>
      </c>
      <c r="AA228" s="556">
        <v>21</v>
      </c>
      <c r="AB228" s="556">
        <v>21</v>
      </c>
      <c r="AC228" s="556">
        <v>21</v>
      </c>
      <c r="AD228" s="556">
        <v>25</v>
      </c>
      <c r="AE228" s="556">
        <v>21</v>
      </c>
      <c r="AF228" s="556">
        <v>21</v>
      </c>
      <c r="AG228" s="556">
        <v>21</v>
      </c>
      <c r="AH228" s="556">
        <v>21</v>
      </c>
      <c r="AI228" s="556">
        <v>25</v>
      </c>
      <c r="AJ228" s="556">
        <v>21</v>
      </c>
      <c r="AK228" s="557">
        <f t="shared" si="15"/>
        <v>21</v>
      </c>
      <c r="AL228" s="492"/>
      <c r="AM228" s="492"/>
      <c r="AN228" s="27"/>
      <c r="AO228" s="17"/>
      <c r="AP228" s="9"/>
      <c r="AQ228" s="9"/>
      <c r="AR228" s="9"/>
    </row>
    <row r="229" spans="1:44" customFormat="1" outlineLevel="1" x14ac:dyDescent="0.25">
      <c r="A229" s="7"/>
      <c r="B229" s="8"/>
      <c r="C229" s="18"/>
      <c r="D229" s="18"/>
      <c r="E229" s="18"/>
      <c r="F229" s="24"/>
      <c r="G229" s="25"/>
      <c r="H229" s="25" t="s">
        <v>3157</v>
      </c>
      <c r="I229" s="491"/>
      <c r="J229" s="556">
        <v>5</v>
      </c>
      <c r="K229" s="556">
        <v>5</v>
      </c>
      <c r="L229" s="556">
        <v>5</v>
      </c>
      <c r="M229" s="556">
        <v>5</v>
      </c>
      <c r="N229" s="556">
        <v>5</v>
      </c>
      <c r="O229" s="556">
        <v>5</v>
      </c>
      <c r="P229" s="556">
        <v>5</v>
      </c>
      <c r="Q229" s="556">
        <v>5</v>
      </c>
      <c r="R229" s="556">
        <v>5</v>
      </c>
      <c r="S229" s="556">
        <v>5</v>
      </c>
      <c r="T229" s="556">
        <v>5</v>
      </c>
      <c r="U229" s="556">
        <v>5</v>
      </c>
      <c r="V229" s="556">
        <v>5</v>
      </c>
      <c r="W229" s="556">
        <v>5</v>
      </c>
      <c r="X229" s="556">
        <v>5</v>
      </c>
      <c r="Y229" s="556">
        <v>5</v>
      </c>
      <c r="Z229" s="556">
        <v>5</v>
      </c>
      <c r="AA229" s="556">
        <v>5</v>
      </c>
      <c r="AB229" s="556">
        <v>5</v>
      </c>
      <c r="AC229" s="556">
        <v>5</v>
      </c>
      <c r="AD229" s="556">
        <v>2.5</v>
      </c>
      <c r="AE229" s="556">
        <v>2.5</v>
      </c>
      <c r="AF229" s="556">
        <v>2.5</v>
      </c>
      <c r="AG229" s="556">
        <v>2.5</v>
      </c>
      <c r="AH229" s="556">
        <v>2.5</v>
      </c>
      <c r="AI229" s="556">
        <v>2.5</v>
      </c>
      <c r="AJ229" s="556">
        <v>5</v>
      </c>
      <c r="AK229" s="557">
        <f t="shared" si="15"/>
        <v>2.5</v>
      </c>
      <c r="AL229" s="492"/>
      <c r="AM229" s="492"/>
      <c r="AN229" s="27"/>
      <c r="AO229" s="17"/>
      <c r="AP229" s="9"/>
      <c r="AQ229" s="9"/>
      <c r="AR229" s="9"/>
    </row>
    <row r="230" spans="1:44" customFormat="1" ht="15" customHeight="1" outlineLevel="1" x14ac:dyDescent="0.25">
      <c r="A230" s="7"/>
      <c r="B230" s="8"/>
      <c r="C230" s="18"/>
      <c r="D230" s="18"/>
      <c r="E230" s="18"/>
      <c r="F230" s="24"/>
      <c r="G230" s="25"/>
      <c r="H230" s="25" t="s">
        <v>3158</v>
      </c>
      <c r="I230" s="620" t="s">
        <v>3159</v>
      </c>
      <c r="J230" s="564">
        <v>0.15</v>
      </c>
      <c r="K230" s="564">
        <v>0.15</v>
      </c>
      <c r="L230" s="564">
        <v>0.15</v>
      </c>
      <c r="M230" s="564">
        <v>0.15</v>
      </c>
      <c r="N230" s="564">
        <v>0.15</v>
      </c>
      <c r="O230" s="564">
        <v>0.15</v>
      </c>
      <c r="P230" s="564">
        <v>0.15</v>
      </c>
      <c r="Q230" s="564">
        <v>0.15</v>
      </c>
      <c r="R230" s="564">
        <v>0.15</v>
      </c>
      <c r="S230" s="564">
        <v>0.15</v>
      </c>
      <c r="T230" s="564">
        <v>0.15</v>
      </c>
      <c r="U230" s="564">
        <v>0.15</v>
      </c>
      <c r="V230" s="564">
        <v>0.15</v>
      </c>
      <c r="W230" s="564">
        <v>0.15</v>
      </c>
      <c r="X230" s="564">
        <v>0.15</v>
      </c>
      <c r="Y230" s="564">
        <v>0.15</v>
      </c>
      <c r="Z230" s="564">
        <v>0.15</v>
      </c>
      <c r="AA230" s="564">
        <v>0.15</v>
      </c>
      <c r="AB230" s="564">
        <v>0.15</v>
      </c>
      <c r="AC230" s="564">
        <v>0.15</v>
      </c>
      <c r="AD230" s="564">
        <v>0.15</v>
      </c>
      <c r="AE230" s="564">
        <v>0.15</v>
      </c>
      <c r="AF230" s="564">
        <v>0.15</v>
      </c>
      <c r="AG230" s="564">
        <v>0.15</v>
      </c>
      <c r="AH230" s="564">
        <v>0.15</v>
      </c>
      <c r="AI230" s="564">
        <v>0.15</v>
      </c>
      <c r="AJ230" s="564">
        <v>0.15</v>
      </c>
      <c r="AK230" s="565">
        <f t="shared" si="15"/>
        <v>0.15</v>
      </c>
      <c r="AL230" s="492"/>
      <c r="AM230" s="492"/>
      <c r="AN230" s="27"/>
      <c r="AO230" s="17"/>
      <c r="AP230" s="9"/>
      <c r="AQ230" s="9"/>
      <c r="AR230" s="9"/>
    </row>
    <row r="231" spans="1:44" customFormat="1" outlineLevel="1" x14ac:dyDescent="0.25">
      <c r="A231" s="7"/>
      <c r="B231" s="8"/>
      <c r="C231" s="18"/>
      <c r="D231" s="18"/>
      <c r="E231" s="18"/>
      <c r="F231" s="24"/>
      <c r="G231" s="25"/>
      <c r="H231" s="25" t="s">
        <v>3160</v>
      </c>
      <c r="I231" s="620"/>
      <c r="J231" s="564">
        <v>0.02</v>
      </c>
      <c r="K231" s="564">
        <v>0.02</v>
      </c>
      <c r="L231" s="564">
        <v>0.02</v>
      </c>
      <c r="M231" s="564">
        <v>0.02</v>
      </c>
      <c r="N231" s="564">
        <v>0.02</v>
      </c>
      <c r="O231" s="564">
        <v>0.02</v>
      </c>
      <c r="P231" s="564">
        <v>0.02</v>
      </c>
      <c r="Q231" s="564">
        <v>0.02</v>
      </c>
      <c r="R231" s="564">
        <v>0.02</v>
      </c>
      <c r="S231" s="564">
        <v>0.02</v>
      </c>
      <c r="T231" s="564">
        <v>0.02</v>
      </c>
      <c r="U231" s="564">
        <v>0.02</v>
      </c>
      <c r="V231" s="564">
        <v>0.02</v>
      </c>
      <c r="W231" s="564">
        <v>0.02</v>
      </c>
      <c r="X231" s="564">
        <v>0.02</v>
      </c>
      <c r="Y231" s="564">
        <v>0.02</v>
      </c>
      <c r="Z231" s="564">
        <v>0.02</v>
      </c>
      <c r="AA231" s="564">
        <v>0.02</v>
      </c>
      <c r="AB231" s="564">
        <v>0.02</v>
      </c>
      <c r="AC231" s="564">
        <v>0.02</v>
      </c>
      <c r="AD231" s="564">
        <v>0.02</v>
      </c>
      <c r="AE231" s="564">
        <v>0.02</v>
      </c>
      <c r="AF231" s="564">
        <v>0.02</v>
      </c>
      <c r="AG231" s="564">
        <v>0.02</v>
      </c>
      <c r="AH231" s="564">
        <v>0.02</v>
      </c>
      <c r="AI231" s="564">
        <v>0.02</v>
      </c>
      <c r="AJ231" s="564">
        <v>0.02</v>
      </c>
      <c r="AK231" s="565">
        <f t="shared" si="15"/>
        <v>0.02</v>
      </c>
      <c r="AL231" s="492"/>
      <c r="AM231" s="492"/>
      <c r="AN231" s="27"/>
      <c r="AO231" s="17"/>
      <c r="AP231" s="9"/>
      <c r="AQ231" s="9"/>
      <c r="AR231" s="9"/>
    </row>
    <row r="232" spans="1:44" customFormat="1" outlineLevel="1" x14ac:dyDescent="0.25">
      <c r="A232" s="7"/>
      <c r="B232" s="8"/>
      <c r="C232" s="18"/>
      <c r="D232" s="18"/>
      <c r="E232" s="18"/>
      <c r="F232" s="24"/>
      <c r="G232" s="25"/>
      <c r="H232" s="25" t="s">
        <v>3161</v>
      </c>
      <c r="I232" s="620"/>
      <c r="J232" s="565">
        <f>1-SUM(J230:J231)</f>
        <v>0.83000000000000007</v>
      </c>
      <c r="K232" s="565">
        <f t="shared" ref="K232:Q232" si="16">1-SUM(K230:K231)</f>
        <v>0.83000000000000007</v>
      </c>
      <c r="L232" s="565">
        <f t="shared" si="16"/>
        <v>0.83000000000000007</v>
      </c>
      <c r="M232" s="565">
        <f t="shared" si="16"/>
        <v>0.83000000000000007</v>
      </c>
      <c r="N232" s="565">
        <f t="shared" si="16"/>
        <v>0.83000000000000007</v>
      </c>
      <c r="O232" s="565">
        <f t="shared" si="16"/>
        <v>0.83000000000000007</v>
      </c>
      <c r="P232" s="565">
        <f t="shared" si="16"/>
        <v>0.83000000000000007</v>
      </c>
      <c r="Q232" s="565">
        <f t="shared" si="16"/>
        <v>0.83000000000000007</v>
      </c>
      <c r="R232" s="565">
        <f t="shared" ref="R232:AI232" si="17">1-SUM(R230:R231)</f>
        <v>0.83000000000000007</v>
      </c>
      <c r="S232" s="565">
        <f t="shared" si="17"/>
        <v>0.83000000000000007</v>
      </c>
      <c r="T232" s="565">
        <f t="shared" si="17"/>
        <v>0.83000000000000007</v>
      </c>
      <c r="U232" s="565">
        <f t="shared" si="17"/>
        <v>0.83000000000000007</v>
      </c>
      <c r="V232" s="565">
        <f t="shared" si="17"/>
        <v>0.83000000000000007</v>
      </c>
      <c r="W232" s="565">
        <f t="shared" si="17"/>
        <v>0.83000000000000007</v>
      </c>
      <c r="X232" s="565">
        <f t="shared" si="17"/>
        <v>0.83000000000000007</v>
      </c>
      <c r="Y232" s="565">
        <f t="shared" si="17"/>
        <v>0.83000000000000007</v>
      </c>
      <c r="Z232" s="565">
        <f t="shared" si="17"/>
        <v>0.83000000000000007</v>
      </c>
      <c r="AA232" s="565">
        <f t="shared" si="17"/>
        <v>0.83000000000000007</v>
      </c>
      <c r="AB232" s="565">
        <f t="shared" si="17"/>
        <v>0.83000000000000007</v>
      </c>
      <c r="AC232" s="565">
        <f t="shared" si="17"/>
        <v>0.83000000000000007</v>
      </c>
      <c r="AD232" s="565">
        <f t="shared" si="17"/>
        <v>0.83000000000000007</v>
      </c>
      <c r="AE232" s="565">
        <f t="shared" si="17"/>
        <v>0.83000000000000007</v>
      </c>
      <c r="AF232" s="565">
        <f t="shared" si="17"/>
        <v>0.83000000000000007</v>
      </c>
      <c r="AG232" s="565">
        <f t="shared" si="17"/>
        <v>0.83000000000000007</v>
      </c>
      <c r="AH232" s="565">
        <f t="shared" si="17"/>
        <v>0.83000000000000007</v>
      </c>
      <c r="AI232" s="565">
        <f t="shared" si="17"/>
        <v>0.83000000000000007</v>
      </c>
      <c r="AJ232" s="565">
        <f>1-SUM(AJ230:AJ231)</f>
        <v>0.83000000000000007</v>
      </c>
      <c r="AK232" s="565">
        <f t="shared" ref="AK232" si="18">1-SUM(AK230:AK231)</f>
        <v>0.83000000000000007</v>
      </c>
      <c r="AL232" s="492"/>
      <c r="AM232" s="492"/>
      <c r="AN232" s="27"/>
      <c r="AO232" s="17"/>
      <c r="AP232" s="9"/>
      <c r="AQ232" s="9"/>
      <c r="AR232" s="9"/>
    </row>
    <row r="233" spans="1:44" customFormat="1" outlineLevel="1" x14ac:dyDescent="0.25">
      <c r="A233" s="7"/>
      <c r="B233" s="8"/>
      <c r="C233" s="18"/>
      <c r="D233" s="18"/>
      <c r="E233" s="18"/>
      <c r="F233" s="24"/>
      <c r="G233" s="25"/>
      <c r="H233" s="25" t="s">
        <v>3162</v>
      </c>
      <c r="I233" s="491"/>
      <c r="J233" s="566">
        <v>0</v>
      </c>
      <c r="K233" s="566">
        <v>0</v>
      </c>
      <c r="L233" s="566">
        <v>0</v>
      </c>
      <c r="M233" s="566">
        <v>0</v>
      </c>
      <c r="N233" s="566">
        <v>0</v>
      </c>
      <c r="O233" s="566">
        <v>0</v>
      </c>
      <c r="P233" s="566">
        <v>0</v>
      </c>
      <c r="Q233" s="566">
        <v>0</v>
      </c>
      <c r="R233" s="566">
        <v>0</v>
      </c>
      <c r="S233" s="566">
        <v>0</v>
      </c>
      <c r="T233" s="566">
        <v>0</v>
      </c>
      <c r="U233" s="566">
        <v>0</v>
      </c>
      <c r="V233" s="566">
        <v>0</v>
      </c>
      <c r="W233" s="566">
        <v>0</v>
      </c>
      <c r="X233" s="566">
        <v>0</v>
      </c>
      <c r="Y233" s="566">
        <v>0</v>
      </c>
      <c r="Z233" s="566">
        <v>0</v>
      </c>
      <c r="AA233" s="566">
        <v>0</v>
      </c>
      <c r="AB233" s="566">
        <v>0</v>
      </c>
      <c r="AC233" s="566">
        <v>0</v>
      </c>
      <c r="AD233" s="566">
        <v>0</v>
      </c>
      <c r="AE233" s="566">
        <v>0</v>
      </c>
      <c r="AF233" s="566">
        <v>0</v>
      </c>
      <c r="AG233" s="566">
        <v>0</v>
      </c>
      <c r="AH233" s="566">
        <v>0</v>
      </c>
      <c r="AI233" s="566">
        <v>0</v>
      </c>
      <c r="AJ233" s="566">
        <v>0</v>
      </c>
      <c r="AK233" s="567">
        <f>AVERAGE(AE233:AF233)</f>
        <v>0</v>
      </c>
      <c r="AL233" s="492"/>
      <c r="AM233" s="492"/>
      <c r="AN233" s="27"/>
      <c r="AO233" s="17"/>
      <c r="AP233" s="9"/>
      <c r="AQ233" s="9"/>
      <c r="AR233" s="9"/>
    </row>
    <row r="234" spans="1:44" customFormat="1" outlineLevel="1" x14ac:dyDescent="0.25">
      <c r="A234" s="7"/>
      <c r="B234" s="8"/>
      <c r="C234" s="18"/>
      <c r="D234" s="18"/>
      <c r="E234" s="18"/>
      <c r="F234" s="24"/>
      <c r="G234" s="25"/>
      <c r="H234" s="25" t="s">
        <v>3163</v>
      </c>
      <c r="I234" s="491"/>
      <c r="J234" s="566">
        <v>10</v>
      </c>
      <c r="K234" s="566">
        <v>10</v>
      </c>
      <c r="L234" s="566">
        <v>10</v>
      </c>
      <c r="M234" s="566">
        <v>10</v>
      </c>
      <c r="N234" s="566">
        <v>10</v>
      </c>
      <c r="O234" s="566">
        <v>10</v>
      </c>
      <c r="P234" s="566">
        <v>10</v>
      </c>
      <c r="Q234" s="566">
        <v>10</v>
      </c>
      <c r="R234" s="566">
        <v>10</v>
      </c>
      <c r="S234" s="566">
        <v>10</v>
      </c>
      <c r="T234" s="566">
        <v>10</v>
      </c>
      <c r="U234" s="566">
        <v>10</v>
      </c>
      <c r="V234" s="566">
        <v>10</v>
      </c>
      <c r="W234" s="566">
        <v>10</v>
      </c>
      <c r="X234" s="566">
        <v>10</v>
      </c>
      <c r="Y234" s="566">
        <v>10</v>
      </c>
      <c r="Z234" s="566">
        <v>10</v>
      </c>
      <c r="AA234" s="566">
        <v>10</v>
      </c>
      <c r="AB234" s="566">
        <v>10</v>
      </c>
      <c r="AC234" s="566">
        <v>10</v>
      </c>
      <c r="AD234" s="566">
        <v>12</v>
      </c>
      <c r="AE234" s="566">
        <v>12</v>
      </c>
      <c r="AF234" s="566">
        <v>12</v>
      </c>
      <c r="AG234" s="566">
        <v>12</v>
      </c>
      <c r="AH234" s="566">
        <v>12</v>
      </c>
      <c r="AI234" s="566">
        <v>12</v>
      </c>
      <c r="AJ234" s="566">
        <v>10</v>
      </c>
      <c r="AK234" s="567">
        <f>AVERAGE(AE234:AF234)</f>
        <v>12</v>
      </c>
      <c r="AL234" s="492"/>
      <c r="AM234" s="492"/>
      <c r="AN234" s="27"/>
      <c r="AO234" s="17"/>
      <c r="AP234" s="9"/>
      <c r="AQ234" s="9"/>
      <c r="AR234" s="9"/>
    </row>
    <row r="235" spans="1:44" customFormat="1" outlineLevel="1" x14ac:dyDescent="0.25">
      <c r="A235" s="7"/>
      <c r="B235" s="8"/>
      <c r="C235" s="18"/>
      <c r="D235" s="18"/>
      <c r="E235" s="18"/>
      <c r="F235" s="24"/>
      <c r="G235" s="25"/>
      <c r="H235" s="25"/>
      <c r="I235" s="491"/>
      <c r="J235" s="491"/>
      <c r="K235" s="491"/>
      <c r="L235" s="491"/>
      <c r="M235" s="491"/>
      <c r="N235" s="491"/>
      <c r="O235" s="491"/>
      <c r="P235" s="491"/>
      <c r="Q235" s="491"/>
      <c r="R235" s="491"/>
      <c r="S235" s="491"/>
      <c r="T235" s="491"/>
      <c r="U235" s="491"/>
      <c r="V235" s="491"/>
      <c r="W235" s="491"/>
      <c r="X235" s="491"/>
      <c r="Y235" s="491"/>
      <c r="Z235" s="491"/>
      <c r="AA235" s="491"/>
      <c r="AB235" s="491"/>
      <c r="AC235" s="491"/>
      <c r="AD235" s="491"/>
      <c r="AE235" s="491"/>
      <c r="AF235" s="491"/>
      <c r="AG235" s="491"/>
      <c r="AH235" s="491"/>
      <c r="AI235" s="491"/>
      <c r="AJ235" s="491"/>
      <c r="AK235" s="491"/>
      <c r="AL235" s="492"/>
      <c r="AM235" s="492"/>
      <c r="AN235" s="27"/>
      <c r="AO235" s="17"/>
      <c r="AP235" s="9"/>
      <c r="AQ235" s="9"/>
      <c r="AR235" s="9"/>
    </row>
    <row r="236" spans="1:44" customFormat="1" outlineLevel="1" x14ac:dyDescent="0.25">
      <c r="A236" s="7"/>
      <c r="B236" s="8"/>
      <c r="C236" s="18"/>
      <c r="D236" s="18"/>
      <c r="E236" s="18"/>
      <c r="F236" s="24"/>
      <c r="G236" s="25"/>
      <c r="H236" s="25" t="s">
        <v>3164</v>
      </c>
      <c r="I236" s="491"/>
      <c r="J236" s="566" t="b">
        <v>1</v>
      </c>
      <c r="K236" s="566" t="b">
        <v>1</v>
      </c>
      <c r="L236" s="566" t="b">
        <v>1</v>
      </c>
      <c r="M236" s="566" t="b">
        <v>1</v>
      </c>
      <c r="N236" s="566" t="b">
        <v>1</v>
      </c>
      <c r="O236" s="566" t="b">
        <v>1</v>
      </c>
      <c r="P236" s="566" t="b">
        <v>1</v>
      </c>
      <c r="Q236" s="566" t="b">
        <v>1</v>
      </c>
      <c r="R236" s="566" t="b">
        <v>1</v>
      </c>
      <c r="S236" s="566" t="b">
        <v>1</v>
      </c>
      <c r="T236" s="566" t="b">
        <v>1</v>
      </c>
      <c r="U236" s="566" t="b">
        <v>1</v>
      </c>
      <c r="V236" s="566" t="b">
        <v>1</v>
      </c>
      <c r="W236" s="566" t="b">
        <v>1</v>
      </c>
      <c r="X236" s="566" t="b">
        <v>1</v>
      </c>
      <c r="Y236" s="566" t="b">
        <v>1</v>
      </c>
      <c r="Z236" s="566" t="b">
        <v>1</v>
      </c>
      <c r="AA236" s="566" t="b">
        <v>1</v>
      </c>
      <c r="AB236" s="566" t="b">
        <v>1</v>
      </c>
      <c r="AC236" s="566" t="b">
        <v>1</v>
      </c>
      <c r="AD236" s="566" t="b">
        <v>1</v>
      </c>
      <c r="AE236" s="566" t="b">
        <v>1</v>
      </c>
      <c r="AF236" s="566" t="b">
        <v>1</v>
      </c>
      <c r="AG236" s="566" t="b">
        <v>1</v>
      </c>
      <c r="AH236" s="566" t="b">
        <v>1</v>
      </c>
      <c r="AI236" s="566" t="b">
        <v>1</v>
      </c>
      <c r="AJ236" s="566" t="b">
        <v>1</v>
      </c>
      <c r="AK236" s="566" t="b">
        <v>1</v>
      </c>
      <c r="AL236" s="492"/>
      <c r="AM236" s="492"/>
      <c r="AN236" s="27"/>
      <c r="AO236" s="17"/>
      <c r="AP236" s="9"/>
      <c r="AQ236" s="9"/>
      <c r="AR236" s="9"/>
    </row>
    <row r="237" spans="1:44" customFormat="1" outlineLevel="1" x14ac:dyDescent="0.25">
      <c r="A237" s="7"/>
      <c r="B237" s="8"/>
      <c r="C237" s="18"/>
      <c r="D237" s="18"/>
      <c r="E237" s="18"/>
      <c r="F237" s="24"/>
      <c r="G237" s="25"/>
      <c r="H237" s="25" t="s">
        <v>3165</v>
      </c>
      <c r="I237" s="491"/>
      <c r="J237" s="567" t="b">
        <f>NOT(J236)</f>
        <v>0</v>
      </c>
      <c r="K237" s="567" t="b">
        <f t="shared" ref="K237:AI237" si="19">NOT(K236)</f>
        <v>0</v>
      </c>
      <c r="L237" s="567" t="b">
        <f t="shared" si="19"/>
        <v>0</v>
      </c>
      <c r="M237" s="567" t="b">
        <f t="shared" si="19"/>
        <v>0</v>
      </c>
      <c r="N237" s="567" t="b">
        <f t="shared" si="19"/>
        <v>0</v>
      </c>
      <c r="O237" s="567" t="b">
        <f t="shared" si="19"/>
        <v>0</v>
      </c>
      <c r="P237" s="567" t="b">
        <f t="shared" si="19"/>
        <v>0</v>
      </c>
      <c r="Q237" s="567" t="b">
        <f t="shared" si="19"/>
        <v>0</v>
      </c>
      <c r="R237" s="567" t="b">
        <f t="shared" si="19"/>
        <v>0</v>
      </c>
      <c r="S237" s="567" t="b">
        <f t="shared" si="19"/>
        <v>0</v>
      </c>
      <c r="T237" s="567" t="b">
        <f t="shared" si="19"/>
        <v>0</v>
      </c>
      <c r="U237" s="567" t="b">
        <f t="shared" si="19"/>
        <v>0</v>
      </c>
      <c r="V237" s="567" t="b">
        <f t="shared" si="19"/>
        <v>0</v>
      </c>
      <c r="W237" s="567" t="b">
        <f t="shared" si="19"/>
        <v>0</v>
      </c>
      <c r="X237" s="567" t="b">
        <f t="shared" si="19"/>
        <v>0</v>
      </c>
      <c r="Y237" s="567" t="b">
        <f t="shared" si="19"/>
        <v>0</v>
      </c>
      <c r="Z237" s="567" t="b">
        <f t="shared" si="19"/>
        <v>0</v>
      </c>
      <c r="AA237" s="567" t="b">
        <f t="shared" si="19"/>
        <v>0</v>
      </c>
      <c r="AB237" s="567" t="b">
        <f t="shared" si="19"/>
        <v>0</v>
      </c>
      <c r="AC237" s="567" t="b">
        <f t="shared" si="19"/>
        <v>0</v>
      </c>
      <c r="AD237" s="567" t="b">
        <f t="shared" si="19"/>
        <v>0</v>
      </c>
      <c r="AE237" s="567" t="b">
        <f t="shared" si="19"/>
        <v>0</v>
      </c>
      <c r="AF237" s="567" t="b">
        <f t="shared" si="19"/>
        <v>0</v>
      </c>
      <c r="AG237" s="567" t="b">
        <f t="shared" si="19"/>
        <v>0</v>
      </c>
      <c r="AH237" s="567" t="b">
        <f t="shared" si="19"/>
        <v>0</v>
      </c>
      <c r="AI237" s="567" t="b">
        <f t="shared" si="19"/>
        <v>0</v>
      </c>
      <c r="AJ237" s="567" t="b">
        <f>NOT(AJ236)</f>
        <v>0</v>
      </c>
      <c r="AK237" s="567" t="b">
        <f t="shared" ref="AK237" si="20">NOT(AK236)</f>
        <v>0</v>
      </c>
      <c r="AL237" s="492"/>
      <c r="AM237" s="492"/>
      <c r="AN237" s="27"/>
      <c r="AO237" s="17"/>
      <c r="AP237" s="9"/>
      <c r="AQ237" s="9"/>
      <c r="AR237" s="9"/>
    </row>
    <row r="238" spans="1:44" customFormat="1" outlineLevel="1" x14ac:dyDescent="0.25">
      <c r="A238" s="7"/>
      <c r="B238" s="8"/>
      <c r="C238" s="18"/>
      <c r="D238" s="18"/>
      <c r="E238" s="18"/>
      <c r="F238" s="24"/>
      <c r="G238" s="25"/>
      <c r="H238" s="25"/>
      <c r="I238" s="491"/>
      <c r="J238" s="491"/>
      <c r="K238" s="491"/>
      <c r="L238" s="491"/>
      <c r="M238" s="491"/>
      <c r="N238" s="491"/>
      <c r="O238" s="491"/>
      <c r="P238" s="491"/>
      <c r="Q238" s="491"/>
      <c r="R238" s="491"/>
      <c r="S238" s="491"/>
      <c r="T238" s="491"/>
      <c r="U238" s="491"/>
      <c r="V238" s="491"/>
      <c r="W238" s="491"/>
      <c r="X238" s="491"/>
      <c r="Y238" s="491"/>
      <c r="Z238" s="491"/>
      <c r="AA238" s="491"/>
      <c r="AB238" s="491"/>
      <c r="AC238" s="491"/>
      <c r="AD238" s="491"/>
      <c r="AE238" s="491"/>
      <c r="AF238" s="491"/>
      <c r="AG238" s="491"/>
      <c r="AH238" s="491"/>
      <c r="AI238" s="491"/>
      <c r="AJ238" s="491"/>
      <c r="AK238" s="491"/>
      <c r="AL238" s="492"/>
      <c r="AM238" s="492"/>
      <c r="AN238" s="27"/>
      <c r="AO238" s="17"/>
      <c r="AP238" s="9"/>
      <c r="AQ238" s="9"/>
      <c r="AR238" s="9"/>
    </row>
    <row r="239" spans="1:44" customFormat="1" outlineLevel="1" x14ac:dyDescent="0.25">
      <c r="A239" s="7"/>
      <c r="B239" s="8"/>
      <c r="C239" s="18"/>
      <c r="D239" s="18"/>
      <c r="E239" s="18"/>
      <c r="F239" s="24"/>
      <c r="G239" s="25"/>
      <c r="H239" s="25" t="s">
        <v>3166</v>
      </c>
      <c r="I239" s="16" t="s">
        <v>3167</v>
      </c>
      <c r="J239" s="556">
        <v>1</v>
      </c>
      <c r="K239" s="556">
        <v>1</v>
      </c>
      <c r="L239" s="556">
        <v>1</v>
      </c>
      <c r="M239" s="556">
        <v>1</v>
      </c>
      <c r="N239" s="556">
        <v>1</v>
      </c>
      <c r="O239" s="556">
        <v>1</v>
      </c>
      <c r="P239" s="556">
        <v>1</v>
      </c>
      <c r="Q239" s="556">
        <v>1</v>
      </c>
      <c r="R239" s="556">
        <v>1</v>
      </c>
      <c r="S239" s="556">
        <v>1</v>
      </c>
      <c r="T239" s="556">
        <v>1</v>
      </c>
      <c r="U239" s="556">
        <v>1</v>
      </c>
      <c r="V239" s="556">
        <v>1</v>
      </c>
      <c r="W239" s="556">
        <v>1</v>
      </c>
      <c r="X239" s="556">
        <v>1</v>
      </c>
      <c r="Y239" s="556">
        <v>1</v>
      </c>
      <c r="Z239" s="556">
        <v>1</v>
      </c>
      <c r="AA239" s="556">
        <v>1</v>
      </c>
      <c r="AB239" s="556">
        <v>1</v>
      </c>
      <c r="AC239" s="556">
        <v>1</v>
      </c>
      <c r="AD239" s="556">
        <v>1</v>
      </c>
      <c r="AE239" s="556">
        <v>1</v>
      </c>
      <c r="AF239" s="556">
        <v>1</v>
      </c>
      <c r="AG239" s="556">
        <v>1</v>
      </c>
      <c r="AH239" s="556">
        <v>1</v>
      </c>
      <c r="AI239" s="556">
        <v>1</v>
      </c>
      <c r="AJ239" s="556">
        <v>1</v>
      </c>
      <c r="AK239" s="556">
        <v>1</v>
      </c>
      <c r="AL239" s="492"/>
      <c r="AM239" s="492"/>
      <c r="AN239" s="27"/>
      <c r="AO239" s="17"/>
      <c r="AP239" s="9"/>
      <c r="AQ239" s="9"/>
      <c r="AR239" s="9"/>
    </row>
    <row r="240" spans="1:44" customFormat="1" outlineLevel="1" x14ac:dyDescent="0.25">
      <c r="A240" s="7"/>
      <c r="B240" s="8"/>
      <c r="C240" s="18"/>
      <c r="D240" s="18"/>
      <c r="E240" s="18"/>
      <c r="F240" s="24"/>
      <c r="G240" s="25"/>
      <c r="H240" s="25"/>
      <c r="I240" s="568" t="s">
        <v>3168</v>
      </c>
      <c r="J240" s="556">
        <v>0</v>
      </c>
      <c r="K240" s="556">
        <v>0</v>
      </c>
      <c r="L240" s="556">
        <v>0</v>
      </c>
      <c r="M240" s="556">
        <v>0</v>
      </c>
      <c r="N240" s="556">
        <v>0</v>
      </c>
      <c r="O240" s="556">
        <v>0</v>
      </c>
      <c r="P240" s="556">
        <v>0</v>
      </c>
      <c r="Q240" s="556">
        <v>0</v>
      </c>
      <c r="R240" s="556">
        <v>0</v>
      </c>
      <c r="S240" s="556">
        <v>0</v>
      </c>
      <c r="T240" s="556">
        <v>0</v>
      </c>
      <c r="U240" s="556">
        <v>0</v>
      </c>
      <c r="V240" s="556">
        <v>0</v>
      </c>
      <c r="W240" s="556">
        <v>0</v>
      </c>
      <c r="X240" s="556">
        <v>0</v>
      </c>
      <c r="Y240" s="556">
        <v>0</v>
      </c>
      <c r="Z240" s="556">
        <v>0</v>
      </c>
      <c r="AA240" s="556">
        <v>0</v>
      </c>
      <c r="AB240" s="556">
        <v>0</v>
      </c>
      <c r="AC240" s="556">
        <v>0</v>
      </c>
      <c r="AD240" s="556">
        <v>0</v>
      </c>
      <c r="AE240" s="556">
        <v>0</v>
      </c>
      <c r="AF240" s="556">
        <v>0</v>
      </c>
      <c r="AG240" s="556">
        <v>0</v>
      </c>
      <c r="AH240" s="556">
        <v>0</v>
      </c>
      <c r="AI240" s="556">
        <v>0</v>
      </c>
      <c r="AJ240" s="556">
        <v>0</v>
      </c>
      <c r="AK240" s="556">
        <v>0</v>
      </c>
      <c r="AL240" s="492"/>
      <c r="AM240" s="492"/>
      <c r="AN240" s="27"/>
      <c r="AO240" s="17"/>
      <c r="AP240" s="9"/>
      <c r="AQ240" s="9"/>
      <c r="AR240" s="9"/>
    </row>
    <row r="241" spans="1:44" customFormat="1" outlineLevel="1" x14ac:dyDescent="0.25">
      <c r="A241" s="7"/>
      <c r="B241" s="8"/>
      <c r="C241" s="18"/>
      <c r="D241" s="18"/>
      <c r="E241" s="18"/>
      <c r="F241" s="24"/>
      <c r="G241" s="25"/>
      <c r="H241" s="25"/>
      <c r="I241" s="568" t="s">
        <v>3169</v>
      </c>
      <c r="J241" s="556">
        <v>0</v>
      </c>
      <c r="K241" s="556">
        <v>0</v>
      </c>
      <c r="L241" s="556">
        <v>0</v>
      </c>
      <c r="M241" s="556">
        <v>0</v>
      </c>
      <c r="N241" s="556">
        <v>0</v>
      </c>
      <c r="O241" s="556">
        <v>0</v>
      </c>
      <c r="P241" s="556">
        <v>0</v>
      </c>
      <c r="Q241" s="556">
        <v>0</v>
      </c>
      <c r="R241" s="556">
        <v>0</v>
      </c>
      <c r="S241" s="556">
        <v>0</v>
      </c>
      <c r="T241" s="556">
        <v>0</v>
      </c>
      <c r="U241" s="556">
        <v>0</v>
      </c>
      <c r="V241" s="556">
        <v>0</v>
      </c>
      <c r="W241" s="556">
        <v>0</v>
      </c>
      <c r="X241" s="556">
        <v>0</v>
      </c>
      <c r="Y241" s="556">
        <v>0</v>
      </c>
      <c r="Z241" s="556">
        <v>0</v>
      </c>
      <c r="AA241" s="556">
        <v>0</v>
      </c>
      <c r="AB241" s="556">
        <v>0</v>
      </c>
      <c r="AC241" s="556">
        <v>0</v>
      </c>
      <c r="AD241" s="556">
        <v>0</v>
      </c>
      <c r="AE241" s="556">
        <v>0</v>
      </c>
      <c r="AF241" s="556">
        <v>0</v>
      </c>
      <c r="AG241" s="556">
        <v>0</v>
      </c>
      <c r="AH241" s="556">
        <v>0</v>
      </c>
      <c r="AI241" s="556">
        <v>0</v>
      </c>
      <c r="AJ241" s="556">
        <v>0</v>
      </c>
      <c r="AK241" s="556">
        <v>0</v>
      </c>
      <c r="AL241" s="492"/>
      <c r="AM241" s="492"/>
      <c r="AN241" s="27"/>
      <c r="AO241" s="17"/>
      <c r="AP241" s="9"/>
      <c r="AQ241" s="9"/>
      <c r="AR241" s="9"/>
    </row>
    <row r="242" spans="1:44" customFormat="1" outlineLevel="1" x14ac:dyDescent="0.25">
      <c r="A242" s="7"/>
      <c r="B242" s="8"/>
      <c r="C242" s="18"/>
      <c r="D242" s="18"/>
      <c r="E242" s="18"/>
      <c r="F242" s="24"/>
      <c r="G242" s="25"/>
      <c r="H242" s="25"/>
      <c r="I242" s="568" t="s">
        <v>3170</v>
      </c>
      <c r="J242" s="556">
        <v>0</v>
      </c>
      <c r="K242" s="556">
        <v>0</v>
      </c>
      <c r="L242" s="556">
        <v>0</v>
      </c>
      <c r="M242" s="556">
        <v>0</v>
      </c>
      <c r="N242" s="556">
        <v>0</v>
      </c>
      <c r="O242" s="556">
        <v>0</v>
      </c>
      <c r="P242" s="556">
        <v>0</v>
      </c>
      <c r="Q242" s="556">
        <v>0</v>
      </c>
      <c r="R242" s="556">
        <v>0</v>
      </c>
      <c r="S242" s="556">
        <v>0</v>
      </c>
      <c r="T242" s="556">
        <v>0</v>
      </c>
      <c r="U242" s="556">
        <v>0</v>
      </c>
      <c r="V242" s="556">
        <v>0</v>
      </c>
      <c r="W242" s="556">
        <v>0</v>
      </c>
      <c r="X242" s="556">
        <v>0</v>
      </c>
      <c r="Y242" s="556">
        <v>0</v>
      </c>
      <c r="Z242" s="556">
        <v>0</v>
      </c>
      <c r="AA242" s="556">
        <v>0</v>
      </c>
      <c r="AB242" s="556">
        <v>0</v>
      </c>
      <c r="AC242" s="556">
        <v>0</v>
      </c>
      <c r="AD242" s="556">
        <v>0</v>
      </c>
      <c r="AE242" s="556">
        <v>0</v>
      </c>
      <c r="AF242" s="556">
        <v>0</v>
      </c>
      <c r="AG242" s="556">
        <v>0</v>
      </c>
      <c r="AH242" s="556">
        <v>0</v>
      </c>
      <c r="AI242" s="556">
        <v>0</v>
      </c>
      <c r="AJ242" s="556">
        <v>0</v>
      </c>
      <c r="AK242" s="556">
        <v>0</v>
      </c>
      <c r="AL242" s="492"/>
      <c r="AM242" s="492"/>
      <c r="AN242" s="27"/>
      <c r="AO242" s="17"/>
      <c r="AP242" s="9"/>
      <c r="AQ242" s="9"/>
      <c r="AR242" s="9"/>
    </row>
    <row r="243" spans="1:44" customFormat="1" outlineLevel="1" x14ac:dyDescent="0.25">
      <c r="A243" s="7"/>
      <c r="B243" s="8"/>
      <c r="C243" s="18"/>
      <c r="D243" s="18"/>
      <c r="E243" s="18"/>
      <c r="F243" s="24"/>
      <c r="G243" s="25"/>
      <c r="H243" s="25"/>
      <c r="I243" s="568" t="s">
        <v>3171</v>
      </c>
      <c r="J243" s="556">
        <v>0</v>
      </c>
      <c r="K243" s="556">
        <v>0</v>
      </c>
      <c r="L243" s="556">
        <v>0</v>
      </c>
      <c r="M243" s="556">
        <v>0</v>
      </c>
      <c r="N243" s="556">
        <v>0</v>
      </c>
      <c r="O243" s="556">
        <v>0</v>
      </c>
      <c r="P243" s="556">
        <v>0</v>
      </c>
      <c r="Q243" s="556">
        <v>0</v>
      </c>
      <c r="R243" s="556">
        <v>0</v>
      </c>
      <c r="S243" s="556">
        <v>0</v>
      </c>
      <c r="T243" s="556">
        <v>0</v>
      </c>
      <c r="U243" s="556">
        <v>0</v>
      </c>
      <c r="V243" s="556">
        <v>0</v>
      </c>
      <c r="W243" s="556">
        <v>0</v>
      </c>
      <c r="X243" s="556">
        <v>0</v>
      </c>
      <c r="Y243" s="556">
        <v>0</v>
      </c>
      <c r="Z243" s="556">
        <v>0</v>
      </c>
      <c r="AA243" s="556">
        <v>0</v>
      </c>
      <c r="AB243" s="556">
        <v>0</v>
      </c>
      <c r="AC243" s="556">
        <v>0</v>
      </c>
      <c r="AD243" s="556">
        <v>0</v>
      </c>
      <c r="AE243" s="556">
        <v>0</v>
      </c>
      <c r="AF243" s="556">
        <v>0</v>
      </c>
      <c r="AG243" s="556">
        <v>0</v>
      </c>
      <c r="AH243" s="556">
        <v>0</v>
      </c>
      <c r="AI243" s="556">
        <v>0</v>
      </c>
      <c r="AJ243" s="556">
        <v>0</v>
      </c>
      <c r="AK243" s="556">
        <v>0</v>
      </c>
      <c r="AL243" s="492"/>
      <c r="AM243" s="492"/>
      <c r="AN243" s="27"/>
      <c r="AO243" s="17"/>
      <c r="AP243" s="9"/>
      <c r="AQ243" s="9"/>
      <c r="AR243" s="9"/>
    </row>
    <row r="244" spans="1:44" customFormat="1" outlineLevel="1" x14ac:dyDescent="0.25">
      <c r="A244" s="7"/>
      <c r="B244" s="8"/>
      <c r="C244" s="18"/>
      <c r="D244" s="18"/>
      <c r="E244" s="18"/>
      <c r="F244" s="24"/>
      <c r="G244" s="25"/>
      <c r="H244" s="25"/>
      <c r="I244" s="568" t="s">
        <v>3172</v>
      </c>
      <c r="J244" s="556">
        <v>0</v>
      </c>
      <c r="K244" s="556">
        <v>0</v>
      </c>
      <c r="L244" s="556">
        <v>0</v>
      </c>
      <c r="M244" s="556">
        <v>0</v>
      </c>
      <c r="N244" s="556">
        <v>0</v>
      </c>
      <c r="O244" s="556">
        <v>0</v>
      </c>
      <c r="P244" s="556">
        <v>0</v>
      </c>
      <c r="Q244" s="556">
        <v>0</v>
      </c>
      <c r="R244" s="556">
        <v>0</v>
      </c>
      <c r="S244" s="556">
        <v>0</v>
      </c>
      <c r="T244" s="556">
        <v>0</v>
      </c>
      <c r="U244" s="556">
        <v>0</v>
      </c>
      <c r="V244" s="556">
        <v>0</v>
      </c>
      <c r="W244" s="556">
        <v>0</v>
      </c>
      <c r="X244" s="556">
        <v>0</v>
      </c>
      <c r="Y244" s="556">
        <v>0</v>
      </c>
      <c r="Z244" s="556">
        <v>0</v>
      </c>
      <c r="AA244" s="556">
        <v>0</v>
      </c>
      <c r="AB244" s="556">
        <v>0</v>
      </c>
      <c r="AC244" s="556">
        <v>0</v>
      </c>
      <c r="AD244" s="556">
        <v>0</v>
      </c>
      <c r="AE244" s="556">
        <v>0</v>
      </c>
      <c r="AF244" s="556">
        <v>0</v>
      </c>
      <c r="AG244" s="556">
        <v>0</v>
      </c>
      <c r="AH244" s="556">
        <v>0</v>
      </c>
      <c r="AI244" s="556">
        <v>0</v>
      </c>
      <c r="AJ244" s="556">
        <v>0</v>
      </c>
      <c r="AK244" s="556">
        <v>0</v>
      </c>
      <c r="AL244" s="492"/>
      <c r="AM244" s="492"/>
      <c r="AN244" s="27"/>
      <c r="AO244" s="17"/>
      <c r="AP244" s="9"/>
      <c r="AQ244" s="9"/>
      <c r="AR244" s="9"/>
    </row>
    <row r="245" spans="1:44" customFormat="1" outlineLevel="1" x14ac:dyDescent="0.25">
      <c r="A245" s="7"/>
      <c r="B245" s="8"/>
      <c r="C245" s="18"/>
      <c r="D245" s="18"/>
      <c r="E245" s="18"/>
      <c r="F245" s="24"/>
      <c r="G245" s="25"/>
      <c r="H245" s="25"/>
      <c r="I245" s="568" t="s">
        <v>3173</v>
      </c>
      <c r="J245" s="556">
        <v>0</v>
      </c>
      <c r="K245" s="556">
        <v>0</v>
      </c>
      <c r="L245" s="556">
        <v>0</v>
      </c>
      <c r="M245" s="556">
        <v>0</v>
      </c>
      <c r="N245" s="556">
        <v>0</v>
      </c>
      <c r="O245" s="556">
        <v>0</v>
      </c>
      <c r="P245" s="556">
        <v>0</v>
      </c>
      <c r="Q245" s="556">
        <v>0</v>
      </c>
      <c r="R245" s="556">
        <v>0</v>
      </c>
      <c r="S245" s="556">
        <v>0</v>
      </c>
      <c r="T245" s="556">
        <v>0</v>
      </c>
      <c r="U245" s="556">
        <v>0</v>
      </c>
      <c r="V245" s="556">
        <v>0</v>
      </c>
      <c r="W245" s="556">
        <v>0</v>
      </c>
      <c r="X245" s="556">
        <v>0</v>
      </c>
      <c r="Y245" s="556">
        <v>0</v>
      </c>
      <c r="Z245" s="556">
        <v>0</v>
      </c>
      <c r="AA245" s="556">
        <v>0</v>
      </c>
      <c r="AB245" s="556">
        <v>0</v>
      </c>
      <c r="AC245" s="556">
        <v>0</v>
      </c>
      <c r="AD245" s="556">
        <v>0</v>
      </c>
      <c r="AE245" s="556">
        <v>0</v>
      </c>
      <c r="AF245" s="556">
        <v>0</v>
      </c>
      <c r="AG245" s="556">
        <v>0</v>
      </c>
      <c r="AH245" s="556">
        <v>0</v>
      </c>
      <c r="AI245" s="556">
        <v>0</v>
      </c>
      <c r="AJ245" s="556">
        <v>0</v>
      </c>
      <c r="AK245" s="556">
        <v>0</v>
      </c>
      <c r="AL245" s="492"/>
      <c r="AM245" s="492"/>
      <c r="AN245" s="27"/>
      <c r="AO245" s="17"/>
      <c r="AP245" s="9"/>
      <c r="AQ245" s="9"/>
      <c r="AR245" s="9"/>
    </row>
    <row r="246" spans="1:44" customFormat="1" outlineLevel="1" x14ac:dyDescent="0.25">
      <c r="A246" s="7"/>
      <c r="B246" s="8"/>
      <c r="C246" s="18"/>
      <c r="D246" s="18"/>
      <c r="E246" s="18"/>
      <c r="F246" s="24"/>
      <c r="G246" s="25"/>
      <c r="H246" s="25"/>
      <c r="I246" s="568" t="s">
        <v>3174</v>
      </c>
      <c r="J246" s="556">
        <v>0</v>
      </c>
      <c r="K246" s="556">
        <v>0</v>
      </c>
      <c r="L246" s="556">
        <v>0</v>
      </c>
      <c r="M246" s="556">
        <v>0</v>
      </c>
      <c r="N246" s="556">
        <v>0</v>
      </c>
      <c r="O246" s="556">
        <v>0</v>
      </c>
      <c r="P246" s="556">
        <v>0</v>
      </c>
      <c r="Q246" s="556">
        <v>0</v>
      </c>
      <c r="R246" s="556">
        <v>0</v>
      </c>
      <c r="S246" s="556">
        <v>0</v>
      </c>
      <c r="T246" s="556">
        <v>0</v>
      </c>
      <c r="U246" s="556">
        <v>0</v>
      </c>
      <c r="V246" s="556">
        <v>0</v>
      </c>
      <c r="W246" s="556">
        <v>0</v>
      </c>
      <c r="X246" s="556">
        <v>0</v>
      </c>
      <c r="Y246" s="556">
        <v>0</v>
      </c>
      <c r="Z246" s="556">
        <v>0</v>
      </c>
      <c r="AA246" s="556">
        <v>0</v>
      </c>
      <c r="AB246" s="556">
        <v>0</v>
      </c>
      <c r="AC246" s="556">
        <v>0</v>
      </c>
      <c r="AD246" s="556">
        <v>0</v>
      </c>
      <c r="AE246" s="556">
        <v>0</v>
      </c>
      <c r="AF246" s="556">
        <v>0</v>
      </c>
      <c r="AG246" s="556">
        <v>0</v>
      </c>
      <c r="AH246" s="556">
        <v>0</v>
      </c>
      <c r="AI246" s="556">
        <v>0</v>
      </c>
      <c r="AJ246" s="556">
        <v>0</v>
      </c>
      <c r="AK246" s="556">
        <v>0</v>
      </c>
      <c r="AL246" s="492"/>
      <c r="AM246" s="492"/>
      <c r="AN246" s="27"/>
      <c r="AO246" s="17"/>
      <c r="AP246" s="9"/>
      <c r="AQ246" s="9"/>
      <c r="AR246" s="9"/>
    </row>
    <row r="247" spans="1:44" customFormat="1" outlineLevel="1" x14ac:dyDescent="0.25">
      <c r="A247" s="7"/>
      <c r="B247" s="8"/>
      <c r="C247" s="18"/>
      <c r="D247" s="18"/>
      <c r="E247" s="18"/>
      <c r="F247" s="24"/>
      <c r="G247" s="25"/>
      <c r="H247" s="25"/>
      <c r="I247" s="568" t="s">
        <v>3175</v>
      </c>
      <c r="J247" s="556">
        <v>0</v>
      </c>
      <c r="K247" s="556">
        <v>0</v>
      </c>
      <c r="L247" s="556">
        <v>0</v>
      </c>
      <c r="M247" s="556">
        <v>0</v>
      </c>
      <c r="N247" s="556">
        <v>0</v>
      </c>
      <c r="O247" s="556">
        <v>0</v>
      </c>
      <c r="P247" s="556">
        <v>0</v>
      </c>
      <c r="Q247" s="556">
        <v>0</v>
      </c>
      <c r="R247" s="556">
        <v>0</v>
      </c>
      <c r="S247" s="556">
        <v>0</v>
      </c>
      <c r="T247" s="556">
        <v>0</v>
      </c>
      <c r="U247" s="556">
        <v>0</v>
      </c>
      <c r="V247" s="556">
        <v>0</v>
      </c>
      <c r="W247" s="556">
        <v>0</v>
      </c>
      <c r="X247" s="556">
        <v>0</v>
      </c>
      <c r="Y247" s="556">
        <v>0</v>
      </c>
      <c r="Z247" s="556">
        <v>0</v>
      </c>
      <c r="AA247" s="556">
        <v>0</v>
      </c>
      <c r="AB247" s="556">
        <v>0</v>
      </c>
      <c r="AC247" s="556">
        <v>0</v>
      </c>
      <c r="AD247" s="556">
        <v>0</v>
      </c>
      <c r="AE247" s="556">
        <v>0</v>
      </c>
      <c r="AF247" s="556">
        <v>0</v>
      </c>
      <c r="AG247" s="556">
        <v>0</v>
      </c>
      <c r="AH247" s="556">
        <v>0</v>
      </c>
      <c r="AI247" s="556">
        <v>0</v>
      </c>
      <c r="AJ247" s="556">
        <v>0</v>
      </c>
      <c r="AK247" s="556">
        <v>0</v>
      </c>
      <c r="AL247" s="492"/>
      <c r="AM247" s="492"/>
      <c r="AN247" s="27"/>
      <c r="AO247" s="17"/>
      <c r="AP247" s="9"/>
      <c r="AQ247" s="9"/>
      <c r="AR247" s="9"/>
    </row>
    <row r="248" spans="1:44" customFormat="1" outlineLevel="1" x14ac:dyDescent="0.25">
      <c r="A248" s="7"/>
      <c r="B248" s="8"/>
      <c r="C248" s="18"/>
      <c r="D248" s="18"/>
      <c r="E248" s="18"/>
      <c r="F248" s="24"/>
      <c r="G248" s="25"/>
      <c r="H248" s="25"/>
      <c r="I248" s="568" t="s">
        <v>3176</v>
      </c>
      <c r="J248" s="556">
        <v>0</v>
      </c>
      <c r="K248" s="556">
        <v>0</v>
      </c>
      <c r="L248" s="556">
        <v>0</v>
      </c>
      <c r="M248" s="556">
        <v>0</v>
      </c>
      <c r="N248" s="556">
        <v>0</v>
      </c>
      <c r="O248" s="556">
        <v>0</v>
      </c>
      <c r="P248" s="556">
        <v>0</v>
      </c>
      <c r="Q248" s="556">
        <v>0</v>
      </c>
      <c r="R248" s="556">
        <v>0</v>
      </c>
      <c r="S248" s="556">
        <v>0</v>
      </c>
      <c r="T248" s="556">
        <v>0</v>
      </c>
      <c r="U248" s="556">
        <v>0</v>
      </c>
      <c r="V248" s="556">
        <v>0</v>
      </c>
      <c r="W248" s="556">
        <v>0</v>
      </c>
      <c r="X248" s="556">
        <v>0</v>
      </c>
      <c r="Y248" s="556">
        <v>0</v>
      </c>
      <c r="Z248" s="556">
        <v>0</v>
      </c>
      <c r="AA248" s="556">
        <v>0</v>
      </c>
      <c r="AB248" s="556">
        <v>0</v>
      </c>
      <c r="AC248" s="556">
        <v>0</v>
      </c>
      <c r="AD248" s="556">
        <v>0</v>
      </c>
      <c r="AE248" s="556">
        <v>0</v>
      </c>
      <c r="AF248" s="556">
        <v>0</v>
      </c>
      <c r="AG248" s="556">
        <v>0</v>
      </c>
      <c r="AH248" s="556">
        <v>0</v>
      </c>
      <c r="AI248" s="556">
        <v>0</v>
      </c>
      <c r="AJ248" s="556">
        <v>0</v>
      </c>
      <c r="AK248" s="556">
        <v>0</v>
      </c>
      <c r="AL248" s="492"/>
      <c r="AM248" s="492"/>
      <c r="AN248" s="27"/>
      <c r="AO248" s="17"/>
      <c r="AP248" s="9"/>
      <c r="AQ248" s="9"/>
      <c r="AR248" s="9"/>
    </row>
    <row r="249" spans="1:44" customFormat="1" outlineLevel="1" x14ac:dyDescent="0.25">
      <c r="A249" s="7"/>
      <c r="B249" s="8"/>
      <c r="C249" s="18"/>
      <c r="D249" s="18"/>
      <c r="E249" s="18"/>
      <c r="F249" s="24"/>
      <c r="G249" s="25"/>
      <c r="H249" s="25"/>
      <c r="I249" s="568" t="s">
        <v>3177</v>
      </c>
      <c r="J249" s="556">
        <v>0</v>
      </c>
      <c r="K249" s="556">
        <v>0</v>
      </c>
      <c r="L249" s="556">
        <v>0</v>
      </c>
      <c r="M249" s="556">
        <v>0</v>
      </c>
      <c r="N249" s="556">
        <v>0</v>
      </c>
      <c r="O249" s="556">
        <v>0</v>
      </c>
      <c r="P249" s="556">
        <v>0</v>
      </c>
      <c r="Q249" s="556">
        <v>0</v>
      </c>
      <c r="R249" s="556">
        <v>0</v>
      </c>
      <c r="S249" s="556">
        <v>0</v>
      </c>
      <c r="T249" s="556">
        <v>0</v>
      </c>
      <c r="U249" s="556">
        <v>0</v>
      </c>
      <c r="V249" s="556">
        <v>0</v>
      </c>
      <c r="W249" s="556">
        <v>0</v>
      </c>
      <c r="X249" s="556">
        <v>0</v>
      </c>
      <c r="Y249" s="556">
        <v>0</v>
      </c>
      <c r="Z249" s="556">
        <v>0</v>
      </c>
      <c r="AA249" s="556">
        <v>0</v>
      </c>
      <c r="AB249" s="556">
        <v>0</v>
      </c>
      <c r="AC249" s="556">
        <v>0</v>
      </c>
      <c r="AD249" s="556">
        <v>0</v>
      </c>
      <c r="AE249" s="556">
        <v>0</v>
      </c>
      <c r="AF249" s="556">
        <v>0</v>
      </c>
      <c r="AG249" s="556">
        <v>0</v>
      </c>
      <c r="AH249" s="556">
        <v>0</v>
      </c>
      <c r="AI249" s="556">
        <v>0</v>
      </c>
      <c r="AJ249" s="556">
        <v>0</v>
      </c>
      <c r="AK249" s="556">
        <v>0</v>
      </c>
      <c r="AL249" s="492"/>
      <c r="AM249" s="492"/>
      <c r="AN249" s="27"/>
      <c r="AO249" s="17"/>
      <c r="AP249" s="9"/>
      <c r="AQ249" s="9"/>
      <c r="AR249" s="9"/>
    </row>
    <row r="250" spans="1:44" customFormat="1" outlineLevel="1" x14ac:dyDescent="0.25">
      <c r="A250" s="7"/>
      <c r="B250" s="8"/>
      <c r="C250" s="18"/>
      <c r="D250" s="18"/>
      <c r="E250" s="18"/>
      <c r="F250" s="24"/>
      <c r="G250" s="25"/>
      <c r="H250" s="25"/>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27"/>
      <c r="AO250" s="17"/>
      <c r="AP250" s="9"/>
      <c r="AQ250" s="9"/>
      <c r="AR250" s="9"/>
    </row>
    <row r="251" spans="1:44" customFormat="1" outlineLevel="1" x14ac:dyDescent="0.25">
      <c r="A251" s="7"/>
      <c r="B251" s="8"/>
      <c r="C251" s="18"/>
      <c r="D251" s="18"/>
      <c r="E251" s="18"/>
      <c r="F251" s="24"/>
      <c r="G251" s="25"/>
      <c r="H251" s="25" t="s">
        <v>3178</v>
      </c>
      <c r="I251" s="568" t="s">
        <v>3169</v>
      </c>
      <c r="J251" s="556">
        <v>0</v>
      </c>
      <c r="K251" s="556">
        <v>0</v>
      </c>
      <c r="L251" s="556">
        <v>0</v>
      </c>
      <c r="M251" s="556">
        <v>0</v>
      </c>
      <c r="N251" s="556">
        <v>0</v>
      </c>
      <c r="O251" s="556">
        <v>0</v>
      </c>
      <c r="P251" s="556">
        <v>0</v>
      </c>
      <c r="Q251" s="556">
        <v>0</v>
      </c>
      <c r="R251" s="556">
        <v>0</v>
      </c>
      <c r="S251" s="556">
        <v>0</v>
      </c>
      <c r="T251" s="556">
        <v>0</v>
      </c>
      <c r="U251" s="556">
        <v>0</v>
      </c>
      <c r="V251" s="556">
        <v>0</v>
      </c>
      <c r="W251" s="556">
        <v>0</v>
      </c>
      <c r="X251" s="556">
        <v>0</v>
      </c>
      <c r="Y251" s="556">
        <v>0</v>
      </c>
      <c r="Z251" s="556">
        <v>0</v>
      </c>
      <c r="AA251" s="556">
        <v>0</v>
      </c>
      <c r="AB251" s="556">
        <v>0</v>
      </c>
      <c r="AC251" s="556">
        <v>0</v>
      </c>
      <c r="AD251" s="556">
        <v>0.4</v>
      </c>
      <c r="AE251" s="556">
        <v>0.5</v>
      </c>
      <c r="AF251" s="556">
        <v>0.5</v>
      </c>
      <c r="AG251" s="556">
        <v>0.5</v>
      </c>
      <c r="AH251" s="556">
        <v>0.5</v>
      </c>
      <c r="AI251" s="556">
        <v>0.4</v>
      </c>
      <c r="AJ251" s="556">
        <v>0</v>
      </c>
      <c r="AK251" s="556">
        <v>0.4</v>
      </c>
      <c r="AL251" s="492"/>
      <c r="AM251" s="492"/>
      <c r="AN251" s="27"/>
      <c r="AO251" s="17"/>
      <c r="AP251" s="9"/>
      <c r="AQ251" s="9"/>
      <c r="AR251" s="9"/>
    </row>
    <row r="252" spans="1:44" customFormat="1" outlineLevel="1" x14ac:dyDescent="0.25">
      <c r="A252" s="7"/>
      <c r="B252" s="8"/>
      <c r="C252" s="18"/>
      <c r="D252" s="18"/>
      <c r="E252" s="18"/>
      <c r="F252" s="24"/>
      <c r="G252" s="25"/>
      <c r="H252" s="25"/>
      <c r="I252" s="568" t="s">
        <v>3170</v>
      </c>
      <c r="J252" s="556">
        <v>0</v>
      </c>
      <c r="K252" s="556">
        <v>0</v>
      </c>
      <c r="L252" s="556">
        <v>0</v>
      </c>
      <c r="M252" s="556">
        <v>0</v>
      </c>
      <c r="N252" s="556">
        <v>0</v>
      </c>
      <c r="O252" s="556">
        <v>0</v>
      </c>
      <c r="P252" s="556">
        <v>0</v>
      </c>
      <c r="Q252" s="556">
        <v>0</v>
      </c>
      <c r="R252" s="556">
        <v>0</v>
      </c>
      <c r="S252" s="556">
        <v>0</v>
      </c>
      <c r="T252" s="556">
        <v>0</v>
      </c>
      <c r="U252" s="556">
        <v>0</v>
      </c>
      <c r="V252" s="556">
        <v>0</v>
      </c>
      <c r="W252" s="556">
        <v>0</v>
      </c>
      <c r="X252" s="556">
        <v>0</v>
      </c>
      <c r="Y252" s="556">
        <v>0</v>
      </c>
      <c r="Z252" s="556">
        <v>0</v>
      </c>
      <c r="AA252" s="556">
        <v>0</v>
      </c>
      <c r="AB252" s="556">
        <v>0</v>
      </c>
      <c r="AC252" s="556">
        <v>0</v>
      </c>
      <c r="AD252" s="556">
        <v>0.5</v>
      </c>
      <c r="AE252" s="556">
        <v>0.4</v>
      </c>
      <c r="AF252" s="556">
        <v>0.4</v>
      </c>
      <c r="AG252" s="556">
        <v>0.4</v>
      </c>
      <c r="AH252" s="556">
        <v>0.4</v>
      </c>
      <c r="AI252" s="556">
        <v>0.5</v>
      </c>
      <c r="AJ252" s="556">
        <v>0</v>
      </c>
      <c r="AK252" s="556">
        <v>0.5</v>
      </c>
      <c r="AL252" s="492"/>
      <c r="AM252" s="492"/>
      <c r="AN252" s="27"/>
      <c r="AO252" s="17"/>
      <c r="AP252" s="9"/>
      <c r="AQ252" s="9"/>
      <c r="AR252" s="9"/>
    </row>
    <row r="253" spans="1:44" customFormat="1" outlineLevel="1" x14ac:dyDescent="0.25">
      <c r="A253" s="7"/>
      <c r="B253" s="8"/>
      <c r="C253" s="18"/>
      <c r="D253" s="18"/>
      <c r="E253" s="18"/>
      <c r="F253" s="24"/>
      <c r="G253" s="25"/>
      <c r="H253" s="25"/>
      <c r="I253" s="568" t="s">
        <v>3171</v>
      </c>
      <c r="J253" s="556">
        <v>0</v>
      </c>
      <c r="K253" s="556">
        <v>0</v>
      </c>
      <c r="L253" s="556">
        <v>0</v>
      </c>
      <c r="M253" s="556">
        <v>0</v>
      </c>
      <c r="N253" s="556">
        <v>0</v>
      </c>
      <c r="O253" s="556">
        <v>0</v>
      </c>
      <c r="P253" s="556">
        <v>0</v>
      </c>
      <c r="Q253" s="556">
        <v>0</v>
      </c>
      <c r="R253" s="556">
        <v>0</v>
      </c>
      <c r="S253" s="556">
        <v>0</v>
      </c>
      <c r="T253" s="556">
        <v>0</v>
      </c>
      <c r="U253" s="556">
        <v>0</v>
      </c>
      <c r="V253" s="556">
        <v>0</v>
      </c>
      <c r="W253" s="556">
        <v>0</v>
      </c>
      <c r="X253" s="556">
        <v>0</v>
      </c>
      <c r="Y253" s="556">
        <v>0</v>
      </c>
      <c r="Z253" s="556">
        <v>0</v>
      </c>
      <c r="AA253" s="556">
        <v>0</v>
      </c>
      <c r="AB253" s="556">
        <v>0</v>
      </c>
      <c r="AC253" s="556">
        <v>0</v>
      </c>
      <c r="AD253" s="556">
        <v>0</v>
      </c>
      <c r="AE253" s="556">
        <v>0</v>
      </c>
      <c r="AF253" s="556">
        <v>0</v>
      </c>
      <c r="AG253" s="556">
        <v>0</v>
      </c>
      <c r="AH253" s="556">
        <v>0</v>
      </c>
      <c r="AI253" s="556">
        <v>0</v>
      </c>
      <c r="AJ253" s="556">
        <v>0</v>
      </c>
      <c r="AK253" s="556">
        <v>0</v>
      </c>
      <c r="AL253" s="492"/>
      <c r="AM253" s="492"/>
      <c r="AN253" s="27"/>
      <c r="AO253" s="17"/>
      <c r="AP253" s="9"/>
      <c r="AQ253" s="9"/>
      <c r="AR253" s="9"/>
    </row>
    <row r="254" spans="1:44" customFormat="1" outlineLevel="1" x14ac:dyDescent="0.25">
      <c r="A254" s="7"/>
      <c r="B254" s="8"/>
      <c r="C254" s="18"/>
      <c r="D254" s="18"/>
      <c r="E254" s="18"/>
      <c r="F254" s="24"/>
      <c r="G254" s="25"/>
      <c r="H254" s="25"/>
      <c r="I254" s="568" t="s">
        <v>3172</v>
      </c>
      <c r="J254" s="556">
        <v>0</v>
      </c>
      <c r="K254" s="556">
        <v>0</v>
      </c>
      <c r="L254" s="556">
        <v>0</v>
      </c>
      <c r="M254" s="556">
        <v>0</v>
      </c>
      <c r="N254" s="556">
        <v>0</v>
      </c>
      <c r="O254" s="556">
        <v>0</v>
      </c>
      <c r="P254" s="556">
        <v>0</v>
      </c>
      <c r="Q254" s="556">
        <v>0</v>
      </c>
      <c r="R254" s="556">
        <v>0</v>
      </c>
      <c r="S254" s="556">
        <v>0</v>
      </c>
      <c r="T254" s="556">
        <v>0</v>
      </c>
      <c r="U254" s="556">
        <v>0</v>
      </c>
      <c r="V254" s="556">
        <v>0</v>
      </c>
      <c r="W254" s="556">
        <v>0</v>
      </c>
      <c r="X254" s="556">
        <v>0</v>
      </c>
      <c r="Y254" s="556">
        <v>0</v>
      </c>
      <c r="Z254" s="556">
        <v>0</v>
      </c>
      <c r="AA254" s="556">
        <v>0</v>
      </c>
      <c r="AB254" s="556">
        <v>0</v>
      </c>
      <c r="AC254" s="556">
        <v>0</v>
      </c>
      <c r="AD254" s="556">
        <v>0.1</v>
      </c>
      <c r="AE254" s="556">
        <v>0.1</v>
      </c>
      <c r="AF254" s="556">
        <v>0.1</v>
      </c>
      <c r="AG254" s="556">
        <v>0.1</v>
      </c>
      <c r="AH254" s="556">
        <v>0.1</v>
      </c>
      <c r="AI254" s="556">
        <v>0.1</v>
      </c>
      <c r="AJ254" s="556">
        <v>0</v>
      </c>
      <c r="AK254" s="556">
        <v>0.1</v>
      </c>
      <c r="AL254" s="492"/>
      <c r="AM254" s="492"/>
      <c r="AN254" s="27"/>
      <c r="AO254" s="17"/>
      <c r="AP254" s="9"/>
      <c r="AQ254" s="9"/>
      <c r="AR254" s="9"/>
    </row>
    <row r="255" spans="1:44" customFormat="1" outlineLevel="1" x14ac:dyDescent="0.25">
      <c r="A255" s="7"/>
      <c r="B255" s="8"/>
      <c r="C255" s="18"/>
      <c r="D255" s="18"/>
      <c r="E255" s="18"/>
      <c r="F255" s="24"/>
      <c r="G255" s="25"/>
      <c r="H255" s="25"/>
      <c r="I255" s="568" t="s">
        <v>3173</v>
      </c>
      <c r="J255" s="556">
        <v>0</v>
      </c>
      <c r="K255" s="556">
        <v>0</v>
      </c>
      <c r="L255" s="556">
        <v>0</v>
      </c>
      <c r="M255" s="556">
        <v>0</v>
      </c>
      <c r="N255" s="556">
        <v>0</v>
      </c>
      <c r="O255" s="556">
        <v>0</v>
      </c>
      <c r="P255" s="556">
        <v>0</v>
      </c>
      <c r="Q255" s="556">
        <v>0</v>
      </c>
      <c r="R255" s="556">
        <v>0</v>
      </c>
      <c r="S255" s="556">
        <v>0</v>
      </c>
      <c r="T255" s="556">
        <v>0</v>
      </c>
      <c r="U255" s="556">
        <v>0</v>
      </c>
      <c r="V255" s="556">
        <v>0</v>
      </c>
      <c r="W255" s="556">
        <v>0</v>
      </c>
      <c r="X255" s="556">
        <v>0</v>
      </c>
      <c r="Y255" s="556">
        <v>0</v>
      </c>
      <c r="Z255" s="556">
        <v>0</v>
      </c>
      <c r="AA255" s="556">
        <v>0</v>
      </c>
      <c r="AB255" s="556">
        <v>0</v>
      </c>
      <c r="AC255" s="556">
        <v>0</v>
      </c>
      <c r="AD255" s="556">
        <v>0</v>
      </c>
      <c r="AE255" s="556">
        <v>0</v>
      </c>
      <c r="AF255" s="556">
        <v>0</v>
      </c>
      <c r="AG255" s="556">
        <v>0</v>
      </c>
      <c r="AH255" s="556">
        <v>0</v>
      </c>
      <c r="AI255" s="556">
        <v>0</v>
      </c>
      <c r="AJ255" s="556">
        <v>0</v>
      </c>
      <c r="AK255" s="556">
        <v>0</v>
      </c>
      <c r="AL255" s="492"/>
      <c r="AM255" s="492"/>
      <c r="AN255" s="27"/>
      <c r="AO255" s="17"/>
      <c r="AP255" s="9"/>
      <c r="AQ255" s="9"/>
      <c r="AR255" s="9"/>
    </row>
    <row r="256" spans="1:44" customFormat="1" outlineLevel="1" x14ac:dyDescent="0.25">
      <c r="A256" s="7"/>
      <c r="B256" s="8"/>
      <c r="C256" s="18"/>
      <c r="D256" s="18"/>
      <c r="E256" s="18"/>
      <c r="F256" s="24"/>
      <c r="G256" s="25"/>
      <c r="H256" s="25"/>
      <c r="I256" s="568" t="s">
        <v>3174</v>
      </c>
      <c r="J256" s="556">
        <v>0</v>
      </c>
      <c r="K256" s="556">
        <v>0</v>
      </c>
      <c r="L256" s="556">
        <v>0</v>
      </c>
      <c r="M256" s="556">
        <v>0</v>
      </c>
      <c r="N256" s="556">
        <v>0</v>
      </c>
      <c r="O256" s="556">
        <v>0</v>
      </c>
      <c r="P256" s="556">
        <v>0</v>
      </c>
      <c r="Q256" s="556">
        <v>0</v>
      </c>
      <c r="R256" s="556">
        <v>0</v>
      </c>
      <c r="S256" s="556">
        <v>0</v>
      </c>
      <c r="T256" s="556">
        <v>0</v>
      </c>
      <c r="U256" s="556">
        <v>0</v>
      </c>
      <c r="V256" s="556">
        <v>0</v>
      </c>
      <c r="W256" s="556">
        <v>0</v>
      </c>
      <c r="X256" s="556">
        <v>0</v>
      </c>
      <c r="Y256" s="556">
        <v>0</v>
      </c>
      <c r="Z256" s="556">
        <v>0</v>
      </c>
      <c r="AA256" s="556">
        <v>0</v>
      </c>
      <c r="AB256" s="556">
        <v>0</v>
      </c>
      <c r="AC256" s="556">
        <v>0</v>
      </c>
      <c r="AD256" s="556">
        <v>0</v>
      </c>
      <c r="AE256" s="556">
        <v>0</v>
      </c>
      <c r="AF256" s="556">
        <v>0</v>
      </c>
      <c r="AG256" s="556">
        <v>0</v>
      </c>
      <c r="AH256" s="556">
        <v>0</v>
      </c>
      <c r="AI256" s="556">
        <v>0</v>
      </c>
      <c r="AJ256" s="556">
        <v>0</v>
      </c>
      <c r="AK256" s="556">
        <v>0</v>
      </c>
      <c r="AL256" s="492"/>
      <c r="AM256" s="492"/>
      <c r="AN256" s="27"/>
      <c r="AO256" s="17"/>
      <c r="AP256" s="9"/>
      <c r="AQ256" s="9"/>
      <c r="AR256" s="9"/>
    </row>
    <row r="257" spans="1:44" customFormat="1" outlineLevel="1" x14ac:dyDescent="0.25">
      <c r="A257" s="7"/>
      <c r="B257" s="8"/>
      <c r="C257" s="18"/>
      <c r="D257" s="18"/>
      <c r="E257" s="18"/>
      <c r="F257" s="24"/>
      <c r="G257" s="25"/>
      <c r="H257" s="25"/>
      <c r="I257" s="491"/>
      <c r="J257" s="491"/>
      <c r="K257" s="491"/>
      <c r="L257" s="491"/>
      <c r="M257" s="491"/>
      <c r="N257" s="491"/>
      <c r="O257" s="491"/>
      <c r="P257" s="491"/>
      <c r="Q257" s="491"/>
      <c r="R257" s="491"/>
      <c r="S257" s="491"/>
      <c r="T257" s="491"/>
      <c r="U257" s="491"/>
      <c r="V257" s="491"/>
      <c r="W257" s="491"/>
      <c r="X257" s="491"/>
      <c r="Y257" s="491"/>
      <c r="Z257" s="491"/>
      <c r="AA257" s="491"/>
      <c r="AB257" s="491"/>
      <c r="AC257" s="491"/>
      <c r="AD257" s="491"/>
      <c r="AE257" s="491"/>
      <c r="AF257" s="491"/>
      <c r="AG257" s="491"/>
      <c r="AH257" s="491"/>
      <c r="AI257" s="491"/>
      <c r="AJ257" s="491"/>
      <c r="AK257" s="491"/>
      <c r="AL257" s="492"/>
      <c r="AM257" s="492"/>
      <c r="AN257" s="27"/>
      <c r="AO257" s="17"/>
      <c r="AP257" s="9"/>
      <c r="AQ257" s="9"/>
      <c r="AR257" s="9"/>
    </row>
    <row r="258" spans="1:44" customFormat="1" x14ac:dyDescent="0.25">
      <c r="A258" s="7"/>
      <c r="B258" s="8"/>
      <c r="C258" s="18"/>
      <c r="D258" s="18"/>
      <c r="E258" s="18"/>
      <c r="F258" s="24"/>
      <c r="G258" s="549" t="s">
        <v>3179</v>
      </c>
      <c r="H258" s="25"/>
      <c r="I258" s="491"/>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2"/>
      <c r="AM258" s="492"/>
      <c r="AN258" s="27"/>
      <c r="AO258" s="17"/>
      <c r="AP258" s="9"/>
      <c r="AQ258" s="9"/>
      <c r="AR258" s="9"/>
    </row>
    <row r="259" spans="1:44" customFormat="1" outlineLevel="1" x14ac:dyDescent="0.25">
      <c r="A259" s="7"/>
      <c r="B259" s="8"/>
      <c r="C259" s="18"/>
      <c r="D259" s="18"/>
      <c r="E259" s="18"/>
      <c r="F259" s="24"/>
      <c r="G259" s="25"/>
      <c r="H259" s="25" t="s">
        <v>3180</v>
      </c>
      <c r="I259" s="491"/>
      <c r="J259" s="566">
        <v>0</v>
      </c>
      <c r="K259" s="566">
        <v>0</v>
      </c>
      <c r="L259" s="566">
        <v>0</v>
      </c>
      <c r="M259" s="566">
        <v>0</v>
      </c>
      <c r="N259" s="566">
        <v>0</v>
      </c>
      <c r="O259" s="566">
        <v>0</v>
      </c>
      <c r="P259" s="566">
        <v>0</v>
      </c>
      <c r="Q259" s="566">
        <v>0</v>
      </c>
      <c r="R259" s="566">
        <v>0</v>
      </c>
      <c r="S259" s="566">
        <v>0</v>
      </c>
      <c r="T259" s="566">
        <v>0</v>
      </c>
      <c r="U259" s="566">
        <v>0</v>
      </c>
      <c r="V259" s="566">
        <v>0</v>
      </c>
      <c r="W259" s="566">
        <v>0</v>
      </c>
      <c r="X259" s="566">
        <v>0</v>
      </c>
      <c r="Y259" s="566">
        <v>0</v>
      </c>
      <c r="Z259" s="566">
        <v>0</v>
      </c>
      <c r="AA259" s="566">
        <v>0</v>
      </c>
      <c r="AB259" s="566">
        <v>0</v>
      </c>
      <c r="AC259" s="566">
        <v>0</v>
      </c>
      <c r="AD259" s="566">
        <v>0</v>
      </c>
      <c r="AE259" s="566">
        <v>0</v>
      </c>
      <c r="AF259" s="566">
        <v>0</v>
      </c>
      <c r="AG259" s="566">
        <v>0</v>
      </c>
      <c r="AH259" s="566">
        <v>0</v>
      </c>
      <c r="AI259" s="566">
        <v>0</v>
      </c>
      <c r="AJ259" s="566">
        <v>0</v>
      </c>
      <c r="AK259" s="566">
        <v>0</v>
      </c>
      <c r="AL259" s="492"/>
      <c r="AM259" s="492"/>
      <c r="AN259" s="27"/>
      <c r="AO259" s="17"/>
      <c r="AP259" s="9"/>
      <c r="AQ259" s="9"/>
      <c r="AR259" s="9"/>
    </row>
    <row r="260" spans="1:44" customFormat="1" outlineLevel="1" x14ac:dyDescent="0.25">
      <c r="A260" s="7"/>
      <c r="B260" s="8"/>
      <c r="C260" s="18"/>
      <c r="D260" s="18"/>
      <c r="E260" s="18"/>
      <c r="F260" s="24"/>
      <c r="G260" s="25"/>
      <c r="H260" s="25" t="s">
        <v>3155</v>
      </c>
      <c r="I260" s="491"/>
      <c r="J260" s="566">
        <v>0</v>
      </c>
      <c r="K260" s="566">
        <v>0</v>
      </c>
      <c r="L260" s="566">
        <v>0</v>
      </c>
      <c r="M260" s="566">
        <v>0</v>
      </c>
      <c r="N260" s="566">
        <v>0</v>
      </c>
      <c r="O260" s="566">
        <v>0</v>
      </c>
      <c r="P260" s="566">
        <v>0</v>
      </c>
      <c r="Q260" s="566">
        <v>0</v>
      </c>
      <c r="R260" s="566">
        <v>0</v>
      </c>
      <c r="S260" s="566">
        <v>0</v>
      </c>
      <c r="T260" s="566">
        <v>0</v>
      </c>
      <c r="U260" s="566">
        <v>0</v>
      </c>
      <c r="V260" s="566">
        <v>0</v>
      </c>
      <c r="W260" s="566">
        <v>0</v>
      </c>
      <c r="X260" s="566">
        <v>0</v>
      </c>
      <c r="Y260" s="566">
        <v>0</v>
      </c>
      <c r="Z260" s="566">
        <v>0</v>
      </c>
      <c r="AA260" s="566">
        <v>0</v>
      </c>
      <c r="AB260" s="566">
        <v>0</v>
      </c>
      <c r="AC260" s="566">
        <v>0</v>
      </c>
      <c r="AD260" s="566">
        <v>0</v>
      </c>
      <c r="AE260" s="566">
        <v>0</v>
      </c>
      <c r="AF260" s="566">
        <v>0</v>
      </c>
      <c r="AG260" s="566">
        <v>0</v>
      </c>
      <c r="AH260" s="566">
        <v>0</v>
      </c>
      <c r="AI260" s="566">
        <v>0</v>
      </c>
      <c r="AJ260" s="566">
        <v>0</v>
      </c>
      <c r="AK260" s="566">
        <v>0</v>
      </c>
      <c r="AL260" s="492"/>
      <c r="AM260" s="492"/>
      <c r="AN260" s="27"/>
      <c r="AO260" s="17"/>
      <c r="AP260" s="9"/>
      <c r="AQ260" s="9"/>
      <c r="AR260" s="9"/>
    </row>
    <row r="261" spans="1:44" customFormat="1" outlineLevel="1" x14ac:dyDescent="0.25">
      <c r="A261" s="7"/>
      <c r="B261" s="8"/>
      <c r="C261" s="18"/>
      <c r="D261" s="18"/>
      <c r="E261" s="18"/>
      <c r="F261" s="24"/>
      <c r="G261" s="25"/>
      <c r="H261" s="25" t="s">
        <v>3156</v>
      </c>
      <c r="I261" s="491"/>
      <c r="J261" s="550">
        <v>0</v>
      </c>
      <c r="K261" s="550">
        <v>0</v>
      </c>
      <c r="L261" s="550">
        <v>0</v>
      </c>
      <c r="M261" s="550">
        <v>0</v>
      </c>
      <c r="N261" s="550">
        <v>0</v>
      </c>
      <c r="O261" s="550">
        <v>0</v>
      </c>
      <c r="P261" s="550">
        <v>0</v>
      </c>
      <c r="Q261" s="550">
        <v>0</v>
      </c>
      <c r="R261" s="550">
        <v>0</v>
      </c>
      <c r="S261" s="550">
        <v>0</v>
      </c>
      <c r="T261" s="550">
        <v>0</v>
      </c>
      <c r="U261" s="550">
        <v>0</v>
      </c>
      <c r="V261" s="550">
        <v>0</v>
      </c>
      <c r="W261" s="550">
        <v>0</v>
      </c>
      <c r="X261" s="550">
        <v>0</v>
      </c>
      <c r="Y261" s="550">
        <v>0</v>
      </c>
      <c r="Z261" s="550">
        <v>0</v>
      </c>
      <c r="AA261" s="550">
        <v>0</v>
      </c>
      <c r="AB261" s="550">
        <v>0</v>
      </c>
      <c r="AC261" s="550">
        <v>0</v>
      </c>
      <c r="AD261" s="550">
        <v>0</v>
      </c>
      <c r="AE261" s="550">
        <v>0</v>
      </c>
      <c r="AF261" s="550">
        <v>0</v>
      </c>
      <c r="AG261" s="550">
        <v>0</v>
      </c>
      <c r="AH261" s="550">
        <v>0</v>
      </c>
      <c r="AI261" s="550">
        <v>0</v>
      </c>
      <c r="AJ261" s="550">
        <v>0</v>
      </c>
      <c r="AK261" s="550">
        <v>0</v>
      </c>
      <c r="AL261" s="492"/>
      <c r="AM261" s="492"/>
      <c r="AN261" s="27"/>
      <c r="AO261" s="17"/>
      <c r="AP261" s="9"/>
      <c r="AQ261" s="9"/>
      <c r="AR261" s="9"/>
    </row>
    <row r="262" spans="1:44" customFormat="1" outlineLevel="1" x14ac:dyDescent="0.25">
      <c r="A262" s="7"/>
      <c r="B262" s="8"/>
      <c r="C262" s="18"/>
      <c r="D262" s="18"/>
      <c r="E262" s="18"/>
      <c r="F262" s="24"/>
      <c r="G262" s="25"/>
      <c r="H262" s="25" t="s">
        <v>3181</v>
      </c>
      <c r="I262" s="491"/>
      <c r="J262" s="566">
        <v>0</v>
      </c>
      <c r="K262" s="566">
        <v>0</v>
      </c>
      <c r="L262" s="566">
        <v>0</v>
      </c>
      <c r="M262" s="566">
        <v>0</v>
      </c>
      <c r="N262" s="566">
        <v>0</v>
      </c>
      <c r="O262" s="566">
        <v>0</v>
      </c>
      <c r="P262" s="566">
        <v>0</v>
      </c>
      <c r="Q262" s="566">
        <v>0</v>
      </c>
      <c r="R262" s="566">
        <v>0</v>
      </c>
      <c r="S262" s="566">
        <v>0</v>
      </c>
      <c r="T262" s="566">
        <v>0</v>
      </c>
      <c r="U262" s="566">
        <v>0</v>
      </c>
      <c r="V262" s="566">
        <v>0</v>
      </c>
      <c r="W262" s="566">
        <v>0</v>
      </c>
      <c r="X262" s="566">
        <v>0</v>
      </c>
      <c r="Y262" s="566">
        <v>0</v>
      </c>
      <c r="Z262" s="566">
        <v>0</v>
      </c>
      <c r="AA262" s="566">
        <v>0</v>
      </c>
      <c r="AB262" s="566">
        <v>0</v>
      </c>
      <c r="AC262" s="566">
        <v>0</v>
      </c>
      <c r="AD262" s="566">
        <v>0</v>
      </c>
      <c r="AE262" s="566">
        <v>0</v>
      </c>
      <c r="AF262" s="566">
        <v>0</v>
      </c>
      <c r="AG262" s="566">
        <v>0</v>
      </c>
      <c r="AH262" s="566">
        <v>0</v>
      </c>
      <c r="AI262" s="566">
        <v>0</v>
      </c>
      <c r="AJ262" s="566">
        <v>0</v>
      </c>
      <c r="AK262" s="566">
        <v>0</v>
      </c>
      <c r="AL262" s="492"/>
      <c r="AM262" s="492"/>
      <c r="AN262" s="27"/>
      <c r="AO262" s="17"/>
      <c r="AP262" s="9"/>
      <c r="AQ262" s="9"/>
      <c r="AR262" s="9"/>
    </row>
    <row r="263" spans="1:44" customFormat="1" ht="15" customHeight="1" outlineLevel="1" x14ac:dyDescent="0.25">
      <c r="A263" s="7"/>
      <c r="B263" s="8"/>
      <c r="C263" s="18"/>
      <c r="D263" s="18"/>
      <c r="E263" s="18"/>
      <c r="F263" s="24"/>
      <c r="G263" s="25"/>
      <c r="H263" s="25" t="s">
        <v>3158</v>
      </c>
      <c r="I263" s="620" t="s">
        <v>3159</v>
      </c>
      <c r="J263" s="564">
        <v>0.125</v>
      </c>
      <c r="K263" s="564">
        <v>0.125</v>
      </c>
      <c r="L263" s="564">
        <v>0.125</v>
      </c>
      <c r="M263" s="564">
        <v>0.125</v>
      </c>
      <c r="N263" s="564">
        <v>0.125</v>
      </c>
      <c r="O263" s="564">
        <v>0.125</v>
      </c>
      <c r="P263" s="564">
        <v>0.125</v>
      </c>
      <c r="Q263" s="564">
        <v>0.125</v>
      </c>
      <c r="R263" s="564">
        <v>0.125</v>
      </c>
      <c r="S263" s="564">
        <v>0.125</v>
      </c>
      <c r="T263" s="564">
        <v>0.125</v>
      </c>
      <c r="U263" s="564">
        <v>0.125</v>
      </c>
      <c r="V263" s="564">
        <v>0.125</v>
      </c>
      <c r="W263" s="564">
        <v>0.125</v>
      </c>
      <c r="X263" s="564">
        <v>0.125</v>
      </c>
      <c r="Y263" s="564">
        <v>0.125</v>
      </c>
      <c r="Z263" s="564">
        <v>0.125</v>
      </c>
      <c r="AA263" s="564">
        <v>0.125</v>
      </c>
      <c r="AB263" s="564">
        <v>0.125</v>
      </c>
      <c r="AC263" s="564">
        <v>0.125</v>
      </c>
      <c r="AD263" s="564">
        <v>0.125</v>
      </c>
      <c r="AE263" s="564">
        <v>0.125</v>
      </c>
      <c r="AF263" s="564">
        <v>0.125</v>
      </c>
      <c r="AG263" s="564">
        <v>0.125</v>
      </c>
      <c r="AH263" s="564">
        <v>0.125</v>
      </c>
      <c r="AI263" s="564">
        <v>0.125</v>
      </c>
      <c r="AJ263" s="564">
        <v>0.125</v>
      </c>
      <c r="AK263" s="564">
        <v>0.125</v>
      </c>
      <c r="AL263" s="492"/>
      <c r="AM263" s="492"/>
      <c r="AN263" s="27"/>
      <c r="AO263" s="17"/>
      <c r="AP263" s="9"/>
      <c r="AQ263" s="9"/>
      <c r="AR263" s="9"/>
    </row>
    <row r="264" spans="1:44" customFormat="1" outlineLevel="1" x14ac:dyDescent="0.25">
      <c r="A264" s="7"/>
      <c r="B264" s="8"/>
      <c r="C264" s="18"/>
      <c r="D264" s="18"/>
      <c r="E264" s="18"/>
      <c r="F264" s="24"/>
      <c r="G264" s="25"/>
      <c r="H264" s="25" t="s">
        <v>3160</v>
      </c>
      <c r="I264" s="620"/>
      <c r="J264" s="564">
        <v>0.02</v>
      </c>
      <c r="K264" s="564">
        <v>0.02</v>
      </c>
      <c r="L264" s="564">
        <v>0.02</v>
      </c>
      <c r="M264" s="564">
        <v>0.02</v>
      </c>
      <c r="N264" s="564">
        <v>0.02</v>
      </c>
      <c r="O264" s="564">
        <v>0.02</v>
      </c>
      <c r="P264" s="564">
        <v>0.02</v>
      </c>
      <c r="Q264" s="564">
        <v>0.02</v>
      </c>
      <c r="R264" s="564">
        <v>0.02</v>
      </c>
      <c r="S264" s="564">
        <v>0.02</v>
      </c>
      <c r="T264" s="564">
        <v>0.02</v>
      </c>
      <c r="U264" s="564">
        <v>0.02</v>
      </c>
      <c r="V264" s="564">
        <v>0.02</v>
      </c>
      <c r="W264" s="564">
        <v>0.02</v>
      </c>
      <c r="X264" s="564">
        <v>0.02</v>
      </c>
      <c r="Y264" s="564">
        <v>0.02</v>
      </c>
      <c r="Z264" s="564">
        <v>0.02</v>
      </c>
      <c r="AA264" s="564">
        <v>0.02</v>
      </c>
      <c r="AB264" s="564">
        <v>0.02</v>
      </c>
      <c r="AC264" s="564">
        <v>0.02</v>
      </c>
      <c r="AD264" s="564">
        <v>0.02</v>
      </c>
      <c r="AE264" s="564">
        <v>0.02</v>
      </c>
      <c r="AF264" s="564">
        <v>0.02</v>
      </c>
      <c r="AG264" s="564">
        <v>0.02</v>
      </c>
      <c r="AH264" s="564">
        <v>0.02</v>
      </c>
      <c r="AI264" s="564">
        <v>0.02</v>
      </c>
      <c r="AJ264" s="564">
        <v>0.02</v>
      </c>
      <c r="AK264" s="564">
        <v>0.02</v>
      </c>
      <c r="AL264" s="492"/>
      <c r="AM264" s="492"/>
      <c r="AN264" s="27"/>
      <c r="AO264" s="17"/>
      <c r="AP264" s="9"/>
      <c r="AQ264" s="9"/>
      <c r="AR264" s="9"/>
    </row>
    <row r="265" spans="1:44" customFormat="1" outlineLevel="1" x14ac:dyDescent="0.25">
      <c r="A265" s="7"/>
      <c r="B265" s="8"/>
      <c r="C265" s="18"/>
      <c r="D265" s="18"/>
      <c r="E265" s="18"/>
      <c r="F265" s="24"/>
      <c r="G265" s="25"/>
      <c r="H265" s="25" t="s">
        <v>3161</v>
      </c>
      <c r="I265" s="620"/>
      <c r="J265" s="565">
        <f>1-SUM(J263:J264)</f>
        <v>0.85499999999999998</v>
      </c>
      <c r="K265" s="565">
        <f t="shared" ref="K265:AI265" si="21">1-SUM(K263:K264)</f>
        <v>0.85499999999999998</v>
      </c>
      <c r="L265" s="565">
        <f t="shared" si="21"/>
        <v>0.85499999999999998</v>
      </c>
      <c r="M265" s="565">
        <f t="shared" si="21"/>
        <v>0.85499999999999998</v>
      </c>
      <c r="N265" s="565">
        <f t="shared" si="21"/>
        <v>0.85499999999999998</v>
      </c>
      <c r="O265" s="565">
        <f t="shared" si="21"/>
        <v>0.85499999999999998</v>
      </c>
      <c r="P265" s="565">
        <f t="shared" si="21"/>
        <v>0.85499999999999998</v>
      </c>
      <c r="Q265" s="565">
        <f t="shared" si="21"/>
        <v>0.85499999999999998</v>
      </c>
      <c r="R265" s="565">
        <f t="shared" si="21"/>
        <v>0.85499999999999998</v>
      </c>
      <c r="S265" s="565">
        <f t="shared" si="21"/>
        <v>0.85499999999999998</v>
      </c>
      <c r="T265" s="565">
        <f t="shared" si="21"/>
        <v>0.85499999999999998</v>
      </c>
      <c r="U265" s="565">
        <f t="shared" si="21"/>
        <v>0.85499999999999998</v>
      </c>
      <c r="V265" s="565">
        <f t="shared" si="21"/>
        <v>0.85499999999999998</v>
      </c>
      <c r="W265" s="565">
        <f t="shared" si="21"/>
        <v>0.85499999999999998</v>
      </c>
      <c r="X265" s="565">
        <f t="shared" si="21"/>
        <v>0.85499999999999998</v>
      </c>
      <c r="Y265" s="565">
        <f t="shared" si="21"/>
        <v>0.85499999999999998</v>
      </c>
      <c r="Z265" s="565">
        <f t="shared" si="21"/>
        <v>0.85499999999999998</v>
      </c>
      <c r="AA265" s="565">
        <f t="shared" si="21"/>
        <v>0.85499999999999998</v>
      </c>
      <c r="AB265" s="565">
        <f t="shared" si="21"/>
        <v>0.85499999999999998</v>
      </c>
      <c r="AC265" s="565">
        <f t="shared" si="21"/>
        <v>0.85499999999999998</v>
      </c>
      <c r="AD265" s="565">
        <f t="shared" si="21"/>
        <v>0.85499999999999998</v>
      </c>
      <c r="AE265" s="565">
        <f t="shared" si="21"/>
        <v>0.85499999999999998</v>
      </c>
      <c r="AF265" s="565">
        <f t="shared" si="21"/>
        <v>0.85499999999999998</v>
      </c>
      <c r="AG265" s="565">
        <f t="shared" si="21"/>
        <v>0.85499999999999998</v>
      </c>
      <c r="AH265" s="565">
        <f t="shared" si="21"/>
        <v>0.85499999999999998</v>
      </c>
      <c r="AI265" s="565">
        <f t="shared" si="21"/>
        <v>0.85499999999999998</v>
      </c>
      <c r="AJ265" s="565">
        <f>1-SUM(AJ263:AJ264)</f>
        <v>0.85499999999999998</v>
      </c>
      <c r="AK265" s="565">
        <f t="shared" ref="AK265" si="22">1-SUM(AK263:AK264)</f>
        <v>0.85499999999999998</v>
      </c>
      <c r="AL265" s="492"/>
      <c r="AM265" s="492"/>
      <c r="AN265" s="27"/>
      <c r="AO265" s="17"/>
      <c r="AP265" s="9"/>
      <c r="AQ265" s="9"/>
      <c r="AR265" s="9"/>
    </row>
    <row r="266" spans="1:44" customFormat="1" outlineLevel="1" x14ac:dyDescent="0.25">
      <c r="A266" s="7"/>
      <c r="B266" s="8"/>
      <c r="C266" s="18"/>
      <c r="D266" s="18"/>
      <c r="E266" s="18"/>
      <c r="F266" s="24"/>
      <c r="G266" s="549"/>
      <c r="H266" s="25"/>
      <c r="I266" s="491"/>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27"/>
      <c r="AO266" s="17"/>
      <c r="AP266" s="9"/>
      <c r="AQ266" s="9"/>
      <c r="AR266" s="9"/>
    </row>
    <row r="267" spans="1:44" customFormat="1" outlineLevel="1" x14ac:dyDescent="0.25">
      <c r="A267" s="7"/>
      <c r="B267" s="8"/>
      <c r="C267" s="18"/>
      <c r="D267" s="18"/>
      <c r="E267" s="18"/>
      <c r="F267" s="24"/>
      <c r="G267" s="549"/>
      <c r="H267" s="25"/>
      <c r="I267" s="491"/>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27"/>
      <c r="AO267" s="17"/>
      <c r="AP267" s="9"/>
      <c r="AQ267" s="9"/>
      <c r="AR267" s="9"/>
    </row>
    <row r="268" spans="1:44" customFormat="1" x14ac:dyDescent="0.25">
      <c r="A268" s="7"/>
      <c r="B268" s="8"/>
      <c r="C268" s="18"/>
      <c r="D268" s="18"/>
      <c r="E268" s="18"/>
      <c r="F268" s="24"/>
      <c r="G268" s="549" t="s">
        <v>3182</v>
      </c>
      <c r="H268" s="25"/>
      <c r="I268" s="491"/>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27"/>
      <c r="AO268" s="17"/>
      <c r="AP268" s="9"/>
      <c r="AQ268" s="9"/>
      <c r="AR268" s="9"/>
    </row>
    <row r="269" spans="1:44" customFormat="1" ht="12" customHeight="1" outlineLevel="1" x14ac:dyDescent="0.25">
      <c r="A269" s="7"/>
      <c r="B269" s="8"/>
      <c r="C269" s="18"/>
      <c r="D269" s="18"/>
      <c r="E269" s="18"/>
      <c r="F269" s="24"/>
      <c r="H269" s="505" t="s">
        <v>3183</v>
      </c>
      <c r="I269" s="505"/>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3"/>
      <c r="AM269" s="493"/>
      <c r="AN269" s="27"/>
      <c r="AO269" s="17"/>
      <c r="AP269" s="9"/>
      <c r="AQ269" s="9"/>
      <c r="AR269" s="9"/>
    </row>
    <row r="270" spans="1:44" customFormat="1" ht="12" customHeight="1" outlineLevel="1" x14ac:dyDescent="0.25">
      <c r="A270" s="7"/>
      <c r="B270" s="8"/>
      <c r="C270" s="18"/>
      <c r="D270" s="18"/>
      <c r="E270" s="18"/>
      <c r="F270" s="24"/>
      <c r="H270" s="505"/>
      <c r="I270" s="493" t="s">
        <v>3184</v>
      </c>
      <c r="J270" s="569">
        <v>1</v>
      </c>
      <c r="K270" s="569">
        <v>1</v>
      </c>
      <c r="L270" s="569">
        <v>1</v>
      </c>
      <c r="M270" s="569">
        <v>1</v>
      </c>
      <c r="N270" s="569">
        <v>1</v>
      </c>
      <c r="O270" s="569">
        <v>1</v>
      </c>
      <c r="P270" s="569">
        <v>1</v>
      </c>
      <c r="Q270" s="569">
        <v>1</v>
      </c>
      <c r="R270" s="569">
        <v>1</v>
      </c>
      <c r="S270" s="569">
        <v>1</v>
      </c>
      <c r="T270" s="569">
        <v>1</v>
      </c>
      <c r="U270" s="569">
        <v>1</v>
      </c>
      <c r="V270" s="569">
        <v>1</v>
      </c>
      <c r="W270" s="569">
        <v>1</v>
      </c>
      <c r="X270" s="569">
        <v>1</v>
      </c>
      <c r="Y270" s="569">
        <v>1</v>
      </c>
      <c r="Z270" s="569">
        <v>1</v>
      </c>
      <c r="AA270" s="569">
        <v>1</v>
      </c>
      <c r="AB270" s="569">
        <v>1</v>
      </c>
      <c r="AC270" s="569">
        <v>1</v>
      </c>
      <c r="AD270" s="569">
        <v>1</v>
      </c>
      <c r="AE270" s="569">
        <v>1</v>
      </c>
      <c r="AF270" s="569">
        <v>1</v>
      </c>
      <c r="AG270" s="569">
        <v>1</v>
      </c>
      <c r="AH270" s="569">
        <v>1</v>
      </c>
      <c r="AI270" s="569">
        <v>1</v>
      </c>
      <c r="AJ270" s="569">
        <v>1</v>
      </c>
      <c r="AK270" s="569">
        <v>1</v>
      </c>
      <c r="AL270" s="492"/>
      <c r="AM270" s="492"/>
      <c r="AN270" s="27"/>
      <c r="AO270" s="17"/>
      <c r="AP270" s="9"/>
      <c r="AQ270" s="9"/>
      <c r="AR270" s="9"/>
    </row>
    <row r="271" spans="1:44" customFormat="1" ht="12" customHeight="1" outlineLevel="1" x14ac:dyDescent="0.25">
      <c r="A271" s="7"/>
      <c r="B271" s="8"/>
      <c r="C271" s="18"/>
      <c r="D271" s="18"/>
      <c r="E271" s="18"/>
      <c r="F271" s="24"/>
      <c r="H271" s="505"/>
      <c r="I271" s="493" t="s">
        <v>3185</v>
      </c>
      <c r="J271" s="569">
        <v>6</v>
      </c>
      <c r="K271" s="569">
        <v>6</v>
      </c>
      <c r="L271" s="569">
        <v>6</v>
      </c>
      <c r="M271" s="569">
        <v>6</v>
      </c>
      <c r="N271" s="569">
        <v>6</v>
      </c>
      <c r="O271" s="569">
        <v>6</v>
      </c>
      <c r="P271" s="569">
        <v>6</v>
      </c>
      <c r="Q271" s="569">
        <v>6</v>
      </c>
      <c r="R271" s="569">
        <v>6</v>
      </c>
      <c r="S271" s="569">
        <v>6</v>
      </c>
      <c r="T271" s="569">
        <v>6</v>
      </c>
      <c r="U271" s="569">
        <v>6</v>
      </c>
      <c r="V271" s="569">
        <v>6</v>
      </c>
      <c r="W271" s="569">
        <v>6</v>
      </c>
      <c r="X271" s="569">
        <v>6</v>
      </c>
      <c r="Y271" s="569">
        <v>6</v>
      </c>
      <c r="Z271" s="569">
        <v>6</v>
      </c>
      <c r="AA271" s="569">
        <v>6</v>
      </c>
      <c r="AB271" s="569">
        <v>6</v>
      </c>
      <c r="AC271" s="569">
        <v>6</v>
      </c>
      <c r="AD271" s="569">
        <v>6</v>
      </c>
      <c r="AE271" s="569">
        <v>6</v>
      </c>
      <c r="AF271" s="569">
        <v>6</v>
      </c>
      <c r="AG271" s="569">
        <v>6</v>
      </c>
      <c r="AH271" s="569">
        <v>6</v>
      </c>
      <c r="AI271" s="569">
        <v>6</v>
      </c>
      <c r="AJ271" s="569">
        <v>6</v>
      </c>
      <c r="AK271" s="569">
        <v>6</v>
      </c>
      <c r="AL271" s="492"/>
      <c r="AM271" s="492"/>
      <c r="AN271" s="27"/>
      <c r="AO271" s="17"/>
      <c r="AP271" s="9"/>
      <c r="AQ271" s="9"/>
      <c r="AR271" s="9"/>
    </row>
    <row r="272" spans="1:44" customFormat="1" ht="12" customHeight="1" outlineLevel="1" x14ac:dyDescent="0.25">
      <c r="A272" s="7"/>
      <c r="B272" s="8"/>
      <c r="C272" s="18"/>
      <c r="D272" s="18"/>
      <c r="E272" s="18"/>
      <c r="F272" s="24"/>
      <c r="H272" s="505"/>
      <c r="I272" s="493" t="s">
        <v>3186</v>
      </c>
      <c r="J272" s="569">
        <v>7</v>
      </c>
      <c r="K272" s="569">
        <v>7</v>
      </c>
      <c r="L272" s="569">
        <v>7</v>
      </c>
      <c r="M272" s="569">
        <v>7</v>
      </c>
      <c r="N272" s="569">
        <v>7</v>
      </c>
      <c r="O272" s="569">
        <v>7</v>
      </c>
      <c r="P272" s="569">
        <v>7</v>
      </c>
      <c r="Q272" s="569">
        <v>7</v>
      </c>
      <c r="R272" s="569">
        <v>7</v>
      </c>
      <c r="S272" s="569">
        <v>7</v>
      </c>
      <c r="T272" s="569">
        <v>7</v>
      </c>
      <c r="U272" s="569">
        <v>7</v>
      </c>
      <c r="V272" s="569">
        <v>7</v>
      </c>
      <c r="W272" s="569">
        <v>7</v>
      </c>
      <c r="X272" s="569">
        <v>7</v>
      </c>
      <c r="Y272" s="569">
        <v>7</v>
      </c>
      <c r="Z272" s="569">
        <v>7</v>
      </c>
      <c r="AA272" s="569">
        <v>7</v>
      </c>
      <c r="AB272" s="569">
        <v>7</v>
      </c>
      <c r="AC272" s="569">
        <v>7</v>
      </c>
      <c r="AD272" s="569">
        <v>7</v>
      </c>
      <c r="AE272" s="569">
        <v>7</v>
      </c>
      <c r="AF272" s="569">
        <v>7</v>
      </c>
      <c r="AG272" s="569">
        <v>7</v>
      </c>
      <c r="AH272" s="569">
        <v>7</v>
      </c>
      <c r="AI272" s="569">
        <v>7</v>
      </c>
      <c r="AJ272" s="569">
        <v>7</v>
      </c>
      <c r="AK272" s="569">
        <v>7</v>
      </c>
      <c r="AL272" s="492"/>
      <c r="AM272" s="492"/>
      <c r="AN272" s="27"/>
      <c r="AO272" s="17"/>
      <c r="AP272" s="9"/>
      <c r="AQ272" s="9"/>
      <c r="AR272" s="9"/>
    </row>
    <row r="273" spans="1:44" customFormat="1" ht="12" customHeight="1" outlineLevel="1" x14ac:dyDescent="0.25">
      <c r="A273" s="7"/>
      <c r="B273" s="8"/>
      <c r="C273" s="18"/>
      <c r="D273" s="18"/>
      <c r="E273" s="18"/>
      <c r="F273" s="24"/>
      <c r="H273" s="505"/>
      <c r="I273" s="505"/>
      <c r="J273" s="570"/>
      <c r="K273" s="570"/>
      <c r="L273" s="570"/>
      <c r="M273" s="570"/>
      <c r="N273" s="570"/>
      <c r="O273" s="570"/>
      <c r="P273" s="570"/>
      <c r="Q273" s="570"/>
      <c r="R273" s="570"/>
      <c r="S273" s="570"/>
      <c r="T273" s="570"/>
      <c r="U273" s="570"/>
      <c r="V273" s="570"/>
      <c r="W273" s="570"/>
      <c r="X273" s="570"/>
      <c r="Y273" s="570"/>
      <c r="Z273" s="570"/>
      <c r="AA273" s="570"/>
      <c r="AB273" s="570"/>
      <c r="AC273" s="570"/>
      <c r="AD273" s="570"/>
      <c r="AE273" s="570"/>
      <c r="AF273" s="570"/>
      <c r="AG273" s="570"/>
      <c r="AH273" s="570"/>
      <c r="AI273" s="570"/>
      <c r="AJ273" s="570"/>
      <c r="AK273" s="570"/>
      <c r="AL273" s="492"/>
      <c r="AM273" s="492"/>
      <c r="AN273" s="27"/>
      <c r="AO273" s="17"/>
      <c r="AP273" s="9"/>
      <c r="AQ273" s="9"/>
      <c r="AR273" s="9"/>
    </row>
    <row r="274" spans="1:44" customFormat="1" ht="12" customHeight="1" outlineLevel="1" x14ac:dyDescent="0.25">
      <c r="A274" s="7"/>
      <c r="B274" s="8"/>
      <c r="C274" s="18"/>
      <c r="D274" s="18"/>
      <c r="E274" s="18"/>
      <c r="F274" s="24"/>
      <c r="H274" s="505" t="s">
        <v>3187</v>
      </c>
      <c r="I274" s="505"/>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27"/>
      <c r="AO274" s="17"/>
      <c r="AP274" s="9"/>
      <c r="AQ274" s="9"/>
      <c r="AR274" s="9"/>
    </row>
    <row r="275" spans="1:44" customFormat="1" ht="12" customHeight="1" outlineLevel="1" x14ac:dyDescent="0.25">
      <c r="A275" s="7"/>
      <c r="B275" s="8"/>
      <c r="C275" s="18"/>
      <c r="D275" s="18"/>
      <c r="E275" s="18"/>
      <c r="F275" s="24"/>
      <c r="I275" s="493" t="s">
        <v>2805</v>
      </c>
      <c r="J275" s="571" t="b">
        <v>1</v>
      </c>
      <c r="K275" s="571" t="b">
        <v>1</v>
      </c>
      <c r="L275" s="571" t="b">
        <v>1</v>
      </c>
      <c r="M275" s="571" t="b">
        <v>1</v>
      </c>
      <c r="N275" s="571" t="b">
        <v>1</v>
      </c>
      <c r="O275" s="571" t="b">
        <v>1</v>
      </c>
      <c r="P275" s="571" t="b">
        <v>1</v>
      </c>
      <c r="Q275" s="571" t="b">
        <v>1</v>
      </c>
      <c r="R275" s="571" t="b">
        <v>1</v>
      </c>
      <c r="S275" s="571" t="b">
        <v>1</v>
      </c>
      <c r="T275" s="571" t="b">
        <v>1</v>
      </c>
      <c r="U275" s="571" t="b">
        <v>1</v>
      </c>
      <c r="V275" s="571" t="b">
        <v>1</v>
      </c>
      <c r="W275" s="571" t="b">
        <v>1</v>
      </c>
      <c r="X275" s="571" t="b">
        <v>1</v>
      </c>
      <c r="Y275" s="571" t="b">
        <v>1</v>
      </c>
      <c r="Z275" s="571" t="b">
        <v>1</v>
      </c>
      <c r="AA275" s="571" t="b">
        <v>1</v>
      </c>
      <c r="AB275" s="571" t="b">
        <v>1</v>
      </c>
      <c r="AC275" s="571" t="b">
        <v>1</v>
      </c>
      <c r="AD275" s="571" t="b">
        <v>0</v>
      </c>
      <c r="AE275" s="571" t="b">
        <v>1</v>
      </c>
      <c r="AF275" s="571" t="b">
        <v>1</v>
      </c>
      <c r="AG275" s="571" t="b">
        <v>1</v>
      </c>
      <c r="AH275" s="571" t="b">
        <v>1</v>
      </c>
      <c r="AI275" s="571" t="b">
        <v>0</v>
      </c>
      <c r="AJ275" s="571" t="b">
        <v>1</v>
      </c>
      <c r="AK275" s="571" t="b">
        <v>1</v>
      </c>
      <c r="AL275" s="492"/>
      <c r="AM275" s="492"/>
      <c r="AN275" s="27"/>
      <c r="AO275" s="17"/>
      <c r="AP275" s="9"/>
      <c r="AQ275" s="9"/>
      <c r="AR275" s="9"/>
    </row>
    <row r="276" spans="1:44" customFormat="1" ht="12" customHeight="1" outlineLevel="1" x14ac:dyDescent="0.25">
      <c r="A276" s="7"/>
      <c r="B276" s="8"/>
      <c r="C276" s="18"/>
      <c r="D276" s="18"/>
      <c r="E276" s="18"/>
      <c r="F276" s="24"/>
      <c r="G276" s="505"/>
      <c r="H276" s="505"/>
      <c r="I276" s="493" t="s">
        <v>2806</v>
      </c>
      <c r="J276" s="571" t="b">
        <v>0</v>
      </c>
      <c r="K276" s="571" t="b">
        <v>0</v>
      </c>
      <c r="L276" s="571" t="b">
        <v>0</v>
      </c>
      <c r="M276" s="571" t="b">
        <v>0</v>
      </c>
      <c r="N276" s="571" t="b">
        <v>0</v>
      </c>
      <c r="O276" s="571" t="b">
        <v>0</v>
      </c>
      <c r="P276" s="571" t="b">
        <v>0</v>
      </c>
      <c r="Q276" s="571" t="b">
        <v>0</v>
      </c>
      <c r="R276" s="571" t="b">
        <v>0</v>
      </c>
      <c r="S276" s="571" t="b">
        <v>0</v>
      </c>
      <c r="T276" s="571" t="b">
        <v>0</v>
      </c>
      <c r="U276" s="571" t="b">
        <v>0</v>
      </c>
      <c r="V276" s="571" t="b">
        <v>0</v>
      </c>
      <c r="W276" s="571" t="b">
        <v>0</v>
      </c>
      <c r="X276" s="571" t="b">
        <v>0</v>
      </c>
      <c r="Y276" s="571" t="b">
        <v>0</v>
      </c>
      <c r="Z276" s="571" t="b">
        <v>0</v>
      </c>
      <c r="AA276" s="571" t="b">
        <v>0</v>
      </c>
      <c r="AB276" s="571" t="b">
        <v>0</v>
      </c>
      <c r="AC276" s="571" t="b">
        <v>0</v>
      </c>
      <c r="AD276" s="571" t="b">
        <v>0</v>
      </c>
      <c r="AE276" s="571" t="b">
        <v>0</v>
      </c>
      <c r="AF276" s="571" t="b">
        <v>0</v>
      </c>
      <c r="AG276" s="571" t="b">
        <v>0</v>
      </c>
      <c r="AH276" s="571" t="b">
        <v>0</v>
      </c>
      <c r="AI276" s="571" t="b">
        <v>0</v>
      </c>
      <c r="AJ276" s="571" t="b">
        <v>0</v>
      </c>
      <c r="AK276" s="571" t="b">
        <v>0</v>
      </c>
      <c r="AL276" s="492"/>
      <c r="AM276" s="492"/>
      <c r="AN276" s="27"/>
      <c r="AO276" s="17"/>
      <c r="AP276" s="9"/>
      <c r="AQ276" s="9"/>
      <c r="AR276" s="9"/>
    </row>
    <row r="277" spans="1:44" customFormat="1" ht="12" customHeight="1" outlineLevel="1" x14ac:dyDescent="0.25">
      <c r="A277" s="7"/>
      <c r="B277" s="8"/>
      <c r="C277" s="18"/>
      <c r="D277" s="18"/>
      <c r="E277" s="18"/>
      <c r="F277" s="24"/>
      <c r="H277" s="505"/>
      <c r="I277" s="493" t="s">
        <v>2807</v>
      </c>
      <c r="J277" s="571" t="b">
        <v>0</v>
      </c>
      <c r="K277" s="571" t="b">
        <v>0</v>
      </c>
      <c r="L277" s="571" t="b">
        <v>0</v>
      </c>
      <c r="M277" s="571" t="b">
        <v>0</v>
      </c>
      <c r="N277" s="571" t="b">
        <v>0</v>
      </c>
      <c r="O277" s="571" t="b">
        <v>0</v>
      </c>
      <c r="P277" s="571" t="b">
        <v>0</v>
      </c>
      <c r="Q277" s="571" t="b">
        <v>0</v>
      </c>
      <c r="R277" s="571" t="b">
        <v>0</v>
      </c>
      <c r="S277" s="571" t="b">
        <v>0</v>
      </c>
      <c r="T277" s="571" t="b">
        <v>0</v>
      </c>
      <c r="U277" s="571" t="b">
        <v>0</v>
      </c>
      <c r="V277" s="571" t="b">
        <v>0</v>
      </c>
      <c r="W277" s="571" t="b">
        <v>0</v>
      </c>
      <c r="X277" s="571" t="b">
        <v>0</v>
      </c>
      <c r="Y277" s="571" t="b">
        <v>0</v>
      </c>
      <c r="Z277" s="571" t="b">
        <v>0</v>
      </c>
      <c r="AA277" s="571" t="b">
        <v>0</v>
      </c>
      <c r="AB277" s="571" t="b">
        <v>0</v>
      </c>
      <c r="AC277" s="571" t="b">
        <v>0</v>
      </c>
      <c r="AD277" s="571" t="b">
        <v>1</v>
      </c>
      <c r="AE277" s="571" t="b">
        <v>0</v>
      </c>
      <c r="AF277" s="571" t="b">
        <v>0</v>
      </c>
      <c r="AG277" s="571" t="b">
        <v>0</v>
      </c>
      <c r="AH277" s="571" t="b">
        <v>0</v>
      </c>
      <c r="AI277" s="571" t="b">
        <v>1</v>
      </c>
      <c r="AJ277" s="571" t="b">
        <v>0</v>
      </c>
      <c r="AK277" s="571" t="b">
        <v>0</v>
      </c>
      <c r="AL277" s="492"/>
      <c r="AM277" s="492"/>
      <c r="AN277" s="27"/>
      <c r="AO277" s="17"/>
      <c r="AP277" s="9"/>
      <c r="AQ277" s="9"/>
      <c r="AR277" s="9"/>
    </row>
    <row r="278" spans="1:44" customFormat="1" ht="12" customHeight="1" outlineLevel="1" x14ac:dyDescent="0.25">
      <c r="A278" s="7"/>
      <c r="B278" s="8"/>
      <c r="C278" s="18"/>
      <c r="D278" s="18"/>
      <c r="E278" s="18"/>
      <c r="F278" s="24"/>
      <c r="G278" s="505"/>
      <c r="H278" s="505"/>
      <c r="I278" s="493" t="s">
        <v>2808</v>
      </c>
      <c r="J278" s="571" t="b">
        <v>0</v>
      </c>
      <c r="K278" s="571" t="b">
        <v>0</v>
      </c>
      <c r="L278" s="571" t="b">
        <v>0</v>
      </c>
      <c r="M278" s="571" t="b">
        <v>0</v>
      </c>
      <c r="N278" s="571" t="b">
        <v>0</v>
      </c>
      <c r="O278" s="571" t="b">
        <v>0</v>
      </c>
      <c r="P278" s="571" t="b">
        <v>0</v>
      </c>
      <c r="Q278" s="571" t="b">
        <v>0</v>
      </c>
      <c r="R278" s="571" t="b">
        <v>0</v>
      </c>
      <c r="S278" s="571" t="b">
        <v>0</v>
      </c>
      <c r="T278" s="571" t="b">
        <v>0</v>
      </c>
      <c r="U278" s="571" t="b">
        <v>0</v>
      </c>
      <c r="V278" s="571" t="b">
        <v>0</v>
      </c>
      <c r="W278" s="571" t="b">
        <v>0</v>
      </c>
      <c r="X278" s="571" t="b">
        <v>0</v>
      </c>
      <c r="Y278" s="571" t="b">
        <v>0</v>
      </c>
      <c r="Z278" s="571" t="b">
        <v>0</v>
      </c>
      <c r="AA278" s="571" t="b">
        <v>0</v>
      </c>
      <c r="AB278" s="571" t="b">
        <v>0</v>
      </c>
      <c r="AC278" s="571" t="b">
        <v>0</v>
      </c>
      <c r="AD278" s="571" t="b">
        <v>0</v>
      </c>
      <c r="AE278" s="571" t="b">
        <v>0</v>
      </c>
      <c r="AF278" s="571" t="b">
        <v>0</v>
      </c>
      <c r="AG278" s="571" t="b">
        <v>0</v>
      </c>
      <c r="AH278" s="571" t="b">
        <v>0</v>
      </c>
      <c r="AI278" s="571" t="b">
        <v>0</v>
      </c>
      <c r="AJ278" s="571" t="b">
        <v>0</v>
      </c>
      <c r="AK278" s="571" t="b">
        <v>0</v>
      </c>
      <c r="AL278" s="494"/>
      <c r="AM278" s="494"/>
      <c r="AN278" s="27"/>
      <c r="AO278" s="17"/>
      <c r="AP278" s="9"/>
      <c r="AQ278" s="9"/>
      <c r="AR278" s="9"/>
    </row>
    <row r="279" spans="1:44" customFormat="1" ht="12" customHeight="1" outlineLevel="1" x14ac:dyDescent="0.25">
      <c r="A279" s="7"/>
      <c r="B279" s="8"/>
      <c r="C279" s="18"/>
      <c r="D279" s="18"/>
      <c r="E279" s="18"/>
      <c r="F279" s="24"/>
      <c r="G279" s="505"/>
      <c r="H279" s="505"/>
      <c r="I279" s="505"/>
      <c r="J279" s="494"/>
      <c r="K279" s="494"/>
      <c r="L279" s="494"/>
      <c r="M279" s="494"/>
      <c r="N279" s="494"/>
      <c r="O279" s="494"/>
      <c r="P279" s="494"/>
      <c r="Q279" s="494"/>
      <c r="R279" s="494"/>
      <c r="S279" s="494"/>
      <c r="T279" s="494"/>
      <c r="U279" s="494"/>
      <c r="V279" s="494"/>
      <c r="W279" s="494"/>
      <c r="X279" s="494"/>
      <c r="Y279" s="494"/>
      <c r="Z279" s="494"/>
      <c r="AA279" s="494"/>
      <c r="AB279" s="494"/>
      <c r="AC279" s="494"/>
      <c r="AD279" s="494"/>
      <c r="AE279" s="494"/>
      <c r="AF279" s="494"/>
      <c r="AG279" s="494"/>
      <c r="AH279" s="494"/>
      <c r="AI279" s="494"/>
      <c r="AJ279" s="494"/>
      <c r="AK279" s="494"/>
      <c r="AL279" s="494"/>
      <c r="AM279" s="494"/>
      <c r="AN279" s="27"/>
      <c r="AO279" s="17"/>
      <c r="AP279" s="9"/>
      <c r="AQ279" s="9"/>
      <c r="AR279" s="9"/>
    </row>
    <row r="280" spans="1:44" customFormat="1" ht="12" customHeight="1" x14ac:dyDescent="0.25">
      <c r="A280" s="7"/>
      <c r="B280" s="8"/>
      <c r="C280" s="18"/>
      <c r="D280" s="18"/>
      <c r="E280" s="18"/>
      <c r="F280" s="24"/>
      <c r="G280" s="572" t="s">
        <v>3188</v>
      </c>
      <c r="H280" s="505"/>
      <c r="I280" s="505"/>
      <c r="J280" s="494"/>
      <c r="K280" s="494"/>
      <c r="L280" s="494"/>
      <c r="M280" s="494"/>
      <c r="N280" s="494"/>
      <c r="O280" s="494"/>
      <c r="P280" s="494"/>
      <c r="Q280" s="494"/>
      <c r="R280" s="494"/>
      <c r="S280" s="494"/>
      <c r="T280" s="494"/>
      <c r="U280" s="494"/>
      <c r="V280" s="494"/>
      <c r="W280" s="494"/>
      <c r="X280" s="494"/>
      <c r="Y280" s="494"/>
      <c r="Z280" s="494"/>
      <c r="AA280" s="494"/>
      <c r="AB280" s="494"/>
      <c r="AC280" s="494"/>
      <c r="AD280" s="494"/>
      <c r="AE280" s="494"/>
      <c r="AF280" s="494"/>
      <c r="AG280" s="494"/>
      <c r="AH280" s="494"/>
      <c r="AI280" s="494"/>
      <c r="AJ280" s="494"/>
      <c r="AK280" s="494"/>
      <c r="AL280" s="494"/>
      <c r="AM280" s="494"/>
      <c r="AN280" s="27"/>
      <c r="AO280" s="17"/>
      <c r="AP280" s="9"/>
      <c r="AQ280" s="9"/>
      <c r="AR280" s="9"/>
    </row>
    <row r="281" spans="1:44" customFormat="1" ht="12" customHeight="1" outlineLevel="1" x14ac:dyDescent="0.25">
      <c r="A281" s="7"/>
      <c r="B281" s="8"/>
      <c r="C281" s="18"/>
      <c r="D281" s="18"/>
      <c r="E281" s="18"/>
      <c r="F281" s="24"/>
      <c r="G281" s="505"/>
      <c r="H281" s="505" t="s">
        <v>3189</v>
      </c>
      <c r="I281" s="505"/>
      <c r="J281" s="573">
        <v>43466</v>
      </c>
      <c r="K281" s="573">
        <v>43466</v>
      </c>
      <c r="L281" s="573">
        <v>43466</v>
      </c>
      <c r="M281" s="573">
        <v>43466</v>
      </c>
      <c r="N281" s="573">
        <v>43466</v>
      </c>
      <c r="O281" s="573">
        <v>43466</v>
      </c>
      <c r="P281" s="573">
        <v>43466</v>
      </c>
      <c r="Q281" s="573">
        <v>43466</v>
      </c>
      <c r="R281" s="573">
        <v>43466</v>
      </c>
      <c r="S281" s="573">
        <v>43466</v>
      </c>
      <c r="T281" s="573">
        <v>43466</v>
      </c>
      <c r="U281" s="573">
        <v>43466</v>
      </c>
      <c r="V281" s="573">
        <v>43466</v>
      </c>
      <c r="W281" s="573">
        <v>43466</v>
      </c>
      <c r="X281" s="573">
        <v>43466</v>
      </c>
      <c r="Y281" s="573">
        <v>43466</v>
      </c>
      <c r="Z281" s="573">
        <v>43466</v>
      </c>
      <c r="AA281" s="573">
        <v>43466</v>
      </c>
      <c r="AB281" s="573">
        <v>43466</v>
      </c>
      <c r="AC281" s="573">
        <v>43466</v>
      </c>
      <c r="AD281" s="573">
        <v>43617</v>
      </c>
      <c r="AE281" s="573">
        <v>43617</v>
      </c>
      <c r="AF281" s="573">
        <v>43617</v>
      </c>
      <c r="AG281" s="573">
        <v>43617</v>
      </c>
      <c r="AH281" s="573">
        <v>43617</v>
      </c>
      <c r="AI281" s="573">
        <v>43617</v>
      </c>
      <c r="AJ281" s="573">
        <v>43466</v>
      </c>
      <c r="AK281" s="573">
        <v>43617</v>
      </c>
      <c r="AL281" s="494"/>
      <c r="AM281" s="494"/>
      <c r="AN281" s="27"/>
      <c r="AO281" s="17"/>
      <c r="AP281" s="9"/>
      <c r="AQ281" s="9"/>
      <c r="AR281" s="9"/>
    </row>
    <row r="282" spans="1:44" customFormat="1" ht="12" customHeight="1" outlineLevel="1" x14ac:dyDescent="0.25">
      <c r="A282" s="7"/>
      <c r="B282" s="8"/>
      <c r="C282" s="18"/>
      <c r="D282" s="18"/>
      <c r="E282" s="18"/>
      <c r="F282" s="24"/>
      <c r="G282" s="505"/>
      <c r="H282" s="505"/>
      <c r="I282" s="560">
        <v>2019</v>
      </c>
      <c r="J282" s="574">
        <f>MIN(364,INT((J281 - DATE(YEAR(J281),1,1))))+364*(YEAR(J281)-$I282)</f>
        <v>0</v>
      </c>
      <c r="K282" s="574">
        <f t="shared" ref="K282:AK282" si="23">MIN(364,INT((K281 - DATE(YEAR(K281),1,1))))+364*(YEAR(K281)-$I282)</f>
        <v>0</v>
      </c>
      <c r="L282" s="574">
        <f t="shared" si="23"/>
        <v>0</v>
      </c>
      <c r="M282" s="574">
        <f t="shared" si="23"/>
        <v>0</v>
      </c>
      <c r="N282" s="574">
        <f t="shared" si="23"/>
        <v>0</v>
      </c>
      <c r="O282" s="574">
        <f t="shared" si="23"/>
        <v>0</v>
      </c>
      <c r="P282" s="574">
        <f t="shared" si="23"/>
        <v>0</v>
      </c>
      <c r="Q282" s="574">
        <f t="shared" si="23"/>
        <v>0</v>
      </c>
      <c r="R282" s="574">
        <f t="shared" si="23"/>
        <v>0</v>
      </c>
      <c r="S282" s="574">
        <f t="shared" si="23"/>
        <v>0</v>
      </c>
      <c r="T282" s="574">
        <f t="shared" si="23"/>
        <v>0</v>
      </c>
      <c r="U282" s="574">
        <f t="shared" si="23"/>
        <v>0</v>
      </c>
      <c r="V282" s="574">
        <f t="shared" si="23"/>
        <v>0</v>
      </c>
      <c r="W282" s="574">
        <f t="shared" si="23"/>
        <v>0</v>
      </c>
      <c r="X282" s="574">
        <f t="shared" si="23"/>
        <v>0</v>
      </c>
      <c r="Y282" s="574">
        <f t="shared" si="23"/>
        <v>0</v>
      </c>
      <c r="Z282" s="574">
        <f t="shared" si="23"/>
        <v>0</v>
      </c>
      <c r="AA282" s="574">
        <f t="shared" si="23"/>
        <v>0</v>
      </c>
      <c r="AB282" s="574">
        <f t="shared" si="23"/>
        <v>0</v>
      </c>
      <c r="AC282" s="574">
        <f t="shared" si="23"/>
        <v>0</v>
      </c>
      <c r="AD282" s="574">
        <f t="shared" si="23"/>
        <v>151</v>
      </c>
      <c r="AE282" s="574">
        <f t="shared" si="23"/>
        <v>151</v>
      </c>
      <c r="AF282" s="574">
        <f t="shared" si="23"/>
        <v>151</v>
      </c>
      <c r="AG282" s="574">
        <f t="shared" si="23"/>
        <v>151</v>
      </c>
      <c r="AH282" s="574">
        <f t="shared" si="23"/>
        <v>151</v>
      </c>
      <c r="AI282" s="574">
        <f t="shared" si="23"/>
        <v>151</v>
      </c>
      <c r="AJ282" s="574">
        <f t="shared" si="23"/>
        <v>0</v>
      </c>
      <c r="AK282" s="574">
        <f t="shared" si="23"/>
        <v>151</v>
      </c>
      <c r="AL282" s="494"/>
      <c r="AM282" s="494"/>
      <c r="AN282" s="27"/>
      <c r="AO282" s="17"/>
      <c r="AP282" s="9"/>
      <c r="AQ282" s="9"/>
      <c r="AR282" s="9"/>
    </row>
    <row r="283" spans="1:44" customFormat="1" ht="12" customHeight="1" outlineLevel="1" x14ac:dyDescent="0.25">
      <c r="A283" s="7"/>
      <c r="B283" s="8"/>
      <c r="C283" s="18"/>
      <c r="D283" s="18"/>
      <c r="E283" s="18"/>
      <c r="F283" s="24"/>
      <c r="G283" s="505"/>
      <c r="H283" s="505" t="s">
        <v>3190</v>
      </c>
      <c r="I283" s="505"/>
      <c r="J283" s="573">
        <v>43466</v>
      </c>
      <c r="K283" s="573">
        <v>43466</v>
      </c>
      <c r="L283" s="573">
        <v>43466</v>
      </c>
      <c r="M283" s="573">
        <v>43466</v>
      </c>
      <c r="N283" s="573">
        <v>43466</v>
      </c>
      <c r="O283" s="573">
        <v>43466</v>
      </c>
      <c r="P283" s="573">
        <v>43466</v>
      </c>
      <c r="Q283" s="573">
        <v>43466</v>
      </c>
      <c r="R283" s="573">
        <v>43466</v>
      </c>
      <c r="S283" s="573">
        <v>43466</v>
      </c>
      <c r="T283" s="573">
        <v>43466</v>
      </c>
      <c r="U283" s="573">
        <v>43466</v>
      </c>
      <c r="V283" s="573">
        <v>43466</v>
      </c>
      <c r="W283" s="573">
        <v>43466</v>
      </c>
      <c r="X283" s="573">
        <v>43466</v>
      </c>
      <c r="Y283" s="573">
        <v>43466</v>
      </c>
      <c r="Z283" s="573">
        <v>43466</v>
      </c>
      <c r="AA283" s="573">
        <v>43466</v>
      </c>
      <c r="AB283" s="573">
        <v>43466</v>
      </c>
      <c r="AC283" s="573">
        <v>43466</v>
      </c>
      <c r="AD283" s="573">
        <v>43506</v>
      </c>
      <c r="AE283" s="573">
        <v>43506</v>
      </c>
      <c r="AF283" s="573">
        <v>43506</v>
      </c>
      <c r="AG283" s="573">
        <v>43506</v>
      </c>
      <c r="AH283" s="573">
        <v>43506</v>
      </c>
      <c r="AI283" s="573">
        <v>43506</v>
      </c>
      <c r="AJ283" s="573">
        <v>43466</v>
      </c>
      <c r="AK283" s="573">
        <v>43506</v>
      </c>
      <c r="AL283" s="494"/>
      <c r="AM283" s="494"/>
      <c r="AN283" s="27"/>
      <c r="AO283" s="17"/>
      <c r="AP283" s="9"/>
      <c r="AQ283" s="9"/>
      <c r="AR283" s="9"/>
    </row>
    <row r="284" spans="1:44" customFormat="1" ht="12" customHeight="1" outlineLevel="1" x14ac:dyDescent="0.25">
      <c r="A284" s="7"/>
      <c r="B284" s="8"/>
      <c r="C284" s="18"/>
      <c r="D284" s="18"/>
      <c r="E284" s="18"/>
      <c r="F284" s="24"/>
      <c r="G284" s="505"/>
      <c r="H284" s="505"/>
      <c r="I284" s="508">
        <f>I282</f>
        <v>2019</v>
      </c>
      <c r="J284" s="574">
        <f>MIN(364,INT((J283 - DATE(YEAR(J283),1,1))))+364*(YEAR(J283)-$I284)</f>
        <v>0</v>
      </c>
      <c r="K284" s="574">
        <f t="shared" ref="K284:AK284" si="24">MIN(364,INT((K283 - DATE(YEAR(K283),1,1))))+364*(YEAR(K283)-$I284)</f>
        <v>0</v>
      </c>
      <c r="L284" s="574">
        <f t="shared" si="24"/>
        <v>0</v>
      </c>
      <c r="M284" s="574">
        <f t="shared" si="24"/>
        <v>0</v>
      </c>
      <c r="N284" s="574">
        <f t="shared" si="24"/>
        <v>0</v>
      </c>
      <c r="O284" s="574">
        <f t="shared" si="24"/>
        <v>0</v>
      </c>
      <c r="P284" s="574">
        <f t="shared" si="24"/>
        <v>0</v>
      </c>
      <c r="Q284" s="574">
        <f t="shared" si="24"/>
        <v>0</v>
      </c>
      <c r="R284" s="574">
        <f t="shared" si="24"/>
        <v>0</v>
      </c>
      <c r="S284" s="574">
        <f t="shared" si="24"/>
        <v>0</v>
      </c>
      <c r="T284" s="574">
        <f t="shared" si="24"/>
        <v>0</v>
      </c>
      <c r="U284" s="574">
        <f t="shared" si="24"/>
        <v>0</v>
      </c>
      <c r="V284" s="574">
        <f t="shared" si="24"/>
        <v>0</v>
      </c>
      <c r="W284" s="574">
        <f t="shared" si="24"/>
        <v>0</v>
      </c>
      <c r="X284" s="574">
        <f t="shared" si="24"/>
        <v>0</v>
      </c>
      <c r="Y284" s="574">
        <f t="shared" si="24"/>
        <v>0</v>
      </c>
      <c r="Z284" s="574">
        <f t="shared" si="24"/>
        <v>0</v>
      </c>
      <c r="AA284" s="574">
        <f t="shared" si="24"/>
        <v>0</v>
      </c>
      <c r="AB284" s="574">
        <f t="shared" si="24"/>
        <v>0</v>
      </c>
      <c r="AC284" s="574">
        <f t="shared" si="24"/>
        <v>0</v>
      </c>
      <c r="AD284" s="574">
        <f t="shared" si="24"/>
        <v>40</v>
      </c>
      <c r="AE284" s="574">
        <f t="shared" si="24"/>
        <v>40</v>
      </c>
      <c r="AF284" s="574">
        <f t="shared" si="24"/>
        <v>40</v>
      </c>
      <c r="AG284" s="574">
        <f t="shared" si="24"/>
        <v>40</v>
      </c>
      <c r="AH284" s="574">
        <f t="shared" si="24"/>
        <v>40</v>
      </c>
      <c r="AI284" s="574">
        <f t="shared" si="24"/>
        <v>40</v>
      </c>
      <c r="AJ284" s="574">
        <f t="shared" si="24"/>
        <v>0</v>
      </c>
      <c r="AK284" s="574">
        <f t="shared" si="24"/>
        <v>40</v>
      </c>
      <c r="AL284" s="494"/>
      <c r="AM284" s="494"/>
      <c r="AN284" s="27"/>
      <c r="AO284" s="17"/>
      <c r="AP284" s="9"/>
      <c r="AQ284" s="9"/>
      <c r="AR284" s="9"/>
    </row>
    <row r="285" spans="1:44" customFormat="1" ht="12" customHeight="1" outlineLevel="1" x14ac:dyDescent="0.25">
      <c r="A285" s="7"/>
      <c r="B285" s="8"/>
      <c r="C285" s="18"/>
      <c r="D285" s="18"/>
      <c r="E285" s="18"/>
      <c r="F285" s="24"/>
      <c r="G285" s="505"/>
      <c r="H285" s="505"/>
      <c r="I285" s="505"/>
      <c r="J285" s="494"/>
      <c r="K285" s="494"/>
      <c r="L285" s="494"/>
      <c r="M285" s="494"/>
      <c r="N285" s="494"/>
      <c r="O285" s="494"/>
      <c r="P285" s="494"/>
      <c r="Q285" s="494"/>
      <c r="R285" s="494"/>
      <c r="S285" s="494"/>
      <c r="T285" s="494"/>
      <c r="U285" s="494"/>
      <c r="V285" s="494"/>
      <c r="W285" s="494"/>
      <c r="X285" s="494"/>
      <c r="Y285" s="494"/>
      <c r="Z285" s="494"/>
      <c r="AA285" s="494"/>
      <c r="AB285" s="494"/>
      <c r="AC285" s="494"/>
      <c r="AD285" s="494"/>
      <c r="AE285" s="494"/>
      <c r="AF285" s="494"/>
      <c r="AG285" s="494"/>
      <c r="AH285" s="494"/>
      <c r="AI285" s="494"/>
      <c r="AJ285" s="494"/>
      <c r="AK285" s="494"/>
      <c r="AL285" s="494"/>
      <c r="AM285" s="494"/>
      <c r="AN285" s="27"/>
      <c r="AO285" s="17"/>
      <c r="AP285" s="9"/>
      <c r="AQ285" s="9"/>
      <c r="AR285" s="9"/>
    </row>
    <row r="286" spans="1:44" customFormat="1" ht="12" customHeight="1" outlineLevel="1" x14ac:dyDescent="0.25">
      <c r="A286" s="7"/>
      <c r="B286" s="8"/>
      <c r="C286" s="18"/>
      <c r="D286" s="18"/>
      <c r="E286" s="18"/>
      <c r="F286" s="24"/>
      <c r="G286" s="505"/>
      <c r="H286" s="505"/>
      <c r="I286" s="505"/>
      <c r="J286" s="494"/>
      <c r="K286" s="494"/>
      <c r="L286" s="494"/>
      <c r="M286" s="494"/>
      <c r="N286" s="494"/>
      <c r="O286" s="494"/>
      <c r="P286" s="494"/>
      <c r="Q286" s="494"/>
      <c r="R286" s="494"/>
      <c r="S286" s="494"/>
      <c r="T286" s="494"/>
      <c r="U286" s="494"/>
      <c r="V286" s="494"/>
      <c r="W286" s="494"/>
      <c r="X286" s="494"/>
      <c r="Y286" s="494"/>
      <c r="Z286" s="494"/>
      <c r="AA286" s="494"/>
      <c r="AB286" s="494"/>
      <c r="AC286" s="494"/>
      <c r="AD286" s="494"/>
      <c r="AE286" s="494"/>
      <c r="AF286" s="494"/>
      <c r="AG286" s="494"/>
      <c r="AH286" s="494"/>
      <c r="AI286" s="494"/>
      <c r="AJ286" s="494"/>
      <c r="AK286" s="494"/>
      <c r="AL286" s="494"/>
      <c r="AM286" s="494"/>
      <c r="AN286" s="27"/>
      <c r="AO286" s="17"/>
      <c r="AP286" s="9"/>
      <c r="AQ286" s="9"/>
      <c r="AR286" s="9"/>
    </row>
    <row r="287" spans="1:44" customFormat="1" ht="12" customHeight="1" x14ac:dyDescent="0.25">
      <c r="A287" s="7"/>
      <c r="B287" s="8"/>
      <c r="C287" s="18"/>
      <c r="D287" s="18"/>
      <c r="E287" s="18"/>
      <c r="F287" s="24"/>
      <c r="G287" s="572" t="s">
        <v>3191</v>
      </c>
      <c r="H287" s="505"/>
      <c r="I287" s="505"/>
      <c r="J287" s="494"/>
      <c r="K287" s="494"/>
      <c r="L287" s="494"/>
      <c r="M287" s="494"/>
      <c r="N287" s="494"/>
      <c r="O287" s="494"/>
      <c r="P287" s="494"/>
      <c r="Q287" s="494"/>
      <c r="R287" s="494"/>
      <c r="S287" s="494"/>
      <c r="T287" s="494"/>
      <c r="U287" s="494"/>
      <c r="V287" s="494"/>
      <c r="W287" s="494"/>
      <c r="X287" s="494"/>
      <c r="Y287" s="494"/>
      <c r="Z287" s="494"/>
      <c r="AA287" s="494"/>
      <c r="AB287" s="494"/>
      <c r="AC287" s="494"/>
      <c r="AD287" s="494"/>
      <c r="AE287" s="494"/>
      <c r="AF287" s="494"/>
      <c r="AG287" s="494"/>
      <c r="AH287" s="494"/>
      <c r="AI287" s="494"/>
      <c r="AJ287" s="494"/>
      <c r="AK287" s="494"/>
      <c r="AL287" s="494"/>
      <c r="AM287" s="494"/>
      <c r="AN287" s="27"/>
      <c r="AO287" s="17"/>
      <c r="AP287" s="9"/>
      <c r="AQ287" s="9"/>
      <c r="AR287" s="9"/>
    </row>
    <row r="288" spans="1:44" customFormat="1" ht="12" customHeight="1" outlineLevel="1" x14ac:dyDescent="0.25">
      <c r="A288" s="7"/>
      <c r="B288" s="8"/>
      <c r="C288" s="18"/>
      <c r="D288" s="18"/>
      <c r="E288" s="18"/>
      <c r="F288" s="24"/>
      <c r="G288" s="505"/>
      <c r="H288" s="505" t="s">
        <v>3192</v>
      </c>
      <c r="I288" s="505"/>
      <c r="J288" s="575">
        <v>3.4</v>
      </c>
      <c r="K288" s="575">
        <v>3.4</v>
      </c>
      <c r="L288" s="575">
        <v>3.4</v>
      </c>
      <c r="M288" s="575">
        <v>3.4</v>
      </c>
      <c r="N288" s="575">
        <v>3.4</v>
      </c>
      <c r="O288" s="575">
        <v>3.4</v>
      </c>
      <c r="P288" s="575">
        <v>3.4</v>
      </c>
      <c r="Q288" s="575">
        <v>3.4</v>
      </c>
      <c r="R288" s="575">
        <v>3.4</v>
      </c>
      <c r="S288" s="575">
        <v>3.4</v>
      </c>
      <c r="T288" s="575">
        <v>3.4</v>
      </c>
      <c r="U288" s="575">
        <v>3.4</v>
      </c>
      <c r="V288" s="575">
        <v>3.4</v>
      </c>
      <c r="W288" s="575">
        <v>3.4</v>
      </c>
      <c r="X288" s="575">
        <v>3.4</v>
      </c>
      <c r="Y288" s="575">
        <v>3.4</v>
      </c>
      <c r="Z288" s="575">
        <v>3.4</v>
      </c>
      <c r="AA288" s="575">
        <v>3.4</v>
      </c>
      <c r="AB288" s="575">
        <v>3.4</v>
      </c>
      <c r="AC288" s="575">
        <v>3.4</v>
      </c>
      <c r="AD288" s="575">
        <v>3.4</v>
      </c>
      <c r="AE288" s="575">
        <v>3.4</v>
      </c>
      <c r="AF288" s="575">
        <v>3.4</v>
      </c>
      <c r="AG288" s="575">
        <v>3.4</v>
      </c>
      <c r="AH288" s="575">
        <v>3.4</v>
      </c>
      <c r="AI288" s="575">
        <v>3.4</v>
      </c>
      <c r="AJ288" s="575">
        <v>3.4</v>
      </c>
      <c r="AK288" s="553">
        <f>AVERAGE(AD288:AE288)</f>
        <v>3.4</v>
      </c>
      <c r="AL288" s="494"/>
      <c r="AM288" s="494"/>
      <c r="AN288" s="27"/>
      <c r="AO288" s="17"/>
      <c r="AP288" s="9"/>
      <c r="AQ288" s="9"/>
      <c r="AR288" s="9"/>
    </row>
    <row r="289" spans="1:44" customFormat="1" ht="12" customHeight="1" outlineLevel="1" x14ac:dyDescent="0.25">
      <c r="A289" s="7"/>
      <c r="B289" s="8"/>
      <c r="C289" s="18"/>
      <c r="D289" s="18"/>
      <c r="E289" s="18"/>
      <c r="F289" s="24"/>
      <c r="G289" s="505"/>
      <c r="H289" s="505" t="s">
        <v>3193</v>
      </c>
      <c r="I289" s="505"/>
      <c r="J289" s="575">
        <v>0</v>
      </c>
      <c r="K289" s="575">
        <v>0</v>
      </c>
      <c r="L289" s="575">
        <v>0</v>
      </c>
      <c r="M289" s="575">
        <v>0</v>
      </c>
      <c r="N289" s="575">
        <v>0</v>
      </c>
      <c r="O289" s="575">
        <v>0</v>
      </c>
      <c r="P289" s="575">
        <v>0</v>
      </c>
      <c r="Q289" s="575">
        <v>0</v>
      </c>
      <c r="R289" s="575">
        <v>15.4</v>
      </c>
      <c r="S289" s="575">
        <v>15.4</v>
      </c>
      <c r="T289" s="575">
        <v>15.4</v>
      </c>
      <c r="U289" s="575">
        <v>15.4</v>
      </c>
      <c r="V289" s="575">
        <v>15.4</v>
      </c>
      <c r="W289" s="575">
        <v>15.4</v>
      </c>
      <c r="X289" s="575">
        <v>15.4</v>
      </c>
      <c r="Y289" s="575">
        <v>15.4</v>
      </c>
      <c r="Z289" s="575">
        <v>15.4</v>
      </c>
      <c r="AA289" s="575">
        <v>15.4</v>
      </c>
      <c r="AB289" s="575">
        <v>15.4</v>
      </c>
      <c r="AC289" s="575">
        <v>15.4</v>
      </c>
      <c r="AD289" s="575">
        <v>0</v>
      </c>
      <c r="AE289" s="575">
        <v>0</v>
      </c>
      <c r="AF289" s="575">
        <v>0</v>
      </c>
      <c r="AG289" s="575">
        <v>0</v>
      </c>
      <c r="AH289" s="575">
        <v>0</v>
      </c>
      <c r="AI289" s="575">
        <v>0</v>
      </c>
      <c r="AJ289" s="575">
        <v>15.4</v>
      </c>
      <c r="AK289" s="553">
        <f>AVERAGE(AD289:AE289)</f>
        <v>0</v>
      </c>
      <c r="AL289" s="494"/>
      <c r="AM289" s="494"/>
      <c r="AN289" s="27"/>
      <c r="AO289" s="17"/>
      <c r="AP289" s="9"/>
      <c r="AQ289" s="9"/>
      <c r="AR289" s="9"/>
    </row>
    <row r="290" spans="1:44" customFormat="1" ht="12" customHeight="1" outlineLevel="1" x14ac:dyDescent="0.25">
      <c r="A290" s="7"/>
      <c r="B290" s="8"/>
      <c r="C290" s="18"/>
      <c r="D290" s="18"/>
      <c r="E290" s="18"/>
      <c r="F290" s="24"/>
      <c r="G290" s="505"/>
      <c r="H290" s="505" t="s">
        <v>3194</v>
      </c>
      <c r="I290" s="505"/>
      <c r="J290" s="575">
        <v>29.4</v>
      </c>
      <c r="K290" s="575">
        <v>29.4</v>
      </c>
      <c r="L290" s="575">
        <v>29.4</v>
      </c>
      <c r="M290" s="575">
        <v>29.4</v>
      </c>
      <c r="N290" s="575">
        <v>29.4</v>
      </c>
      <c r="O290" s="575">
        <v>29.4</v>
      </c>
      <c r="P290" s="575">
        <v>29.4</v>
      </c>
      <c r="Q290" s="575">
        <v>29.4</v>
      </c>
      <c r="R290" s="575">
        <v>29.4</v>
      </c>
      <c r="S290" s="575">
        <v>29.4</v>
      </c>
      <c r="T290" s="575">
        <v>29.4</v>
      </c>
      <c r="U290" s="575">
        <v>29.4</v>
      </c>
      <c r="V290" s="575">
        <v>29.4</v>
      </c>
      <c r="W290" s="575">
        <v>29.4</v>
      </c>
      <c r="X290" s="575">
        <v>29.4</v>
      </c>
      <c r="Y290" s="575">
        <v>29.4</v>
      </c>
      <c r="Z290" s="575">
        <v>29.4</v>
      </c>
      <c r="AA290" s="575">
        <v>29.4</v>
      </c>
      <c r="AB290" s="575">
        <v>29.4</v>
      </c>
      <c r="AC290" s="575">
        <v>29.4</v>
      </c>
      <c r="AD290" s="575">
        <v>29.4</v>
      </c>
      <c r="AE290" s="575">
        <v>29.4</v>
      </c>
      <c r="AF290" s="575">
        <v>29.4</v>
      </c>
      <c r="AG290" s="575">
        <v>29.4</v>
      </c>
      <c r="AH290" s="575">
        <v>29.4</v>
      </c>
      <c r="AI290" s="575">
        <v>29.4</v>
      </c>
      <c r="AJ290" s="575">
        <v>29.4</v>
      </c>
      <c r="AK290" s="553">
        <f>AVERAGE(AD290:AE290)</f>
        <v>29.4</v>
      </c>
      <c r="AL290" s="506"/>
      <c r="AM290" s="506"/>
      <c r="AN290" s="27"/>
      <c r="AO290" s="17"/>
      <c r="AP290" s="9"/>
      <c r="AQ290" s="9"/>
      <c r="AR290" s="9"/>
    </row>
    <row r="291" spans="1:44" customFormat="1" ht="12" customHeight="1" outlineLevel="1" x14ac:dyDescent="0.25">
      <c r="A291" s="7"/>
      <c r="B291" s="8"/>
      <c r="C291" s="18"/>
      <c r="D291" s="18"/>
      <c r="E291" s="18"/>
      <c r="F291" s="24"/>
      <c r="G291" s="505"/>
      <c r="H291" s="505" t="s">
        <v>3195</v>
      </c>
      <c r="I291" s="505"/>
      <c r="J291" s="575">
        <v>13.1</v>
      </c>
      <c r="K291" s="575">
        <v>13.1</v>
      </c>
      <c r="L291" s="575">
        <v>13.1</v>
      </c>
      <c r="M291" s="575">
        <v>13.1</v>
      </c>
      <c r="N291" s="575">
        <v>13.1</v>
      </c>
      <c r="O291" s="575">
        <v>13.1</v>
      </c>
      <c r="P291" s="575">
        <v>13.1</v>
      </c>
      <c r="Q291" s="575">
        <v>13.1</v>
      </c>
      <c r="R291" s="575">
        <v>13.1</v>
      </c>
      <c r="S291" s="575">
        <v>13.1</v>
      </c>
      <c r="T291" s="575">
        <v>13.1</v>
      </c>
      <c r="U291" s="575">
        <v>13.1</v>
      </c>
      <c r="V291" s="575">
        <v>13.1</v>
      </c>
      <c r="W291" s="575">
        <v>13.1</v>
      </c>
      <c r="X291" s="575">
        <v>13.1</v>
      </c>
      <c r="Y291" s="575">
        <v>13.1</v>
      </c>
      <c r="Z291" s="575">
        <v>13.1</v>
      </c>
      <c r="AA291" s="575">
        <v>13.1</v>
      </c>
      <c r="AB291" s="575">
        <v>13.1</v>
      </c>
      <c r="AC291" s="575">
        <v>13.1</v>
      </c>
      <c r="AD291" s="575">
        <v>13.1</v>
      </c>
      <c r="AE291" s="575">
        <v>13.1</v>
      </c>
      <c r="AF291" s="575">
        <v>13.1</v>
      </c>
      <c r="AG291" s="575">
        <v>13.1</v>
      </c>
      <c r="AH291" s="575">
        <v>13.1</v>
      </c>
      <c r="AI291" s="575">
        <v>13.1</v>
      </c>
      <c r="AJ291" s="575">
        <v>13.1</v>
      </c>
      <c r="AK291" s="553">
        <f>AVERAGE(AD291:AE291)</f>
        <v>13.1</v>
      </c>
      <c r="AL291" s="493"/>
      <c r="AM291" s="493"/>
      <c r="AN291" s="27"/>
      <c r="AO291" s="17"/>
      <c r="AP291" s="9"/>
      <c r="AQ291" s="9"/>
      <c r="AR291" s="9"/>
    </row>
    <row r="292" spans="1:44" customFormat="1" ht="12" customHeight="1" outlineLevel="1" x14ac:dyDescent="0.25">
      <c r="A292" s="7"/>
      <c r="B292" s="8"/>
      <c r="C292" s="18"/>
      <c r="D292" s="18"/>
      <c r="E292" s="18"/>
      <c r="F292" s="24"/>
      <c r="G292" s="505"/>
      <c r="H292" s="505" t="s">
        <v>3196</v>
      </c>
      <c r="I292" s="505"/>
      <c r="J292" s="575">
        <v>21.25</v>
      </c>
      <c r="K292" s="575">
        <v>21.25</v>
      </c>
      <c r="L292" s="575">
        <v>21.25</v>
      </c>
      <c r="M292" s="575">
        <v>21.25</v>
      </c>
      <c r="N292" s="575">
        <v>21.25</v>
      </c>
      <c r="O292" s="575">
        <v>21.25</v>
      </c>
      <c r="P292" s="575">
        <v>21.25</v>
      </c>
      <c r="Q292" s="575">
        <v>21.25</v>
      </c>
      <c r="R292" s="575">
        <v>21.25</v>
      </c>
      <c r="S292" s="575">
        <v>21.25</v>
      </c>
      <c r="T292" s="575">
        <v>21.25</v>
      </c>
      <c r="U292" s="575">
        <v>21.25</v>
      </c>
      <c r="V292" s="575">
        <v>21.25</v>
      </c>
      <c r="W292" s="575">
        <v>21.25</v>
      </c>
      <c r="X292" s="575">
        <v>21.25</v>
      </c>
      <c r="Y292" s="575">
        <v>21.25</v>
      </c>
      <c r="Z292" s="575">
        <v>21.25</v>
      </c>
      <c r="AA292" s="575">
        <v>21.25</v>
      </c>
      <c r="AB292" s="575">
        <v>21.25</v>
      </c>
      <c r="AC292" s="575">
        <v>21.25</v>
      </c>
      <c r="AD292" s="575">
        <v>21.25</v>
      </c>
      <c r="AE292" s="575">
        <v>21.25</v>
      </c>
      <c r="AF292" s="575">
        <v>21.25</v>
      </c>
      <c r="AG292" s="575">
        <v>21.25</v>
      </c>
      <c r="AH292" s="575">
        <v>21.25</v>
      </c>
      <c r="AI292" s="575">
        <v>21.25</v>
      </c>
      <c r="AJ292" s="575">
        <v>21.25</v>
      </c>
      <c r="AK292" s="553">
        <f>AVERAGE(AD292:AE292)</f>
        <v>21.25</v>
      </c>
      <c r="AL292" s="494"/>
      <c r="AM292" s="494"/>
      <c r="AN292" s="27"/>
      <c r="AO292" s="17"/>
      <c r="AP292" s="9"/>
      <c r="AQ292" s="9"/>
      <c r="AR292" s="9"/>
    </row>
    <row r="293" spans="1:44" customFormat="1" ht="12" customHeight="1" outlineLevel="1" x14ac:dyDescent="0.25">
      <c r="A293" s="7"/>
      <c r="B293" s="8"/>
      <c r="C293" s="18"/>
      <c r="D293" s="18"/>
      <c r="E293" s="18"/>
      <c r="F293" s="24"/>
      <c r="G293" s="505"/>
      <c r="H293" s="505"/>
      <c r="I293" s="505"/>
      <c r="J293" s="494"/>
      <c r="K293" s="494"/>
      <c r="L293" s="494"/>
      <c r="M293" s="494"/>
      <c r="N293" s="494"/>
      <c r="O293" s="494"/>
      <c r="P293" s="494"/>
      <c r="Q293" s="494"/>
      <c r="R293" s="494"/>
      <c r="S293" s="494"/>
      <c r="T293" s="494"/>
      <c r="U293" s="494"/>
      <c r="V293" s="494"/>
      <c r="W293" s="494"/>
      <c r="X293" s="494"/>
      <c r="Y293" s="494"/>
      <c r="Z293" s="494"/>
      <c r="AA293" s="494"/>
      <c r="AB293" s="494"/>
      <c r="AC293" s="494"/>
      <c r="AD293" s="494"/>
      <c r="AE293" s="494"/>
      <c r="AF293" s="494"/>
      <c r="AG293" s="494"/>
      <c r="AH293" s="494"/>
      <c r="AI293" s="494"/>
      <c r="AJ293" s="494"/>
      <c r="AK293" s="494"/>
      <c r="AL293" s="494"/>
      <c r="AM293" s="494"/>
      <c r="AN293" s="27"/>
      <c r="AO293" s="17"/>
      <c r="AP293" s="9"/>
      <c r="AQ293" s="9"/>
      <c r="AR293" s="9"/>
    </row>
    <row r="294" spans="1:44" customFormat="1" ht="12" customHeight="1" outlineLevel="1" x14ac:dyDescent="0.25">
      <c r="A294" s="7"/>
      <c r="B294" s="8"/>
      <c r="C294" s="18"/>
      <c r="D294" s="18"/>
      <c r="E294" s="18"/>
      <c r="F294" s="24"/>
      <c r="G294" s="25"/>
      <c r="H294" s="28"/>
      <c r="I294" s="505"/>
      <c r="J294" s="494"/>
      <c r="K294" s="494"/>
      <c r="L294" s="494"/>
      <c r="M294" s="494"/>
      <c r="N294" s="494"/>
      <c r="O294" s="494"/>
      <c r="P294" s="494"/>
      <c r="Q294" s="494"/>
      <c r="R294" s="494"/>
      <c r="S294" s="494"/>
      <c r="T294" s="494"/>
      <c r="U294" s="494"/>
      <c r="V294" s="494"/>
      <c r="W294" s="494"/>
      <c r="X294" s="494"/>
      <c r="Y294" s="494"/>
      <c r="Z294" s="494"/>
      <c r="AA294" s="494"/>
      <c r="AB294" s="494"/>
      <c r="AC294" s="494"/>
      <c r="AD294" s="494"/>
      <c r="AE294" s="494"/>
      <c r="AF294" s="494"/>
      <c r="AG294" s="494"/>
      <c r="AH294" s="494"/>
      <c r="AI294" s="494"/>
      <c r="AJ294" s="494"/>
      <c r="AK294" s="494"/>
      <c r="AL294" s="494"/>
      <c r="AM294" s="494"/>
      <c r="AN294" s="27"/>
      <c r="AO294" s="17"/>
      <c r="AP294" s="9"/>
      <c r="AQ294" s="9"/>
      <c r="AR294" s="9"/>
    </row>
    <row r="295" spans="1:44" customFormat="1" ht="12" customHeight="1" x14ac:dyDescent="0.25">
      <c r="A295" s="7"/>
      <c r="B295" s="8"/>
      <c r="C295" s="18"/>
      <c r="D295" s="18"/>
      <c r="E295" s="18"/>
      <c r="F295" s="24"/>
      <c r="G295" s="549" t="s">
        <v>3197</v>
      </c>
      <c r="H295" s="28"/>
      <c r="I295" s="576"/>
      <c r="J295" s="498"/>
      <c r="K295" s="498"/>
      <c r="L295" s="498"/>
      <c r="M295" s="498"/>
      <c r="N295" s="498"/>
      <c r="O295" s="498"/>
      <c r="P295" s="498"/>
      <c r="Q295" s="498"/>
      <c r="R295" s="498"/>
      <c r="S295" s="498"/>
      <c r="T295" s="498"/>
      <c r="U295" s="498"/>
      <c r="V295" s="498"/>
      <c r="W295" s="498"/>
      <c r="X295" s="498"/>
      <c r="Y295" s="498"/>
      <c r="Z295" s="498"/>
      <c r="AA295" s="498"/>
      <c r="AB295" s="498"/>
      <c r="AC295" s="498"/>
      <c r="AD295" s="498"/>
      <c r="AE295" s="498"/>
      <c r="AF295" s="498"/>
      <c r="AG295" s="498"/>
      <c r="AH295" s="498"/>
      <c r="AI295" s="498"/>
      <c r="AJ295" s="498"/>
      <c r="AK295" s="498"/>
      <c r="AL295" s="494"/>
      <c r="AM295" s="494"/>
      <c r="AN295" s="27"/>
      <c r="AO295" s="17"/>
      <c r="AP295" s="9"/>
      <c r="AQ295" s="9"/>
      <c r="AR295" s="9"/>
    </row>
    <row r="296" spans="1:44" customFormat="1" ht="12" customHeight="1" outlineLevel="1" x14ac:dyDescent="0.25">
      <c r="A296" s="7"/>
      <c r="B296" s="8"/>
      <c r="C296" s="18"/>
      <c r="D296" s="18"/>
      <c r="E296" s="18"/>
      <c r="F296" s="24"/>
      <c r="G296" s="25"/>
      <c r="H296" s="28" t="s">
        <v>2372</v>
      </c>
      <c r="I296" s="576"/>
      <c r="J296" s="577">
        <v>1500</v>
      </c>
      <c r="K296" s="577">
        <v>1500</v>
      </c>
      <c r="L296" s="577">
        <v>1500</v>
      </c>
      <c r="M296" s="577">
        <v>1500</v>
      </c>
      <c r="N296" s="577">
        <v>1500</v>
      </c>
      <c r="O296" s="577">
        <v>1500</v>
      </c>
      <c r="P296" s="577">
        <v>1500</v>
      </c>
      <c r="Q296" s="577">
        <v>1500</v>
      </c>
      <c r="R296" s="577">
        <v>1500</v>
      </c>
      <c r="S296" s="577">
        <v>1500</v>
      </c>
      <c r="T296" s="577">
        <v>1500</v>
      </c>
      <c r="U296" s="577">
        <v>1500</v>
      </c>
      <c r="V296" s="577">
        <v>1500</v>
      </c>
      <c r="W296" s="577">
        <v>1500</v>
      </c>
      <c r="X296" s="577">
        <v>1500</v>
      </c>
      <c r="Y296" s="577">
        <v>1500</v>
      </c>
      <c r="Z296" s="577">
        <v>1500</v>
      </c>
      <c r="AA296" s="577">
        <v>1500</v>
      </c>
      <c r="AB296" s="577">
        <v>1500</v>
      </c>
      <c r="AC296" s="577">
        <v>1500</v>
      </c>
      <c r="AD296" s="577">
        <v>3000</v>
      </c>
      <c r="AE296" s="577">
        <v>3000</v>
      </c>
      <c r="AF296" s="577">
        <v>3000</v>
      </c>
      <c r="AG296" s="577">
        <v>3000</v>
      </c>
      <c r="AH296" s="577">
        <v>3000</v>
      </c>
      <c r="AI296" s="577">
        <v>3000</v>
      </c>
      <c r="AJ296" s="577">
        <v>1500</v>
      </c>
      <c r="AK296" s="577">
        <v>3000</v>
      </c>
      <c r="AL296" s="494"/>
      <c r="AM296" s="494"/>
      <c r="AN296" s="27"/>
      <c r="AO296" s="17"/>
      <c r="AP296" s="9"/>
      <c r="AQ296" s="494" t="s">
        <v>3198</v>
      </c>
      <c r="AR296" s="9"/>
    </row>
    <row r="297" spans="1:44" customFormat="1" ht="12" customHeight="1" outlineLevel="1" x14ac:dyDescent="0.25">
      <c r="A297" s="7"/>
      <c r="B297" s="8"/>
      <c r="C297" s="18"/>
      <c r="D297" s="18"/>
      <c r="E297" s="18"/>
      <c r="F297" s="24"/>
      <c r="G297" s="25"/>
      <c r="H297" s="41" t="s">
        <v>3199</v>
      </c>
      <c r="I297" s="578" t="s">
        <v>3200</v>
      </c>
      <c r="J297" s="577">
        <v>0</v>
      </c>
      <c r="K297" s="577">
        <v>0</v>
      </c>
      <c r="L297" s="577">
        <v>0</v>
      </c>
      <c r="M297" s="577">
        <v>0</v>
      </c>
      <c r="N297" s="577">
        <v>0</v>
      </c>
      <c r="O297" s="577">
        <v>0</v>
      </c>
      <c r="P297" s="577">
        <v>0</v>
      </c>
      <c r="Q297" s="577">
        <v>0</v>
      </c>
      <c r="R297" s="577">
        <v>0.25</v>
      </c>
      <c r="S297" s="577">
        <v>0.25</v>
      </c>
      <c r="T297" s="577">
        <v>0.25</v>
      </c>
      <c r="U297" s="577">
        <v>0.25</v>
      </c>
      <c r="V297" s="577">
        <v>0.25</v>
      </c>
      <c r="W297" s="577">
        <v>0.25</v>
      </c>
      <c r="X297" s="577">
        <v>0.32</v>
      </c>
      <c r="Y297" s="577">
        <v>0.32</v>
      </c>
      <c r="Z297" s="577">
        <v>0.25</v>
      </c>
      <c r="AA297" s="577">
        <v>0.25</v>
      </c>
      <c r="AB297" s="577">
        <v>0.17</v>
      </c>
      <c r="AC297" s="577">
        <v>0.17</v>
      </c>
      <c r="AD297" s="577">
        <v>0</v>
      </c>
      <c r="AE297" s="577">
        <v>0</v>
      </c>
      <c r="AF297" s="577">
        <v>0</v>
      </c>
      <c r="AG297" s="577">
        <v>0</v>
      </c>
      <c r="AH297" s="577">
        <v>0</v>
      </c>
      <c r="AI297" s="577">
        <v>0</v>
      </c>
      <c r="AJ297" s="577">
        <v>0.25</v>
      </c>
      <c r="AK297" s="577">
        <v>0</v>
      </c>
      <c r="AL297" s="494"/>
      <c r="AM297" s="494"/>
      <c r="AN297" s="27"/>
      <c r="AO297" s="17"/>
      <c r="AP297" s="9"/>
      <c r="AQ297" s="579">
        <f>AI214</f>
        <v>45250</v>
      </c>
      <c r="AR297" s="9"/>
    </row>
    <row r="298" spans="1:44" customFormat="1" ht="12" customHeight="1" outlineLevel="1" x14ac:dyDescent="0.25">
      <c r="A298" s="7"/>
      <c r="B298" s="8"/>
      <c r="C298" s="18"/>
      <c r="D298" s="18"/>
      <c r="E298" s="18"/>
      <c r="F298" s="24"/>
      <c r="G298" s="25"/>
      <c r="H298" s="28"/>
      <c r="I298" s="578" t="s">
        <v>3201</v>
      </c>
      <c r="J298" s="577">
        <v>0</v>
      </c>
      <c r="K298" s="577">
        <v>0</v>
      </c>
      <c r="L298" s="577">
        <v>0</v>
      </c>
      <c r="M298" s="577">
        <v>0</v>
      </c>
      <c r="N298" s="577">
        <v>0</v>
      </c>
      <c r="O298" s="577">
        <v>0</v>
      </c>
      <c r="P298" s="577">
        <v>0</v>
      </c>
      <c r="Q298" s="577">
        <v>0</v>
      </c>
      <c r="R298" s="577">
        <v>0</v>
      </c>
      <c r="S298" s="577">
        <v>0</v>
      </c>
      <c r="T298" s="577">
        <v>0</v>
      </c>
      <c r="U298" s="577">
        <v>0</v>
      </c>
      <c r="V298" s="577">
        <v>0</v>
      </c>
      <c r="W298" s="577">
        <v>0</v>
      </c>
      <c r="X298" s="577">
        <v>0</v>
      </c>
      <c r="Y298" s="577">
        <v>0</v>
      </c>
      <c r="Z298" s="577">
        <v>0</v>
      </c>
      <c r="AA298" s="577">
        <v>0</v>
      </c>
      <c r="AB298" s="577">
        <v>0</v>
      </c>
      <c r="AC298" s="577">
        <v>0</v>
      </c>
      <c r="AD298" s="577">
        <v>0</v>
      </c>
      <c r="AE298" s="577">
        <v>0</v>
      </c>
      <c r="AF298" s="577">
        <v>0</v>
      </c>
      <c r="AG298" s="580">
        <f>300/919/7</f>
        <v>4.6634540649774604E-2</v>
      </c>
      <c r="AH298" s="580">
        <f>300/746/7</f>
        <v>5.7449253159708925E-2</v>
      </c>
      <c r="AI298" s="577">
        <v>0</v>
      </c>
      <c r="AJ298" s="577">
        <v>0</v>
      </c>
      <c r="AK298" s="577">
        <v>0</v>
      </c>
      <c r="AL298" s="494"/>
      <c r="AM298" s="494"/>
      <c r="AN298" s="27"/>
      <c r="AO298" s="17"/>
      <c r="AP298" s="9"/>
      <c r="AQ298" s="579">
        <f>AQ297+7</f>
        <v>45257</v>
      </c>
      <c r="AR298" s="9"/>
    </row>
    <row r="299" spans="1:44" customFormat="1" ht="12" customHeight="1" outlineLevel="1" x14ac:dyDescent="0.25">
      <c r="A299" s="7"/>
      <c r="B299" s="8"/>
      <c r="C299" s="18"/>
      <c r="D299" s="18"/>
      <c r="E299" s="18"/>
      <c r="F299" s="24"/>
      <c r="G299" s="25"/>
      <c r="H299" s="28"/>
      <c r="I299" s="578" t="s">
        <v>3202</v>
      </c>
      <c r="J299" s="577">
        <v>0</v>
      </c>
      <c r="K299" s="577">
        <v>0</v>
      </c>
      <c r="L299" s="577">
        <v>0</v>
      </c>
      <c r="M299" s="577">
        <v>0</v>
      </c>
      <c r="N299" s="577">
        <v>0</v>
      </c>
      <c r="O299" s="577">
        <v>0</v>
      </c>
      <c r="P299" s="577">
        <v>0</v>
      </c>
      <c r="Q299" s="577">
        <v>0</v>
      </c>
      <c r="R299" s="577">
        <v>0</v>
      </c>
      <c r="S299" s="577">
        <v>0</v>
      </c>
      <c r="T299" s="577">
        <v>0</v>
      </c>
      <c r="U299" s="577">
        <v>0</v>
      </c>
      <c r="V299" s="577">
        <v>0</v>
      </c>
      <c r="W299" s="577">
        <v>0</v>
      </c>
      <c r="X299" s="577">
        <v>0</v>
      </c>
      <c r="Y299" s="577">
        <v>0</v>
      </c>
      <c r="Z299" s="577">
        <v>0</v>
      </c>
      <c r="AA299" s="577">
        <v>0</v>
      </c>
      <c r="AB299" s="577">
        <v>0</v>
      </c>
      <c r="AC299" s="577">
        <v>0</v>
      </c>
      <c r="AD299" s="577">
        <v>0</v>
      </c>
      <c r="AE299" s="577">
        <v>0</v>
      </c>
      <c r="AF299" s="577">
        <v>0</v>
      </c>
      <c r="AG299" s="577">
        <v>0</v>
      </c>
      <c r="AH299" s="580">
        <f t="shared" ref="AH299" si="25">300/746/7</f>
        <v>5.7449253159708925E-2</v>
      </c>
      <c r="AI299" s="577">
        <v>0</v>
      </c>
      <c r="AJ299" s="577">
        <v>0</v>
      </c>
      <c r="AK299" s="577">
        <v>0</v>
      </c>
      <c r="AL299" s="494"/>
      <c r="AM299" s="494"/>
      <c r="AN299" s="27"/>
      <c r="AO299" s="17"/>
      <c r="AP299" s="9"/>
      <c r="AQ299" s="579">
        <f t="shared" ref="AQ299:AQ312" si="26">AQ298+7</f>
        <v>45264</v>
      </c>
      <c r="AR299" s="9"/>
    </row>
    <row r="300" spans="1:44" customFormat="1" ht="12" customHeight="1" outlineLevel="1" x14ac:dyDescent="0.25">
      <c r="A300" s="7"/>
      <c r="B300" s="8"/>
      <c r="C300" s="18"/>
      <c r="D300" s="18"/>
      <c r="E300" s="18"/>
      <c r="F300" s="24"/>
      <c r="G300" s="25"/>
      <c r="H300" s="28"/>
      <c r="I300" s="578" t="s">
        <v>3203</v>
      </c>
      <c r="J300" s="577">
        <v>0</v>
      </c>
      <c r="K300" s="577">
        <v>0</v>
      </c>
      <c r="L300" s="577">
        <v>0</v>
      </c>
      <c r="M300" s="577">
        <v>0</v>
      </c>
      <c r="N300" s="577">
        <v>0</v>
      </c>
      <c r="O300" s="577">
        <v>0</v>
      </c>
      <c r="P300" s="577">
        <v>0</v>
      </c>
      <c r="Q300" s="577">
        <v>0</v>
      </c>
      <c r="R300" s="577">
        <v>0</v>
      </c>
      <c r="S300" s="577">
        <v>0</v>
      </c>
      <c r="T300" s="577">
        <v>0</v>
      </c>
      <c r="U300" s="577">
        <v>0</v>
      </c>
      <c r="V300" s="577">
        <v>0</v>
      </c>
      <c r="W300" s="577">
        <v>0</v>
      </c>
      <c r="X300" s="577">
        <v>0</v>
      </c>
      <c r="Y300" s="577">
        <v>0</v>
      </c>
      <c r="Z300" s="577">
        <v>0</v>
      </c>
      <c r="AA300" s="577">
        <v>0</v>
      </c>
      <c r="AB300" s="577">
        <v>0</v>
      </c>
      <c r="AC300" s="577">
        <v>0</v>
      </c>
      <c r="AD300" s="577">
        <v>0</v>
      </c>
      <c r="AE300" s="577">
        <v>0</v>
      </c>
      <c r="AF300" s="577">
        <v>0</v>
      </c>
      <c r="AG300" s="580">
        <f>300/919/7</f>
        <v>4.6634540649774604E-2</v>
      </c>
      <c r="AH300" s="580">
        <f>320/746/7</f>
        <v>6.1279203370356188E-2</v>
      </c>
      <c r="AI300" s="577">
        <v>0</v>
      </c>
      <c r="AJ300" s="577">
        <v>0</v>
      </c>
      <c r="AK300" s="577">
        <v>0</v>
      </c>
      <c r="AL300" s="494"/>
      <c r="AM300" s="494"/>
      <c r="AN300" s="27"/>
      <c r="AO300" s="17"/>
      <c r="AP300" s="9"/>
      <c r="AQ300" s="579">
        <f t="shared" si="26"/>
        <v>45271</v>
      </c>
      <c r="AR300" s="9"/>
    </row>
    <row r="301" spans="1:44" customFormat="1" ht="12" customHeight="1" outlineLevel="1" x14ac:dyDescent="0.25">
      <c r="A301" s="7"/>
      <c r="B301" s="8"/>
      <c r="C301" s="18"/>
      <c r="D301" s="18"/>
      <c r="E301" s="18"/>
      <c r="F301" s="24"/>
      <c r="G301" s="25"/>
      <c r="H301" s="28"/>
      <c r="I301" s="578" t="s">
        <v>3204</v>
      </c>
      <c r="J301" s="577">
        <v>0</v>
      </c>
      <c r="K301" s="577">
        <v>0</v>
      </c>
      <c r="L301" s="577">
        <v>0</v>
      </c>
      <c r="M301" s="577">
        <v>0</v>
      </c>
      <c r="N301" s="577">
        <v>0</v>
      </c>
      <c r="O301" s="577">
        <v>0</v>
      </c>
      <c r="P301" s="577">
        <v>0</v>
      </c>
      <c r="Q301" s="577">
        <v>0</v>
      </c>
      <c r="R301" s="577">
        <v>0</v>
      </c>
      <c r="S301" s="577">
        <v>0</v>
      </c>
      <c r="T301" s="577">
        <v>0</v>
      </c>
      <c r="U301" s="577">
        <v>0</v>
      </c>
      <c r="V301" s="577">
        <v>0</v>
      </c>
      <c r="W301" s="577">
        <v>0</v>
      </c>
      <c r="X301" s="577">
        <v>0</v>
      </c>
      <c r="Y301" s="577">
        <v>0</v>
      </c>
      <c r="Z301" s="577">
        <v>0</v>
      </c>
      <c r="AA301" s="577">
        <v>0</v>
      </c>
      <c r="AB301" s="577">
        <v>0</v>
      </c>
      <c r="AC301" s="577">
        <v>0</v>
      </c>
      <c r="AD301" s="577">
        <v>0</v>
      </c>
      <c r="AE301" s="577">
        <v>0</v>
      </c>
      <c r="AF301" s="577">
        <v>0</v>
      </c>
      <c r="AG301" s="580">
        <f>400/919/7</f>
        <v>6.2179387533032801E-2</v>
      </c>
      <c r="AH301" s="580">
        <f>350/746/7</f>
        <v>6.7024128686327081E-2</v>
      </c>
      <c r="AI301" s="580">
        <f>200/294/7</f>
        <v>9.718172983479105E-2</v>
      </c>
      <c r="AJ301" s="577">
        <v>0</v>
      </c>
      <c r="AK301" s="577">
        <v>0</v>
      </c>
      <c r="AL301" s="494"/>
      <c r="AM301" s="494"/>
      <c r="AN301" s="27"/>
      <c r="AO301" s="17"/>
      <c r="AP301" s="9"/>
      <c r="AQ301" s="579">
        <f t="shared" si="26"/>
        <v>45278</v>
      </c>
      <c r="AR301" s="9"/>
    </row>
    <row r="302" spans="1:44" customFormat="1" ht="12" customHeight="1" outlineLevel="1" x14ac:dyDescent="0.25">
      <c r="A302" s="7"/>
      <c r="B302" s="8"/>
      <c r="C302" s="18"/>
      <c r="D302" s="18"/>
      <c r="E302" s="18"/>
      <c r="F302" s="24"/>
      <c r="G302" s="25"/>
      <c r="H302" s="28"/>
      <c r="I302" s="578" t="s">
        <v>3205</v>
      </c>
      <c r="J302" s="577">
        <v>0</v>
      </c>
      <c r="K302" s="577">
        <v>0</v>
      </c>
      <c r="L302" s="577">
        <v>0</v>
      </c>
      <c r="M302" s="577">
        <v>0</v>
      </c>
      <c r="N302" s="577">
        <v>0</v>
      </c>
      <c r="O302" s="577">
        <v>0</v>
      </c>
      <c r="P302" s="577">
        <v>0</v>
      </c>
      <c r="Q302" s="577">
        <v>0</v>
      </c>
      <c r="R302" s="577">
        <v>0</v>
      </c>
      <c r="S302" s="577">
        <v>0</v>
      </c>
      <c r="T302" s="577">
        <v>0</v>
      </c>
      <c r="U302" s="577">
        <v>0</v>
      </c>
      <c r="V302" s="577">
        <v>0</v>
      </c>
      <c r="W302" s="577">
        <v>0</v>
      </c>
      <c r="X302" s="577">
        <v>0</v>
      </c>
      <c r="Y302" s="577">
        <v>0</v>
      </c>
      <c r="Z302" s="577">
        <v>0</v>
      </c>
      <c r="AA302" s="577">
        <v>0</v>
      </c>
      <c r="AB302" s="577">
        <v>0</v>
      </c>
      <c r="AC302" s="577">
        <v>0</v>
      </c>
      <c r="AD302" s="577">
        <v>0</v>
      </c>
      <c r="AE302" s="577">
        <v>0</v>
      </c>
      <c r="AF302" s="577">
        <v>0</v>
      </c>
      <c r="AG302" s="577">
        <v>0</v>
      </c>
      <c r="AH302" s="580">
        <f t="shared" ref="AH302:AH307" si="27">350/746/7</f>
        <v>6.7024128686327081E-2</v>
      </c>
      <c r="AI302" s="577">
        <v>0</v>
      </c>
      <c r="AJ302" s="577">
        <v>0</v>
      </c>
      <c r="AK302" s="577">
        <v>0</v>
      </c>
      <c r="AL302" s="494"/>
      <c r="AM302" s="494"/>
      <c r="AN302" s="27"/>
      <c r="AO302" s="17"/>
      <c r="AP302" s="9"/>
      <c r="AQ302" s="579">
        <f t="shared" si="26"/>
        <v>45285</v>
      </c>
      <c r="AR302" s="9"/>
    </row>
    <row r="303" spans="1:44" customFormat="1" ht="12" customHeight="1" outlineLevel="1" x14ac:dyDescent="0.25">
      <c r="A303" s="7"/>
      <c r="B303" s="8"/>
      <c r="C303" s="18"/>
      <c r="D303" s="18"/>
      <c r="E303" s="18"/>
      <c r="F303" s="24"/>
      <c r="G303" s="25"/>
      <c r="H303" s="28"/>
      <c r="I303" s="578" t="s">
        <v>3206</v>
      </c>
      <c r="J303" s="577">
        <v>0</v>
      </c>
      <c r="K303" s="577">
        <v>0</v>
      </c>
      <c r="L303" s="577">
        <v>0</v>
      </c>
      <c r="M303" s="577">
        <v>0</v>
      </c>
      <c r="N303" s="577">
        <v>0</v>
      </c>
      <c r="O303" s="577">
        <v>0</v>
      </c>
      <c r="P303" s="577">
        <v>0</v>
      </c>
      <c r="Q303" s="577">
        <v>0</v>
      </c>
      <c r="R303" s="577">
        <v>0</v>
      </c>
      <c r="S303" s="577">
        <v>0</v>
      </c>
      <c r="T303" s="577">
        <v>0</v>
      </c>
      <c r="U303" s="577">
        <v>0</v>
      </c>
      <c r="V303" s="577">
        <v>0</v>
      </c>
      <c r="W303" s="577">
        <v>0</v>
      </c>
      <c r="X303" s="577">
        <v>0</v>
      </c>
      <c r="Y303" s="577">
        <v>0</v>
      </c>
      <c r="Z303" s="577">
        <v>0</v>
      </c>
      <c r="AA303" s="577">
        <v>0</v>
      </c>
      <c r="AB303" s="577">
        <v>0</v>
      </c>
      <c r="AC303" s="577">
        <v>0</v>
      </c>
      <c r="AD303" s="577">
        <v>0</v>
      </c>
      <c r="AE303" s="577">
        <v>0</v>
      </c>
      <c r="AF303" s="577">
        <v>0</v>
      </c>
      <c r="AG303" s="577">
        <v>0</v>
      </c>
      <c r="AH303" s="580">
        <f t="shared" si="27"/>
        <v>6.7024128686327081E-2</v>
      </c>
      <c r="AI303" s="577">
        <v>0</v>
      </c>
      <c r="AJ303" s="577">
        <v>0</v>
      </c>
      <c r="AK303" s="577">
        <v>0</v>
      </c>
      <c r="AL303" s="494"/>
      <c r="AM303" s="494"/>
      <c r="AN303" s="27"/>
      <c r="AO303" s="17"/>
      <c r="AP303" s="9"/>
      <c r="AQ303" s="579">
        <f t="shared" si="26"/>
        <v>45292</v>
      </c>
      <c r="AR303" s="9"/>
    </row>
    <row r="304" spans="1:44" customFormat="1" ht="12" customHeight="1" outlineLevel="1" x14ac:dyDescent="0.25">
      <c r="A304" s="7"/>
      <c r="B304" s="8"/>
      <c r="C304" s="18"/>
      <c r="D304" s="18"/>
      <c r="E304" s="18"/>
      <c r="F304" s="24"/>
      <c r="G304" s="25"/>
      <c r="H304" s="28"/>
      <c r="I304" s="578" t="s">
        <v>3207</v>
      </c>
      <c r="J304" s="577">
        <v>0</v>
      </c>
      <c r="K304" s="577">
        <v>0</v>
      </c>
      <c r="L304" s="577">
        <v>0</v>
      </c>
      <c r="M304" s="577">
        <v>0</v>
      </c>
      <c r="N304" s="577">
        <v>0</v>
      </c>
      <c r="O304" s="577">
        <v>0</v>
      </c>
      <c r="P304" s="577">
        <v>0</v>
      </c>
      <c r="Q304" s="577">
        <v>0</v>
      </c>
      <c r="R304" s="577">
        <v>0</v>
      </c>
      <c r="S304" s="577">
        <v>0</v>
      </c>
      <c r="T304" s="577">
        <v>0</v>
      </c>
      <c r="U304" s="577">
        <v>0</v>
      </c>
      <c r="V304" s="577">
        <v>0</v>
      </c>
      <c r="W304" s="577">
        <v>0</v>
      </c>
      <c r="X304" s="577">
        <v>0</v>
      </c>
      <c r="Y304" s="577">
        <v>0</v>
      </c>
      <c r="Z304" s="577">
        <v>0</v>
      </c>
      <c r="AA304" s="577">
        <v>0</v>
      </c>
      <c r="AB304" s="577">
        <v>0</v>
      </c>
      <c r="AC304" s="577">
        <v>0</v>
      </c>
      <c r="AD304" s="577">
        <v>0</v>
      </c>
      <c r="AE304" s="577">
        <v>0</v>
      </c>
      <c r="AF304" s="577">
        <v>0</v>
      </c>
      <c r="AG304" s="577">
        <v>0</v>
      </c>
      <c r="AH304" s="580">
        <f t="shared" si="27"/>
        <v>6.7024128686327081E-2</v>
      </c>
      <c r="AI304" s="577">
        <v>0</v>
      </c>
      <c r="AJ304" s="577">
        <v>0</v>
      </c>
      <c r="AK304" s="577">
        <v>0</v>
      </c>
      <c r="AL304" s="494"/>
      <c r="AM304" s="494"/>
      <c r="AN304" s="27"/>
      <c r="AO304" s="17"/>
      <c r="AP304" s="9"/>
      <c r="AQ304" s="579">
        <f t="shared" si="26"/>
        <v>45299</v>
      </c>
      <c r="AR304" s="9"/>
    </row>
    <row r="305" spans="1:44" customFormat="1" ht="12" customHeight="1" outlineLevel="1" x14ac:dyDescent="0.25">
      <c r="A305" s="7"/>
      <c r="B305" s="8"/>
      <c r="C305" s="18"/>
      <c r="D305" s="18"/>
      <c r="E305" s="18"/>
      <c r="F305" s="24"/>
      <c r="G305" s="25"/>
      <c r="H305" s="28"/>
      <c r="I305" s="578" t="s">
        <v>3208</v>
      </c>
      <c r="J305" s="577">
        <v>0</v>
      </c>
      <c r="K305" s="577">
        <v>0</v>
      </c>
      <c r="L305" s="577">
        <v>0</v>
      </c>
      <c r="M305" s="577">
        <v>0</v>
      </c>
      <c r="N305" s="577">
        <v>0</v>
      </c>
      <c r="O305" s="577">
        <v>0</v>
      </c>
      <c r="P305" s="577">
        <v>0</v>
      </c>
      <c r="Q305" s="577">
        <v>0</v>
      </c>
      <c r="R305" s="577">
        <v>0</v>
      </c>
      <c r="S305" s="577">
        <v>0</v>
      </c>
      <c r="T305" s="577">
        <v>0</v>
      </c>
      <c r="U305" s="577">
        <v>0</v>
      </c>
      <c r="V305" s="577">
        <v>0</v>
      </c>
      <c r="W305" s="577">
        <v>0</v>
      </c>
      <c r="X305" s="577">
        <v>0</v>
      </c>
      <c r="Y305" s="577">
        <v>0</v>
      </c>
      <c r="Z305" s="577">
        <v>0</v>
      </c>
      <c r="AA305" s="577">
        <v>0</v>
      </c>
      <c r="AB305" s="577">
        <v>0</v>
      </c>
      <c r="AC305" s="577">
        <v>0</v>
      </c>
      <c r="AD305" s="577">
        <v>0</v>
      </c>
      <c r="AE305" s="577">
        <v>0</v>
      </c>
      <c r="AF305" s="577">
        <v>0</v>
      </c>
      <c r="AG305" s="577">
        <v>0</v>
      </c>
      <c r="AH305" s="580">
        <f t="shared" si="27"/>
        <v>6.7024128686327081E-2</v>
      </c>
      <c r="AI305" s="577">
        <v>0</v>
      </c>
      <c r="AJ305" s="577">
        <v>0</v>
      </c>
      <c r="AK305" s="577">
        <v>0</v>
      </c>
      <c r="AL305" s="494"/>
      <c r="AM305" s="494"/>
      <c r="AN305" s="27"/>
      <c r="AO305" s="17"/>
      <c r="AP305" s="9"/>
      <c r="AQ305" s="579">
        <f t="shared" si="26"/>
        <v>45306</v>
      </c>
      <c r="AR305" s="9"/>
    </row>
    <row r="306" spans="1:44" customFormat="1" ht="12" customHeight="1" outlineLevel="1" x14ac:dyDescent="0.25">
      <c r="A306" s="7"/>
      <c r="B306" s="8"/>
      <c r="C306" s="18"/>
      <c r="D306" s="18"/>
      <c r="E306" s="18"/>
      <c r="F306" s="24"/>
      <c r="G306" s="25"/>
      <c r="H306" s="28"/>
      <c r="I306" s="578" t="s">
        <v>3209</v>
      </c>
      <c r="J306" s="577">
        <v>0</v>
      </c>
      <c r="K306" s="577">
        <v>0</v>
      </c>
      <c r="L306" s="577">
        <v>0</v>
      </c>
      <c r="M306" s="577">
        <v>0</v>
      </c>
      <c r="N306" s="577">
        <v>0</v>
      </c>
      <c r="O306" s="577">
        <v>0</v>
      </c>
      <c r="P306" s="577">
        <v>0</v>
      </c>
      <c r="Q306" s="577">
        <v>0</v>
      </c>
      <c r="R306" s="577">
        <v>0</v>
      </c>
      <c r="S306" s="577">
        <v>0</v>
      </c>
      <c r="T306" s="577">
        <v>0</v>
      </c>
      <c r="U306" s="577">
        <v>0</v>
      </c>
      <c r="V306" s="577">
        <v>0</v>
      </c>
      <c r="W306" s="577">
        <v>0</v>
      </c>
      <c r="X306" s="577">
        <v>0</v>
      </c>
      <c r="Y306" s="577">
        <v>0</v>
      </c>
      <c r="Z306" s="577">
        <v>0</v>
      </c>
      <c r="AA306" s="577">
        <v>0</v>
      </c>
      <c r="AB306" s="577">
        <v>0</v>
      </c>
      <c r="AC306" s="577">
        <v>0</v>
      </c>
      <c r="AD306" s="577">
        <v>0</v>
      </c>
      <c r="AE306" s="577">
        <v>0</v>
      </c>
      <c r="AF306" s="577">
        <v>0</v>
      </c>
      <c r="AG306" s="577">
        <v>0</v>
      </c>
      <c r="AH306" s="580">
        <f t="shared" si="27"/>
        <v>6.7024128686327081E-2</v>
      </c>
      <c r="AI306" s="577">
        <v>0</v>
      </c>
      <c r="AJ306" s="577">
        <v>0</v>
      </c>
      <c r="AK306" s="577">
        <v>0</v>
      </c>
      <c r="AL306" s="494"/>
      <c r="AM306" s="494"/>
      <c r="AN306" s="27"/>
      <c r="AO306" s="17"/>
      <c r="AP306" s="9"/>
      <c r="AQ306" s="579">
        <f t="shared" si="26"/>
        <v>45313</v>
      </c>
      <c r="AR306" s="9"/>
    </row>
    <row r="307" spans="1:44" customFormat="1" ht="12" customHeight="1" outlineLevel="1" x14ac:dyDescent="0.25">
      <c r="A307" s="7"/>
      <c r="B307" s="8"/>
      <c r="C307" s="18"/>
      <c r="D307" s="18"/>
      <c r="E307" s="18"/>
      <c r="F307" s="24"/>
      <c r="G307" s="25"/>
      <c r="H307" s="28"/>
      <c r="I307" s="578" t="s">
        <v>3210</v>
      </c>
      <c r="J307" s="577">
        <v>0</v>
      </c>
      <c r="K307" s="577">
        <v>0</v>
      </c>
      <c r="L307" s="577">
        <v>0</v>
      </c>
      <c r="M307" s="577">
        <v>0</v>
      </c>
      <c r="N307" s="577">
        <v>0</v>
      </c>
      <c r="O307" s="577">
        <v>0</v>
      </c>
      <c r="P307" s="577">
        <v>0</v>
      </c>
      <c r="Q307" s="577">
        <v>0</v>
      </c>
      <c r="R307" s="577">
        <v>0</v>
      </c>
      <c r="S307" s="577">
        <v>0</v>
      </c>
      <c r="T307" s="577">
        <v>0</v>
      </c>
      <c r="U307" s="577">
        <v>0</v>
      </c>
      <c r="V307" s="577">
        <v>0</v>
      </c>
      <c r="W307" s="577">
        <v>0</v>
      </c>
      <c r="X307" s="577">
        <v>0</v>
      </c>
      <c r="Y307" s="577">
        <v>0</v>
      </c>
      <c r="Z307" s="577">
        <v>0</v>
      </c>
      <c r="AA307" s="577">
        <v>0</v>
      </c>
      <c r="AB307" s="577">
        <v>0</v>
      </c>
      <c r="AC307" s="577">
        <v>0</v>
      </c>
      <c r="AD307" s="577">
        <v>0</v>
      </c>
      <c r="AE307" s="577">
        <v>0</v>
      </c>
      <c r="AF307" s="577">
        <v>0</v>
      </c>
      <c r="AG307" s="577">
        <v>0</v>
      </c>
      <c r="AH307" s="580">
        <f t="shared" si="27"/>
        <v>6.7024128686327081E-2</v>
      </c>
      <c r="AI307" s="577">
        <v>0</v>
      </c>
      <c r="AJ307" s="577">
        <v>0</v>
      </c>
      <c r="AK307" s="577">
        <v>0</v>
      </c>
      <c r="AL307" s="494"/>
      <c r="AM307" s="494"/>
      <c r="AN307" s="27"/>
      <c r="AO307" s="17"/>
      <c r="AP307" s="9"/>
      <c r="AQ307" s="579">
        <f t="shared" si="26"/>
        <v>45320</v>
      </c>
      <c r="AR307" s="9"/>
    </row>
    <row r="308" spans="1:44" customFormat="1" ht="12" customHeight="1" outlineLevel="1" x14ac:dyDescent="0.25">
      <c r="A308" s="7"/>
      <c r="B308" s="8"/>
      <c r="C308" s="18"/>
      <c r="D308" s="18"/>
      <c r="E308" s="18"/>
      <c r="F308" s="24"/>
      <c r="G308" s="25"/>
      <c r="H308" s="28"/>
      <c r="I308" s="578" t="s">
        <v>3211</v>
      </c>
      <c r="J308" s="577">
        <v>0</v>
      </c>
      <c r="K308" s="577">
        <v>0</v>
      </c>
      <c r="L308" s="577">
        <v>0</v>
      </c>
      <c r="M308" s="577">
        <v>0</v>
      </c>
      <c r="N308" s="577">
        <v>0</v>
      </c>
      <c r="O308" s="577">
        <v>0</v>
      </c>
      <c r="P308" s="577">
        <v>0</v>
      </c>
      <c r="Q308" s="577">
        <v>0</v>
      </c>
      <c r="R308" s="577">
        <v>0</v>
      </c>
      <c r="S308" s="577">
        <v>0</v>
      </c>
      <c r="T308" s="577">
        <v>0</v>
      </c>
      <c r="U308" s="577">
        <v>0</v>
      </c>
      <c r="V308" s="577">
        <v>0</v>
      </c>
      <c r="W308" s="577">
        <v>0</v>
      </c>
      <c r="X308" s="577">
        <v>0</v>
      </c>
      <c r="Y308" s="577">
        <v>0</v>
      </c>
      <c r="Z308" s="577">
        <v>0</v>
      </c>
      <c r="AA308" s="577">
        <v>0</v>
      </c>
      <c r="AB308" s="577">
        <v>0</v>
      </c>
      <c r="AC308" s="577">
        <v>0</v>
      </c>
      <c r="AD308" s="577">
        <v>0</v>
      </c>
      <c r="AE308" s="577">
        <v>0</v>
      </c>
      <c r="AF308" s="577">
        <v>0</v>
      </c>
      <c r="AG308" s="580">
        <f>400/919/7</f>
        <v>6.2179387533032801E-2</v>
      </c>
      <c r="AH308" s="580">
        <f>400/746/7</f>
        <v>7.6599004212945229E-2</v>
      </c>
      <c r="AI308" s="580">
        <f>200/294/7</f>
        <v>9.718172983479105E-2</v>
      </c>
      <c r="AJ308" s="577">
        <v>0</v>
      </c>
      <c r="AK308" s="577">
        <v>0</v>
      </c>
      <c r="AL308" s="494"/>
      <c r="AM308" s="494"/>
      <c r="AN308" s="27"/>
      <c r="AO308" s="17"/>
      <c r="AP308" s="9"/>
      <c r="AQ308" s="579">
        <f t="shared" si="26"/>
        <v>45327</v>
      </c>
      <c r="AR308" s="9"/>
    </row>
    <row r="309" spans="1:44" customFormat="1" ht="12" customHeight="1" outlineLevel="1" x14ac:dyDescent="0.25">
      <c r="A309" s="7"/>
      <c r="B309" s="8"/>
      <c r="C309" s="18"/>
      <c r="D309" s="18"/>
      <c r="E309" s="18"/>
      <c r="F309" s="24"/>
      <c r="G309" s="25"/>
      <c r="H309" s="28"/>
      <c r="I309" s="578" t="s">
        <v>3212</v>
      </c>
      <c r="J309" s="577">
        <v>0</v>
      </c>
      <c r="K309" s="577">
        <v>0</v>
      </c>
      <c r="L309" s="577">
        <v>0</v>
      </c>
      <c r="M309" s="577">
        <v>0</v>
      </c>
      <c r="N309" s="577">
        <v>0</v>
      </c>
      <c r="O309" s="577">
        <v>0</v>
      </c>
      <c r="P309" s="577">
        <v>0</v>
      </c>
      <c r="Q309" s="577">
        <v>0</v>
      </c>
      <c r="R309" s="577">
        <v>0</v>
      </c>
      <c r="S309" s="577">
        <v>0</v>
      </c>
      <c r="T309" s="577">
        <v>0</v>
      </c>
      <c r="U309" s="577">
        <v>0</v>
      </c>
      <c r="V309" s="577">
        <v>0</v>
      </c>
      <c r="W309" s="577">
        <v>0</v>
      </c>
      <c r="X309" s="577">
        <v>0</v>
      </c>
      <c r="Y309" s="577">
        <v>0</v>
      </c>
      <c r="Z309" s="577">
        <v>0</v>
      </c>
      <c r="AA309" s="577">
        <v>0</v>
      </c>
      <c r="AB309" s="577">
        <v>0</v>
      </c>
      <c r="AC309" s="577">
        <v>0</v>
      </c>
      <c r="AD309" s="577">
        <v>0</v>
      </c>
      <c r="AE309" s="577">
        <v>0</v>
      </c>
      <c r="AF309" s="577">
        <v>0</v>
      </c>
      <c r="AG309" s="577">
        <v>0</v>
      </c>
      <c r="AH309" s="580">
        <f t="shared" ref="AH309:AH316" si="28">400/746/7</f>
        <v>7.6599004212945229E-2</v>
      </c>
      <c r="AI309" s="577">
        <v>0</v>
      </c>
      <c r="AJ309" s="577">
        <v>0</v>
      </c>
      <c r="AK309" s="577">
        <v>0</v>
      </c>
      <c r="AL309" s="494"/>
      <c r="AM309" s="494"/>
      <c r="AN309" s="27"/>
      <c r="AO309" s="17"/>
      <c r="AP309" s="9"/>
      <c r="AQ309" s="579">
        <f t="shared" si="26"/>
        <v>45334</v>
      </c>
      <c r="AR309" s="9"/>
    </row>
    <row r="310" spans="1:44" customFormat="1" ht="12" customHeight="1" outlineLevel="1" x14ac:dyDescent="0.25">
      <c r="A310" s="7"/>
      <c r="B310" s="8"/>
      <c r="C310" s="18"/>
      <c r="D310" s="18"/>
      <c r="E310" s="18"/>
      <c r="F310" s="24"/>
      <c r="G310" s="25"/>
      <c r="H310" s="28"/>
      <c r="I310" s="578" t="s">
        <v>3213</v>
      </c>
      <c r="J310" s="577">
        <v>0</v>
      </c>
      <c r="K310" s="577">
        <v>0</v>
      </c>
      <c r="L310" s="577">
        <v>0</v>
      </c>
      <c r="M310" s="577">
        <v>0</v>
      </c>
      <c r="N310" s="577">
        <v>0</v>
      </c>
      <c r="O310" s="577">
        <v>0</v>
      </c>
      <c r="P310" s="577">
        <v>0</v>
      </c>
      <c r="Q310" s="577">
        <v>0</v>
      </c>
      <c r="R310" s="577">
        <v>0</v>
      </c>
      <c r="S310" s="577">
        <v>0</v>
      </c>
      <c r="T310" s="577">
        <v>0</v>
      </c>
      <c r="U310" s="577">
        <v>0</v>
      </c>
      <c r="V310" s="577">
        <v>0</v>
      </c>
      <c r="W310" s="577">
        <v>0</v>
      </c>
      <c r="X310" s="577">
        <v>0</v>
      </c>
      <c r="Y310" s="577">
        <v>0</v>
      </c>
      <c r="Z310" s="577">
        <v>0</v>
      </c>
      <c r="AA310" s="577">
        <v>0</v>
      </c>
      <c r="AB310" s="577">
        <v>0</v>
      </c>
      <c r="AC310" s="577">
        <v>0</v>
      </c>
      <c r="AD310" s="577">
        <v>0</v>
      </c>
      <c r="AE310" s="577">
        <v>0</v>
      </c>
      <c r="AF310" s="577">
        <v>0</v>
      </c>
      <c r="AG310" s="577">
        <v>0</v>
      </c>
      <c r="AH310" s="580">
        <f t="shared" si="28"/>
        <v>7.6599004212945229E-2</v>
      </c>
      <c r="AI310" s="577">
        <v>0</v>
      </c>
      <c r="AJ310" s="577">
        <v>0</v>
      </c>
      <c r="AK310" s="577">
        <v>0</v>
      </c>
      <c r="AL310" s="494"/>
      <c r="AM310" s="494"/>
      <c r="AN310" s="27"/>
      <c r="AO310" s="17"/>
      <c r="AP310" s="9"/>
      <c r="AQ310" s="579">
        <f t="shared" si="26"/>
        <v>45341</v>
      </c>
      <c r="AR310" s="9"/>
    </row>
    <row r="311" spans="1:44" customFormat="1" ht="12" customHeight="1" outlineLevel="1" x14ac:dyDescent="0.25">
      <c r="A311" s="7"/>
      <c r="B311" s="8"/>
      <c r="C311" s="18"/>
      <c r="D311" s="18"/>
      <c r="E311" s="18"/>
      <c r="F311" s="24"/>
      <c r="G311" s="25"/>
      <c r="H311" s="28"/>
      <c r="I311" s="578" t="s">
        <v>3214</v>
      </c>
      <c r="J311" s="577">
        <v>0</v>
      </c>
      <c r="K311" s="577">
        <v>0</v>
      </c>
      <c r="L311" s="577">
        <v>0</v>
      </c>
      <c r="M311" s="577">
        <v>0</v>
      </c>
      <c r="N311" s="577">
        <v>0</v>
      </c>
      <c r="O311" s="577">
        <v>0</v>
      </c>
      <c r="P311" s="577">
        <v>0</v>
      </c>
      <c r="Q311" s="577">
        <v>0</v>
      </c>
      <c r="R311" s="577">
        <v>0</v>
      </c>
      <c r="S311" s="577">
        <v>0</v>
      </c>
      <c r="T311" s="577">
        <v>0</v>
      </c>
      <c r="U311" s="577">
        <v>0</v>
      </c>
      <c r="V311" s="577">
        <v>0</v>
      </c>
      <c r="W311" s="577">
        <v>0</v>
      </c>
      <c r="X311" s="577">
        <v>0</v>
      </c>
      <c r="Y311" s="577">
        <v>0</v>
      </c>
      <c r="Z311" s="577">
        <v>0</v>
      </c>
      <c r="AA311" s="577">
        <v>0</v>
      </c>
      <c r="AB311" s="577">
        <v>0</v>
      </c>
      <c r="AC311" s="577">
        <v>0</v>
      </c>
      <c r="AD311" s="577">
        <v>0</v>
      </c>
      <c r="AE311" s="577">
        <v>0</v>
      </c>
      <c r="AF311" s="577">
        <v>0</v>
      </c>
      <c r="AG311" s="577">
        <v>0</v>
      </c>
      <c r="AH311" s="580">
        <f t="shared" si="28"/>
        <v>7.6599004212945229E-2</v>
      </c>
      <c r="AI311" s="577">
        <v>0</v>
      </c>
      <c r="AJ311" s="577">
        <v>0</v>
      </c>
      <c r="AK311" s="577">
        <v>0</v>
      </c>
      <c r="AL311" s="494"/>
      <c r="AM311" s="494"/>
      <c r="AN311" s="27"/>
      <c r="AO311" s="17"/>
      <c r="AP311" s="9"/>
      <c r="AQ311" s="579">
        <f t="shared" si="26"/>
        <v>45348</v>
      </c>
      <c r="AR311" s="9"/>
    </row>
    <row r="312" spans="1:44" customFormat="1" ht="12" customHeight="1" outlineLevel="1" x14ac:dyDescent="0.25">
      <c r="A312" s="7"/>
      <c r="B312" s="8"/>
      <c r="C312" s="18"/>
      <c r="D312" s="18"/>
      <c r="E312" s="18"/>
      <c r="F312" s="24"/>
      <c r="G312" s="25"/>
      <c r="H312" s="28"/>
      <c r="I312" s="578" t="s">
        <v>3215</v>
      </c>
      <c r="J312" s="577">
        <v>0</v>
      </c>
      <c r="K312" s="577">
        <v>0</v>
      </c>
      <c r="L312" s="577">
        <v>0</v>
      </c>
      <c r="M312" s="577">
        <v>0</v>
      </c>
      <c r="N312" s="577">
        <v>0</v>
      </c>
      <c r="O312" s="577">
        <v>0</v>
      </c>
      <c r="P312" s="577">
        <v>0</v>
      </c>
      <c r="Q312" s="577">
        <v>0</v>
      </c>
      <c r="R312" s="577">
        <v>0</v>
      </c>
      <c r="S312" s="577">
        <v>0</v>
      </c>
      <c r="T312" s="577">
        <v>0</v>
      </c>
      <c r="U312" s="577">
        <v>0</v>
      </c>
      <c r="V312" s="577">
        <v>0</v>
      </c>
      <c r="W312" s="577">
        <v>0</v>
      </c>
      <c r="X312" s="577">
        <v>0</v>
      </c>
      <c r="Y312" s="577">
        <v>0</v>
      </c>
      <c r="Z312" s="577">
        <v>0</v>
      </c>
      <c r="AA312" s="577">
        <v>0</v>
      </c>
      <c r="AB312" s="577">
        <v>0</v>
      </c>
      <c r="AC312" s="577">
        <v>0</v>
      </c>
      <c r="AD312" s="577">
        <v>0</v>
      </c>
      <c r="AE312" s="577">
        <v>0</v>
      </c>
      <c r="AF312" s="577">
        <v>0</v>
      </c>
      <c r="AG312" s="577">
        <v>0</v>
      </c>
      <c r="AH312" s="580">
        <f t="shared" si="28"/>
        <v>7.6599004212945229E-2</v>
      </c>
      <c r="AI312" s="577">
        <v>0</v>
      </c>
      <c r="AJ312" s="577">
        <v>0</v>
      </c>
      <c r="AK312" s="577">
        <v>0</v>
      </c>
      <c r="AL312" s="494"/>
      <c r="AM312" s="494"/>
      <c r="AN312" s="27"/>
      <c r="AO312" s="17"/>
      <c r="AP312" s="9"/>
      <c r="AQ312" s="579">
        <f t="shared" si="26"/>
        <v>45355</v>
      </c>
      <c r="AR312" s="9"/>
    </row>
    <row r="313" spans="1:44" customFormat="1" ht="12" customHeight="1" outlineLevel="1" x14ac:dyDescent="0.25">
      <c r="A313" s="7"/>
      <c r="B313" s="8"/>
      <c r="C313" s="18"/>
      <c r="D313" s="18"/>
      <c r="E313" s="18"/>
      <c r="F313" s="24"/>
      <c r="G313" s="25"/>
      <c r="H313" s="28"/>
      <c r="I313" s="578" t="s">
        <v>3216</v>
      </c>
      <c r="J313" s="577">
        <v>0</v>
      </c>
      <c r="K313" s="577">
        <v>0</v>
      </c>
      <c r="L313" s="577">
        <v>0</v>
      </c>
      <c r="M313" s="577">
        <v>0</v>
      </c>
      <c r="N313" s="577">
        <v>0</v>
      </c>
      <c r="O313" s="577">
        <v>0</v>
      </c>
      <c r="P313" s="577">
        <v>0</v>
      </c>
      <c r="Q313" s="577">
        <v>0</v>
      </c>
      <c r="R313" s="577">
        <v>0</v>
      </c>
      <c r="S313" s="577">
        <v>0</v>
      </c>
      <c r="T313" s="577">
        <v>0</v>
      </c>
      <c r="U313" s="577">
        <v>0</v>
      </c>
      <c r="V313" s="577">
        <v>0</v>
      </c>
      <c r="W313" s="577">
        <v>0</v>
      </c>
      <c r="X313" s="577">
        <v>0</v>
      </c>
      <c r="Y313" s="577">
        <v>0</v>
      </c>
      <c r="Z313" s="577">
        <v>0</v>
      </c>
      <c r="AA313" s="577">
        <v>0</v>
      </c>
      <c r="AB313" s="577">
        <v>0</v>
      </c>
      <c r="AC313" s="577">
        <v>0</v>
      </c>
      <c r="AD313" s="577">
        <v>0</v>
      </c>
      <c r="AE313" s="577">
        <v>0</v>
      </c>
      <c r="AF313" s="577">
        <v>0</v>
      </c>
      <c r="AG313" s="577">
        <v>0</v>
      </c>
      <c r="AH313" s="580">
        <f t="shared" si="28"/>
        <v>7.6599004212945229E-2</v>
      </c>
      <c r="AI313" s="577">
        <v>0</v>
      </c>
      <c r="AJ313" s="577">
        <v>0</v>
      </c>
      <c r="AK313" s="577">
        <v>0</v>
      </c>
      <c r="AL313" s="494"/>
      <c r="AM313" s="494"/>
      <c r="AN313" s="27"/>
      <c r="AO313" s="17"/>
      <c r="AP313" s="9"/>
      <c r="AQ313" s="579">
        <f t="shared" ref="AQ313:AQ315" si="29">AQ309+7</f>
        <v>45341</v>
      </c>
      <c r="AR313" s="9"/>
    </row>
    <row r="314" spans="1:44" customFormat="1" ht="12" customHeight="1" outlineLevel="1" x14ac:dyDescent="0.25">
      <c r="A314" s="7"/>
      <c r="B314" s="8"/>
      <c r="C314" s="18"/>
      <c r="D314" s="18"/>
      <c r="E314" s="18"/>
      <c r="F314" s="24"/>
      <c r="G314" s="25"/>
      <c r="H314" s="28"/>
      <c r="I314" s="578" t="s">
        <v>3217</v>
      </c>
      <c r="J314" s="577">
        <v>0</v>
      </c>
      <c r="K314" s="577">
        <v>0</v>
      </c>
      <c r="L314" s="577">
        <v>0</v>
      </c>
      <c r="M314" s="577">
        <v>0</v>
      </c>
      <c r="N314" s="577">
        <v>0</v>
      </c>
      <c r="O314" s="577">
        <v>0</v>
      </c>
      <c r="P314" s="577">
        <v>0</v>
      </c>
      <c r="Q314" s="577">
        <v>0</v>
      </c>
      <c r="R314" s="577">
        <v>0</v>
      </c>
      <c r="S314" s="577">
        <v>0</v>
      </c>
      <c r="T314" s="577">
        <v>0</v>
      </c>
      <c r="U314" s="577">
        <v>0</v>
      </c>
      <c r="V314" s="577">
        <v>0</v>
      </c>
      <c r="W314" s="577">
        <v>0</v>
      </c>
      <c r="X314" s="577">
        <v>0</v>
      </c>
      <c r="Y314" s="577">
        <v>0</v>
      </c>
      <c r="Z314" s="577">
        <v>0</v>
      </c>
      <c r="AA314" s="577">
        <v>0</v>
      </c>
      <c r="AB314" s="577">
        <v>0</v>
      </c>
      <c r="AC314" s="577">
        <v>0</v>
      </c>
      <c r="AD314" s="577">
        <v>0</v>
      </c>
      <c r="AE314" s="577">
        <v>0</v>
      </c>
      <c r="AF314" s="577">
        <v>0</v>
      </c>
      <c r="AG314" s="577">
        <v>0</v>
      </c>
      <c r="AH314" s="580">
        <f t="shared" si="28"/>
        <v>7.6599004212945229E-2</v>
      </c>
      <c r="AI314" s="577">
        <v>0</v>
      </c>
      <c r="AJ314" s="577">
        <v>0</v>
      </c>
      <c r="AK314" s="577">
        <v>0</v>
      </c>
      <c r="AL314" s="494"/>
      <c r="AM314" s="494"/>
      <c r="AN314" s="27"/>
      <c r="AO314" s="17"/>
      <c r="AP314" s="9"/>
      <c r="AQ314" s="579">
        <f t="shared" si="29"/>
        <v>45348</v>
      </c>
      <c r="AR314" s="9"/>
    </row>
    <row r="315" spans="1:44" customFormat="1" ht="12" customHeight="1" outlineLevel="1" x14ac:dyDescent="0.25">
      <c r="A315" s="7"/>
      <c r="B315" s="8"/>
      <c r="C315" s="18"/>
      <c r="D315" s="18"/>
      <c r="E315" s="18"/>
      <c r="F315" s="24"/>
      <c r="G315" s="25"/>
      <c r="H315" s="28"/>
      <c r="I315" s="578" t="s">
        <v>3218</v>
      </c>
      <c r="J315" s="577">
        <v>0</v>
      </c>
      <c r="K315" s="577">
        <v>0</v>
      </c>
      <c r="L315" s="577">
        <v>0</v>
      </c>
      <c r="M315" s="577">
        <v>0</v>
      </c>
      <c r="N315" s="577">
        <v>0</v>
      </c>
      <c r="O315" s="577">
        <v>0</v>
      </c>
      <c r="P315" s="577">
        <v>0</v>
      </c>
      <c r="Q315" s="577">
        <v>0</v>
      </c>
      <c r="R315" s="577">
        <v>0</v>
      </c>
      <c r="S315" s="577">
        <v>0</v>
      </c>
      <c r="T315" s="577">
        <v>0</v>
      </c>
      <c r="U315" s="577">
        <v>0</v>
      </c>
      <c r="V315" s="577">
        <v>0</v>
      </c>
      <c r="W315" s="577">
        <v>0</v>
      </c>
      <c r="X315" s="577">
        <v>0</v>
      </c>
      <c r="Y315" s="577">
        <v>0</v>
      </c>
      <c r="Z315" s="577">
        <v>0</v>
      </c>
      <c r="AA315" s="577">
        <v>0</v>
      </c>
      <c r="AB315" s="577">
        <v>0</v>
      </c>
      <c r="AC315" s="577">
        <v>0</v>
      </c>
      <c r="AD315" s="577">
        <v>0</v>
      </c>
      <c r="AE315" s="577">
        <v>0</v>
      </c>
      <c r="AF315" s="577">
        <v>0</v>
      </c>
      <c r="AG315" s="577">
        <v>0</v>
      </c>
      <c r="AH315" s="580">
        <f t="shared" si="28"/>
        <v>7.6599004212945229E-2</v>
      </c>
      <c r="AI315" s="577">
        <v>0</v>
      </c>
      <c r="AJ315" s="577">
        <v>0</v>
      </c>
      <c r="AK315" s="577">
        <v>0</v>
      </c>
      <c r="AL315" s="494"/>
      <c r="AM315" s="494"/>
      <c r="AN315" s="27"/>
      <c r="AO315" s="17"/>
      <c r="AP315" s="9"/>
      <c r="AQ315" s="579">
        <f t="shared" si="29"/>
        <v>45355</v>
      </c>
      <c r="AR315" s="9"/>
    </row>
    <row r="316" spans="1:44" customFormat="1" ht="12" customHeight="1" outlineLevel="1" x14ac:dyDescent="0.25">
      <c r="A316" s="7"/>
      <c r="B316" s="8"/>
      <c r="C316" s="18"/>
      <c r="D316" s="18"/>
      <c r="E316" s="18"/>
      <c r="F316" s="24"/>
      <c r="G316" s="25"/>
      <c r="H316" s="28"/>
      <c r="I316" s="578" t="s">
        <v>3219</v>
      </c>
      <c r="J316" s="577">
        <v>0</v>
      </c>
      <c r="K316" s="577">
        <v>0</v>
      </c>
      <c r="L316" s="577">
        <v>0</v>
      </c>
      <c r="M316" s="577">
        <v>0</v>
      </c>
      <c r="N316" s="577">
        <v>0</v>
      </c>
      <c r="O316" s="577">
        <v>0</v>
      </c>
      <c r="P316" s="577">
        <v>0</v>
      </c>
      <c r="Q316" s="577">
        <v>0</v>
      </c>
      <c r="R316" s="577">
        <v>0</v>
      </c>
      <c r="S316" s="577">
        <v>0</v>
      </c>
      <c r="T316" s="577">
        <v>0</v>
      </c>
      <c r="U316" s="577">
        <v>0</v>
      </c>
      <c r="V316" s="577">
        <v>0</v>
      </c>
      <c r="W316" s="577">
        <v>0</v>
      </c>
      <c r="X316" s="577">
        <v>0</v>
      </c>
      <c r="Y316" s="577">
        <v>0</v>
      </c>
      <c r="Z316" s="577">
        <v>0</v>
      </c>
      <c r="AA316" s="577">
        <v>0</v>
      </c>
      <c r="AB316" s="577">
        <v>0</v>
      </c>
      <c r="AC316" s="577">
        <v>0</v>
      </c>
      <c r="AD316" s="577">
        <v>0</v>
      </c>
      <c r="AE316" s="577">
        <v>0</v>
      </c>
      <c r="AF316" s="577">
        <v>0</v>
      </c>
      <c r="AG316" s="577">
        <v>0</v>
      </c>
      <c r="AH316" s="580">
        <f t="shared" si="28"/>
        <v>7.6599004212945229E-2</v>
      </c>
      <c r="AI316" s="577">
        <v>0</v>
      </c>
      <c r="AJ316" s="577">
        <v>0</v>
      </c>
      <c r="AK316" s="577">
        <v>0</v>
      </c>
      <c r="AL316" s="494"/>
      <c r="AM316" s="494"/>
      <c r="AN316" s="27"/>
      <c r="AO316" s="17"/>
      <c r="AP316" s="9"/>
      <c r="AQ316" s="579">
        <f>AQ312+7</f>
        <v>45362</v>
      </c>
      <c r="AR316" s="9"/>
    </row>
    <row r="317" spans="1:44" customFormat="1" ht="12" customHeight="1" outlineLevel="1" x14ac:dyDescent="0.25">
      <c r="A317" s="7"/>
      <c r="B317" s="8"/>
      <c r="C317" s="18"/>
      <c r="D317" s="18"/>
      <c r="E317" s="18"/>
      <c r="F317" s="24"/>
      <c r="G317" s="25"/>
      <c r="H317" s="28"/>
      <c r="I317" s="576"/>
      <c r="J317" s="498"/>
      <c r="K317" s="494"/>
      <c r="L317" s="494"/>
      <c r="M317" s="494"/>
      <c r="N317" s="494"/>
      <c r="O317" s="494"/>
      <c r="P317" s="494"/>
      <c r="Q317" s="494"/>
      <c r="R317" s="494"/>
      <c r="S317" s="494"/>
      <c r="T317" s="494"/>
      <c r="U317" s="494"/>
      <c r="V317" s="494"/>
      <c r="W317" s="494"/>
      <c r="X317" s="494"/>
      <c r="Y317" s="494"/>
      <c r="Z317" s="494"/>
      <c r="AA317" s="494"/>
      <c r="AB317" s="494"/>
      <c r="AC317" s="494"/>
      <c r="AD317" s="494"/>
      <c r="AE317" s="494"/>
      <c r="AF317" s="494"/>
      <c r="AG317" s="494"/>
      <c r="AH317" s="494"/>
      <c r="AI317" s="494"/>
      <c r="AJ317" s="494"/>
      <c r="AK317" s="494"/>
      <c r="AL317" s="494"/>
      <c r="AM317" s="494"/>
      <c r="AN317" s="27"/>
      <c r="AO317" s="17"/>
      <c r="AP317" s="9"/>
      <c r="AQ317" s="9"/>
      <c r="AR317" s="9"/>
    </row>
    <row r="318" spans="1:44" customFormat="1" ht="12" customHeight="1" outlineLevel="1" x14ac:dyDescent="0.25">
      <c r="A318" s="7"/>
      <c r="B318" s="8"/>
      <c r="C318" s="18"/>
      <c r="D318" s="18"/>
      <c r="E318" s="18"/>
      <c r="F318" s="24"/>
      <c r="G318" s="25"/>
      <c r="H318" s="28"/>
      <c r="I318" s="576"/>
      <c r="J318" s="498"/>
      <c r="K318" s="494"/>
      <c r="L318" s="494"/>
      <c r="M318" s="494"/>
      <c r="N318" s="494"/>
      <c r="O318" s="494"/>
      <c r="P318" s="494"/>
      <c r="Q318" s="494"/>
      <c r="R318" s="494"/>
      <c r="S318" s="494"/>
      <c r="T318" s="494"/>
      <c r="U318" s="494"/>
      <c r="V318" s="494"/>
      <c r="W318" s="494"/>
      <c r="X318" s="494"/>
      <c r="Y318" s="494"/>
      <c r="Z318" s="494"/>
      <c r="AA318" s="494"/>
      <c r="AB318" s="494"/>
      <c r="AC318" s="494"/>
      <c r="AD318" s="494"/>
      <c r="AE318" s="494"/>
      <c r="AF318" s="494"/>
      <c r="AG318" s="494"/>
      <c r="AH318" s="494"/>
      <c r="AI318" s="494"/>
      <c r="AJ318" s="494"/>
      <c r="AK318" s="494"/>
      <c r="AL318" s="494"/>
      <c r="AM318" s="494"/>
      <c r="AN318" s="27"/>
      <c r="AO318" s="17"/>
      <c r="AP318" s="9"/>
      <c r="AQ318" s="9"/>
      <c r="AR318" s="9"/>
    </row>
    <row r="319" spans="1:44" customFormat="1" ht="12" customHeight="1" outlineLevel="1" x14ac:dyDescent="0.25">
      <c r="A319" s="7"/>
      <c r="B319" s="8"/>
      <c r="C319" s="18"/>
      <c r="D319" s="18"/>
      <c r="E319" s="18"/>
      <c r="F319" s="24"/>
      <c r="G319" s="25"/>
      <c r="H319" s="28"/>
      <c r="I319" s="576"/>
      <c r="J319" s="498"/>
      <c r="K319" s="494"/>
      <c r="L319" s="494"/>
      <c r="M319" s="494"/>
      <c r="N319" s="494"/>
      <c r="O319" s="494"/>
      <c r="P319" s="494"/>
      <c r="Q319" s="494"/>
      <c r="R319" s="494"/>
      <c r="S319" s="494"/>
      <c r="T319" s="494"/>
      <c r="U319" s="494"/>
      <c r="V319" s="494"/>
      <c r="W319" s="494"/>
      <c r="X319" s="494"/>
      <c r="Y319" s="494"/>
      <c r="Z319" s="494"/>
      <c r="AA319" s="494"/>
      <c r="AB319" s="494"/>
      <c r="AC319" s="494"/>
      <c r="AD319" s="494"/>
      <c r="AE319" s="494"/>
      <c r="AF319" s="494"/>
      <c r="AG319" s="494"/>
      <c r="AH319" s="494"/>
      <c r="AI319" s="494"/>
      <c r="AJ319" s="494"/>
      <c r="AK319" s="494"/>
      <c r="AL319" s="494"/>
      <c r="AM319" s="494"/>
      <c r="AN319" s="27"/>
      <c r="AO319" s="17"/>
      <c r="AP319" s="9"/>
      <c r="AQ319" s="9"/>
      <c r="AR319" s="9"/>
    </row>
    <row r="320" spans="1:44" customFormat="1" ht="12" customHeight="1" x14ac:dyDescent="0.25">
      <c r="A320" s="7"/>
      <c r="B320" s="8"/>
      <c r="C320" s="18"/>
      <c r="D320" s="18"/>
      <c r="E320" s="18"/>
      <c r="F320" s="24"/>
      <c r="G320" s="549" t="s">
        <v>3220</v>
      </c>
      <c r="H320" s="28"/>
      <c r="I320" s="581" t="s">
        <v>3221</v>
      </c>
      <c r="J320" s="582"/>
      <c r="K320" s="582"/>
      <c r="L320" s="582"/>
      <c r="M320" s="582"/>
      <c r="N320" s="582"/>
      <c r="O320" s="582"/>
      <c r="P320" s="582"/>
      <c r="Q320" s="582"/>
      <c r="R320" s="582"/>
      <c r="S320" s="582"/>
      <c r="T320" s="582"/>
      <c r="U320" s="582"/>
      <c r="V320" s="582"/>
      <c r="W320" s="582"/>
      <c r="X320" s="582"/>
      <c r="Y320" s="582"/>
      <c r="Z320" s="582"/>
      <c r="AA320" s="582"/>
      <c r="AB320" s="582"/>
      <c r="AC320" s="582"/>
      <c r="AD320" s="582"/>
      <c r="AE320" s="582"/>
      <c r="AF320" s="582"/>
      <c r="AG320" s="582"/>
      <c r="AH320" s="582"/>
      <c r="AI320" s="582"/>
      <c r="AJ320" s="582"/>
      <c r="AK320" s="582"/>
      <c r="AL320" s="494"/>
      <c r="AM320" s="494"/>
      <c r="AN320" s="30"/>
      <c r="AO320" s="17"/>
      <c r="AP320" s="9"/>
      <c r="AQ320" s="9"/>
      <c r="AR320" s="9"/>
    </row>
    <row r="321" spans="1:44" customFormat="1" ht="12" customHeight="1" x14ac:dyDescent="0.25">
      <c r="A321" s="7"/>
      <c r="B321" s="8"/>
      <c r="C321" s="18"/>
      <c r="D321" s="18"/>
      <c r="E321" s="18"/>
      <c r="F321" s="24"/>
      <c r="G321" s="549"/>
      <c r="H321" s="28"/>
      <c r="I321" s="583" t="s">
        <v>2318</v>
      </c>
      <c r="J321" s="584">
        <v>-6.9627386801849749</v>
      </c>
      <c r="K321" s="584">
        <v>-6.0156524915318768</v>
      </c>
      <c r="L321" s="584">
        <v>-16.045410093859722</v>
      </c>
      <c r="M321" s="584">
        <v>-13.509425240701901</v>
      </c>
      <c r="N321" s="584">
        <v>-8.217437489547061</v>
      </c>
      <c r="O321" s="584">
        <v>-8.1062270014987341</v>
      </c>
      <c r="P321" s="584">
        <v>-9.482552648879734</v>
      </c>
      <c r="Q321" s="584">
        <v>-29.071825012886912</v>
      </c>
      <c r="R321" s="584">
        <v>-0.59944361589410566</v>
      </c>
      <c r="S321" s="584">
        <v>-0.61199740889712317</v>
      </c>
      <c r="T321" s="584">
        <v>-0.65906310885294273</v>
      </c>
      <c r="U321" s="584">
        <v>-0.87644073372921349</v>
      </c>
      <c r="V321" s="584">
        <v>-1.3770690462419783</v>
      </c>
      <c r="W321" s="584">
        <v>-1.3560129446174805</v>
      </c>
      <c r="X321" s="584">
        <v>-0.92867167621956725</v>
      </c>
      <c r="Y321" s="584">
        <v>-1.3602142818907355</v>
      </c>
      <c r="Z321" s="584">
        <v>-0.62160661264888861</v>
      </c>
      <c r="AA321" s="584">
        <v>-0.8383353549900725</v>
      </c>
      <c r="AB321" s="584">
        <v>-1.7548717127396745</v>
      </c>
      <c r="AC321" s="584">
        <v>-2.1273556936201503</v>
      </c>
      <c r="AD321" s="584">
        <v>-2.1242128702581558E-2</v>
      </c>
      <c r="AE321" s="584">
        <v>-8.4945043615853727E-3</v>
      </c>
      <c r="AF321" s="584">
        <v>-8.5106530236712993E-3</v>
      </c>
      <c r="AG321" s="584">
        <v>-1.3786513769950051E-3</v>
      </c>
      <c r="AH321" s="584">
        <v>-7.02529466445438E-3</v>
      </c>
      <c r="AI321" s="584">
        <v>-4.1707721917420511E-2</v>
      </c>
      <c r="AJ321" s="584">
        <v>-0.91743119266055029</v>
      </c>
      <c r="AK321" s="584">
        <v>-5.6250000000000007E-3</v>
      </c>
      <c r="AL321" s="494"/>
      <c r="AM321" s="494"/>
      <c r="AN321" s="30"/>
      <c r="AO321" s="17"/>
      <c r="AP321" s="9"/>
      <c r="AQ321" s="9"/>
      <c r="AR321" s="9"/>
    </row>
    <row r="322" spans="1:44" customFormat="1" ht="12" customHeight="1" x14ac:dyDescent="0.25">
      <c r="A322" s="7"/>
      <c r="B322" s="8"/>
      <c r="C322" s="18"/>
      <c r="D322" s="18"/>
      <c r="E322" s="18"/>
      <c r="F322" s="24"/>
      <c r="G322" s="549"/>
      <c r="H322" s="28"/>
      <c r="I322" s="583" t="s">
        <v>4</v>
      </c>
      <c r="J322" s="585">
        <v>9.5708365331199214</v>
      </c>
      <c r="K322" s="585">
        <v>1.7972582134700135</v>
      </c>
      <c r="L322" s="585">
        <v>22.081968506219848</v>
      </c>
      <c r="M322" s="585">
        <v>18.236823192583859</v>
      </c>
      <c r="N322" s="585">
        <v>13.190271921056231</v>
      </c>
      <c r="O322" s="585">
        <v>7.8646590587758345</v>
      </c>
      <c r="P322" s="585">
        <v>10.377099619701518</v>
      </c>
      <c r="Q322" s="585">
        <v>22.10808785732327</v>
      </c>
      <c r="R322" s="585">
        <v>2.6419333894920047</v>
      </c>
      <c r="S322" s="585">
        <v>2.4899601010193639</v>
      </c>
      <c r="T322" s="585">
        <v>3.870826729788083</v>
      </c>
      <c r="U322" s="585">
        <v>4.0603762059598081</v>
      </c>
      <c r="V322" s="585">
        <v>4.7746394921672541</v>
      </c>
      <c r="W322" s="585">
        <v>3.9801927778750463</v>
      </c>
      <c r="X322" s="585">
        <v>3.2883889884288755</v>
      </c>
      <c r="Y322" s="585">
        <v>2.6959793962187328</v>
      </c>
      <c r="Z322" s="585">
        <v>2.3382915404356464</v>
      </c>
      <c r="AA322" s="585">
        <v>2.8219967504577319</v>
      </c>
      <c r="AB322" s="585">
        <v>3.9816543979886445</v>
      </c>
      <c r="AC322" s="585">
        <v>4.0854043022969995</v>
      </c>
      <c r="AD322" s="585">
        <v>0.801804515337185</v>
      </c>
      <c r="AE322" s="585">
        <v>0.63059509399466851</v>
      </c>
      <c r="AF322" s="585">
        <v>0.54513927385769101</v>
      </c>
      <c r="AG322" s="585">
        <v>0.65046740143494564</v>
      </c>
      <c r="AH322" s="585">
        <v>0.70144286673170986</v>
      </c>
      <c r="AI322" s="585">
        <v>1.0801013946492328</v>
      </c>
      <c r="AJ322" s="585">
        <v>3.6697247706422016</v>
      </c>
      <c r="AK322" s="585">
        <v>0.45000000000000007</v>
      </c>
      <c r="AL322" s="494"/>
      <c r="AM322" s="494"/>
      <c r="AN322" s="30"/>
      <c r="AO322" s="17"/>
      <c r="AP322" s="9"/>
      <c r="AQ322" s="9"/>
      <c r="AR322" s="9"/>
    </row>
    <row r="323" spans="1:44" customFormat="1" ht="12" customHeight="1" x14ac:dyDescent="0.25">
      <c r="A323" s="7"/>
      <c r="B323" s="8"/>
      <c r="C323" s="18"/>
      <c r="D323" s="18"/>
      <c r="E323" s="18"/>
      <c r="F323" s="24"/>
      <c r="G323" s="549"/>
      <c r="H323" s="28"/>
      <c r="I323" s="583" t="s">
        <v>3074</v>
      </c>
      <c r="J323" s="527">
        <v>56.100917431192656</v>
      </c>
      <c r="K323" s="527">
        <v>69.159021406727831</v>
      </c>
      <c r="L323" s="527">
        <v>53.794182071775069</v>
      </c>
      <c r="M323" s="527">
        <v>53.592149982469323</v>
      </c>
      <c r="N323" s="527">
        <v>50.094328742239497</v>
      </c>
      <c r="O323" s="527">
        <v>51.371537789427705</v>
      </c>
      <c r="P323" s="527">
        <v>51.259458278724338</v>
      </c>
      <c r="Q323" s="527">
        <v>55.107033639143737</v>
      </c>
      <c r="R323" s="527">
        <v>67.448488494510443</v>
      </c>
      <c r="S323" s="527">
        <v>67.182017640865936</v>
      </c>
      <c r="T323" s="527">
        <v>45.458958226107704</v>
      </c>
      <c r="U323" s="527">
        <v>44.749882809884156</v>
      </c>
      <c r="V323" s="527">
        <v>41.743119266055054</v>
      </c>
      <c r="W323" s="527">
        <v>41.743119266055054</v>
      </c>
      <c r="X323" s="527">
        <v>59.834862385321088</v>
      </c>
      <c r="Y323" s="527">
        <v>62.440366972477065</v>
      </c>
      <c r="Z323" s="527">
        <v>53.522935779816514</v>
      </c>
      <c r="AA323" s="527">
        <v>54.669724770642205</v>
      </c>
      <c r="AB323" s="527">
        <v>55.522935779816514</v>
      </c>
      <c r="AC323" s="527">
        <v>55.247706422018339</v>
      </c>
      <c r="AD323" s="527">
        <v>29.494055320716754</v>
      </c>
      <c r="AE323" s="527">
        <v>19.465154120592853</v>
      </c>
      <c r="AF323" s="527">
        <v>21.245396267638498</v>
      </c>
      <c r="AG323" s="527">
        <v>25.883536587765462</v>
      </c>
      <c r="AH323" s="527">
        <v>23.974921210037252</v>
      </c>
      <c r="AI323" s="527">
        <v>34.220183486238533</v>
      </c>
      <c r="AJ323" s="527">
        <v>53.876685566849588</v>
      </c>
      <c r="AK323" s="527">
        <v>21.2</v>
      </c>
      <c r="AL323" s="494"/>
      <c r="AM323" s="494"/>
      <c r="AN323" s="30"/>
      <c r="AO323" s="17"/>
      <c r="AP323" s="9"/>
      <c r="AQ323" s="9"/>
      <c r="AR323" s="9"/>
    </row>
    <row r="324" spans="1:44" customFormat="1" ht="12" customHeight="1" x14ac:dyDescent="0.25">
      <c r="A324" s="7"/>
      <c r="B324" s="8"/>
      <c r="C324" s="18"/>
      <c r="D324" s="18"/>
      <c r="E324" s="18"/>
      <c r="F324" s="24"/>
      <c r="G324" s="549"/>
      <c r="H324" s="28"/>
      <c r="I324" s="578"/>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4"/>
      <c r="AM324" s="494"/>
      <c r="AN324" s="30"/>
      <c r="AO324" s="17"/>
      <c r="AP324" s="9"/>
      <c r="AQ324" s="9"/>
      <c r="AR324" s="9"/>
    </row>
    <row r="325" spans="1:44" customFormat="1" ht="12" customHeight="1" x14ac:dyDescent="0.25">
      <c r="A325" s="7"/>
      <c r="B325" s="8"/>
      <c r="C325" s="18"/>
      <c r="D325" s="18"/>
      <c r="E325" s="18"/>
      <c r="F325" s="24"/>
      <c r="G325" s="586" t="s">
        <v>3222</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4"/>
      <c r="AM325" s="494"/>
      <c r="AN325" s="30"/>
      <c r="AO325" s="17"/>
      <c r="AP325" s="9"/>
      <c r="AQ325" s="9"/>
      <c r="AR325" s="9"/>
    </row>
    <row r="326" spans="1:44" customFormat="1" ht="12" customHeight="1" outlineLevel="1" x14ac:dyDescent="0.25">
      <c r="A326" s="7"/>
      <c r="B326" s="8"/>
      <c r="C326" s="18">
        <v>0</v>
      </c>
      <c r="D326" s="18"/>
      <c r="E326" s="18"/>
      <c r="F326" s="24"/>
      <c r="G326" s="549"/>
      <c r="H326" s="25" t="s">
        <v>2325</v>
      </c>
      <c r="I326" s="512" t="str">
        <f>General!G37</f>
        <v>b</v>
      </c>
      <c r="J326" s="584"/>
      <c r="K326" s="584"/>
      <c r="L326" s="584"/>
      <c r="M326" s="584"/>
      <c r="N326" s="584"/>
      <c r="O326" s="584"/>
      <c r="P326" s="584"/>
      <c r="Q326" s="584"/>
      <c r="R326" s="584"/>
      <c r="S326" s="584" t="b">
        <v>1</v>
      </c>
      <c r="T326" s="584"/>
      <c r="U326" s="584"/>
      <c r="V326" s="584"/>
      <c r="W326" s="584"/>
      <c r="X326" s="584"/>
      <c r="Y326" s="584"/>
      <c r="Z326" s="584"/>
      <c r="AA326" s="584"/>
      <c r="AB326" s="584"/>
      <c r="AC326" s="584"/>
      <c r="AD326" s="584"/>
      <c r="AE326" s="584"/>
      <c r="AF326" s="584"/>
      <c r="AG326" s="584"/>
      <c r="AH326" s="584"/>
      <c r="AI326" s="584"/>
      <c r="AJ326" s="584"/>
      <c r="AK326" s="584"/>
      <c r="AL326" s="494"/>
      <c r="AM326" s="494"/>
      <c r="AN326" s="30" t="b">
        <f>OR(J326:AK326)</f>
        <v>1</v>
      </c>
      <c r="AO326" s="17"/>
      <c r="AP326" s="9"/>
      <c r="AQ326" s="9"/>
      <c r="AR326" s="9"/>
    </row>
    <row r="327" spans="1:44" customFormat="1" ht="12" customHeight="1" outlineLevel="1" x14ac:dyDescent="0.25">
      <c r="A327" s="7"/>
      <c r="B327" s="8"/>
      <c r="C327" s="18"/>
      <c r="D327" s="18"/>
      <c r="E327" s="18"/>
      <c r="F327" s="24"/>
      <c r="G327" s="549"/>
      <c r="H327" s="25"/>
      <c r="I327" s="512" t="str">
        <f>General!G38</f>
        <v>bd</v>
      </c>
      <c r="J327" s="584"/>
      <c r="K327" s="584"/>
      <c r="L327" s="584"/>
      <c r="M327" s="584"/>
      <c r="N327" s="584"/>
      <c r="O327" s="584"/>
      <c r="P327" s="584"/>
      <c r="Q327" s="584"/>
      <c r="R327" s="584"/>
      <c r="S327" s="584" t="b">
        <v>1</v>
      </c>
      <c r="T327" s="584"/>
      <c r="U327" s="584"/>
      <c r="V327" s="584"/>
      <c r="W327" s="584"/>
      <c r="X327" s="584"/>
      <c r="Y327" s="584"/>
      <c r="Z327" s="584"/>
      <c r="AA327" s="584"/>
      <c r="AB327" s="584"/>
      <c r="AC327" s="584"/>
      <c r="AD327" s="584"/>
      <c r="AE327" s="584"/>
      <c r="AF327" s="584"/>
      <c r="AG327" s="584"/>
      <c r="AH327" s="584"/>
      <c r="AI327" s="584"/>
      <c r="AJ327" s="584"/>
      <c r="AK327" s="584"/>
      <c r="AL327" s="494"/>
      <c r="AM327" s="494"/>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49"/>
      <c r="H328" s="25"/>
      <c r="I328" s="512" t="str">
        <f>General!G39</f>
        <v>f</v>
      </c>
      <c r="J328" s="584"/>
      <c r="K328" s="584"/>
      <c r="L328" s="584"/>
      <c r="M328" s="584"/>
      <c r="N328" s="584"/>
      <c r="O328" s="584"/>
      <c r="P328" s="584"/>
      <c r="Q328" s="584"/>
      <c r="R328" s="584"/>
      <c r="S328" s="584"/>
      <c r="T328" s="584"/>
      <c r="U328" s="584"/>
      <c r="V328" s="584"/>
      <c r="W328" s="584"/>
      <c r="X328" s="584"/>
      <c r="Y328" s="584"/>
      <c r="Z328" s="584"/>
      <c r="AA328" s="584"/>
      <c r="AB328" s="584"/>
      <c r="AC328" s="584"/>
      <c r="AD328" s="584"/>
      <c r="AE328" s="584"/>
      <c r="AF328" s="584"/>
      <c r="AG328" s="584"/>
      <c r="AH328" s="584"/>
      <c r="AI328" s="584"/>
      <c r="AJ328" s="584" t="b">
        <v>1</v>
      </c>
      <c r="AK328" s="584"/>
      <c r="AL328" s="494"/>
      <c r="AM328" s="494"/>
      <c r="AN328" s="30" t="b">
        <f t="shared" si="30"/>
        <v>1</v>
      </c>
      <c r="AO328" s="17"/>
      <c r="AP328" s="9"/>
      <c r="AQ328" s="9"/>
      <c r="AR328" s="9"/>
    </row>
    <row r="329" spans="1:44" customFormat="1" ht="12" customHeight="1" outlineLevel="1" x14ac:dyDescent="0.25">
      <c r="A329" s="7"/>
      <c r="B329" s="8"/>
      <c r="C329" s="18"/>
      <c r="D329" s="18"/>
      <c r="E329" s="18"/>
      <c r="F329" s="24"/>
      <c r="G329" s="549"/>
      <c r="H329" s="25"/>
      <c r="I329" s="512" t="str">
        <f>General!G40</f>
        <v>h</v>
      </c>
      <c r="J329" s="584"/>
      <c r="K329" s="584"/>
      <c r="L329" s="584"/>
      <c r="M329" s="584"/>
      <c r="N329" s="584"/>
      <c r="O329" s="584"/>
      <c r="P329" s="584"/>
      <c r="Q329" s="584"/>
      <c r="R329" s="584"/>
      <c r="S329" s="584" t="b">
        <v>1</v>
      </c>
      <c r="T329" s="584"/>
      <c r="U329" s="584"/>
      <c r="V329" s="584"/>
      <c r="W329" s="584" t="b">
        <v>1</v>
      </c>
      <c r="X329" s="584"/>
      <c r="Y329" s="584"/>
      <c r="Z329" s="584"/>
      <c r="AA329" s="584" t="b">
        <v>1</v>
      </c>
      <c r="AB329" s="584"/>
      <c r="AC329" s="584" t="b">
        <v>1</v>
      </c>
      <c r="AD329" s="584"/>
      <c r="AE329" s="584"/>
      <c r="AF329" s="584"/>
      <c r="AG329" s="584"/>
      <c r="AH329" s="584"/>
      <c r="AI329" s="584"/>
      <c r="AJ329" s="584"/>
      <c r="AK329" s="584"/>
      <c r="AL329" s="494"/>
      <c r="AM329" s="494"/>
      <c r="AN329" s="30" t="b">
        <f t="shared" si="30"/>
        <v>1</v>
      </c>
      <c r="AO329" s="17"/>
      <c r="AP329" s="9"/>
      <c r="AQ329" s="9"/>
      <c r="AR329" s="9"/>
    </row>
    <row r="330" spans="1:44" customFormat="1" ht="12" customHeight="1" outlineLevel="1" x14ac:dyDescent="0.25">
      <c r="A330" s="7"/>
      <c r="B330" s="8"/>
      <c r="C330" s="18"/>
      <c r="D330" s="18"/>
      <c r="E330" s="18"/>
      <c r="F330" s="24"/>
      <c r="G330" s="549"/>
      <c r="H330" s="25"/>
      <c r="I330" s="512" t="str">
        <f>General!G41</f>
        <v>i</v>
      </c>
      <c r="J330" s="584"/>
      <c r="K330" s="584"/>
      <c r="L330" s="584"/>
      <c r="M330" s="584"/>
      <c r="N330" s="584"/>
      <c r="O330" s="584"/>
      <c r="P330" s="584"/>
      <c r="Q330" s="584"/>
      <c r="R330" s="584"/>
      <c r="S330" s="584"/>
      <c r="T330" s="584"/>
      <c r="U330" s="584"/>
      <c r="V330" s="584"/>
      <c r="W330" s="584"/>
      <c r="X330" s="584"/>
      <c r="Y330" s="584"/>
      <c r="Z330" s="584"/>
      <c r="AA330" s="584"/>
      <c r="AB330" s="584"/>
      <c r="AC330" s="584"/>
      <c r="AD330" s="584"/>
      <c r="AE330" s="584"/>
      <c r="AF330" s="584"/>
      <c r="AG330" s="584"/>
      <c r="AH330" s="584"/>
      <c r="AI330" s="584"/>
      <c r="AJ330" s="584" t="b">
        <v>1</v>
      </c>
      <c r="AK330" s="584"/>
      <c r="AL330" s="494"/>
      <c r="AM330" s="494"/>
      <c r="AN330" s="30" t="b">
        <f t="shared" si="30"/>
        <v>1</v>
      </c>
      <c r="AO330" s="17"/>
      <c r="AP330" s="9"/>
      <c r="AQ330" s="9"/>
      <c r="AR330" s="9"/>
    </row>
    <row r="331" spans="1:44" customFormat="1" ht="12" customHeight="1" outlineLevel="1" x14ac:dyDescent="0.25">
      <c r="A331" s="7"/>
      <c r="B331" s="8"/>
      <c r="C331" s="18"/>
      <c r="D331" s="18"/>
      <c r="E331" s="18"/>
      <c r="F331" s="24"/>
      <c r="G331" s="549"/>
      <c r="H331" s="25"/>
      <c r="I331" s="512" t="str">
        <f>General!G42</f>
        <v>k</v>
      </c>
      <c r="J331" s="584"/>
      <c r="K331" s="584"/>
      <c r="L331" s="584"/>
      <c r="M331" s="584"/>
      <c r="N331" s="584"/>
      <c r="O331" s="584"/>
      <c r="P331" s="584"/>
      <c r="Q331" s="584"/>
      <c r="R331" s="584"/>
      <c r="S331" s="584"/>
      <c r="T331" s="584"/>
      <c r="U331" s="584"/>
      <c r="V331" s="584"/>
      <c r="W331" s="584"/>
      <c r="X331" s="584"/>
      <c r="Y331" s="584"/>
      <c r="Z331" s="584"/>
      <c r="AA331" s="584"/>
      <c r="AB331" s="584"/>
      <c r="AC331" s="584"/>
      <c r="AD331" s="584"/>
      <c r="AE331" s="584"/>
      <c r="AF331" s="584"/>
      <c r="AG331" s="584"/>
      <c r="AH331" s="584"/>
      <c r="AI331" s="584"/>
      <c r="AJ331" s="584" t="b">
        <v>1</v>
      </c>
      <c r="AK331" s="584"/>
      <c r="AL331" s="494"/>
      <c r="AM331" s="494"/>
      <c r="AN331" s="30" t="b">
        <f t="shared" si="30"/>
        <v>1</v>
      </c>
      <c r="AO331" s="17"/>
      <c r="AP331" s="9"/>
      <c r="AQ331" s="9"/>
      <c r="AR331" s="9"/>
    </row>
    <row r="332" spans="1:44" customFormat="1" ht="12" customHeight="1" outlineLevel="1" x14ac:dyDescent="0.25">
      <c r="A332" s="7"/>
      <c r="B332" s="8"/>
      <c r="C332" s="18"/>
      <c r="D332" s="18"/>
      <c r="E332" s="18"/>
      <c r="F332" s="24"/>
      <c r="G332" s="549"/>
      <c r="H332" s="25"/>
      <c r="I332" s="512" t="str">
        <f>General!G43</f>
        <v>l</v>
      </c>
      <c r="J332" s="584"/>
      <c r="K332" s="584"/>
      <c r="L332" s="584"/>
      <c r="M332" s="584"/>
      <c r="N332" s="584"/>
      <c r="O332" s="584"/>
      <c r="P332" s="584"/>
      <c r="Q332" s="584"/>
      <c r="R332" s="584"/>
      <c r="S332" s="584"/>
      <c r="T332" s="584"/>
      <c r="U332" s="584"/>
      <c r="V332" s="584"/>
      <c r="W332" s="584"/>
      <c r="X332" s="584"/>
      <c r="Y332" s="584"/>
      <c r="Z332" s="584"/>
      <c r="AA332" s="584"/>
      <c r="AB332" s="584"/>
      <c r="AC332" s="584"/>
      <c r="AD332" s="584"/>
      <c r="AE332" s="584"/>
      <c r="AF332" s="584"/>
      <c r="AG332" s="584"/>
      <c r="AH332" s="584"/>
      <c r="AI332" s="584"/>
      <c r="AJ332" s="584" t="b">
        <v>1</v>
      </c>
      <c r="AK332" s="584"/>
      <c r="AL332" s="494"/>
      <c r="AM332" s="494"/>
      <c r="AN332" s="30" t="b">
        <f t="shared" si="30"/>
        <v>1</v>
      </c>
      <c r="AO332" s="17"/>
      <c r="AP332" s="9"/>
      <c r="AQ332" s="9"/>
      <c r="AR332" s="9"/>
    </row>
    <row r="333" spans="1:44" customFormat="1" ht="12" customHeight="1" outlineLevel="1" x14ac:dyDescent="0.25">
      <c r="A333" s="7"/>
      <c r="B333" s="8"/>
      <c r="C333" s="18"/>
      <c r="D333" s="18"/>
      <c r="E333" s="18"/>
      <c r="F333" s="24"/>
      <c r="G333" s="549"/>
      <c r="H333" s="25"/>
      <c r="I333" s="512" t="str">
        <f>General!G44</f>
        <v>lf</v>
      </c>
      <c r="J333" s="584"/>
      <c r="K333" s="584"/>
      <c r="L333" s="584"/>
      <c r="M333" s="584"/>
      <c r="N333" s="584"/>
      <c r="O333" s="584"/>
      <c r="P333" s="584"/>
      <c r="Q333" s="584"/>
      <c r="R333" s="584"/>
      <c r="S333" s="584"/>
      <c r="T333" s="584"/>
      <c r="U333" s="584"/>
      <c r="V333" s="584"/>
      <c r="W333" s="584"/>
      <c r="X333" s="584"/>
      <c r="Y333" s="584"/>
      <c r="Z333" s="584"/>
      <c r="AA333" s="584"/>
      <c r="AB333" s="584"/>
      <c r="AC333" s="584"/>
      <c r="AD333" s="584"/>
      <c r="AE333" s="584"/>
      <c r="AF333" s="584"/>
      <c r="AG333" s="584"/>
      <c r="AH333" s="584"/>
      <c r="AI333" s="584"/>
      <c r="AJ333" s="584" t="b">
        <v>1</v>
      </c>
      <c r="AK333" s="584"/>
      <c r="AL333" s="494"/>
      <c r="AM333" s="494"/>
      <c r="AN333" s="30" t="b">
        <f t="shared" ref="AN333" si="31">OR(J333:AK333)</f>
        <v>1</v>
      </c>
      <c r="AO333" s="17"/>
      <c r="AP333" s="9"/>
      <c r="AQ333" s="9"/>
      <c r="AR333" s="9"/>
    </row>
    <row r="334" spans="1:44" customFormat="1" ht="12" customHeight="1" outlineLevel="1" x14ac:dyDescent="0.25">
      <c r="A334" s="7"/>
      <c r="B334" s="8"/>
      <c r="C334" s="18"/>
      <c r="D334" s="18"/>
      <c r="E334" s="18"/>
      <c r="F334" s="24"/>
      <c r="G334" s="549"/>
      <c r="H334" s="25"/>
      <c r="I334" s="512" t="str">
        <f>General!G45</f>
        <v>ms</v>
      </c>
      <c r="J334" s="584"/>
      <c r="K334" s="584"/>
      <c r="L334" s="584"/>
      <c r="M334" s="584"/>
      <c r="N334" s="584"/>
      <c r="O334" s="584"/>
      <c r="P334" s="584"/>
      <c r="Q334" s="584"/>
      <c r="R334" s="584"/>
      <c r="S334" s="584" t="b">
        <v>1</v>
      </c>
      <c r="T334" s="584"/>
      <c r="U334" s="584" t="b">
        <v>1</v>
      </c>
      <c r="V334" s="584"/>
      <c r="W334" s="584" t="b">
        <v>1</v>
      </c>
      <c r="X334" s="584"/>
      <c r="Y334" s="584" t="b">
        <v>1</v>
      </c>
      <c r="Z334" s="584"/>
      <c r="AA334" s="584" t="b">
        <v>1</v>
      </c>
      <c r="AB334" s="584"/>
      <c r="AC334" s="584" t="b">
        <v>1</v>
      </c>
      <c r="AD334" s="584"/>
      <c r="AE334" s="584"/>
      <c r="AF334" s="584"/>
      <c r="AG334" s="584"/>
      <c r="AH334" s="584"/>
      <c r="AI334" s="584"/>
      <c r="AJ334" s="584" t="b">
        <v>1</v>
      </c>
      <c r="AK334" s="584"/>
      <c r="AL334" s="494"/>
      <c r="AM334" s="494"/>
      <c r="AN334" s="30"/>
      <c r="AO334" s="17"/>
      <c r="AP334" s="9"/>
      <c r="AQ334" s="9"/>
      <c r="AR334" s="9"/>
    </row>
    <row r="335" spans="1:44" customFormat="1" ht="12" customHeight="1" outlineLevel="1" x14ac:dyDescent="0.25">
      <c r="A335" s="7"/>
      <c r="B335" s="8"/>
      <c r="C335" s="18"/>
      <c r="D335" s="18"/>
      <c r="E335" s="18"/>
      <c r="F335" s="24"/>
      <c r="G335" s="549"/>
      <c r="H335" s="25"/>
      <c r="I335" s="512" t="str">
        <f>General!G46</f>
        <v>o</v>
      </c>
      <c r="J335" s="584"/>
      <c r="K335" s="584"/>
      <c r="L335" s="584"/>
      <c r="M335" s="584"/>
      <c r="N335" s="584"/>
      <c r="O335" s="584"/>
      <c r="P335" s="584"/>
      <c r="Q335" s="584"/>
      <c r="R335" s="584"/>
      <c r="S335" s="584" t="b">
        <v>1</v>
      </c>
      <c r="T335" s="584"/>
      <c r="U335" s="584"/>
      <c r="V335" s="584"/>
      <c r="W335" s="584" t="b">
        <v>1</v>
      </c>
      <c r="X335" s="584"/>
      <c r="Y335" s="584"/>
      <c r="Z335" s="584"/>
      <c r="AA335" s="584" t="b">
        <v>1</v>
      </c>
      <c r="AB335" s="584"/>
      <c r="AC335" s="584" t="b">
        <v>1</v>
      </c>
      <c r="AD335" s="584"/>
      <c r="AE335" s="584"/>
      <c r="AF335" s="584"/>
      <c r="AG335" s="584"/>
      <c r="AH335" s="584"/>
      <c r="AI335" s="584"/>
      <c r="AJ335" s="584"/>
      <c r="AK335" s="584"/>
      <c r="AL335" s="494"/>
      <c r="AM335" s="494"/>
      <c r="AN335" s="30" t="b">
        <f t="shared" si="30"/>
        <v>1</v>
      </c>
      <c r="AO335" s="17"/>
      <c r="AP335" s="9"/>
      <c r="AQ335" s="9"/>
      <c r="AR335" s="9"/>
    </row>
    <row r="336" spans="1:44" customFormat="1" ht="12" customHeight="1" outlineLevel="1" x14ac:dyDescent="0.25">
      <c r="A336" s="7"/>
      <c r="B336" s="8"/>
      <c r="C336" s="18"/>
      <c r="D336" s="18"/>
      <c r="E336" s="18"/>
      <c r="F336" s="24"/>
      <c r="G336" s="549"/>
      <c r="H336" s="25"/>
      <c r="I336" s="512" t="str">
        <f>General!G47</f>
        <v>od</v>
      </c>
      <c r="J336" s="584"/>
      <c r="K336" s="584"/>
      <c r="L336" s="584"/>
      <c r="M336" s="584"/>
      <c r="N336" s="584"/>
      <c r="O336" s="584"/>
      <c r="P336" s="584"/>
      <c r="Q336" s="584"/>
      <c r="R336" s="584"/>
      <c r="S336" s="584" t="b">
        <v>1</v>
      </c>
      <c r="T336" s="584"/>
      <c r="U336" s="584"/>
      <c r="V336" s="584"/>
      <c r="W336" s="584" t="b">
        <v>1</v>
      </c>
      <c r="X336" s="584"/>
      <c r="Y336" s="584"/>
      <c r="Z336" s="584"/>
      <c r="AA336" s="584" t="b">
        <v>1</v>
      </c>
      <c r="AB336" s="584"/>
      <c r="AC336" s="584" t="b">
        <v>1</v>
      </c>
      <c r="AD336" s="584"/>
      <c r="AE336" s="584"/>
      <c r="AF336" s="584"/>
      <c r="AG336" s="584"/>
      <c r="AH336" s="584"/>
      <c r="AI336" s="584"/>
      <c r="AJ336" s="584"/>
      <c r="AK336" s="584"/>
      <c r="AL336" s="494"/>
      <c r="AM336" s="494"/>
      <c r="AN336" s="30" t="b">
        <f t="shared" si="30"/>
        <v>1</v>
      </c>
      <c r="AO336" s="17"/>
      <c r="AP336" s="9"/>
      <c r="AQ336" s="9"/>
      <c r="AR336" s="9"/>
    </row>
    <row r="337" spans="1:44" customFormat="1" ht="12" customHeight="1" outlineLevel="1" x14ac:dyDescent="0.25">
      <c r="A337" s="7"/>
      <c r="B337" s="8"/>
      <c r="C337" s="18"/>
      <c r="D337" s="18"/>
      <c r="E337" s="18"/>
      <c r="F337" s="24"/>
      <c r="G337" s="549"/>
      <c r="H337" s="25"/>
      <c r="I337" s="512" t="str">
        <f>General!G48</f>
        <v>of</v>
      </c>
      <c r="J337" s="584"/>
      <c r="K337" s="584"/>
      <c r="L337" s="584"/>
      <c r="M337" s="584"/>
      <c r="N337" s="584"/>
      <c r="O337" s="584"/>
      <c r="P337" s="584"/>
      <c r="Q337" s="584"/>
      <c r="R337" s="584"/>
      <c r="S337" s="584" t="b">
        <v>1</v>
      </c>
      <c r="T337" s="584"/>
      <c r="U337" s="584"/>
      <c r="V337" s="584"/>
      <c r="W337" s="584" t="b">
        <v>1</v>
      </c>
      <c r="X337" s="584"/>
      <c r="Y337" s="584"/>
      <c r="Z337" s="584"/>
      <c r="AA337" s="584" t="b">
        <v>1</v>
      </c>
      <c r="AB337" s="584"/>
      <c r="AC337" s="584" t="b">
        <v>1</v>
      </c>
      <c r="AD337" s="584"/>
      <c r="AE337" s="584"/>
      <c r="AF337" s="584"/>
      <c r="AG337" s="584"/>
      <c r="AH337" s="584"/>
      <c r="AI337" s="584"/>
      <c r="AJ337" s="584"/>
      <c r="AK337" s="584"/>
      <c r="AL337" s="494"/>
      <c r="AM337" s="494"/>
      <c r="AN337" s="30" t="b">
        <f t="shared" si="30"/>
        <v>1</v>
      </c>
      <c r="AO337" s="17"/>
      <c r="AP337" s="9"/>
      <c r="AQ337" s="9"/>
      <c r="AR337" s="9"/>
    </row>
    <row r="338" spans="1:44" customFormat="1" ht="12" customHeight="1" outlineLevel="1" x14ac:dyDescent="0.25">
      <c r="A338" s="7"/>
      <c r="B338" s="8"/>
      <c r="C338" s="18"/>
      <c r="D338" s="18"/>
      <c r="E338" s="18"/>
      <c r="F338" s="24"/>
      <c r="G338" s="549"/>
      <c r="H338" s="25"/>
      <c r="I338" s="512" t="str">
        <f>General!G49</f>
        <v>r</v>
      </c>
      <c r="J338" s="584"/>
      <c r="K338" s="584"/>
      <c r="L338" s="584"/>
      <c r="M338" s="584"/>
      <c r="N338" s="584"/>
      <c r="O338" s="584"/>
      <c r="P338" s="584"/>
      <c r="Q338" s="584"/>
      <c r="R338" s="584"/>
      <c r="S338" s="584"/>
      <c r="T338" s="584"/>
      <c r="U338" s="584" t="b">
        <v>1</v>
      </c>
      <c r="V338" s="584"/>
      <c r="W338" s="584"/>
      <c r="X338" s="584"/>
      <c r="Y338" s="584" t="b">
        <v>1</v>
      </c>
      <c r="Z338" s="584"/>
      <c r="AA338" s="584"/>
      <c r="AB338" s="584"/>
      <c r="AC338" s="584"/>
      <c r="AD338" s="584"/>
      <c r="AE338" s="584"/>
      <c r="AF338" s="584"/>
      <c r="AG338" s="584"/>
      <c r="AH338" s="584"/>
      <c r="AI338" s="584"/>
      <c r="AJ338" s="584"/>
      <c r="AK338" s="584"/>
      <c r="AL338" s="494"/>
      <c r="AM338" s="494"/>
      <c r="AN338" s="30" t="b">
        <f t="shared" si="30"/>
        <v>1</v>
      </c>
      <c r="AO338" s="17"/>
      <c r="AP338" s="9"/>
      <c r="AQ338" s="9"/>
      <c r="AR338" s="9"/>
    </row>
    <row r="339" spans="1:44" customFormat="1" ht="12" customHeight="1" outlineLevel="1" x14ac:dyDescent="0.25">
      <c r="A339" s="7"/>
      <c r="B339" s="8"/>
      <c r="C339" s="18"/>
      <c r="D339" s="18"/>
      <c r="E339" s="18"/>
      <c r="F339" s="24"/>
      <c r="G339" s="549"/>
      <c r="H339" s="25"/>
      <c r="I339" s="512" t="str">
        <f>General!G50</f>
        <v>rd</v>
      </c>
      <c r="J339" s="584"/>
      <c r="K339" s="584"/>
      <c r="L339" s="584"/>
      <c r="M339" s="584"/>
      <c r="N339" s="584"/>
      <c r="O339" s="584"/>
      <c r="P339" s="584"/>
      <c r="Q339" s="584"/>
      <c r="R339" s="584"/>
      <c r="S339" s="584"/>
      <c r="T339" s="584"/>
      <c r="U339" s="584" t="b">
        <v>1</v>
      </c>
      <c r="V339" s="584"/>
      <c r="W339" s="584"/>
      <c r="X339" s="584"/>
      <c r="Y339" s="584" t="b">
        <v>1</v>
      </c>
      <c r="Z339" s="584"/>
      <c r="AA339" s="584"/>
      <c r="AB339" s="584"/>
      <c r="AC339" s="584"/>
      <c r="AD339" s="584"/>
      <c r="AE339" s="584"/>
      <c r="AF339" s="584"/>
      <c r="AG339" s="584"/>
      <c r="AH339" s="584"/>
      <c r="AI339" s="584"/>
      <c r="AJ339" s="584"/>
      <c r="AK339" s="584"/>
      <c r="AL339" s="494"/>
      <c r="AM339" s="494"/>
      <c r="AN339" s="30" t="b">
        <f t="shared" si="30"/>
        <v>1</v>
      </c>
      <c r="AO339" s="17"/>
      <c r="AP339" s="9"/>
      <c r="AQ339" s="9"/>
      <c r="AR339" s="9"/>
    </row>
    <row r="340" spans="1:44" customFormat="1" ht="12" customHeight="1" outlineLevel="1" x14ac:dyDescent="0.25">
      <c r="A340" s="7"/>
      <c r="B340" s="8"/>
      <c r="C340" s="18"/>
      <c r="D340" s="18"/>
      <c r="E340" s="18"/>
      <c r="F340" s="24"/>
      <c r="G340" s="549"/>
      <c r="H340" s="25"/>
      <c r="I340" s="512" t="str">
        <f>General!G51</f>
        <v>v</v>
      </c>
      <c r="J340" s="584"/>
      <c r="K340" s="584"/>
      <c r="L340" s="584"/>
      <c r="M340" s="584"/>
      <c r="N340" s="584"/>
      <c r="O340" s="584"/>
      <c r="P340" s="584"/>
      <c r="Q340" s="584"/>
      <c r="R340" s="584"/>
      <c r="S340" s="584"/>
      <c r="T340" s="584"/>
      <c r="U340" s="584"/>
      <c r="V340" s="584"/>
      <c r="W340" s="584"/>
      <c r="X340" s="584"/>
      <c r="Y340" s="584"/>
      <c r="Z340" s="584"/>
      <c r="AA340" s="584"/>
      <c r="AB340" s="584"/>
      <c r="AC340" s="584"/>
      <c r="AD340" s="584"/>
      <c r="AE340" s="584"/>
      <c r="AF340" s="584"/>
      <c r="AG340" s="584"/>
      <c r="AH340" s="584"/>
      <c r="AI340" s="584"/>
      <c r="AJ340" s="584" t="b">
        <v>1</v>
      </c>
      <c r="AK340" s="584"/>
      <c r="AL340" s="494"/>
      <c r="AM340" s="494"/>
      <c r="AN340" s="30" t="b">
        <f t="shared" si="30"/>
        <v>1</v>
      </c>
      <c r="AO340" s="17"/>
      <c r="AP340" s="9"/>
      <c r="AQ340" s="9"/>
      <c r="AR340" s="9"/>
    </row>
    <row r="341" spans="1:44" customFormat="1" ht="12" customHeight="1" outlineLevel="1" x14ac:dyDescent="0.25">
      <c r="A341" s="7"/>
      <c r="B341" s="8"/>
      <c r="C341" s="18"/>
      <c r="D341" s="18"/>
      <c r="E341" s="18"/>
      <c r="F341" s="24"/>
      <c r="G341" s="549"/>
      <c r="H341" s="25"/>
      <c r="I341" s="512" t="str">
        <f>General!G52</f>
        <v>w</v>
      </c>
      <c r="J341" s="584"/>
      <c r="K341" s="584"/>
      <c r="L341" s="584"/>
      <c r="M341" s="584"/>
      <c r="N341" s="584"/>
      <c r="O341" s="584"/>
      <c r="P341" s="584"/>
      <c r="Q341" s="584"/>
      <c r="R341" s="584"/>
      <c r="S341" s="584"/>
      <c r="T341" s="584"/>
      <c r="U341" s="584"/>
      <c r="V341" s="584"/>
      <c r="W341" s="584" t="b">
        <v>1</v>
      </c>
      <c r="X341" s="584"/>
      <c r="Y341" s="584"/>
      <c r="Z341" s="584"/>
      <c r="AA341" s="584" t="b">
        <v>1</v>
      </c>
      <c r="AB341" s="584"/>
      <c r="AC341" s="584" t="b">
        <v>1</v>
      </c>
      <c r="AD341" s="584"/>
      <c r="AE341" s="584"/>
      <c r="AF341" s="584"/>
      <c r="AG341" s="584"/>
      <c r="AH341" s="584"/>
      <c r="AI341" s="584"/>
      <c r="AJ341" s="584"/>
      <c r="AK341" s="584"/>
      <c r="AL341" s="494"/>
      <c r="AM341" s="494"/>
      <c r="AN341" s="30" t="b">
        <f t="shared" si="30"/>
        <v>1</v>
      </c>
      <c r="AO341" s="17"/>
      <c r="AP341" s="9"/>
      <c r="AQ341" s="9"/>
      <c r="AR341" s="9"/>
    </row>
    <row r="342" spans="1:44" customFormat="1" outlineLevel="1" x14ac:dyDescent="0.25">
      <c r="A342" s="7"/>
      <c r="B342" s="8"/>
      <c r="C342" s="18"/>
      <c r="D342" s="18"/>
      <c r="E342" s="18"/>
      <c r="F342" s="24"/>
      <c r="G342" s="549"/>
      <c r="H342" s="25"/>
      <c r="I342" s="512" t="str">
        <f>General!G53</f>
        <v>wd</v>
      </c>
      <c r="J342" s="584"/>
      <c r="K342" s="584"/>
      <c r="L342" s="584"/>
      <c r="M342" s="584"/>
      <c r="N342" s="584"/>
      <c r="O342" s="584"/>
      <c r="P342" s="584"/>
      <c r="Q342" s="584"/>
      <c r="R342" s="584"/>
      <c r="S342" s="584"/>
      <c r="T342" s="584"/>
      <c r="U342" s="584"/>
      <c r="V342" s="584"/>
      <c r="W342" s="584" t="b">
        <v>1</v>
      </c>
      <c r="X342" s="584"/>
      <c r="Y342" s="584"/>
      <c r="Z342" s="584"/>
      <c r="AA342" s="584" t="b">
        <v>1</v>
      </c>
      <c r="AB342" s="584"/>
      <c r="AC342" s="584" t="b">
        <v>1</v>
      </c>
      <c r="AD342" s="584"/>
      <c r="AE342" s="584"/>
      <c r="AF342" s="584"/>
      <c r="AG342" s="584"/>
      <c r="AH342" s="584"/>
      <c r="AI342" s="584"/>
      <c r="AJ342" s="584"/>
      <c r="AK342" s="584"/>
      <c r="AL342" s="494"/>
      <c r="AM342" s="494"/>
      <c r="AN342" s="30" t="b">
        <f t="shared" si="30"/>
        <v>1</v>
      </c>
      <c r="AO342" s="17"/>
      <c r="AP342" s="9"/>
      <c r="AQ342" s="9"/>
      <c r="AR342" s="9"/>
    </row>
    <row r="343" spans="1:44" customFormat="1" outlineLevel="1" x14ac:dyDescent="0.25">
      <c r="A343" s="7"/>
      <c r="B343" s="8"/>
      <c r="C343" s="18"/>
      <c r="D343" s="18"/>
      <c r="E343" s="18"/>
      <c r="F343" s="24"/>
      <c r="G343" s="549"/>
      <c r="H343" s="24"/>
      <c r="I343" s="512" t="str">
        <f>General!G54</f>
        <v>z</v>
      </c>
      <c r="J343" s="584"/>
      <c r="K343" s="584"/>
      <c r="L343" s="584"/>
      <c r="M343" s="584"/>
      <c r="N343" s="584"/>
      <c r="O343" s="584"/>
      <c r="P343" s="584"/>
      <c r="Q343" s="584"/>
      <c r="R343" s="584"/>
      <c r="S343" s="584"/>
      <c r="T343" s="584"/>
      <c r="U343" s="584" t="b">
        <v>1</v>
      </c>
      <c r="V343" s="584"/>
      <c r="W343" s="584"/>
      <c r="X343" s="584"/>
      <c r="Y343" s="584" t="b">
        <v>1</v>
      </c>
      <c r="Z343" s="584"/>
      <c r="AA343" s="584"/>
      <c r="AB343" s="584"/>
      <c r="AC343" s="584"/>
      <c r="AD343" s="584"/>
      <c r="AE343" s="584"/>
      <c r="AF343" s="584"/>
      <c r="AG343" s="584"/>
      <c r="AH343" s="584"/>
      <c r="AI343" s="584"/>
      <c r="AJ343" s="584"/>
      <c r="AK343" s="584"/>
      <c r="AL343" s="494"/>
      <c r="AM343" s="494"/>
      <c r="AN343" s="30" t="b">
        <f t="shared" si="30"/>
        <v>1</v>
      </c>
      <c r="AO343" s="17"/>
      <c r="AP343" s="9"/>
      <c r="AQ343" s="9"/>
      <c r="AR343" s="9"/>
    </row>
    <row r="344" spans="1:44" customFormat="1" outlineLevel="1" x14ac:dyDescent="0.25">
      <c r="A344" s="7"/>
      <c r="B344" s="8"/>
      <c r="C344" s="18"/>
      <c r="D344" s="18"/>
      <c r="E344" s="18"/>
      <c r="F344" s="24"/>
      <c r="G344" s="549"/>
      <c r="H344" s="24"/>
      <c r="I344" s="512" t="str">
        <f>General!G55</f>
        <v>zd</v>
      </c>
      <c r="J344" s="584"/>
      <c r="K344" s="584"/>
      <c r="L344" s="584"/>
      <c r="M344" s="584"/>
      <c r="N344" s="584"/>
      <c r="O344" s="584"/>
      <c r="P344" s="584"/>
      <c r="Q344" s="584"/>
      <c r="R344" s="584"/>
      <c r="S344" s="584"/>
      <c r="T344" s="584"/>
      <c r="U344" s="584" t="b">
        <v>1</v>
      </c>
      <c r="V344" s="584"/>
      <c r="W344" s="584"/>
      <c r="X344" s="584"/>
      <c r="Y344" s="584" t="b">
        <v>1</v>
      </c>
      <c r="Z344" s="584"/>
      <c r="AA344" s="584"/>
      <c r="AB344" s="584"/>
      <c r="AC344" s="584"/>
      <c r="AD344" s="584"/>
      <c r="AE344" s="584"/>
      <c r="AF344" s="584"/>
      <c r="AG344" s="584"/>
      <c r="AH344" s="584"/>
      <c r="AI344" s="584"/>
      <c r="AJ344" s="584"/>
      <c r="AK344" s="584"/>
      <c r="AL344" s="494"/>
      <c r="AM344" s="494"/>
      <c r="AN344" s="30" t="b">
        <f t="shared" si="30"/>
        <v>1</v>
      </c>
      <c r="AO344" s="17"/>
      <c r="AP344" s="9"/>
      <c r="AQ344" s="9"/>
      <c r="AR344" s="9"/>
    </row>
    <row r="345" spans="1:44" customFormat="1" ht="12" customHeight="1" outlineLevel="1" x14ac:dyDescent="0.25">
      <c r="A345" s="7"/>
      <c r="B345" s="8"/>
      <c r="C345" s="18">
        <v>1</v>
      </c>
      <c r="D345" s="18"/>
      <c r="E345" s="18"/>
      <c r="F345" s="24"/>
      <c r="G345" s="549"/>
      <c r="H345" s="25" t="s">
        <v>2327</v>
      </c>
      <c r="I345" s="512" t="str">
        <f>General!G37</f>
        <v>b</v>
      </c>
      <c r="J345" s="584"/>
      <c r="K345" s="584"/>
      <c r="L345" s="584"/>
      <c r="M345" s="584"/>
      <c r="N345" s="584"/>
      <c r="O345" s="584"/>
      <c r="P345" s="584"/>
      <c r="Q345" s="584"/>
      <c r="R345" s="584"/>
      <c r="S345" s="584"/>
      <c r="T345" s="584"/>
      <c r="U345" s="584"/>
      <c r="V345" s="584"/>
      <c r="W345" s="584"/>
      <c r="X345" s="584"/>
      <c r="Y345" s="584"/>
      <c r="Z345" s="584"/>
      <c r="AA345" s="584"/>
      <c r="AB345" s="584"/>
      <c r="AC345" s="584"/>
      <c r="AD345" s="584"/>
      <c r="AE345" s="584"/>
      <c r="AF345" s="584"/>
      <c r="AG345" s="584"/>
      <c r="AH345" s="584"/>
      <c r="AI345" s="584"/>
      <c r="AJ345" s="584"/>
      <c r="AK345" s="584" t="b">
        <v>1</v>
      </c>
      <c r="AL345" s="494"/>
      <c r="AM345" s="494"/>
      <c r="AN345" s="30" t="b">
        <f t="shared" si="30"/>
        <v>1</v>
      </c>
      <c r="AO345" s="17"/>
      <c r="AP345" s="9"/>
      <c r="AQ345" s="9"/>
      <c r="AR345" s="9"/>
    </row>
    <row r="346" spans="1:44" customFormat="1" ht="12" customHeight="1" outlineLevel="2" x14ac:dyDescent="0.25">
      <c r="A346" s="7"/>
      <c r="B346" s="8"/>
      <c r="C346" s="18"/>
      <c r="D346" s="18"/>
      <c r="E346" s="18"/>
      <c r="F346" s="24"/>
      <c r="G346" s="549"/>
      <c r="H346" s="25"/>
      <c r="I346" s="512" t="str">
        <f>General!G38</f>
        <v>bd</v>
      </c>
      <c r="J346" s="584"/>
      <c r="K346" s="584"/>
      <c r="L346" s="584"/>
      <c r="M346" s="584"/>
      <c r="N346" s="584"/>
      <c r="O346" s="584"/>
      <c r="P346" s="584"/>
      <c r="Q346" s="584"/>
      <c r="R346" s="584"/>
      <c r="S346" s="584"/>
      <c r="T346" s="584"/>
      <c r="U346" s="584"/>
      <c r="V346" s="584"/>
      <c r="W346" s="584"/>
      <c r="X346" s="584"/>
      <c r="Y346" s="584"/>
      <c r="Z346" s="584"/>
      <c r="AA346" s="584"/>
      <c r="AB346" s="584"/>
      <c r="AC346" s="584"/>
      <c r="AD346" s="584"/>
      <c r="AE346" s="584"/>
      <c r="AF346" s="584"/>
      <c r="AG346" s="584"/>
      <c r="AH346" s="584"/>
      <c r="AI346" s="584"/>
      <c r="AJ346" s="584"/>
      <c r="AK346" s="584" t="b">
        <v>1</v>
      </c>
      <c r="AL346" s="494"/>
      <c r="AM346" s="494"/>
      <c r="AN346" s="30" t="b">
        <f t="shared" si="30"/>
        <v>1</v>
      </c>
      <c r="AO346" s="17"/>
      <c r="AP346" s="9"/>
      <c r="AQ346" s="9"/>
      <c r="AR346" s="9"/>
    </row>
    <row r="347" spans="1:44" customFormat="1" ht="12" customHeight="1" outlineLevel="2" x14ac:dyDescent="0.25">
      <c r="A347" s="7"/>
      <c r="B347" s="8"/>
      <c r="C347" s="18"/>
      <c r="D347" s="18"/>
      <c r="E347" s="18"/>
      <c r="F347" s="24"/>
      <c r="G347" s="549"/>
      <c r="H347" s="25"/>
      <c r="I347" s="512" t="str">
        <f>General!G39</f>
        <v>f</v>
      </c>
      <c r="J347" s="584"/>
      <c r="K347" s="584"/>
      <c r="L347" s="584"/>
      <c r="M347" s="584"/>
      <c r="N347" s="584"/>
      <c r="O347" s="584"/>
      <c r="P347" s="584"/>
      <c r="Q347" s="584"/>
      <c r="R347" s="584"/>
      <c r="S347" s="584"/>
      <c r="T347" s="584"/>
      <c r="U347" s="584"/>
      <c r="V347" s="584"/>
      <c r="W347" s="584"/>
      <c r="X347" s="584"/>
      <c r="Y347" s="584"/>
      <c r="Z347" s="584"/>
      <c r="AA347" s="584"/>
      <c r="AB347" s="584"/>
      <c r="AC347" s="584"/>
      <c r="AD347" s="584"/>
      <c r="AE347" s="584" t="b">
        <v>1</v>
      </c>
      <c r="AF347" s="584" t="b">
        <v>1</v>
      </c>
      <c r="AG347" s="584"/>
      <c r="AH347" s="584"/>
      <c r="AI347" s="584"/>
      <c r="AJ347" s="584"/>
      <c r="AK347" s="584"/>
      <c r="AL347" s="494"/>
      <c r="AM347" s="494"/>
      <c r="AN347" s="30" t="b">
        <f t="shared" si="30"/>
        <v>1</v>
      </c>
      <c r="AO347" s="17"/>
      <c r="AP347" s="9"/>
      <c r="AQ347" s="9"/>
      <c r="AR347" s="9"/>
    </row>
    <row r="348" spans="1:44" customFormat="1" ht="12" customHeight="1" outlineLevel="2" x14ac:dyDescent="0.25">
      <c r="A348" s="7"/>
      <c r="B348" s="8"/>
      <c r="C348" s="18"/>
      <c r="D348" s="18"/>
      <c r="E348" s="18"/>
      <c r="F348" s="24"/>
      <c r="G348" s="549"/>
      <c r="H348" s="25"/>
      <c r="I348" s="512" t="str">
        <f>General!G40</f>
        <v>h</v>
      </c>
      <c r="J348" s="584"/>
      <c r="K348" s="584"/>
      <c r="L348" s="584"/>
      <c r="M348" s="584"/>
      <c r="N348" s="584"/>
      <c r="O348" s="584"/>
      <c r="P348" s="584"/>
      <c r="Q348" s="584"/>
      <c r="R348" s="584"/>
      <c r="S348" s="584"/>
      <c r="T348" s="584"/>
      <c r="U348" s="584"/>
      <c r="V348" s="584"/>
      <c r="W348" s="584"/>
      <c r="X348" s="584"/>
      <c r="Y348" s="584"/>
      <c r="Z348" s="584"/>
      <c r="AA348" s="584"/>
      <c r="AB348" s="584"/>
      <c r="AC348" s="584"/>
      <c r="AD348" s="584"/>
      <c r="AE348" s="584"/>
      <c r="AF348" s="584"/>
      <c r="AG348" s="584"/>
      <c r="AH348" s="584"/>
      <c r="AI348" s="584"/>
      <c r="AJ348" s="584"/>
      <c r="AK348" s="584" t="b">
        <v>1</v>
      </c>
      <c r="AL348" s="494"/>
      <c r="AM348" s="494"/>
      <c r="AN348" s="30" t="b">
        <f t="shared" si="30"/>
        <v>1</v>
      </c>
      <c r="AO348" s="17"/>
      <c r="AP348" s="9"/>
      <c r="AQ348" s="9"/>
      <c r="AR348" s="9"/>
    </row>
    <row r="349" spans="1:44" customFormat="1" ht="12" customHeight="1" outlineLevel="2" x14ac:dyDescent="0.25">
      <c r="A349" s="7"/>
      <c r="B349" s="8"/>
      <c r="C349" s="18"/>
      <c r="D349" s="18"/>
      <c r="E349" s="18"/>
      <c r="F349" s="24"/>
      <c r="G349" s="549"/>
      <c r="H349" s="25"/>
      <c r="I349" s="512" t="str">
        <f>General!G41</f>
        <v>i</v>
      </c>
      <c r="J349" s="584"/>
      <c r="K349" s="584"/>
      <c r="L349" s="584"/>
      <c r="M349" s="584"/>
      <c r="N349" s="584"/>
      <c r="O349" s="584"/>
      <c r="P349" s="584"/>
      <c r="Q349" s="584"/>
      <c r="R349" s="584"/>
      <c r="S349" s="584"/>
      <c r="T349" s="584"/>
      <c r="U349" s="584"/>
      <c r="V349" s="584"/>
      <c r="W349" s="584"/>
      <c r="X349" s="584"/>
      <c r="Y349" s="584"/>
      <c r="Z349" s="584"/>
      <c r="AA349" s="584"/>
      <c r="AB349" s="584"/>
      <c r="AC349" s="584"/>
      <c r="AD349" s="584"/>
      <c r="AE349" s="584" t="b">
        <v>1</v>
      </c>
      <c r="AF349" s="584" t="b">
        <v>1</v>
      </c>
      <c r="AG349" s="584"/>
      <c r="AH349" s="584"/>
      <c r="AI349" s="584"/>
      <c r="AJ349" s="584"/>
      <c r="AK349" s="584"/>
      <c r="AL349" s="494"/>
      <c r="AM349" s="494"/>
      <c r="AN349" s="30" t="b">
        <f t="shared" si="30"/>
        <v>1</v>
      </c>
      <c r="AO349" s="17"/>
      <c r="AP349" s="9"/>
      <c r="AQ349" s="9"/>
      <c r="AR349" s="9"/>
    </row>
    <row r="350" spans="1:44" customFormat="1" ht="12" customHeight="1" outlineLevel="2" x14ac:dyDescent="0.25">
      <c r="A350" s="7"/>
      <c r="B350" s="8"/>
      <c r="C350" s="18"/>
      <c r="D350" s="18"/>
      <c r="E350" s="18"/>
      <c r="F350" s="24"/>
      <c r="G350" s="549"/>
      <c r="H350" s="25"/>
      <c r="I350" s="512" t="str">
        <f>General!G42</f>
        <v>k</v>
      </c>
      <c r="J350" s="584"/>
      <c r="K350" s="584"/>
      <c r="L350" s="584"/>
      <c r="M350" s="584"/>
      <c r="N350" s="584"/>
      <c r="O350" s="584"/>
      <c r="P350" s="584"/>
      <c r="Q350" s="584"/>
      <c r="R350" s="584"/>
      <c r="S350" s="584"/>
      <c r="T350" s="584"/>
      <c r="U350" s="584"/>
      <c r="V350" s="584"/>
      <c r="W350" s="584"/>
      <c r="X350" s="584"/>
      <c r="Y350" s="584"/>
      <c r="Z350" s="584"/>
      <c r="AA350" s="584"/>
      <c r="AB350" s="584"/>
      <c r="AC350" s="584"/>
      <c r="AD350" s="584"/>
      <c r="AE350" s="584" t="b">
        <v>1</v>
      </c>
      <c r="AF350" s="584" t="b">
        <v>1</v>
      </c>
      <c r="AG350" s="584"/>
      <c r="AH350" s="584"/>
      <c r="AI350" s="584"/>
      <c r="AJ350" s="584"/>
      <c r="AK350" s="584"/>
      <c r="AL350" s="494"/>
      <c r="AM350" s="494"/>
      <c r="AN350" s="30" t="b">
        <f t="shared" si="30"/>
        <v>1</v>
      </c>
      <c r="AO350" s="17"/>
      <c r="AP350" s="9"/>
      <c r="AQ350" s="9"/>
      <c r="AR350" s="9"/>
    </row>
    <row r="351" spans="1:44" customFormat="1" ht="12" customHeight="1" outlineLevel="2" x14ac:dyDescent="0.25">
      <c r="A351" s="7"/>
      <c r="B351" s="8"/>
      <c r="C351" s="18"/>
      <c r="D351" s="18"/>
      <c r="E351" s="18"/>
      <c r="F351" s="24"/>
      <c r="G351" s="549"/>
      <c r="H351" s="25"/>
      <c r="I351" s="512" t="str">
        <f>General!G43</f>
        <v>l</v>
      </c>
      <c r="J351" s="584"/>
      <c r="K351" s="584"/>
      <c r="L351" s="584"/>
      <c r="M351" s="584"/>
      <c r="N351" s="584"/>
      <c r="O351" s="584"/>
      <c r="P351" s="584"/>
      <c r="Q351" s="584"/>
      <c r="R351" s="584"/>
      <c r="S351" s="584"/>
      <c r="T351" s="584"/>
      <c r="U351" s="584"/>
      <c r="V351" s="584"/>
      <c r="W351" s="584"/>
      <c r="X351" s="584"/>
      <c r="Y351" s="584"/>
      <c r="Z351" s="584"/>
      <c r="AA351" s="584"/>
      <c r="AB351" s="584"/>
      <c r="AC351" s="584"/>
      <c r="AD351" s="584"/>
      <c r="AE351" s="584" t="b">
        <v>1</v>
      </c>
      <c r="AF351" s="584" t="b">
        <v>1</v>
      </c>
      <c r="AG351" s="584"/>
      <c r="AH351" s="584"/>
      <c r="AI351" s="584"/>
      <c r="AJ351" s="584"/>
      <c r="AK351" s="584"/>
      <c r="AL351" s="494"/>
      <c r="AM351" s="494"/>
      <c r="AN351" s="30" t="b">
        <f t="shared" si="30"/>
        <v>1</v>
      </c>
      <c r="AO351" s="17"/>
      <c r="AP351" s="9"/>
      <c r="AQ351" s="9"/>
      <c r="AR351" s="9"/>
    </row>
    <row r="352" spans="1:44" customFormat="1" ht="12" customHeight="1" outlineLevel="2" x14ac:dyDescent="0.25">
      <c r="A352" s="7"/>
      <c r="B352" s="8"/>
      <c r="C352" s="18"/>
      <c r="D352" s="18"/>
      <c r="E352" s="18"/>
      <c r="F352" s="24"/>
      <c r="G352" s="549"/>
      <c r="H352" s="25"/>
      <c r="I352" s="512" t="str">
        <f>General!G44</f>
        <v>lf</v>
      </c>
      <c r="J352" s="584"/>
      <c r="K352" s="584"/>
      <c r="L352" s="584"/>
      <c r="M352" s="584"/>
      <c r="N352" s="584"/>
      <c r="O352" s="584"/>
      <c r="P352" s="584"/>
      <c r="Q352" s="584"/>
      <c r="R352" s="584"/>
      <c r="S352" s="584"/>
      <c r="T352" s="584"/>
      <c r="U352" s="584"/>
      <c r="V352" s="584"/>
      <c r="W352" s="584"/>
      <c r="X352" s="584"/>
      <c r="Y352" s="584"/>
      <c r="Z352" s="584"/>
      <c r="AA352" s="584"/>
      <c r="AB352" s="584"/>
      <c r="AC352" s="584"/>
      <c r="AD352" s="584"/>
      <c r="AE352" s="584" t="b">
        <v>1</v>
      </c>
      <c r="AF352" s="584" t="b">
        <v>1</v>
      </c>
      <c r="AG352" s="584"/>
      <c r="AH352" s="584"/>
      <c r="AI352" s="584"/>
      <c r="AJ352" s="584"/>
      <c r="AK352" s="584"/>
      <c r="AL352" s="494"/>
      <c r="AM352" s="494"/>
      <c r="AN352" s="30" t="b">
        <f t="shared" ref="AN352" si="32">OR(J352:AK352)</f>
        <v>1</v>
      </c>
      <c r="AO352" s="17"/>
      <c r="AP352" s="9"/>
      <c r="AQ352" s="9"/>
      <c r="AR352" s="9"/>
    </row>
    <row r="353" spans="1:44" customFormat="1" ht="12" customHeight="1" outlineLevel="2" x14ac:dyDescent="0.25">
      <c r="A353" s="7"/>
      <c r="B353" s="8"/>
      <c r="C353" s="18"/>
      <c r="D353" s="18"/>
      <c r="E353" s="18"/>
      <c r="F353" s="24"/>
      <c r="G353" s="549"/>
      <c r="H353" s="25"/>
      <c r="I353" s="512" t="str">
        <f>General!G45</f>
        <v>ms</v>
      </c>
      <c r="J353" s="584"/>
      <c r="K353" s="584"/>
      <c r="L353" s="584"/>
      <c r="M353" s="584"/>
      <c r="N353" s="584"/>
      <c r="O353" s="584"/>
      <c r="P353" s="584"/>
      <c r="Q353" s="584"/>
      <c r="R353" s="584"/>
      <c r="S353" s="584"/>
      <c r="T353" s="584"/>
      <c r="U353" s="584"/>
      <c r="V353" s="584"/>
      <c r="W353" s="584"/>
      <c r="X353" s="584"/>
      <c r="Y353" s="584"/>
      <c r="Z353" s="584"/>
      <c r="AA353" s="584"/>
      <c r="AB353" s="584"/>
      <c r="AC353" s="584"/>
      <c r="AD353" s="584"/>
      <c r="AE353" s="584" t="b">
        <v>1</v>
      </c>
      <c r="AF353" s="584" t="b">
        <v>1</v>
      </c>
      <c r="AG353" s="584"/>
      <c r="AH353" s="584"/>
      <c r="AI353" s="584"/>
      <c r="AJ353" s="584"/>
      <c r="AK353" s="584" t="b">
        <v>1</v>
      </c>
      <c r="AL353" s="494"/>
      <c r="AM353" s="494"/>
      <c r="AN353" s="30"/>
      <c r="AO353" s="17"/>
      <c r="AP353" s="9"/>
      <c r="AQ353" s="9"/>
      <c r="AR353" s="9"/>
    </row>
    <row r="354" spans="1:44" customFormat="1" ht="12" customHeight="1" outlineLevel="2" x14ac:dyDescent="0.25">
      <c r="A354" s="7"/>
      <c r="B354" s="8"/>
      <c r="C354" s="18"/>
      <c r="D354" s="18"/>
      <c r="E354" s="18"/>
      <c r="F354" s="24"/>
      <c r="G354" s="549"/>
      <c r="H354" s="587"/>
      <c r="I354" s="512" t="str">
        <f>General!G46</f>
        <v>o</v>
      </c>
      <c r="J354" s="584"/>
      <c r="K354" s="584"/>
      <c r="L354" s="584"/>
      <c r="M354" s="584"/>
      <c r="N354" s="584"/>
      <c r="O354" s="584"/>
      <c r="P354" s="584"/>
      <c r="Q354" s="584"/>
      <c r="R354" s="584"/>
      <c r="S354" s="584"/>
      <c r="T354" s="584"/>
      <c r="U354" s="584"/>
      <c r="V354" s="584"/>
      <c r="W354" s="584"/>
      <c r="X354" s="584"/>
      <c r="Y354" s="584"/>
      <c r="Z354" s="584"/>
      <c r="AA354" s="584"/>
      <c r="AB354" s="584"/>
      <c r="AC354" s="584"/>
      <c r="AD354" s="584"/>
      <c r="AE354" s="584"/>
      <c r="AF354" s="584"/>
      <c r="AG354" s="584"/>
      <c r="AH354" s="584"/>
      <c r="AI354" s="584"/>
      <c r="AJ354" s="584"/>
      <c r="AK354" s="584" t="b">
        <v>1</v>
      </c>
      <c r="AL354" s="494"/>
      <c r="AM354" s="494"/>
      <c r="AN354" s="30" t="b">
        <f t="shared" si="30"/>
        <v>1</v>
      </c>
      <c r="AO354" s="17"/>
      <c r="AP354" s="9"/>
      <c r="AQ354" s="9"/>
      <c r="AR354" s="9"/>
    </row>
    <row r="355" spans="1:44" customFormat="1" ht="12" customHeight="1" outlineLevel="2" x14ac:dyDescent="0.25">
      <c r="A355" s="7"/>
      <c r="B355" s="8"/>
      <c r="C355" s="18"/>
      <c r="D355" s="18"/>
      <c r="E355" s="18"/>
      <c r="F355" s="24"/>
      <c r="G355" s="549"/>
      <c r="H355" s="25"/>
      <c r="I355" s="512" t="str">
        <f>General!G47</f>
        <v>od</v>
      </c>
      <c r="J355" s="584"/>
      <c r="K355" s="584"/>
      <c r="L355" s="584"/>
      <c r="M355" s="584"/>
      <c r="N355" s="584"/>
      <c r="O355" s="584"/>
      <c r="P355" s="584"/>
      <c r="Q355" s="584"/>
      <c r="R355" s="584"/>
      <c r="S355" s="584"/>
      <c r="T355" s="584"/>
      <c r="U355" s="584"/>
      <c r="V355" s="584"/>
      <c r="W355" s="584"/>
      <c r="X355" s="584"/>
      <c r="Y355" s="584"/>
      <c r="Z355" s="584"/>
      <c r="AA355" s="584"/>
      <c r="AB355" s="584"/>
      <c r="AC355" s="584"/>
      <c r="AD355" s="584"/>
      <c r="AE355" s="584"/>
      <c r="AF355" s="584"/>
      <c r="AG355" s="584"/>
      <c r="AH355" s="584"/>
      <c r="AI355" s="584"/>
      <c r="AJ355" s="584"/>
      <c r="AK355" s="584" t="b">
        <v>1</v>
      </c>
      <c r="AL355" s="494"/>
      <c r="AM355" s="494"/>
      <c r="AN355" s="30" t="b">
        <f t="shared" si="30"/>
        <v>1</v>
      </c>
      <c r="AO355" s="17"/>
      <c r="AP355" s="9"/>
      <c r="AQ355" s="9"/>
      <c r="AR355" s="9"/>
    </row>
    <row r="356" spans="1:44" customFormat="1" ht="12" customHeight="1" outlineLevel="2" x14ac:dyDescent="0.25">
      <c r="A356" s="7"/>
      <c r="B356" s="8"/>
      <c r="C356" s="18"/>
      <c r="D356" s="18"/>
      <c r="E356" s="18"/>
      <c r="F356" s="24"/>
      <c r="G356" s="549"/>
      <c r="H356" s="25"/>
      <c r="I356" s="512" t="str">
        <f>General!G48</f>
        <v>of</v>
      </c>
      <c r="J356" s="584"/>
      <c r="K356" s="584"/>
      <c r="L356" s="584"/>
      <c r="M356" s="584"/>
      <c r="N356" s="584"/>
      <c r="O356" s="584"/>
      <c r="P356" s="584"/>
      <c r="Q356" s="584"/>
      <c r="R356" s="584"/>
      <c r="S356" s="584"/>
      <c r="T356" s="584"/>
      <c r="U356" s="584"/>
      <c r="V356" s="584"/>
      <c r="W356" s="584"/>
      <c r="X356" s="584"/>
      <c r="Y356" s="584"/>
      <c r="Z356" s="584"/>
      <c r="AA356" s="584"/>
      <c r="AB356" s="584"/>
      <c r="AC356" s="584"/>
      <c r="AD356" s="584"/>
      <c r="AE356" s="584"/>
      <c r="AF356" s="584"/>
      <c r="AG356" s="584"/>
      <c r="AH356" s="584"/>
      <c r="AI356" s="584"/>
      <c r="AJ356" s="584"/>
      <c r="AK356" s="584" t="b">
        <v>1</v>
      </c>
      <c r="AL356" s="494"/>
      <c r="AM356" s="494"/>
      <c r="AN356" s="30" t="b">
        <f t="shared" si="30"/>
        <v>1</v>
      </c>
      <c r="AO356" s="17"/>
      <c r="AP356" s="9"/>
      <c r="AQ356" s="9"/>
      <c r="AR356" s="9"/>
    </row>
    <row r="357" spans="1:44" customFormat="1" ht="12" customHeight="1" outlineLevel="2" x14ac:dyDescent="0.25">
      <c r="A357" s="7"/>
      <c r="B357" s="8"/>
      <c r="C357" s="18"/>
      <c r="D357" s="18"/>
      <c r="E357" s="18"/>
      <c r="F357" s="24"/>
      <c r="G357" s="549"/>
      <c r="H357" s="25"/>
      <c r="I357" s="512" t="str">
        <f>General!G49</f>
        <v>r</v>
      </c>
      <c r="J357" s="584"/>
      <c r="K357" s="584"/>
      <c r="L357" s="584"/>
      <c r="M357" s="584"/>
      <c r="N357" s="584"/>
      <c r="O357" s="584"/>
      <c r="P357" s="584"/>
      <c r="Q357" s="584"/>
      <c r="R357" s="584"/>
      <c r="S357" s="584"/>
      <c r="T357" s="584"/>
      <c r="U357" s="584"/>
      <c r="V357" s="584"/>
      <c r="W357" s="584"/>
      <c r="X357" s="584"/>
      <c r="Y357" s="584"/>
      <c r="Z357" s="584"/>
      <c r="AA357" s="584"/>
      <c r="AB357" s="584"/>
      <c r="AC357" s="584"/>
      <c r="AD357" s="584"/>
      <c r="AE357" s="584"/>
      <c r="AF357" s="584"/>
      <c r="AG357" s="584"/>
      <c r="AH357" s="584"/>
      <c r="AI357" s="584"/>
      <c r="AJ357" s="584"/>
      <c r="AK357" s="584" t="b">
        <v>1</v>
      </c>
      <c r="AL357" s="494"/>
      <c r="AM357" s="494"/>
      <c r="AN357" s="30" t="b">
        <f t="shared" si="30"/>
        <v>1</v>
      </c>
      <c r="AO357" s="17"/>
      <c r="AP357" s="9"/>
      <c r="AQ357" s="9"/>
      <c r="AR357" s="9"/>
    </row>
    <row r="358" spans="1:44" customFormat="1" ht="12" customHeight="1" outlineLevel="2" x14ac:dyDescent="0.25">
      <c r="A358" s="7"/>
      <c r="B358" s="8"/>
      <c r="C358" s="18"/>
      <c r="D358" s="18"/>
      <c r="E358" s="18"/>
      <c r="F358" s="24"/>
      <c r="G358" s="549"/>
      <c r="H358" s="25"/>
      <c r="I358" s="512" t="str">
        <f>General!G50</f>
        <v>rd</v>
      </c>
      <c r="J358" s="584"/>
      <c r="K358" s="584"/>
      <c r="L358" s="584"/>
      <c r="M358" s="584"/>
      <c r="N358" s="584"/>
      <c r="O358" s="584"/>
      <c r="P358" s="584"/>
      <c r="Q358" s="584"/>
      <c r="R358" s="584"/>
      <c r="S358" s="584"/>
      <c r="T358" s="584"/>
      <c r="U358" s="584"/>
      <c r="V358" s="584"/>
      <c r="W358" s="584"/>
      <c r="X358" s="584"/>
      <c r="Y358" s="584"/>
      <c r="Z358" s="584"/>
      <c r="AA358" s="584"/>
      <c r="AB358" s="584"/>
      <c r="AC358" s="584"/>
      <c r="AD358" s="584"/>
      <c r="AE358" s="584"/>
      <c r="AF358" s="584"/>
      <c r="AG358" s="584"/>
      <c r="AH358" s="584"/>
      <c r="AI358" s="584"/>
      <c r="AJ358" s="584"/>
      <c r="AK358" s="584" t="b">
        <v>1</v>
      </c>
      <c r="AL358" s="494"/>
      <c r="AM358" s="494"/>
      <c r="AN358" s="30" t="b">
        <f t="shared" si="30"/>
        <v>1</v>
      </c>
      <c r="AO358" s="17"/>
      <c r="AP358" s="9"/>
      <c r="AQ358" s="9"/>
      <c r="AR358" s="9"/>
    </row>
    <row r="359" spans="1:44" customFormat="1" ht="12" customHeight="1" outlineLevel="2" x14ac:dyDescent="0.25">
      <c r="A359" s="7"/>
      <c r="B359" s="8"/>
      <c r="C359" s="18"/>
      <c r="D359" s="18"/>
      <c r="E359" s="18"/>
      <c r="F359" s="24"/>
      <c r="G359" s="549"/>
      <c r="H359" s="25"/>
      <c r="I359" s="512" t="str">
        <f>General!G51</f>
        <v>v</v>
      </c>
      <c r="J359" s="584"/>
      <c r="K359" s="584"/>
      <c r="L359" s="584"/>
      <c r="M359" s="584"/>
      <c r="N359" s="584"/>
      <c r="O359" s="584"/>
      <c r="P359" s="584"/>
      <c r="Q359" s="584"/>
      <c r="R359" s="584"/>
      <c r="S359" s="584"/>
      <c r="T359" s="584"/>
      <c r="U359" s="584"/>
      <c r="V359" s="584"/>
      <c r="W359" s="584"/>
      <c r="X359" s="584"/>
      <c r="Y359" s="584"/>
      <c r="Z359" s="584"/>
      <c r="AA359" s="584"/>
      <c r="AB359" s="584"/>
      <c r="AC359" s="584"/>
      <c r="AD359" s="584"/>
      <c r="AE359" s="584" t="b">
        <v>1</v>
      </c>
      <c r="AF359" s="584" t="b">
        <v>1</v>
      </c>
      <c r="AG359" s="584"/>
      <c r="AH359" s="584"/>
      <c r="AI359" s="584"/>
      <c r="AJ359" s="584"/>
      <c r="AK359" s="584"/>
      <c r="AL359" s="494"/>
      <c r="AM359" s="494"/>
      <c r="AN359" s="30" t="b">
        <f t="shared" si="30"/>
        <v>1</v>
      </c>
      <c r="AO359" s="17"/>
      <c r="AP359" s="9"/>
      <c r="AQ359" s="9"/>
      <c r="AR359" s="9"/>
    </row>
    <row r="360" spans="1:44" customFormat="1" ht="12" customHeight="1" outlineLevel="2" x14ac:dyDescent="0.25">
      <c r="A360" s="7"/>
      <c r="B360" s="8"/>
      <c r="C360" s="18"/>
      <c r="D360" s="18"/>
      <c r="E360" s="18"/>
      <c r="F360" s="24"/>
      <c r="G360" s="549"/>
      <c r="H360" s="25"/>
      <c r="I360" s="512" t="str">
        <f>General!G52</f>
        <v>w</v>
      </c>
      <c r="J360" s="584"/>
      <c r="K360" s="584"/>
      <c r="L360" s="584"/>
      <c r="M360" s="584"/>
      <c r="N360" s="584"/>
      <c r="O360" s="584"/>
      <c r="P360" s="584"/>
      <c r="Q360" s="584"/>
      <c r="R360" s="584"/>
      <c r="S360" s="584"/>
      <c r="T360" s="584"/>
      <c r="U360" s="584"/>
      <c r="V360" s="584"/>
      <c r="W360" s="584"/>
      <c r="X360" s="584"/>
      <c r="Y360" s="584"/>
      <c r="Z360" s="584"/>
      <c r="AA360" s="584"/>
      <c r="AB360" s="584"/>
      <c r="AC360" s="584"/>
      <c r="AD360" s="584"/>
      <c r="AE360" s="584"/>
      <c r="AF360" s="584"/>
      <c r="AG360" s="584"/>
      <c r="AH360" s="584"/>
      <c r="AI360" s="584"/>
      <c r="AJ360" s="584"/>
      <c r="AK360" s="584" t="b">
        <v>1</v>
      </c>
      <c r="AL360" s="494"/>
      <c r="AM360" s="494"/>
      <c r="AN360" s="30" t="b">
        <f t="shared" si="30"/>
        <v>1</v>
      </c>
      <c r="AO360" s="17"/>
      <c r="AP360" s="9"/>
      <c r="AQ360" s="9"/>
      <c r="AR360" s="9"/>
    </row>
    <row r="361" spans="1:44" customFormat="1" outlineLevel="2" x14ac:dyDescent="0.25">
      <c r="A361" s="7"/>
      <c r="B361" s="8"/>
      <c r="C361" s="18"/>
      <c r="D361" s="18"/>
      <c r="E361" s="18"/>
      <c r="F361" s="24"/>
      <c r="G361" s="549"/>
      <c r="H361" s="25"/>
      <c r="I361" s="512" t="str">
        <f>General!G53</f>
        <v>wd</v>
      </c>
      <c r="J361" s="584"/>
      <c r="K361" s="584"/>
      <c r="L361" s="584"/>
      <c r="M361" s="584"/>
      <c r="N361" s="584"/>
      <c r="O361" s="584"/>
      <c r="P361" s="584"/>
      <c r="Q361" s="584"/>
      <c r="R361" s="584"/>
      <c r="S361" s="584"/>
      <c r="T361" s="584"/>
      <c r="U361" s="584"/>
      <c r="V361" s="584"/>
      <c r="W361" s="584"/>
      <c r="X361" s="584"/>
      <c r="Y361" s="584"/>
      <c r="Z361" s="584"/>
      <c r="AA361" s="584"/>
      <c r="AB361" s="584"/>
      <c r="AC361" s="584"/>
      <c r="AD361" s="584"/>
      <c r="AE361" s="584"/>
      <c r="AF361" s="584"/>
      <c r="AG361" s="584"/>
      <c r="AH361" s="584"/>
      <c r="AI361" s="584"/>
      <c r="AJ361" s="584"/>
      <c r="AK361" s="584" t="b">
        <v>1</v>
      </c>
      <c r="AL361" s="494"/>
      <c r="AM361" s="494"/>
      <c r="AN361" s="30" t="b">
        <f t="shared" si="30"/>
        <v>1</v>
      </c>
      <c r="AO361" s="17"/>
      <c r="AP361" s="9"/>
      <c r="AQ361" s="9"/>
      <c r="AR361" s="9"/>
    </row>
    <row r="362" spans="1:44" customFormat="1" outlineLevel="2" x14ac:dyDescent="0.25">
      <c r="A362" s="7"/>
      <c r="B362" s="8"/>
      <c r="C362" s="18"/>
      <c r="D362" s="18"/>
      <c r="E362" s="18"/>
      <c r="F362" s="24"/>
      <c r="G362" s="549"/>
      <c r="H362" s="24"/>
      <c r="I362" s="512" t="str">
        <f>General!G54</f>
        <v>z</v>
      </c>
      <c r="J362" s="584"/>
      <c r="K362" s="584"/>
      <c r="L362" s="584"/>
      <c r="M362" s="584"/>
      <c r="N362" s="584"/>
      <c r="O362" s="584"/>
      <c r="P362" s="584"/>
      <c r="Q362" s="584"/>
      <c r="R362" s="584"/>
      <c r="S362" s="584"/>
      <c r="T362" s="584"/>
      <c r="U362" s="584"/>
      <c r="V362" s="584"/>
      <c r="W362" s="584"/>
      <c r="X362" s="584"/>
      <c r="Y362" s="584"/>
      <c r="Z362" s="584"/>
      <c r="AA362" s="584"/>
      <c r="AB362" s="584"/>
      <c r="AC362" s="584"/>
      <c r="AD362" s="584"/>
      <c r="AE362" s="584"/>
      <c r="AF362" s="584"/>
      <c r="AG362" s="584"/>
      <c r="AH362" s="584"/>
      <c r="AI362" s="584"/>
      <c r="AJ362" s="584"/>
      <c r="AK362" s="584" t="b">
        <v>1</v>
      </c>
      <c r="AL362" s="494"/>
      <c r="AM362" s="494"/>
      <c r="AN362" s="30" t="b">
        <f t="shared" si="30"/>
        <v>1</v>
      </c>
      <c r="AO362" s="17"/>
      <c r="AP362" s="9"/>
      <c r="AQ362" s="9"/>
      <c r="AR362" s="9"/>
    </row>
    <row r="363" spans="1:44" customFormat="1" outlineLevel="2" x14ac:dyDescent="0.25">
      <c r="A363" s="7"/>
      <c r="B363" s="8"/>
      <c r="C363" s="18"/>
      <c r="D363" s="18"/>
      <c r="E363" s="18"/>
      <c r="F363" s="24"/>
      <c r="G363" s="549"/>
      <c r="H363" s="24"/>
      <c r="I363" s="512" t="str">
        <f>General!G55</f>
        <v>zd</v>
      </c>
      <c r="J363" s="584"/>
      <c r="K363" s="584"/>
      <c r="L363" s="584"/>
      <c r="M363" s="584"/>
      <c r="N363" s="584"/>
      <c r="O363" s="584"/>
      <c r="P363" s="584"/>
      <c r="Q363" s="584"/>
      <c r="R363" s="584"/>
      <c r="S363" s="584"/>
      <c r="T363" s="584"/>
      <c r="U363" s="584"/>
      <c r="V363" s="584"/>
      <c r="W363" s="584"/>
      <c r="X363" s="584"/>
      <c r="Y363" s="584"/>
      <c r="Z363" s="584"/>
      <c r="AA363" s="584"/>
      <c r="AB363" s="584"/>
      <c r="AC363" s="584"/>
      <c r="AD363" s="584"/>
      <c r="AE363" s="584"/>
      <c r="AF363" s="584"/>
      <c r="AG363" s="584"/>
      <c r="AH363" s="584"/>
      <c r="AI363" s="584"/>
      <c r="AJ363" s="584"/>
      <c r="AK363" s="584" t="b">
        <v>1</v>
      </c>
      <c r="AL363" s="494"/>
      <c r="AM363" s="494"/>
      <c r="AN363" s="30" t="b">
        <f t="shared" si="30"/>
        <v>1</v>
      </c>
      <c r="AO363" s="17"/>
      <c r="AP363" s="9"/>
      <c r="AQ363" s="9"/>
      <c r="AR363" s="9"/>
    </row>
    <row r="364" spans="1:44" customFormat="1" ht="12" customHeight="1" outlineLevel="1" x14ac:dyDescent="0.25">
      <c r="A364" s="7"/>
      <c r="B364" s="8"/>
      <c r="C364" s="18">
        <v>2</v>
      </c>
      <c r="D364" s="18"/>
      <c r="E364" s="18"/>
      <c r="F364" s="24"/>
      <c r="G364" s="549"/>
      <c r="H364" s="25" t="s">
        <v>2326</v>
      </c>
      <c r="I364" s="512" t="str">
        <f>General!G37</f>
        <v>b</v>
      </c>
      <c r="J364" s="588" t="str">
        <f t="shared" ref="J364:J371" si="33">IF(ISBLANK(J326),"",J326)</f>
        <v/>
      </c>
      <c r="K364" s="588" t="str">
        <f t="shared" ref="K364:AK364" si="34">IF(ISBLANK(K326),"",K326)</f>
        <v/>
      </c>
      <c r="L364" s="588" t="str">
        <f t="shared" si="34"/>
        <v/>
      </c>
      <c r="M364" s="588" t="str">
        <f t="shared" si="34"/>
        <v/>
      </c>
      <c r="N364" s="588" t="str">
        <f t="shared" si="34"/>
        <v/>
      </c>
      <c r="O364" s="588" t="str">
        <f t="shared" si="34"/>
        <v/>
      </c>
      <c r="P364" s="588" t="str">
        <f t="shared" si="34"/>
        <v/>
      </c>
      <c r="Q364" s="588" t="str">
        <f t="shared" si="34"/>
        <v/>
      </c>
      <c r="R364" s="588" t="str">
        <f t="shared" si="34"/>
        <v/>
      </c>
      <c r="S364" s="588" t="b">
        <f t="shared" si="34"/>
        <v>1</v>
      </c>
      <c r="T364" s="588" t="str">
        <f t="shared" si="34"/>
        <v/>
      </c>
      <c r="U364" s="588" t="str">
        <f t="shared" si="34"/>
        <v/>
      </c>
      <c r="V364" s="588" t="str">
        <f t="shared" si="34"/>
        <v/>
      </c>
      <c r="W364" s="588" t="str">
        <f t="shared" si="34"/>
        <v/>
      </c>
      <c r="X364" s="588" t="str">
        <f t="shared" si="34"/>
        <v/>
      </c>
      <c r="Y364" s="588" t="str">
        <f t="shared" si="34"/>
        <v/>
      </c>
      <c r="Z364" s="588" t="str">
        <f t="shared" si="34"/>
        <v/>
      </c>
      <c r="AA364" s="588" t="str">
        <f t="shared" si="34"/>
        <v/>
      </c>
      <c r="AB364" s="588" t="str">
        <f t="shared" si="34"/>
        <v/>
      </c>
      <c r="AC364" s="588" t="str">
        <f t="shared" si="34"/>
        <v/>
      </c>
      <c r="AD364" s="588" t="str">
        <f t="shared" si="34"/>
        <v/>
      </c>
      <c r="AE364" s="588" t="str">
        <f t="shared" si="34"/>
        <v/>
      </c>
      <c r="AF364" s="588" t="str">
        <f t="shared" si="34"/>
        <v/>
      </c>
      <c r="AG364" s="588" t="str">
        <f t="shared" si="34"/>
        <v/>
      </c>
      <c r="AH364" s="588" t="str">
        <f t="shared" si="34"/>
        <v/>
      </c>
      <c r="AI364" s="588" t="str">
        <f t="shared" si="34"/>
        <v/>
      </c>
      <c r="AJ364" s="588" t="str">
        <f t="shared" si="34"/>
        <v/>
      </c>
      <c r="AK364" s="588" t="str">
        <f t="shared" si="34"/>
        <v/>
      </c>
      <c r="AL364" s="494"/>
      <c r="AM364" s="494"/>
      <c r="AN364" s="30" t="b">
        <f t="shared" si="30"/>
        <v>1</v>
      </c>
      <c r="AO364" s="17"/>
      <c r="AP364" s="9"/>
      <c r="AQ364" s="9"/>
      <c r="AR364" s="9"/>
    </row>
    <row r="365" spans="1:44" customFormat="1" ht="12" customHeight="1" outlineLevel="2" x14ac:dyDescent="0.25">
      <c r="A365" s="7"/>
      <c r="B365" s="8"/>
      <c r="C365" s="18"/>
      <c r="D365" s="18"/>
      <c r="E365" s="18"/>
      <c r="F365" s="24"/>
      <c r="G365" s="549"/>
      <c r="H365" s="25"/>
      <c r="I365" s="512" t="str">
        <f>General!G38</f>
        <v>bd</v>
      </c>
      <c r="J365" s="588" t="str">
        <f t="shared" si="33"/>
        <v/>
      </c>
      <c r="K365" s="588" t="str">
        <f t="shared" ref="K365:AK365" si="35">IF(ISBLANK(K327),"",K327)</f>
        <v/>
      </c>
      <c r="L365" s="588" t="str">
        <f t="shared" si="35"/>
        <v/>
      </c>
      <c r="M365" s="588" t="str">
        <f t="shared" si="35"/>
        <v/>
      </c>
      <c r="N365" s="588" t="str">
        <f t="shared" si="35"/>
        <v/>
      </c>
      <c r="O365" s="588" t="str">
        <f t="shared" si="35"/>
        <v/>
      </c>
      <c r="P365" s="588" t="str">
        <f t="shared" si="35"/>
        <v/>
      </c>
      <c r="Q365" s="588" t="str">
        <f t="shared" si="35"/>
        <v/>
      </c>
      <c r="R365" s="588" t="str">
        <f t="shared" si="35"/>
        <v/>
      </c>
      <c r="S365" s="588" t="b">
        <f t="shared" si="35"/>
        <v>1</v>
      </c>
      <c r="T365" s="588" t="str">
        <f t="shared" si="35"/>
        <v/>
      </c>
      <c r="U365" s="588" t="str">
        <f t="shared" si="35"/>
        <v/>
      </c>
      <c r="V365" s="588" t="str">
        <f t="shared" si="35"/>
        <v/>
      </c>
      <c r="W365" s="588" t="str">
        <f t="shared" si="35"/>
        <v/>
      </c>
      <c r="X365" s="588" t="str">
        <f t="shared" si="35"/>
        <v/>
      </c>
      <c r="Y365" s="588" t="str">
        <f t="shared" si="35"/>
        <v/>
      </c>
      <c r="Z365" s="588" t="str">
        <f t="shared" si="35"/>
        <v/>
      </c>
      <c r="AA365" s="588" t="str">
        <f t="shared" si="35"/>
        <v/>
      </c>
      <c r="AB365" s="588" t="str">
        <f t="shared" si="35"/>
        <v/>
      </c>
      <c r="AC365" s="588" t="str">
        <f t="shared" si="35"/>
        <v/>
      </c>
      <c r="AD365" s="588" t="str">
        <f t="shared" si="35"/>
        <v/>
      </c>
      <c r="AE365" s="588" t="str">
        <f t="shared" si="35"/>
        <v/>
      </c>
      <c r="AF365" s="588" t="str">
        <f t="shared" si="35"/>
        <v/>
      </c>
      <c r="AG365" s="588" t="str">
        <f t="shared" si="35"/>
        <v/>
      </c>
      <c r="AH365" s="588" t="str">
        <f t="shared" si="35"/>
        <v/>
      </c>
      <c r="AI365" s="588" t="str">
        <f t="shared" si="35"/>
        <v/>
      </c>
      <c r="AJ365" s="588" t="str">
        <f t="shared" si="35"/>
        <v/>
      </c>
      <c r="AK365" s="588" t="str">
        <f t="shared" si="35"/>
        <v/>
      </c>
      <c r="AL365" s="494"/>
      <c r="AM365" s="494"/>
      <c r="AN365" s="30" t="b">
        <f t="shared" si="30"/>
        <v>1</v>
      </c>
      <c r="AO365" s="17"/>
      <c r="AP365" s="9"/>
      <c r="AQ365" s="9"/>
      <c r="AR365" s="9"/>
    </row>
    <row r="366" spans="1:44" customFormat="1" ht="12" customHeight="1" outlineLevel="2" x14ac:dyDescent="0.25">
      <c r="A366" s="7"/>
      <c r="B366" s="8"/>
      <c r="C366" s="18"/>
      <c r="D366" s="18"/>
      <c r="E366" s="18"/>
      <c r="F366" s="24"/>
      <c r="G366" s="549"/>
      <c r="H366" s="25"/>
      <c r="I366" s="512" t="str">
        <f>General!G39</f>
        <v>f</v>
      </c>
      <c r="J366" s="588" t="str">
        <f t="shared" si="33"/>
        <v/>
      </c>
      <c r="K366" s="588" t="str">
        <f t="shared" ref="K366:AK366" si="36">IF(ISBLANK(K328),"",K328)</f>
        <v/>
      </c>
      <c r="L366" s="588" t="str">
        <f t="shared" si="36"/>
        <v/>
      </c>
      <c r="M366" s="588" t="str">
        <f t="shared" si="36"/>
        <v/>
      </c>
      <c r="N366" s="588" t="str">
        <f t="shared" si="36"/>
        <v/>
      </c>
      <c r="O366" s="588" t="str">
        <f t="shared" si="36"/>
        <v/>
      </c>
      <c r="P366" s="588" t="str">
        <f t="shared" si="36"/>
        <v/>
      </c>
      <c r="Q366" s="588" t="str">
        <f t="shared" si="36"/>
        <v/>
      </c>
      <c r="R366" s="588" t="str">
        <f t="shared" si="36"/>
        <v/>
      </c>
      <c r="S366" s="588" t="str">
        <f t="shared" si="36"/>
        <v/>
      </c>
      <c r="T366" s="588" t="str">
        <f t="shared" si="36"/>
        <v/>
      </c>
      <c r="U366" s="588" t="str">
        <f t="shared" si="36"/>
        <v/>
      </c>
      <c r="V366" s="588" t="str">
        <f t="shared" si="36"/>
        <v/>
      </c>
      <c r="W366" s="588" t="str">
        <f t="shared" si="36"/>
        <v/>
      </c>
      <c r="X366" s="588" t="str">
        <f t="shared" si="36"/>
        <v/>
      </c>
      <c r="Y366" s="588" t="str">
        <f t="shared" si="36"/>
        <v/>
      </c>
      <c r="Z366" s="588" t="str">
        <f t="shared" si="36"/>
        <v/>
      </c>
      <c r="AA366" s="588" t="str">
        <f t="shared" si="36"/>
        <v/>
      </c>
      <c r="AB366" s="588" t="str">
        <f t="shared" si="36"/>
        <v/>
      </c>
      <c r="AC366" s="588" t="str">
        <f t="shared" si="36"/>
        <v/>
      </c>
      <c r="AD366" s="588" t="str">
        <f t="shared" si="36"/>
        <v/>
      </c>
      <c r="AE366" s="588" t="str">
        <f t="shared" si="36"/>
        <v/>
      </c>
      <c r="AF366" s="588" t="str">
        <f t="shared" si="36"/>
        <v/>
      </c>
      <c r="AG366" s="588" t="str">
        <f t="shared" si="36"/>
        <v/>
      </c>
      <c r="AH366" s="588" t="str">
        <f t="shared" si="36"/>
        <v/>
      </c>
      <c r="AI366" s="588" t="str">
        <f t="shared" si="36"/>
        <v/>
      </c>
      <c r="AJ366" s="588" t="b">
        <f t="shared" si="36"/>
        <v>1</v>
      </c>
      <c r="AK366" s="588" t="str">
        <f t="shared" si="36"/>
        <v/>
      </c>
      <c r="AL366" s="494"/>
      <c r="AM366" s="494"/>
      <c r="AN366" s="30" t="b">
        <f t="shared" si="30"/>
        <v>1</v>
      </c>
      <c r="AO366" s="17"/>
      <c r="AP366" s="9"/>
      <c r="AQ366" s="9"/>
      <c r="AR366" s="9"/>
    </row>
    <row r="367" spans="1:44" customFormat="1" ht="12" customHeight="1" outlineLevel="2" x14ac:dyDescent="0.25">
      <c r="A367" s="7"/>
      <c r="B367" s="8"/>
      <c r="C367" s="18"/>
      <c r="D367" s="18"/>
      <c r="E367" s="18"/>
      <c r="F367" s="24"/>
      <c r="G367" s="549"/>
      <c r="H367" s="25"/>
      <c r="I367" s="512" t="str">
        <f>General!G40</f>
        <v>h</v>
      </c>
      <c r="J367" s="588" t="str">
        <f t="shared" si="33"/>
        <v/>
      </c>
      <c r="K367" s="588" t="str">
        <f t="shared" ref="K367:AK367" si="37">IF(ISBLANK(K329),"",K329)</f>
        <v/>
      </c>
      <c r="L367" s="588" t="str">
        <f t="shared" si="37"/>
        <v/>
      </c>
      <c r="M367" s="588" t="str">
        <f t="shared" si="37"/>
        <v/>
      </c>
      <c r="N367" s="588" t="str">
        <f t="shared" si="37"/>
        <v/>
      </c>
      <c r="O367" s="588" t="str">
        <f t="shared" si="37"/>
        <v/>
      </c>
      <c r="P367" s="588" t="str">
        <f t="shared" si="37"/>
        <v/>
      </c>
      <c r="Q367" s="588" t="str">
        <f t="shared" si="37"/>
        <v/>
      </c>
      <c r="R367" s="588" t="str">
        <f t="shared" si="37"/>
        <v/>
      </c>
      <c r="S367" s="588" t="b">
        <f t="shared" si="37"/>
        <v>1</v>
      </c>
      <c r="T367" s="588" t="str">
        <f t="shared" si="37"/>
        <v/>
      </c>
      <c r="U367" s="588" t="str">
        <f t="shared" si="37"/>
        <v/>
      </c>
      <c r="V367" s="588" t="str">
        <f t="shared" si="37"/>
        <v/>
      </c>
      <c r="W367" s="588" t="b">
        <f t="shared" si="37"/>
        <v>1</v>
      </c>
      <c r="X367" s="588" t="str">
        <f t="shared" si="37"/>
        <v/>
      </c>
      <c r="Y367" s="588" t="str">
        <f t="shared" si="37"/>
        <v/>
      </c>
      <c r="Z367" s="588" t="str">
        <f t="shared" si="37"/>
        <v/>
      </c>
      <c r="AA367" s="588" t="b">
        <f t="shared" si="37"/>
        <v>1</v>
      </c>
      <c r="AB367" s="588" t="str">
        <f t="shared" si="37"/>
        <v/>
      </c>
      <c r="AC367" s="588" t="b">
        <f t="shared" si="37"/>
        <v>1</v>
      </c>
      <c r="AD367" s="588" t="str">
        <f t="shared" si="37"/>
        <v/>
      </c>
      <c r="AE367" s="588" t="str">
        <f t="shared" si="37"/>
        <v/>
      </c>
      <c r="AF367" s="588" t="str">
        <f t="shared" si="37"/>
        <v/>
      </c>
      <c r="AG367" s="588" t="str">
        <f t="shared" si="37"/>
        <v/>
      </c>
      <c r="AH367" s="588" t="str">
        <f t="shared" si="37"/>
        <v/>
      </c>
      <c r="AI367" s="588" t="str">
        <f t="shared" si="37"/>
        <v/>
      </c>
      <c r="AJ367" s="588" t="str">
        <f t="shared" si="37"/>
        <v/>
      </c>
      <c r="AK367" s="588" t="str">
        <f t="shared" si="37"/>
        <v/>
      </c>
      <c r="AL367" s="494"/>
      <c r="AM367" s="494"/>
      <c r="AN367" s="30" t="b">
        <f t="shared" si="30"/>
        <v>1</v>
      </c>
      <c r="AO367" s="17"/>
      <c r="AP367" s="9"/>
      <c r="AQ367" s="9"/>
      <c r="AR367" s="9"/>
    </row>
    <row r="368" spans="1:44" customFormat="1" ht="12" customHeight="1" outlineLevel="2" x14ac:dyDescent="0.25">
      <c r="A368" s="7"/>
      <c r="B368" s="8"/>
      <c r="C368" s="18"/>
      <c r="D368" s="18"/>
      <c r="E368" s="18"/>
      <c r="F368" s="24"/>
      <c r="G368" s="549"/>
      <c r="H368" s="25"/>
      <c r="I368" s="512" t="str">
        <f>General!G41</f>
        <v>i</v>
      </c>
      <c r="J368" s="588" t="str">
        <f t="shared" si="33"/>
        <v/>
      </c>
      <c r="K368" s="588" t="str">
        <f t="shared" ref="K368:AK368" si="38">IF(ISBLANK(K330),"",K330)</f>
        <v/>
      </c>
      <c r="L368" s="588" t="str">
        <f t="shared" si="38"/>
        <v/>
      </c>
      <c r="M368" s="588" t="str">
        <f t="shared" si="38"/>
        <v/>
      </c>
      <c r="N368" s="588" t="str">
        <f t="shared" si="38"/>
        <v/>
      </c>
      <c r="O368" s="588" t="str">
        <f t="shared" si="38"/>
        <v/>
      </c>
      <c r="P368" s="588" t="str">
        <f t="shared" si="38"/>
        <v/>
      </c>
      <c r="Q368" s="588" t="str">
        <f t="shared" si="38"/>
        <v/>
      </c>
      <c r="R368" s="588" t="str">
        <f t="shared" si="38"/>
        <v/>
      </c>
      <c r="S368" s="588" t="str">
        <f t="shared" si="38"/>
        <v/>
      </c>
      <c r="T368" s="588" t="str">
        <f t="shared" si="38"/>
        <v/>
      </c>
      <c r="U368" s="588" t="str">
        <f t="shared" si="38"/>
        <v/>
      </c>
      <c r="V368" s="588" t="str">
        <f t="shared" si="38"/>
        <v/>
      </c>
      <c r="W368" s="588" t="str">
        <f t="shared" si="38"/>
        <v/>
      </c>
      <c r="X368" s="588" t="str">
        <f t="shared" si="38"/>
        <v/>
      </c>
      <c r="Y368" s="588" t="str">
        <f t="shared" si="38"/>
        <v/>
      </c>
      <c r="Z368" s="588" t="str">
        <f t="shared" si="38"/>
        <v/>
      </c>
      <c r="AA368" s="588" t="str">
        <f t="shared" si="38"/>
        <v/>
      </c>
      <c r="AB368" s="588" t="str">
        <f t="shared" si="38"/>
        <v/>
      </c>
      <c r="AC368" s="588" t="str">
        <f t="shared" si="38"/>
        <v/>
      </c>
      <c r="AD368" s="588" t="str">
        <f t="shared" si="38"/>
        <v/>
      </c>
      <c r="AE368" s="588" t="str">
        <f t="shared" si="38"/>
        <v/>
      </c>
      <c r="AF368" s="588" t="str">
        <f t="shared" si="38"/>
        <v/>
      </c>
      <c r="AG368" s="588" t="str">
        <f t="shared" si="38"/>
        <v/>
      </c>
      <c r="AH368" s="588" t="str">
        <f t="shared" si="38"/>
        <v/>
      </c>
      <c r="AI368" s="588" t="str">
        <f t="shared" si="38"/>
        <v/>
      </c>
      <c r="AJ368" s="588" t="b">
        <f t="shared" si="38"/>
        <v>1</v>
      </c>
      <c r="AK368" s="588" t="str">
        <f t="shared" si="38"/>
        <v/>
      </c>
      <c r="AL368" s="494"/>
      <c r="AM368" s="494"/>
      <c r="AN368" s="30" t="b">
        <f t="shared" si="30"/>
        <v>1</v>
      </c>
      <c r="AO368" s="17"/>
      <c r="AP368" s="9"/>
      <c r="AQ368" s="9"/>
      <c r="AR368" s="9"/>
    </row>
    <row r="369" spans="1:44" customFormat="1" ht="12" customHeight="1" outlineLevel="2" x14ac:dyDescent="0.25">
      <c r="A369" s="7"/>
      <c r="B369" s="8"/>
      <c r="C369" s="18"/>
      <c r="D369" s="18"/>
      <c r="E369" s="18"/>
      <c r="F369" s="24"/>
      <c r="G369" s="549"/>
      <c r="H369" s="25"/>
      <c r="I369" s="512" t="str">
        <f>General!G42</f>
        <v>k</v>
      </c>
      <c r="J369" s="588" t="str">
        <f t="shared" si="33"/>
        <v/>
      </c>
      <c r="K369" s="588" t="str">
        <f t="shared" ref="K369:AK369" si="39">IF(ISBLANK(K331),"",K331)</f>
        <v/>
      </c>
      <c r="L369" s="588" t="str">
        <f t="shared" si="39"/>
        <v/>
      </c>
      <c r="M369" s="588" t="str">
        <f t="shared" si="39"/>
        <v/>
      </c>
      <c r="N369" s="588" t="str">
        <f t="shared" si="39"/>
        <v/>
      </c>
      <c r="O369" s="588" t="str">
        <f t="shared" si="39"/>
        <v/>
      </c>
      <c r="P369" s="588" t="str">
        <f t="shared" si="39"/>
        <v/>
      </c>
      <c r="Q369" s="588" t="str">
        <f t="shared" si="39"/>
        <v/>
      </c>
      <c r="R369" s="588" t="str">
        <f t="shared" si="39"/>
        <v/>
      </c>
      <c r="S369" s="588" t="str">
        <f t="shared" si="39"/>
        <v/>
      </c>
      <c r="T369" s="588" t="str">
        <f t="shared" si="39"/>
        <v/>
      </c>
      <c r="U369" s="588" t="str">
        <f t="shared" si="39"/>
        <v/>
      </c>
      <c r="V369" s="588" t="str">
        <f t="shared" si="39"/>
        <v/>
      </c>
      <c r="W369" s="588" t="str">
        <f t="shared" si="39"/>
        <v/>
      </c>
      <c r="X369" s="588" t="str">
        <f t="shared" si="39"/>
        <v/>
      </c>
      <c r="Y369" s="588" t="str">
        <f t="shared" si="39"/>
        <v/>
      </c>
      <c r="Z369" s="588" t="str">
        <f t="shared" si="39"/>
        <v/>
      </c>
      <c r="AA369" s="588" t="str">
        <f t="shared" si="39"/>
        <v/>
      </c>
      <c r="AB369" s="588" t="str">
        <f t="shared" si="39"/>
        <v/>
      </c>
      <c r="AC369" s="588" t="str">
        <f t="shared" si="39"/>
        <v/>
      </c>
      <c r="AD369" s="588" t="str">
        <f t="shared" si="39"/>
        <v/>
      </c>
      <c r="AE369" s="588" t="str">
        <f t="shared" si="39"/>
        <v/>
      </c>
      <c r="AF369" s="588" t="str">
        <f t="shared" si="39"/>
        <v/>
      </c>
      <c r="AG369" s="588" t="str">
        <f t="shared" si="39"/>
        <v/>
      </c>
      <c r="AH369" s="588" t="str">
        <f t="shared" si="39"/>
        <v/>
      </c>
      <c r="AI369" s="588" t="str">
        <f t="shared" si="39"/>
        <v/>
      </c>
      <c r="AJ369" s="588" t="b">
        <f t="shared" si="39"/>
        <v>1</v>
      </c>
      <c r="AK369" s="588" t="str">
        <f t="shared" si="39"/>
        <v/>
      </c>
      <c r="AL369" s="494"/>
      <c r="AM369" s="494"/>
      <c r="AN369" s="30" t="b">
        <f t="shared" si="30"/>
        <v>1</v>
      </c>
      <c r="AO369" s="17"/>
      <c r="AP369" s="9"/>
      <c r="AQ369" s="9"/>
      <c r="AR369" s="9"/>
    </row>
    <row r="370" spans="1:44" customFormat="1" ht="12" customHeight="1" outlineLevel="2" x14ac:dyDescent="0.25">
      <c r="A370" s="7"/>
      <c r="B370" s="8"/>
      <c r="C370" s="18"/>
      <c r="D370" s="18"/>
      <c r="E370" s="18"/>
      <c r="F370" s="24"/>
      <c r="G370" s="549"/>
      <c r="H370" s="25"/>
      <c r="I370" s="512" t="str">
        <f>General!G43</f>
        <v>l</v>
      </c>
      <c r="J370" s="588" t="str">
        <f t="shared" si="33"/>
        <v/>
      </c>
      <c r="K370" s="588" t="str">
        <f t="shared" ref="K370:AK371" si="40">IF(ISBLANK(K332),"",K332)</f>
        <v/>
      </c>
      <c r="L370" s="588" t="str">
        <f t="shared" si="40"/>
        <v/>
      </c>
      <c r="M370" s="588" t="str">
        <f t="shared" si="40"/>
        <v/>
      </c>
      <c r="N370" s="588" t="str">
        <f t="shared" si="40"/>
        <v/>
      </c>
      <c r="O370" s="588" t="str">
        <f t="shared" si="40"/>
        <v/>
      </c>
      <c r="P370" s="588" t="str">
        <f t="shared" si="40"/>
        <v/>
      </c>
      <c r="Q370" s="588" t="str">
        <f t="shared" si="40"/>
        <v/>
      </c>
      <c r="R370" s="588" t="str">
        <f t="shared" si="40"/>
        <v/>
      </c>
      <c r="S370" s="588" t="str">
        <f t="shared" si="40"/>
        <v/>
      </c>
      <c r="T370" s="588" t="str">
        <f t="shared" si="40"/>
        <v/>
      </c>
      <c r="U370" s="588" t="str">
        <f t="shared" si="40"/>
        <v/>
      </c>
      <c r="V370" s="588" t="str">
        <f t="shared" si="40"/>
        <v/>
      </c>
      <c r="W370" s="588" t="str">
        <f t="shared" si="40"/>
        <v/>
      </c>
      <c r="X370" s="588" t="str">
        <f t="shared" si="40"/>
        <v/>
      </c>
      <c r="Y370" s="588" t="str">
        <f t="shared" si="40"/>
        <v/>
      </c>
      <c r="Z370" s="588" t="str">
        <f t="shared" si="40"/>
        <v/>
      </c>
      <c r="AA370" s="588" t="str">
        <f t="shared" si="40"/>
        <v/>
      </c>
      <c r="AB370" s="588" t="str">
        <f t="shared" si="40"/>
        <v/>
      </c>
      <c r="AC370" s="588" t="str">
        <f t="shared" si="40"/>
        <v/>
      </c>
      <c r="AD370" s="588" t="str">
        <f t="shared" si="40"/>
        <v/>
      </c>
      <c r="AE370" s="588" t="str">
        <f t="shared" si="40"/>
        <v/>
      </c>
      <c r="AF370" s="588" t="str">
        <f t="shared" si="40"/>
        <v/>
      </c>
      <c r="AG370" s="588" t="str">
        <f t="shared" si="40"/>
        <v/>
      </c>
      <c r="AH370" s="588" t="str">
        <f t="shared" si="40"/>
        <v/>
      </c>
      <c r="AI370" s="588" t="str">
        <f t="shared" si="40"/>
        <v/>
      </c>
      <c r="AJ370" s="588" t="b">
        <f t="shared" si="40"/>
        <v>1</v>
      </c>
      <c r="AK370" s="588" t="str">
        <f t="shared" si="40"/>
        <v/>
      </c>
      <c r="AL370" s="494"/>
      <c r="AM370" s="494"/>
      <c r="AN370" s="30" t="b">
        <f t="shared" si="30"/>
        <v>1</v>
      </c>
      <c r="AO370" s="17"/>
      <c r="AP370" s="9"/>
      <c r="AQ370" s="9"/>
      <c r="AR370" s="9"/>
    </row>
    <row r="371" spans="1:44" customFormat="1" ht="12" customHeight="1" outlineLevel="2" x14ac:dyDescent="0.25">
      <c r="A371" s="7"/>
      <c r="B371" s="8"/>
      <c r="C371" s="18"/>
      <c r="D371" s="18"/>
      <c r="E371" s="18"/>
      <c r="F371" s="24"/>
      <c r="G371" s="549"/>
      <c r="H371" s="25"/>
      <c r="I371" s="512" t="str">
        <f>General!G44</f>
        <v>lf</v>
      </c>
      <c r="J371" s="588" t="str">
        <f t="shared" si="33"/>
        <v/>
      </c>
      <c r="K371" s="588" t="str">
        <f t="shared" si="40"/>
        <v/>
      </c>
      <c r="L371" s="588" t="str">
        <f t="shared" si="40"/>
        <v/>
      </c>
      <c r="M371" s="588" t="str">
        <f t="shared" si="40"/>
        <v/>
      </c>
      <c r="N371" s="588" t="str">
        <f t="shared" si="40"/>
        <v/>
      </c>
      <c r="O371" s="588" t="str">
        <f t="shared" si="40"/>
        <v/>
      </c>
      <c r="P371" s="588" t="str">
        <f t="shared" si="40"/>
        <v/>
      </c>
      <c r="Q371" s="588" t="str">
        <f t="shared" si="40"/>
        <v/>
      </c>
      <c r="R371" s="588" t="str">
        <f t="shared" si="40"/>
        <v/>
      </c>
      <c r="S371" s="588" t="str">
        <f t="shared" si="40"/>
        <v/>
      </c>
      <c r="T371" s="588" t="str">
        <f t="shared" si="40"/>
        <v/>
      </c>
      <c r="U371" s="588" t="str">
        <f t="shared" si="40"/>
        <v/>
      </c>
      <c r="V371" s="588" t="str">
        <f t="shared" si="40"/>
        <v/>
      </c>
      <c r="W371" s="588" t="str">
        <f t="shared" si="40"/>
        <v/>
      </c>
      <c r="X371" s="588" t="str">
        <f t="shared" si="40"/>
        <v/>
      </c>
      <c r="Y371" s="588" t="str">
        <f t="shared" si="40"/>
        <v/>
      </c>
      <c r="Z371" s="588" t="str">
        <f t="shared" si="40"/>
        <v/>
      </c>
      <c r="AA371" s="588" t="str">
        <f t="shared" si="40"/>
        <v/>
      </c>
      <c r="AB371" s="588" t="str">
        <f t="shared" si="40"/>
        <v/>
      </c>
      <c r="AC371" s="588" t="str">
        <f t="shared" si="40"/>
        <v/>
      </c>
      <c r="AD371" s="588" t="str">
        <f t="shared" si="40"/>
        <v/>
      </c>
      <c r="AE371" s="588" t="str">
        <f t="shared" si="40"/>
        <v/>
      </c>
      <c r="AF371" s="588" t="str">
        <f t="shared" si="40"/>
        <v/>
      </c>
      <c r="AG371" s="588" t="str">
        <f t="shared" si="40"/>
        <v/>
      </c>
      <c r="AH371" s="588" t="str">
        <f t="shared" si="40"/>
        <v/>
      </c>
      <c r="AI371" s="588" t="str">
        <f t="shared" si="40"/>
        <v/>
      </c>
      <c r="AJ371" s="588" t="b">
        <f t="shared" si="40"/>
        <v>1</v>
      </c>
      <c r="AK371" s="588" t="str">
        <f t="shared" si="40"/>
        <v/>
      </c>
      <c r="AL371" s="494"/>
      <c r="AM371" s="494"/>
      <c r="AN371" s="30" t="b">
        <f t="shared" ref="AN371" si="41">OR(J371:AK371)</f>
        <v>1</v>
      </c>
      <c r="AO371" s="17"/>
      <c r="AP371" s="9"/>
      <c r="AQ371" s="9"/>
      <c r="AR371" s="9"/>
    </row>
    <row r="372" spans="1:44" customFormat="1" ht="12" customHeight="1" outlineLevel="2" x14ac:dyDescent="0.25">
      <c r="A372" s="7"/>
      <c r="B372" s="8"/>
      <c r="C372" s="18"/>
      <c r="D372" s="18"/>
      <c r="E372" s="18"/>
      <c r="F372" s="24"/>
      <c r="G372" s="549"/>
      <c r="H372" s="25"/>
      <c r="I372" s="512" t="str">
        <f>General!G45</f>
        <v>ms</v>
      </c>
      <c r="J372" s="588" t="str">
        <f t="shared" ref="J372" si="42">IF(ISBLANK(J334),"",J334)</f>
        <v/>
      </c>
      <c r="K372" s="588" t="str">
        <f t="shared" ref="K372:AK372" si="43">IF(ISBLANK(K334),"",K334)</f>
        <v/>
      </c>
      <c r="L372" s="588" t="str">
        <f t="shared" si="43"/>
        <v/>
      </c>
      <c r="M372" s="588" t="str">
        <f t="shared" si="43"/>
        <v/>
      </c>
      <c r="N372" s="588" t="str">
        <f t="shared" si="43"/>
        <v/>
      </c>
      <c r="O372" s="588" t="str">
        <f t="shared" si="43"/>
        <v/>
      </c>
      <c r="P372" s="588" t="str">
        <f t="shared" si="43"/>
        <v/>
      </c>
      <c r="Q372" s="588" t="str">
        <f t="shared" si="43"/>
        <v/>
      </c>
      <c r="R372" s="588" t="str">
        <f t="shared" si="43"/>
        <v/>
      </c>
      <c r="S372" s="588" t="b">
        <f t="shared" si="43"/>
        <v>1</v>
      </c>
      <c r="T372" s="588" t="str">
        <f t="shared" si="43"/>
        <v/>
      </c>
      <c r="U372" s="588" t="b">
        <f t="shared" si="43"/>
        <v>1</v>
      </c>
      <c r="V372" s="588" t="str">
        <f t="shared" si="43"/>
        <v/>
      </c>
      <c r="W372" s="588" t="b">
        <f t="shared" si="43"/>
        <v>1</v>
      </c>
      <c r="X372" s="588" t="str">
        <f t="shared" si="43"/>
        <v/>
      </c>
      <c r="Y372" s="588" t="b">
        <f t="shared" si="43"/>
        <v>1</v>
      </c>
      <c r="Z372" s="588" t="str">
        <f t="shared" si="43"/>
        <v/>
      </c>
      <c r="AA372" s="588" t="b">
        <f t="shared" si="43"/>
        <v>1</v>
      </c>
      <c r="AB372" s="588" t="str">
        <f t="shared" si="43"/>
        <v/>
      </c>
      <c r="AC372" s="588" t="b">
        <f t="shared" si="43"/>
        <v>1</v>
      </c>
      <c r="AD372" s="588" t="str">
        <f t="shared" si="43"/>
        <v/>
      </c>
      <c r="AE372" s="588" t="str">
        <f t="shared" si="43"/>
        <v/>
      </c>
      <c r="AF372" s="588" t="str">
        <f t="shared" si="43"/>
        <v/>
      </c>
      <c r="AG372" s="588" t="str">
        <f t="shared" si="43"/>
        <v/>
      </c>
      <c r="AH372" s="588" t="str">
        <f t="shared" si="43"/>
        <v/>
      </c>
      <c r="AI372" s="588" t="str">
        <f t="shared" si="43"/>
        <v/>
      </c>
      <c r="AJ372" s="588" t="b">
        <f t="shared" si="43"/>
        <v>1</v>
      </c>
      <c r="AK372" s="588" t="str">
        <f t="shared" si="43"/>
        <v/>
      </c>
      <c r="AL372" s="494"/>
      <c r="AM372" s="494"/>
      <c r="AN372" s="30"/>
      <c r="AO372" s="17"/>
      <c r="AP372" s="9"/>
      <c r="AQ372" s="9"/>
      <c r="AR372" s="9"/>
    </row>
    <row r="373" spans="1:44" customFormat="1" ht="12" customHeight="1" outlineLevel="2" x14ac:dyDescent="0.25">
      <c r="A373" s="7"/>
      <c r="B373" s="8"/>
      <c r="C373" s="18"/>
      <c r="D373" s="18"/>
      <c r="E373" s="18"/>
      <c r="F373" s="24"/>
      <c r="G373" s="549"/>
      <c r="H373" s="25"/>
      <c r="I373" s="512" t="str">
        <f>General!G46</f>
        <v>o</v>
      </c>
      <c r="J373" s="588" t="str">
        <f t="shared" ref="J373:AK376" si="44">IF(ISBLANK(J335),"",J335)</f>
        <v/>
      </c>
      <c r="K373" s="588" t="str">
        <f t="shared" si="44"/>
        <v/>
      </c>
      <c r="L373" s="588" t="str">
        <f t="shared" si="44"/>
        <v/>
      </c>
      <c r="M373" s="588" t="str">
        <f t="shared" si="44"/>
        <v/>
      </c>
      <c r="N373" s="588" t="str">
        <f t="shared" si="44"/>
        <v/>
      </c>
      <c r="O373" s="588" t="str">
        <f t="shared" si="44"/>
        <v/>
      </c>
      <c r="P373" s="588" t="str">
        <f t="shared" si="44"/>
        <v/>
      </c>
      <c r="Q373" s="588" t="str">
        <f t="shared" si="44"/>
        <v/>
      </c>
      <c r="R373" s="588" t="str">
        <f t="shared" si="44"/>
        <v/>
      </c>
      <c r="S373" s="588" t="b">
        <f t="shared" si="44"/>
        <v>1</v>
      </c>
      <c r="T373" s="588" t="str">
        <f t="shared" si="44"/>
        <v/>
      </c>
      <c r="U373" s="588" t="str">
        <f t="shared" si="44"/>
        <v/>
      </c>
      <c r="V373" s="588" t="str">
        <f t="shared" si="44"/>
        <v/>
      </c>
      <c r="W373" s="588" t="b">
        <f t="shared" si="44"/>
        <v>1</v>
      </c>
      <c r="X373" s="588" t="str">
        <f t="shared" si="44"/>
        <v/>
      </c>
      <c r="Y373" s="588" t="str">
        <f t="shared" si="44"/>
        <v/>
      </c>
      <c r="Z373" s="588" t="str">
        <f t="shared" si="44"/>
        <v/>
      </c>
      <c r="AA373" s="588" t="b">
        <f t="shared" si="44"/>
        <v>1</v>
      </c>
      <c r="AB373" s="588" t="str">
        <f t="shared" si="44"/>
        <v/>
      </c>
      <c r="AC373" s="588" t="b">
        <f t="shared" si="44"/>
        <v>1</v>
      </c>
      <c r="AD373" s="588" t="str">
        <f t="shared" si="44"/>
        <v/>
      </c>
      <c r="AE373" s="588" t="str">
        <f t="shared" si="44"/>
        <v/>
      </c>
      <c r="AF373" s="588" t="str">
        <f t="shared" si="44"/>
        <v/>
      </c>
      <c r="AG373" s="588" t="str">
        <f t="shared" si="44"/>
        <v/>
      </c>
      <c r="AH373" s="588" t="str">
        <f t="shared" si="44"/>
        <v/>
      </c>
      <c r="AI373" s="588" t="str">
        <f t="shared" si="44"/>
        <v/>
      </c>
      <c r="AJ373" s="588" t="str">
        <f t="shared" si="44"/>
        <v/>
      </c>
      <c r="AK373" s="588" t="str">
        <f t="shared" si="44"/>
        <v/>
      </c>
      <c r="AL373" s="494"/>
      <c r="AM373" s="494"/>
      <c r="AN373" s="30" t="b">
        <f t="shared" si="30"/>
        <v>1</v>
      </c>
      <c r="AO373" s="17"/>
      <c r="AP373" s="9"/>
      <c r="AQ373" s="9"/>
      <c r="AR373" s="9"/>
    </row>
    <row r="374" spans="1:44" customFormat="1" ht="12" customHeight="1" outlineLevel="2" x14ac:dyDescent="0.25">
      <c r="A374" s="7"/>
      <c r="B374" s="8"/>
      <c r="C374" s="18"/>
      <c r="D374" s="18"/>
      <c r="E374" s="18"/>
      <c r="F374" s="24"/>
      <c r="G374" s="549"/>
      <c r="H374" s="25"/>
      <c r="I374" s="512" t="str">
        <f>General!G47</f>
        <v>od</v>
      </c>
      <c r="J374" s="588" t="str">
        <f t="shared" si="44"/>
        <v/>
      </c>
      <c r="K374" s="588" t="str">
        <f t="shared" si="44"/>
        <v/>
      </c>
      <c r="L374" s="588" t="str">
        <f t="shared" si="44"/>
        <v/>
      </c>
      <c r="M374" s="588" t="str">
        <f t="shared" si="44"/>
        <v/>
      </c>
      <c r="N374" s="588" t="str">
        <f t="shared" si="44"/>
        <v/>
      </c>
      <c r="O374" s="588" t="str">
        <f t="shared" si="44"/>
        <v/>
      </c>
      <c r="P374" s="588" t="str">
        <f t="shared" si="44"/>
        <v/>
      </c>
      <c r="Q374" s="588" t="str">
        <f t="shared" si="44"/>
        <v/>
      </c>
      <c r="R374" s="588" t="str">
        <f t="shared" si="44"/>
        <v/>
      </c>
      <c r="S374" s="588" t="b">
        <f t="shared" si="44"/>
        <v>1</v>
      </c>
      <c r="T374" s="588" t="str">
        <f t="shared" si="44"/>
        <v/>
      </c>
      <c r="U374" s="588" t="str">
        <f t="shared" si="44"/>
        <v/>
      </c>
      <c r="V374" s="588" t="str">
        <f t="shared" si="44"/>
        <v/>
      </c>
      <c r="W374" s="588" t="b">
        <f t="shared" si="44"/>
        <v>1</v>
      </c>
      <c r="X374" s="588" t="str">
        <f t="shared" si="44"/>
        <v/>
      </c>
      <c r="Y374" s="588" t="str">
        <f t="shared" si="44"/>
        <v/>
      </c>
      <c r="Z374" s="588" t="str">
        <f t="shared" si="44"/>
        <v/>
      </c>
      <c r="AA374" s="588" t="b">
        <f t="shared" si="44"/>
        <v>1</v>
      </c>
      <c r="AB374" s="588" t="str">
        <f t="shared" si="44"/>
        <v/>
      </c>
      <c r="AC374" s="588" t="b">
        <f t="shared" si="44"/>
        <v>1</v>
      </c>
      <c r="AD374" s="588" t="str">
        <f t="shared" si="44"/>
        <v/>
      </c>
      <c r="AE374" s="588" t="str">
        <f t="shared" si="44"/>
        <v/>
      </c>
      <c r="AF374" s="588" t="str">
        <f t="shared" si="44"/>
        <v/>
      </c>
      <c r="AG374" s="588" t="str">
        <f t="shared" si="44"/>
        <v/>
      </c>
      <c r="AH374" s="588" t="str">
        <f t="shared" si="44"/>
        <v/>
      </c>
      <c r="AI374" s="588" t="str">
        <f t="shared" si="44"/>
        <v/>
      </c>
      <c r="AJ374" s="588" t="str">
        <f t="shared" si="44"/>
        <v/>
      </c>
      <c r="AK374" s="588" t="str">
        <f t="shared" si="44"/>
        <v/>
      </c>
      <c r="AL374" s="494"/>
      <c r="AM374" s="494"/>
      <c r="AN374" s="30" t="b">
        <f t="shared" si="30"/>
        <v>1</v>
      </c>
      <c r="AO374" s="17"/>
      <c r="AP374" s="9"/>
      <c r="AQ374" s="9"/>
      <c r="AR374" s="9"/>
    </row>
    <row r="375" spans="1:44" customFormat="1" ht="12" customHeight="1" outlineLevel="2" x14ac:dyDescent="0.25">
      <c r="A375" s="7"/>
      <c r="B375" s="8"/>
      <c r="C375" s="18"/>
      <c r="D375" s="18"/>
      <c r="E375" s="18"/>
      <c r="F375" s="24"/>
      <c r="G375" s="549"/>
      <c r="H375" s="25"/>
      <c r="I375" s="512" t="str">
        <f>General!G48</f>
        <v>of</v>
      </c>
      <c r="J375" s="588" t="str">
        <f t="shared" si="44"/>
        <v/>
      </c>
      <c r="K375" s="588" t="str">
        <f t="shared" si="44"/>
        <v/>
      </c>
      <c r="L375" s="588" t="str">
        <f t="shared" si="44"/>
        <v/>
      </c>
      <c r="M375" s="588" t="str">
        <f t="shared" si="44"/>
        <v/>
      </c>
      <c r="N375" s="588" t="str">
        <f t="shared" si="44"/>
        <v/>
      </c>
      <c r="O375" s="588" t="str">
        <f t="shared" si="44"/>
        <v/>
      </c>
      <c r="P375" s="588" t="str">
        <f t="shared" si="44"/>
        <v/>
      </c>
      <c r="Q375" s="588" t="str">
        <f t="shared" si="44"/>
        <v/>
      </c>
      <c r="R375" s="588" t="str">
        <f t="shared" si="44"/>
        <v/>
      </c>
      <c r="S375" s="588" t="b">
        <f t="shared" si="44"/>
        <v>1</v>
      </c>
      <c r="T375" s="588" t="str">
        <f t="shared" si="44"/>
        <v/>
      </c>
      <c r="U375" s="588" t="str">
        <f t="shared" si="44"/>
        <v/>
      </c>
      <c r="V375" s="588" t="str">
        <f t="shared" si="44"/>
        <v/>
      </c>
      <c r="W375" s="588" t="b">
        <f t="shared" si="44"/>
        <v>1</v>
      </c>
      <c r="X375" s="588" t="str">
        <f t="shared" si="44"/>
        <v/>
      </c>
      <c r="Y375" s="588" t="str">
        <f t="shared" si="44"/>
        <v/>
      </c>
      <c r="Z375" s="588" t="str">
        <f t="shared" si="44"/>
        <v/>
      </c>
      <c r="AA375" s="588" t="b">
        <f t="shared" si="44"/>
        <v>1</v>
      </c>
      <c r="AB375" s="588" t="str">
        <f t="shared" si="44"/>
        <v/>
      </c>
      <c r="AC375" s="588" t="b">
        <f t="shared" si="44"/>
        <v>1</v>
      </c>
      <c r="AD375" s="588" t="str">
        <f t="shared" si="44"/>
        <v/>
      </c>
      <c r="AE375" s="588" t="str">
        <f t="shared" si="44"/>
        <v/>
      </c>
      <c r="AF375" s="588" t="str">
        <f t="shared" si="44"/>
        <v/>
      </c>
      <c r="AG375" s="588" t="str">
        <f t="shared" si="44"/>
        <v/>
      </c>
      <c r="AH375" s="588" t="str">
        <f t="shared" si="44"/>
        <v/>
      </c>
      <c r="AI375" s="588" t="str">
        <f t="shared" si="44"/>
        <v/>
      </c>
      <c r="AJ375" s="588" t="str">
        <f t="shared" si="44"/>
        <v/>
      </c>
      <c r="AK375" s="588" t="str">
        <f t="shared" si="44"/>
        <v/>
      </c>
      <c r="AL375" s="494"/>
      <c r="AM375" s="494"/>
      <c r="AN375" s="30" t="b">
        <f t="shared" si="30"/>
        <v>1</v>
      </c>
      <c r="AO375" s="17"/>
      <c r="AP375" s="9"/>
      <c r="AQ375" s="9"/>
      <c r="AR375" s="9"/>
    </row>
    <row r="376" spans="1:44" customFormat="1" ht="12" customHeight="1" outlineLevel="2" x14ac:dyDescent="0.25">
      <c r="A376" s="7"/>
      <c r="B376" s="8"/>
      <c r="C376" s="18"/>
      <c r="D376" s="18"/>
      <c r="E376" s="18"/>
      <c r="F376" s="24"/>
      <c r="G376" s="549"/>
      <c r="H376" s="25"/>
      <c r="I376" s="512" t="str">
        <f>General!G49</f>
        <v>r</v>
      </c>
      <c r="J376" s="588" t="str">
        <f t="shared" si="44"/>
        <v/>
      </c>
      <c r="K376" s="588" t="str">
        <f t="shared" si="44"/>
        <v/>
      </c>
      <c r="L376" s="588" t="str">
        <f t="shared" si="44"/>
        <v/>
      </c>
      <c r="M376" s="588" t="str">
        <f t="shared" ref="M376:AK376" si="45">IF(ISBLANK(M338),"",M338)</f>
        <v/>
      </c>
      <c r="N376" s="588" t="str">
        <f t="shared" si="45"/>
        <v/>
      </c>
      <c r="O376" s="588" t="str">
        <f t="shared" si="45"/>
        <v/>
      </c>
      <c r="P376" s="588" t="str">
        <f t="shared" si="45"/>
        <v/>
      </c>
      <c r="Q376" s="588" t="str">
        <f t="shared" si="45"/>
        <v/>
      </c>
      <c r="R376" s="588" t="str">
        <f t="shared" si="45"/>
        <v/>
      </c>
      <c r="S376" s="588" t="str">
        <f t="shared" si="45"/>
        <v/>
      </c>
      <c r="T376" s="588" t="str">
        <f t="shared" si="45"/>
        <v/>
      </c>
      <c r="U376" s="588" t="b">
        <f t="shared" si="45"/>
        <v>1</v>
      </c>
      <c r="V376" s="588" t="str">
        <f t="shared" si="45"/>
        <v/>
      </c>
      <c r="W376" s="588" t="str">
        <f t="shared" si="45"/>
        <v/>
      </c>
      <c r="X376" s="588" t="str">
        <f t="shared" si="45"/>
        <v/>
      </c>
      <c r="Y376" s="588" t="b">
        <f t="shared" si="45"/>
        <v>1</v>
      </c>
      <c r="Z376" s="588" t="str">
        <f t="shared" si="45"/>
        <v/>
      </c>
      <c r="AA376" s="588" t="str">
        <f t="shared" si="45"/>
        <v/>
      </c>
      <c r="AB376" s="588" t="str">
        <f t="shared" si="45"/>
        <v/>
      </c>
      <c r="AC376" s="588" t="str">
        <f t="shared" si="45"/>
        <v/>
      </c>
      <c r="AD376" s="588" t="str">
        <f t="shared" si="45"/>
        <v/>
      </c>
      <c r="AE376" s="588" t="str">
        <f t="shared" si="45"/>
        <v/>
      </c>
      <c r="AF376" s="588" t="str">
        <f t="shared" si="45"/>
        <v/>
      </c>
      <c r="AG376" s="588" t="str">
        <f t="shared" si="45"/>
        <v/>
      </c>
      <c r="AH376" s="588" t="str">
        <f t="shared" si="45"/>
        <v/>
      </c>
      <c r="AI376" s="588" t="str">
        <f t="shared" si="45"/>
        <v/>
      </c>
      <c r="AJ376" s="588" t="str">
        <f t="shared" si="45"/>
        <v/>
      </c>
      <c r="AK376" s="588" t="str">
        <f t="shared" si="45"/>
        <v/>
      </c>
      <c r="AL376" s="494"/>
      <c r="AM376" s="494"/>
      <c r="AN376" s="30" t="b">
        <f t="shared" si="30"/>
        <v>1</v>
      </c>
      <c r="AO376" s="17"/>
      <c r="AP376" s="9"/>
      <c r="AQ376" s="9"/>
      <c r="AR376" s="9"/>
    </row>
    <row r="377" spans="1:44" customFormat="1" ht="12" customHeight="1" outlineLevel="2" x14ac:dyDescent="0.25">
      <c r="A377" s="7"/>
      <c r="B377" s="8"/>
      <c r="C377" s="18"/>
      <c r="D377" s="18"/>
      <c r="E377" s="18"/>
      <c r="F377" s="24"/>
      <c r="G377" s="549"/>
      <c r="H377" s="25"/>
      <c r="I377" s="512" t="str">
        <f>General!G50</f>
        <v>rd</v>
      </c>
      <c r="J377" s="588" t="str">
        <f t="shared" ref="J377:AK382" si="46">IF(ISBLANK(J339),"",J339)</f>
        <v/>
      </c>
      <c r="K377" s="588" t="str">
        <f t="shared" si="46"/>
        <v/>
      </c>
      <c r="L377" s="588" t="str">
        <f t="shared" si="46"/>
        <v/>
      </c>
      <c r="M377" s="588" t="str">
        <f t="shared" si="46"/>
        <v/>
      </c>
      <c r="N377" s="588" t="str">
        <f t="shared" si="46"/>
        <v/>
      </c>
      <c r="O377" s="588" t="str">
        <f t="shared" si="46"/>
        <v/>
      </c>
      <c r="P377" s="588" t="str">
        <f t="shared" si="46"/>
        <v/>
      </c>
      <c r="Q377" s="588" t="str">
        <f t="shared" si="46"/>
        <v/>
      </c>
      <c r="R377" s="588" t="str">
        <f t="shared" si="46"/>
        <v/>
      </c>
      <c r="S377" s="588" t="str">
        <f t="shared" si="46"/>
        <v/>
      </c>
      <c r="T377" s="588" t="str">
        <f t="shared" si="46"/>
        <v/>
      </c>
      <c r="U377" s="588" t="b">
        <f t="shared" si="46"/>
        <v>1</v>
      </c>
      <c r="V377" s="588" t="str">
        <f t="shared" si="46"/>
        <v/>
      </c>
      <c r="W377" s="588" t="str">
        <f t="shared" si="46"/>
        <v/>
      </c>
      <c r="X377" s="588" t="str">
        <f t="shared" si="46"/>
        <v/>
      </c>
      <c r="Y377" s="588" t="b">
        <f t="shared" si="46"/>
        <v>1</v>
      </c>
      <c r="Z377" s="588" t="str">
        <f t="shared" si="46"/>
        <v/>
      </c>
      <c r="AA377" s="588" t="str">
        <f t="shared" si="46"/>
        <v/>
      </c>
      <c r="AB377" s="588" t="str">
        <f t="shared" si="46"/>
        <v/>
      </c>
      <c r="AC377" s="588" t="str">
        <f t="shared" si="46"/>
        <v/>
      </c>
      <c r="AD377" s="588" t="str">
        <f t="shared" si="46"/>
        <v/>
      </c>
      <c r="AE377" s="588" t="str">
        <f t="shared" si="46"/>
        <v/>
      </c>
      <c r="AF377" s="588" t="str">
        <f t="shared" si="46"/>
        <v/>
      </c>
      <c r="AG377" s="588" t="str">
        <f t="shared" si="46"/>
        <v/>
      </c>
      <c r="AH377" s="588" t="str">
        <f t="shared" si="46"/>
        <v/>
      </c>
      <c r="AI377" s="588" t="str">
        <f t="shared" si="46"/>
        <v/>
      </c>
      <c r="AJ377" s="588" t="str">
        <f t="shared" si="46"/>
        <v/>
      </c>
      <c r="AK377" s="588" t="str">
        <f t="shared" si="46"/>
        <v/>
      </c>
      <c r="AL377" s="494"/>
      <c r="AM377" s="494"/>
      <c r="AN377" s="30" t="b">
        <f t="shared" si="30"/>
        <v>1</v>
      </c>
      <c r="AO377" s="17"/>
      <c r="AP377" s="9"/>
      <c r="AQ377" s="9"/>
      <c r="AR377" s="9"/>
    </row>
    <row r="378" spans="1:44" customFormat="1" ht="12" customHeight="1" outlineLevel="2" x14ac:dyDescent="0.25">
      <c r="A378" s="7"/>
      <c r="B378" s="8"/>
      <c r="C378" s="18"/>
      <c r="D378" s="18"/>
      <c r="E378" s="18"/>
      <c r="F378" s="24"/>
      <c r="G378" s="549"/>
      <c r="H378" s="25"/>
      <c r="I378" s="512" t="str">
        <f>General!G51</f>
        <v>v</v>
      </c>
      <c r="J378" s="588" t="str">
        <f t="shared" si="46"/>
        <v/>
      </c>
      <c r="K378" s="588" t="str">
        <f t="shared" si="46"/>
        <v/>
      </c>
      <c r="L378" s="588" t="str">
        <f t="shared" si="46"/>
        <v/>
      </c>
      <c r="M378" s="588" t="str">
        <f t="shared" si="46"/>
        <v/>
      </c>
      <c r="N378" s="588" t="str">
        <f t="shared" si="46"/>
        <v/>
      </c>
      <c r="O378" s="588" t="str">
        <f t="shared" si="46"/>
        <v/>
      </c>
      <c r="P378" s="588" t="str">
        <f t="shared" si="46"/>
        <v/>
      </c>
      <c r="Q378" s="588" t="str">
        <f t="shared" si="46"/>
        <v/>
      </c>
      <c r="R378" s="588" t="str">
        <f t="shared" si="46"/>
        <v/>
      </c>
      <c r="S378" s="588" t="str">
        <f t="shared" si="46"/>
        <v/>
      </c>
      <c r="T378" s="588" t="str">
        <f t="shared" si="46"/>
        <v/>
      </c>
      <c r="U378" s="588" t="str">
        <f t="shared" si="46"/>
        <v/>
      </c>
      <c r="V378" s="588" t="str">
        <f t="shared" si="46"/>
        <v/>
      </c>
      <c r="W378" s="588" t="str">
        <f t="shared" si="46"/>
        <v/>
      </c>
      <c r="X378" s="588" t="str">
        <f t="shared" si="46"/>
        <v/>
      </c>
      <c r="Y378" s="588" t="str">
        <f t="shared" si="46"/>
        <v/>
      </c>
      <c r="Z378" s="588" t="str">
        <f t="shared" si="46"/>
        <v/>
      </c>
      <c r="AA378" s="588" t="str">
        <f t="shared" si="46"/>
        <v/>
      </c>
      <c r="AB378" s="588" t="str">
        <f t="shared" si="46"/>
        <v/>
      </c>
      <c r="AC378" s="588" t="str">
        <f t="shared" si="46"/>
        <v/>
      </c>
      <c r="AD378" s="588" t="str">
        <f t="shared" si="46"/>
        <v/>
      </c>
      <c r="AE378" s="588" t="str">
        <f t="shared" si="46"/>
        <v/>
      </c>
      <c r="AF378" s="588" t="str">
        <f t="shared" si="46"/>
        <v/>
      </c>
      <c r="AG378" s="588" t="str">
        <f t="shared" si="46"/>
        <v/>
      </c>
      <c r="AH378" s="588" t="str">
        <f t="shared" si="46"/>
        <v/>
      </c>
      <c r="AI378" s="588" t="str">
        <f t="shared" si="46"/>
        <v/>
      </c>
      <c r="AJ378" s="588" t="b">
        <f t="shared" si="46"/>
        <v>1</v>
      </c>
      <c r="AK378" s="588" t="str">
        <f t="shared" si="46"/>
        <v/>
      </c>
      <c r="AL378" s="494"/>
      <c r="AM378" s="494"/>
      <c r="AN378" s="30" t="b">
        <f t="shared" si="30"/>
        <v>1</v>
      </c>
      <c r="AO378" s="17"/>
      <c r="AP378" s="9"/>
      <c r="AQ378" s="9"/>
      <c r="AR378" s="9"/>
    </row>
    <row r="379" spans="1:44" customFormat="1" ht="12" customHeight="1" outlineLevel="2" x14ac:dyDescent="0.25">
      <c r="A379" s="7"/>
      <c r="B379" s="8"/>
      <c r="C379" s="18"/>
      <c r="D379" s="18"/>
      <c r="E379" s="18"/>
      <c r="F379" s="24"/>
      <c r="G379" s="549"/>
      <c r="H379" s="25"/>
      <c r="I379" s="512" t="str">
        <f>General!G52</f>
        <v>w</v>
      </c>
      <c r="J379" s="588" t="str">
        <f t="shared" si="46"/>
        <v/>
      </c>
      <c r="K379" s="588" t="str">
        <f t="shared" si="46"/>
        <v/>
      </c>
      <c r="L379" s="588" t="str">
        <f t="shared" si="46"/>
        <v/>
      </c>
      <c r="M379" s="588" t="str">
        <f t="shared" si="46"/>
        <v/>
      </c>
      <c r="N379" s="588" t="str">
        <f t="shared" si="46"/>
        <v/>
      </c>
      <c r="O379" s="588" t="str">
        <f t="shared" si="46"/>
        <v/>
      </c>
      <c r="P379" s="588" t="str">
        <f t="shared" si="46"/>
        <v/>
      </c>
      <c r="Q379" s="588" t="str">
        <f t="shared" si="46"/>
        <v/>
      </c>
      <c r="R379" s="588" t="str">
        <f t="shared" si="46"/>
        <v/>
      </c>
      <c r="S379" s="588" t="str">
        <f t="shared" si="46"/>
        <v/>
      </c>
      <c r="T379" s="588" t="str">
        <f t="shared" si="46"/>
        <v/>
      </c>
      <c r="U379" s="588" t="str">
        <f t="shared" si="46"/>
        <v/>
      </c>
      <c r="V379" s="588" t="str">
        <f t="shared" si="46"/>
        <v/>
      </c>
      <c r="W379" s="588" t="b">
        <f t="shared" si="46"/>
        <v>1</v>
      </c>
      <c r="X379" s="588" t="str">
        <f t="shared" si="46"/>
        <v/>
      </c>
      <c r="Y379" s="588" t="str">
        <f t="shared" si="46"/>
        <v/>
      </c>
      <c r="Z379" s="588" t="str">
        <f t="shared" si="46"/>
        <v/>
      </c>
      <c r="AA379" s="588" t="b">
        <f t="shared" si="46"/>
        <v>1</v>
      </c>
      <c r="AB379" s="588" t="str">
        <f t="shared" si="46"/>
        <v/>
      </c>
      <c r="AC379" s="588" t="b">
        <f t="shared" si="46"/>
        <v>1</v>
      </c>
      <c r="AD379" s="588" t="str">
        <f t="shared" si="46"/>
        <v/>
      </c>
      <c r="AE379" s="588" t="str">
        <f t="shared" si="46"/>
        <v/>
      </c>
      <c r="AF379" s="588" t="str">
        <f t="shared" si="46"/>
        <v/>
      </c>
      <c r="AG379" s="588" t="str">
        <f t="shared" si="46"/>
        <v/>
      </c>
      <c r="AH379" s="588" t="str">
        <f t="shared" si="46"/>
        <v/>
      </c>
      <c r="AI379" s="588" t="str">
        <f t="shared" si="46"/>
        <v/>
      </c>
      <c r="AJ379" s="588" t="str">
        <f t="shared" si="46"/>
        <v/>
      </c>
      <c r="AK379" s="588" t="str">
        <f t="shared" si="46"/>
        <v/>
      </c>
      <c r="AL379" s="494"/>
      <c r="AM379" s="494"/>
      <c r="AN379" s="30" t="b">
        <f t="shared" si="30"/>
        <v>1</v>
      </c>
      <c r="AO379" s="17"/>
      <c r="AP379" s="9"/>
      <c r="AQ379" s="9"/>
      <c r="AR379" s="9"/>
    </row>
    <row r="380" spans="1:44" customFormat="1" outlineLevel="2" x14ac:dyDescent="0.25">
      <c r="A380" s="7"/>
      <c r="B380" s="8"/>
      <c r="C380" s="18"/>
      <c r="D380" s="18"/>
      <c r="E380" s="18"/>
      <c r="F380" s="24"/>
      <c r="G380" s="549"/>
      <c r="H380" s="25"/>
      <c r="I380" s="512" t="str">
        <f>General!G53</f>
        <v>wd</v>
      </c>
      <c r="J380" s="588" t="str">
        <f t="shared" si="46"/>
        <v/>
      </c>
      <c r="K380" s="588" t="str">
        <f t="shared" si="46"/>
        <v/>
      </c>
      <c r="L380" s="588" t="str">
        <f t="shared" si="46"/>
        <v/>
      </c>
      <c r="M380" s="588" t="str">
        <f t="shared" si="46"/>
        <v/>
      </c>
      <c r="N380" s="588" t="str">
        <f t="shared" si="46"/>
        <v/>
      </c>
      <c r="O380" s="588" t="str">
        <f t="shared" si="46"/>
        <v/>
      </c>
      <c r="P380" s="588" t="str">
        <f t="shared" si="46"/>
        <v/>
      </c>
      <c r="Q380" s="588" t="str">
        <f t="shared" si="46"/>
        <v/>
      </c>
      <c r="R380" s="588" t="str">
        <f t="shared" si="46"/>
        <v/>
      </c>
      <c r="S380" s="588" t="str">
        <f t="shared" si="46"/>
        <v/>
      </c>
      <c r="T380" s="588" t="str">
        <f t="shared" si="46"/>
        <v/>
      </c>
      <c r="U380" s="588" t="str">
        <f t="shared" si="46"/>
        <v/>
      </c>
      <c r="V380" s="588" t="str">
        <f t="shared" si="46"/>
        <v/>
      </c>
      <c r="W380" s="588" t="b">
        <f t="shared" si="46"/>
        <v>1</v>
      </c>
      <c r="X380" s="588" t="str">
        <f t="shared" si="46"/>
        <v/>
      </c>
      <c r="Y380" s="588" t="str">
        <f t="shared" si="46"/>
        <v/>
      </c>
      <c r="Z380" s="588" t="str">
        <f t="shared" si="46"/>
        <v/>
      </c>
      <c r="AA380" s="588" t="b">
        <f t="shared" si="46"/>
        <v>1</v>
      </c>
      <c r="AB380" s="588" t="str">
        <f t="shared" si="46"/>
        <v/>
      </c>
      <c r="AC380" s="588" t="b">
        <f t="shared" si="46"/>
        <v>1</v>
      </c>
      <c r="AD380" s="588" t="str">
        <f t="shared" si="46"/>
        <v/>
      </c>
      <c r="AE380" s="588" t="str">
        <f t="shared" si="46"/>
        <v/>
      </c>
      <c r="AF380" s="588" t="str">
        <f t="shared" si="46"/>
        <v/>
      </c>
      <c r="AG380" s="588" t="str">
        <f t="shared" si="46"/>
        <v/>
      </c>
      <c r="AH380" s="588" t="str">
        <f t="shared" si="46"/>
        <v/>
      </c>
      <c r="AI380" s="588" t="str">
        <f t="shared" si="46"/>
        <v/>
      </c>
      <c r="AJ380" s="588" t="str">
        <f t="shared" si="46"/>
        <v/>
      </c>
      <c r="AK380" s="588" t="str">
        <f t="shared" si="46"/>
        <v/>
      </c>
      <c r="AL380" s="494"/>
      <c r="AM380" s="494"/>
      <c r="AN380" s="30" t="b">
        <f t="shared" si="30"/>
        <v>1</v>
      </c>
      <c r="AO380" s="17"/>
      <c r="AP380" s="9"/>
      <c r="AQ380" s="9"/>
      <c r="AR380" s="9"/>
    </row>
    <row r="381" spans="1:44" customFormat="1" outlineLevel="2" x14ac:dyDescent="0.25">
      <c r="A381" s="7"/>
      <c r="B381" s="8"/>
      <c r="C381" s="18"/>
      <c r="D381" s="18"/>
      <c r="E381" s="18"/>
      <c r="F381" s="24"/>
      <c r="G381" s="549"/>
      <c r="H381" s="24"/>
      <c r="I381" s="512" t="str">
        <f>General!G54</f>
        <v>z</v>
      </c>
      <c r="J381" s="588" t="str">
        <f t="shared" si="46"/>
        <v/>
      </c>
      <c r="K381" s="588" t="str">
        <f t="shared" si="46"/>
        <v/>
      </c>
      <c r="L381" s="588" t="str">
        <f t="shared" si="46"/>
        <v/>
      </c>
      <c r="M381" s="588" t="str">
        <f t="shared" si="46"/>
        <v/>
      </c>
      <c r="N381" s="588" t="str">
        <f t="shared" si="46"/>
        <v/>
      </c>
      <c r="O381" s="588" t="str">
        <f t="shared" si="46"/>
        <v/>
      </c>
      <c r="P381" s="588" t="str">
        <f t="shared" si="46"/>
        <v/>
      </c>
      <c r="Q381" s="588" t="str">
        <f t="shared" si="46"/>
        <v/>
      </c>
      <c r="R381" s="588" t="str">
        <f t="shared" si="46"/>
        <v/>
      </c>
      <c r="S381" s="588" t="str">
        <f t="shared" si="46"/>
        <v/>
      </c>
      <c r="T381" s="588" t="str">
        <f t="shared" si="46"/>
        <v/>
      </c>
      <c r="U381" s="588" t="b">
        <f t="shared" si="46"/>
        <v>1</v>
      </c>
      <c r="V381" s="588" t="str">
        <f t="shared" si="46"/>
        <v/>
      </c>
      <c r="W381" s="588" t="str">
        <f t="shared" si="46"/>
        <v/>
      </c>
      <c r="X381" s="588" t="str">
        <f t="shared" si="46"/>
        <v/>
      </c>
      <c r="Y381" s="588" t="b">
        <f t="shared" si="46"/>
        <v>1</v>
      </c>
      <c r="Z381" s="588" t="str">
        <f t="shared" si="46"/>
        <v/>
      </c>
      <c r="AA381" s="588" t="str">
        <f t="shared" si="46"/>
        <v/>
      </c>
      <c r="AB381" s="588" t="str">
        <f t="shared" si="46"/>
        <v/>
      </c>
      <c r="AC381" s="588" t="str">
        <f t="shared" si="46"/>
        <v/>
      </c>
      <c r="AD381" s="588" t="str">
        <f t="shared" si="46"/>
        <v/>
      </c>
      <c r="AE381" s="588" t="str">
        <f t="shared" si="46"/>
        <v/>
      </c>
      <c r="AF381" s="588" t="str">
        <f t="shared" si="46"/>
        <v/>
      </c>
      <c r="AG381" s="588" t="str">
        <f t="shared" si="46"/>
        <v/>
      </c>
      <c r="AH381" s="588" t="str">
        <f t="shared" si="46"/>
        <v/>
      </c>
      <c r="AI381" s="588" t="str">
        <f t="shared" si="46"/>
        <v/>
      </c>
      <c r="AJ381" s="588" t="str">
        <f t="shared" si="46"/>
        <v/>
      </c>
      <c r="AK381" s="588" t="str">
        <f t="shared" si="46"/>
        <v/>
      </c>
      <c r="AL381" s="494"/>
      <c r="AM381" s="494"/>
      <c r="AN381" s="30" t="b">
        <f t="shared" si="30"/>
        <v>1</v>
      </c>
      <c r="AO381" s="17"/>
      <c r="AP381" s="9"/>
      <c r="AQ381" s="9"/>
      <c r="AR381" s="9"/>
    </row>
    <row r="382" spans="1:44" customFormat="1" outlineLevel="2" x14ac:dyDescent="0.25">
      <c r="A382" s="7"/>
      <c r="B382" s="8"/>
      <c r="C382" s="18"/>
      <c r="D382" s="18"/>
      <c r="E382" s="18"/>
      <c r="F382" s="24"/>
      <c r="G382" s="549"/>
      <c r="H382" s="24"/>
      <c r="I382" s="512" t="str">
        <f>General!G55</f>
        <v>zd</v>
      </c>
      <c r="J382" s="588" t="str">
        <f t="shared" si="46"/>
        <v/>
      </c>
      <c r="K382" s="588" t="str">
        <f t="shared" si="46"/>
        <v/>
      </c>
      <c r="L382" s="588" t="str">
        <f t="shared" si="46"/>
        <v/>
      </c>
      <c r="M382" s="588" t="str">
        <f t="shared" si="46"/>
        <v/>
      </c>
      <c r="N382" s="588" t="str">
        <f t="shared" si="46"/>
        <v/>
      </c>
      <c r="O382" s="588" t="str">
        <f t="shared" si="46"/>
        <v/>
      </c>
      <c r="P382" s="588" t="str">
        <f t="shared" si="46"/>
        <v/>
      </c>
      <c r="Q382" s="588" t="str">
        <f t="shared" si="46"/>
        <v/>
      </c>
      <c r="R382" s="588" t="str">
        <f t="shared" si="46"/>
        <v/>
      </c>
      <c r="S382" s="588" t="str">
        <f t="shared" si="46"/>
        <v/>
      </c>
      <c r="T382" s="588" t="str">
        <f t="shared" si="46"/>
        <v/>
      </c>
      <c r="U382" s="588" t="b">
        <f t="shared" si="46"/>
        <v>1</v>
      </c>
      <c r="V382" s="588" t="str">
        <f t="shared" si="46"/>
        <v/>
      </c>
      <c r="W382" s="588" t="str">
        <f t="shared" si="46"/>
        <v/>
      </c>
      <c r="X382" s="588" t="str">
        <f t="shared" si="46"/>
        <v/>
      </c>
      <c r="Y382" s="588" t="b">
        <f t="shared" si="46"/>
        <v>1</v>
      </c>
      <c r="Z382" s="588" t="str">
        <f t="shared" si="46"/>
        <v/>
      </c>
      <c r="AA382" s="588" t="str">
        <f t="shared" si="46"/>
        <v/>
      </c>
      <c r="AB382" s="588" t="str">
        <f t="shared" si="46"/>
        <v/>
      </c>
      <c r="AC382" s="588" t="str">
        <f t="shared" si="46"/>
        <v/>
      </c>
      <c r="AD382" s="588" t="str">
        <f t="shared" si="46"/>
        <v/>
      </c>
      <c r="AE382" s="588" t="str">
        <f t="shared" si="46"/>
        <v/>
      </c>
      <c r="AF382" s="588" t="str">
        <f t="shared" si="46"/>
        <v/>
      </c>
      <c r="AG382" s="588" t="str">
        <f t="shared" si="46"/>
        <v/>
      </c>
      <c r="AH382" s="588" t="str">
        <f t="shared" si="46"/>
        <v/>
      </c>
      <c r="AI382" s="588" t="str">
        <f t="shared" si="46"/>
        <v/>
      </c>
      <c r="AJ382" s="588" t="str">
        <f t="shared" si="46"/>
        <v/>
      </c>
      <c r="AK382" s="588" t="str">
        <f t="shared" si="46"/>
        <v/>
      </c>
      <c r="AL382" s="494"/>
      <c r="AM382" s="494"/>
      <c r="AN382" s="30" t="b">
        <f t="shared" si="30"/>
        <v>1</v>
      </c>
      <c r="AO382" s="17"/>
      <c r="AP382" s="9"/>
      <c r="AQ382" s="9"/>
      <c r="AR382" s="9"/>
    </row>
    <row r="383" spans="1:44" customFormat="1" outlineLevel="1" x14ac:dyDescent="0.25">
      <c r="A383" s="7"/>
      <c r="B383" s="8"/>
      <c r="C383" s="18"/>
      <c r="D383" s="18"/>
      <c r="E383" s="18"/>
      <c r="F383" s="24"/>
      <c r="G383" s="24"/>
      <c r="H383" s="28"/>
      <c r="I383" s="34"/>
      <c r="J383" s="589"/>
      <c r="K383" s="589"/>
      <c r="L383" s="589"/>
      <c r="M383" s="589"/>
      <c r="N383" s="589"/>
      <c r="O383" s="589"/>
      <c r="P383" s="589"/>
      <c r="Q383" s="589"/>
      <c r="R383" s="589"/>
      <c r="S383" s="589"/>
      <c r="T383" s="589"/>
      <c r="U383" s="589"/>
      <c r="X383" s="35"/>
      <c r="Y383" s="35"/>
      <c r="Z383" s="35"/>
      <c r="AA383" s="35"/>
      <c r="AB383" s="35"/>
      <c r="AC383" s="35"/>
      <c r="AD383" s="589"/>
      <c r="AE383" s="589"/>
      <c r="AF383" s="589"/>
      <c r="AG383" s="589"/>
      <c r="AH383" s="589"/>
      <c r="AI383" s="589"/>
      <c r="AJ383" s="589"/>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89"/>
      <c r="K384" s="589"/>
      <c r="L384" s="589"/>
      <c r="M384" s="589"/>
      <c r="N384" s="589"/>
      <c r="O384" s="589"/>
      <c r="P384" s="589"/>
      <c r="Q384" s="589"/>
      <c r="R384" s="589"/>
      <c r="S384" s="589"/>
      <c r="T384" s="589"/>
      <c r="U384" s="589"/>
      <c r="V384" s="35"/>
      <c r="W384" s="35"/>
      <c r="X384" s="35"/>
      <c r="Y384" s="35"/>
      <c r="Z384" s="35"/>
      <c r="AA384" s="35"/>
      <c r="AB384" s="35"/>
      <c r="AC384" s="35"/>
      <c r="AD384" s="35"/>
      <c r="AE384" s="589"/>
      <c r="AF384" s="589"/>
      <c r="AG384" s="589"/>
      <c r="AH384" s="589"/>
      <c r="AI384" s="589"/>
      <c r="AJ384" s="589"/>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27" t="s">
        <v>2199</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28" t="s">
        <v>2198</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2197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2196</v>
      </c>
      <c r="I35" s="282" t="e">
        <f>AND($I$39:$I$59)</f>
        <v>#REF!</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2195</v>
      </c>
      <c r="I40" s="281" t="str">
        <f>IF(COUNT($J40:$Z40)&gt;1,STDEV($J40:$Z40)=0,"")</f>
        <v/>
      </c>
      <c r="J40" s="76" t="s">
        <v>2200</v>
      </c>
      <c r="K40" s="76" t="s">
        <v>2194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2193</v>
      </c>
      <c r="I42" s="281" t="e">
        <f t="shared" ref="I42:I52" si="0">IF(COUNT($J42:$Z42)&gt;1,STDEV($J42:$Z42)=0,"")</f>
        <v>#REF!</v>
      </c>
      <c r="J42" s="76">
        <f>COUNTA(#REF!)</f>
        <v>1</v>
      </c>
      <c r="K42" s="76" t="e">
        <f>COUNTIFS(#REF!,"*grid*")</f>
        <v>#REF!</v>
      </c>
      <c r="L42" s="76">
        <f>COUNTA(#REF!)</f>
        <v>1</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2192</v>
      </c>
      <c r="I43" s="281" t="str">
        <f t="shared" si="0"/>
        <v/>
      </c>
      <c r="J43" s="76" t="s">
        <v>2191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2190</v>
      </c>
      <c r="I44" s="281"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2189</v>
      </c>
      <c r="I45" s="281"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2188</v>
      </c>
      <c r="I46" s="281"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2187</v>
      </c>
      <c r="I47" s="281" t="b">
        <f t="shared" si="0"/>
        <v>0</v>
      </c>
      <c r="J47" s="76">
        <f>COUNTA(#REF!)</f>
        <v>1</v>
      </c>
      <c r="K47" s="76">
        <f>COUNTA(#REF!)</f>
        <v>1</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2186</v>
      </c>
      <c r="I48" s="281"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2185</v>
      </c>
      <c r="I49" s="281" t="str">
        <f t="shared" si="0"/>
        <v/>
      </c>
      <c r="J49" s="76">
        <f>COUNTA(#REF!)</f>
        <v>1</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2184</v>
      </c>
      <c r="I50" s="281"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1"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2183</v>
      </c>
      <c r="I52" s="281"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180BD-2EBE-4272-BB43-452554494083}">
  <sheetPr>
    <outlinePr summaryBelow="0" summaryRight="0"/>
  </sheetPr>
  <dimension ref="A1:CE426"/>
  <sheetViews>
    <sheetView tabSelected="1" zoomScale="85" zoomScaleNormal="85" workbookViewId="0">
      <pane xSplit="11" topLeftCell="L1" activePane="topRight" state="frozen"/>
      <selection activeCell="A6" sqref="A6"/>
      <selection pane="topRight" activeCell="J12" sqref="J12:X12"/>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9"/>
      <c r="AT1" s="439"/>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9"/>
      <c r="AT2" s="439"/>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9"/>
      <c r="AT3" s="439"/>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9"/>
      <c r="AT4" s="439"/>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9"/>
      <c r="AT5" s="439"/>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9"/>
      <c r="AT6" s="439"/>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9"/>
      <c r="AT7" s="439"/>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9"/>
      <c r="AT8" s="439"/>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9"/>
      <c r="AT9" s="439"/>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9"/>
      <c r="AT10" s="439"/>
    </row>
    <row r="11" spans="1:46" ht="45" customHeight="1" outlineLevel="1" x14ac:dyDescent="0.25">
      <c r="A11" s="45"/>
      <c r="B11" s="54"/>
      <c r="C11" s="47">
        <f>INT($C$6)+1.045</f>
        <v>2.0449999999999999</v>
      </c>
      <c r="D11" s="73"/>
      <c r="E11" s="70"/>
      <c r="F11" s="70"/>
      <c r="G11" s="73"/>
      <c r="H11" s="76" t="s">
        <v>134</v>
      </c>
      <c r="I11" s="278">
        <v>45582.576862152797</v>
      </c>
      <c r="J11" s="631" t="s">
        <v>3306</v>
      </c>
      <c r="K11" s="627"/>
      <c r="L11" s="627"/>
      <c r="M11" s="627"/>
      <c r="N11" s="627"/>
      <c r="O11" s="627"/>
      <c r="P11" s="627"/>
      <c r="Q11" s="627"/>
      <c r="R11" s="627"/>
      <c r="S11" s="627"/>
      <c r="T11" s="627"/>
      <c r="U11" s="627"/>
      <c r="V11" s="627"/>
      <c r="W11" s="627"/>
      <c r="X11" s="627"/>
      <c r="Y11" s="283"/>
      <c r="Z11" s="283"/>
      <c r="AA11" s="283"/>
      <c r="AB11" s="283"/>
      <c r="AC11" s="76"/>
      <c r="AD11" s="76"/>
      <c r="AE11" s="76"/>
      <c r="AF11" s="76"/>
      <c r="AG11" s="76"/>
      <c r="AH11" s="76"/>
      <c r="AI11" s="76"/>
      <c r="AJ11" s="76"/>
      <c r="AK11" s="76"/>
      <c r="AL11" s="76"/>
      <c r="AM11" s="76"/>
      <c r="AN11" s="73"/>
      <c r="AO11" s="57"/>
      <c r="AP11" s="45"/>
      <c r="AQ11" s="45"/>
      <c r="AR11" s="45"/>
      <c r="AS11" s="439"/>
      <c r="AT11" s="439"/>
    </row>
    <row r="12" spans="1:46" ht="45" customHeight="1" outlineLevel="1" collapsed="1" x14ac:dyDescent="0.25">
      <c r="A12" s="45"/>
      <c r="B12" s="54"/>
      <c r="C12" s="47">
        <f>INT($C$6)+1.045</f>
        <v>2.0449999999999999</v>
      </c>
      <c r="D12" s="73"/>
      <c r="E12" s="70"/>
      <c r="F12" s="70"/>
      <c r="G12" s="73"/>
      <c r="H12" s="76" t="s">
        <v>135</v>
      </c>
      <c r="I12" s="270">
        <v>45843.5730966435</v>
      </c>
      <c r="J12" s="628" t="s">
        <v>3343</v>
      </c>
      <c r="K12" s="629"/>
      <c r="L12" s="629"/>
      <c r="M12" s="629"/>
      <c r="N12" s="629"/>
      <c r="O12" s="629"/>
      <c r="P12" s="629"/>
      <c r="Q12" s="629"/>
      <c r="R12" s="629"/>
      <c r="S12" s="629"/>
      <c r="T12" s="629"/>
      <c r="U12" s="629"/>
      <c r="V12" s="629"/>
      <c r="W12" s="629"/>
      <c r="X12" s="630"/>
      <c r="Y12" s="77"/>
      <c r="Z12" s="77"/>
      <c r="AA12" s="77"/>
      <c r="AB12" s="77"/>
      <c r="AC12" s="76"/>
      <c r="AD12" s="76"/>
      <c r="AE12" s="76"/>
      <c r="AF12" s="76"/>
      <c r="AG12" s="76"/>
      <c r="AH12" s="76"/>
      <c r="AI12" s="76"/>
      <c r="AJ12" s="76"/>
      <c r="AK12" s="76"/>
      <c r="AL12" s="76"/>
      <c r="AM12" s="76"/>
      <c r="AN12" s="73"/>
      <c r="AO12" s="57"/>
      <c r="AP12" s="45"/>
      <c r="AQ12" s="45"/>
      <c r="AR12" s="45"/>
      <c r="AS12" s="439"/>
      <c r="AT12" s="439"/>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9"/>
      <c r="AT13" s="439"/>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9"/>
      <c r="AT14" s="439"/>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9"/>
      <c r="AT15" s="439"/>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9"/>
      <c r="AT16" s="439"/>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9"/>
      <c r="AT17" s="439"/>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9"/>
      <c r="AT18" s="439"/>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9"/>
      <c r="AT19" s="439"/>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9"/>
      <c r="AT20" s="439"/>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9"/>
      <c r="AT21" s="439"/>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9"/>
      <c r="AT22" s="439"/>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9"/>
      <c r="AT23" s="439"/>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9"/>
      <c r="AT24" s="439"/>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9"/>
      <c r="AT25" s="439"/>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9"/>
      <c r="AT26" s="439"/>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9"/>
      <c r="AT27" s="439"/>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9"/>
      <c r="AT28" s="439"/>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9"/>
      <c r="AT29" s="439"/>
    </row>
    <row r="30" spans="1:46" ht="20.100000000000001" customHeight="1" outlineLevel="1" x14ac:dyDescent="0.25">
      <c r="A30" s="45"/>
      <c r="B30" s="54"/>
      <c r="C30" s="87">
        <f>INT($C$29)+1.02</f>
        <v>2.02</v>
      </c>
      <c r="D30" s="58"/>
      <c r="E30" s="59" t="s">
        <v>126</v>
      </c>
      <c r="F30" s="65">
        <v>1</v>
      </c>
      <c r="G30" s="66"/>
      <c r="H30" s="67" t="s">
        <v>2299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9"/>
      <c r="AT30" s="439"/>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9"/>
      <c r="AT31" s="439"/>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9"/>
      <c r="AT32" s="439"/>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9"/>
      <c r="AT33" s="439"/>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9"/>
      <c r="AT34" s="439"/>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9"/>
      <c r="AT35" s="439"/>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9"/>
      <c r="AT36" s="439"/>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9"/>
      <c r="AT37" s="439"/>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9"/>
      <c r="AT38" s="439"/>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9"/>
      <c r="AT39" s="439"/>
    </row>
    <row r="40" spans="1:46" outlineLevel="1" x14ac:dyDescent="0.25">
      <c r="A40" s="45"/>
      <c r="B40" s="54"/>
      <c r="C40" s="87">
        <f>INT($C$29)+1</f>
        <v>2</v>
      </c>
      <c r="D40" s="73"/>
      <c r="E40" s="70"/>
      <c r="F40" s="70"/>
      <c r="G40" s="73"/>
      <c r="H40" s="90" t="s">
        <v>2298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9"/>
      <c r="AT40" s="439"/>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9"/>
      <c r="AT41" s="439"/>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9"/>
      <c r="AT42" s="439"/>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9"/>
      <c r="AT43" s="439"/>
    </row>
    <row r="44" spans="1:46" outlineLevel="2" x14ac:dyDescent="0.25">
      <c r="A44" s="45"/>
      <c r="B44" s="54"/>
      <c r="C44" s="87">
        <f>INT($C$29)+2</f>
        <v>3</v>
      </c>
      <c r="D44" s="73"/>
      <c r="E44" s="70"/>
      <c r="F44" s="70"/>
      <c r="G44" s="73"/>
      <c r="H44" s="76" t="s">
        <v>2583</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9"/>
      <c r="AT44" s="439"/>
    </row>
    <row r="45" spans="1:46" outlineLevel="2" x14ac:dyDescent="0.25">
      <c r="A45" s="45"/>
      <c r="B45" s="54"/>
      <c r="C45" s="87">
        <f>INT($C$29)+2</f>
        <v>3</v>
      </c>
      <c r="D45" s="73"/>
      <c r="E45" s="70"/>
      <c r="F45" s="70"/>
      <c r="G45" s="73"/>
      <c r="H45" s="76"/>
      <c r="I45" s="97">
        <v>158</v>
      </c>
      <c r="J45" s="96" t="s">
        <v>657</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9"/>
      <c r="AT45" s="439"/>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9"/>
      <c r="AT46" s="439"/>
    </row>
    <row r="47" spans="1:46" outlineLevel="2" x14ac:dyDescent="0.25">
      <c r="A47" s="45"/>
      <c r="B47" s="54"/>
      <c r="C47" s="87">
        <f>INT($C$29)+2</f>
        <v>3</v>
      </c>
      <c r="D47" s="73"/>
      <c r="E47" s="70"/>
      <c r="F47" s="70"/>
      <c r="G47" s="73"/>
      <c r="H47" s="76"/>
      <c r="I47" s="76"/>
      <c r="J47" s="95" t="s">
        <v>2739</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9"/>
      <c r="AT47" s="439"/>
    </row>
    <row r="48" spans="1:46" ht="25.5" outlineLevel="2" x14ac:dyDescent="0.25">
      <c r="A48" s="45"/>
      <c r="B48" s="54"/>
      <c r="C48" s="87">
        <f>INT($C$29)+2</f>
        <v>3</v>
      </c>
      <c r="D48" s="73"/>
      <c r="E48" s="70"/>
      <c r="F48" s="70"/>
      <c r="G48" s="73"/>
      <c r="H48" s="76" t="s">
        <v>147</v>
      </c>
      <c r="I48" s="76" t="s">
        <v>148</v>
      </c>
      <c r="J48" s="334" t="str">
        <f>IF(J$38 = 0, "Intercept ","")&amp;"scan_per^"&amp;J$38</f>
        <v>Intercept scan_per^0</v>
      </c>
      <c r="K48" s="334" t="str">
        <f>IF(K$38 = 0, "Intercept ","")&amp;"scan_per^"&amp;K$38</f>
        <v>scan_per^1</v>
      </c>
      <c r="L48" s="334" t="str">
        <f>IF(L$38 = 0, "Intercept ","")&amp;"scan_per^"&amp;L$38</f>
        <v>scan_per^2</v>
      </c>
      <c r="M48" s="334" t="str">
        <f>IF(M$38 = 0, "Intercept ","")&amp;"scan_per^"&amp;M$38</f>
        <v>scan_per^3</v>
      </c>
      <c r="N48" s="334" t="str">
        <f>IF(N$38 = 0, "Intercept ","")&amp;"scan_per^"&amp;N$38</f>
        <v>scan_per^4</v>
      </c>
      <c r="O48" s="76"/>
      <c r="P48" s="433" t="s">
        <v>2740</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9"/>
      <c r="AT48" s="439"/>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9"/>
      <c r="AT49" s="439"/>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9"/>
      <c r="AT50" s="439"/>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9"/>
      <c r="AT51" s="439"/>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9"/>
      <c r="AT52" s="439"/>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9"/>
      <c r="AT53" s="439"/>
    </row>
    <row r="54" spans="1:46" outlineLevel="2" x14ac:dyDescent="0.25">
      <c r="A54" s="45"/>
      <c r="B54" s="54"/>
      <c r="C54" s="87">
        <f>INT($C$29)+2</f>
        <v>3</v>
      </c>
      <c r="D54" s="73"/>
      <c r="E54" s="70"/>
      <c r="F54" s="70"/>
      <c r="G54" s="73"/>
      <c r="H54" s="76" t="s">
        <v>2173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9"/>
      <c r="AT54" s="439"/>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9"/>
      <c r="AT55" s="439"/>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9"/>
      <c r="AT56" s="439"/>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9"/>
      <c r="AT57" s="439"/>
    </row>
    <row r="58" spans="1:46" outlineLevel="2" x14ac:dyDescent="0.2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9"/>
      <c r="AT58" s="439"/>
    </row>
    <row r="59" spans="1:46" outlineLevel="2" x14ac:dyDescent="0.2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9"/>
      <c r="AT59" s="439"/>
    </row>
    <row r="60" spans="1:46" outlineLevel="2" x14ac:dyDescent="0.2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9"/>
      <c r="AT60" s="439"/>
    </row>
    <row r="61" spans="1:46" outlineLevel="2" x14ac:dyDescent="0.2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9"/>
      <c r="AT61" s="439"/>
    </row>
    <row r="62" spans="1:46" outlineLevel="2" x14ac:dyDescent="0.2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9"/>
      <c r="AT62" s="439"/>
    </row>
    <row r="63" spans="1:46" outlineLevel="2" x14ac:dyDescent="0.2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9"/>
      <c r="AT63" s="439"/>
    </row>
    <row r="64" spans="1:46" outlineLevel="3" x14ac:dyDescent="0.2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9"/>
      <c r="AT64" s="439"/>
    </row>
    <row r="65" spans="1:46" outlineLevel="3" x14ac:dyDescent="0.2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9"/>
      <c r="AT65" s="439"/>
    </row>
    <row r="66" spans="1:46" outlineLevel="3" x14ac:dyDescent="0.2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9"/>
      <c r="AT66" s="439"/>
    </row>
    <row r="67" spans="1:46" outlineLevel="3" x14ac:dyDescent="0.2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9"/>
      <c r="AT67" s="439"/>
    </row>
    <row r="68" spans="1:46" outlineLevel="3" x14ac:dyDescent="0.2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9"/>
      <c r="AT68" s="439"/>
    </row>
    <row r="69" spans="1:46" outlineLevel="3" x14ac:dyDescent="0.2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9"/>
      <c r="AT69" s="439"/>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9"/>
      <c r="AT70" s="439"/>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9"/>
      <c r="AT71" s="439"/>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9"/>
      <c r="AT72" s="439"/>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9"/>
      <c r="AT73" s="439"/>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9"/>
      <c r="AT74" s="439"/>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9"/>
      <c r="AT75" s="439"/>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9"/>
      <c r="AT76" s="439"/>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9"/>
      <c r="AT77" s="439"/>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9"/>
      <c r="AT78" s="439"/>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9"/>
      <c r="AT79" s="439"/>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9"/>
      <c r="AT80" s="439"/>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9"/>
      <c r="AT81" s="439"/>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9"/>
      <c r="AT82" s="439"/>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9"/>
      <c r="AT83" s="439"/>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9"/>
      <c r="AT84" s="439"/>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9"/>
      <c r="AT85" s="439"/>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9"/>
      <c r="AT86" s="439"/>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9"/>
      <c r="AT87" s="439"/>
    </row>
    <row r="88" spans="1:65" ht="11.45" hidden="1"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9"/>
      <c r="AT88" s="439"/>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9"/>
      <c r="AT89" s="439"/>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9"/>
      <c r="AT90" s="439"/>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9"/>
      <c r="AT91" s="439"/>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9"/>
      <c r="AT92" s="439"/>
    </row>
    <row r="93" spans="1:65" outlineLevel="2" x14ac:dyDescent="0.25">
      <c r="A93" s="45"/>
      <c r="B93" s="54"/>
      <c r="C93" s="87">
        <f>INT($C$81)+2</f>
        <v>3</v>
      </c>
      <c r="D93" s="73"/>
      <c r="E93" s="70"/>
      <c r="F93" s="70"/>
      <c r="G93" s="73"/>
      <c r="H93" s="105"/>
      <c r="I93" s="106" t="s">
        <v>2225</v>
      </c>
      <c r="J93" s="107"/>
      <c r="K93" s="76"/>
      <c r="L93" s="76"/>
      <c r="M93" s="107"/>
      <c r="N93" s="106" t="s">
        <v>175</v>
      </c>
      <c r="O93" s="107"/>
      <c r="P93" s="107"/>
      <c r="Q93" s="610" t="s">
        <v>176</v>
      </c>
      <c r="R93" s="609"/>
      <c r="S93" s="609"/>
      <c r="T93" s="609"/>
      <c r="U93" s="609" t="s">
        <v>177</v>
      </c>
      <c r="V93" s="609"/>
      <c r="W93" s="609" t="s">
        <v>178</v>
      </c>
      <c r="X93" s="609"/>
      <c r="Y93" s="106" t="s">
        <v>2713</v>
      </c>
      <c r="Z93" s="107"/>
      <c r="AA93" s="107"/>
      <c r="AB93" s="107"/>
      <c r="AC93" s="107"/>
      <c r="AD93" s="107"/>
      <c r="AE93" s="76"/>
      <c r="AF93" s="76" t="s">
        <v>2712</v>
      </c>
      <c r="AG93" s="76"/>
      <c r="AH93" s="76"/>
      <c r="AI93" s="76"/>
      <c r="AJ93" s="76"/>
      <c r="AK93" s="76"/>
      <c r="AL93" s="76"/>
      <c r="AM93" s="76"/>
      <c r="AN93" s="73"/>
      <c r="AO93" s="57"/>
      <c r="AP93" s="45"/>
      <c r="AQ93" s="45"/>
      <c r="AR93" s="45"/>
      <c r="AS93" s="439"/>
      <c r="AT93" s="439"/>
      <c r="AX93" s="427" t="s">
        <v>2201</v>
      </c>
      <c r="BD93" t="s">
        <v>2254</v>
      </c>
    </row>
    <row r="94" spans="1:65" outlineLevel="2" x14ac:dyDescent="0.25">
      <c r="A94" s="45"/>
      <c r="B94" s="54"/>
      <c r="C94" s="87">
        <f>INT($C$81)+2</f>
        <v>3</v>
      </c>
      <c r="D94" s="73"/>
      <c r="E94" s="70"/>
      <c r="F94" s="70"/>
      <c r="G94" s="73"/>
      <c r="H94" s="76"/>
      <c r="I94" s="95" t="s">
        <v>3307</v>
      </c>
      <c r="J94" s="95"/>
      <c r="K94" s="76"/>
      <c r="L94" s="76"/>
      <c r="M94" s="95"/>
      <c r="N94" s="95" t="s">
        <v>179</v>
      </c>
      <c r="O94" s="95"/>
      <c r="P94" s="95"/>
      <c r="Q94" s="608" t="s">
        <v>180</v>
      </c>
      <c r="R94" s="608" t="s">
        <v>181</v>
      </c>
      <c r="S94" s="608" t="s">
        <v>182</v>
      </c>
      <c r="T94" s="608" t="s">
        <v>183</v>
      </c>
      <c r="U94" s="608" t="s">
        <v>180</v>
      </c>
      <c r="V94" s="608" t="s">
        <v>184</v>
      </c>
      <c r="W94" s="608" t="s">
        <v>180</v>
      </c>
      <c r="X94" s="608" t="s">
        <v>184</v>
      </c>
      <c r="Y94" s="95" t="s">
        <v>185</v>
      </c>
      <c r="Z94" s="95"/>
      <c r="AA94" s="95"/>
      <c r="AB94" s="95"/>
      <c r="AC94" s="95"/>
      <c r="AD94" s="95"/>
      <c r="AE94" s="76"/>
      <c r="AF94" s="76" t="s">
        <v>3264</v>
      </c>
      <c r="AG94" s="76"/>
      <c r="AH94" s="76"/>
      <c r="AI94" s="76"/>
      <c r="AJ94" s="76"/>
      <c r="AK94" s="76"/>
      <c r="AL94" s="76"/>
      <c r="AM94" s="76"/>
      <c r="AN94" s="73"/>
      <c r="AO94" s="57"/>
      <c r="AP94" s="45"/>
      <c r="AQ94" s="45"/>
      <c r="AR94" s="45"/>
      <c r="AS94" s="439"/>
      <c r="AT94" s="439"/>
      <c r="AV94" s="76" t="s">
        <v>186</v>
      </c>
      <c r="AX94" s="427" t="str">
        <f>"Calculated from "&amp;$AF$114</f>
        <v>Calculated from Percentiles Finewool Andrew Woods, broad extrapolated from the 20 yr premium (Mecardo Nov 2022 a&amp;b for Merino &amp; XB (XB was quoted relative to 22u Merino))</v>
      </c>
      <c r="BD94" t="s">
        <v>2255</v>
      </c>
    </row>
    <row r="95" spans="1:65" outlineLevel="3" x14ac:dyDescent="0.25">
      <c r="A95" s="45"/>
      <c r="B95" s="54"/>
      <c r="C95" s="87">
        <f t="shared" ref="C95:C112" si="2">INT($C$81)+3</f>
        <v>4</v>
      </c>
      <c r="D95" s="73"/>
      <c r="E95" s="70"/>
      <c r="F95" s="70" t="s">
        <v>187</v>
      </c>
      <c r="G95" s="73"/>
      <c r="H95" s="108" t="s">
        <v>2202</v>
      </c>
      <c r="I95" s="79">
        <v>10</v>
      </c>
      <c r="J95" s="79">
        <v>30</v>
      </c>
      <c r="K95" s="79">
        <v>50</v>
      </c>
      <c r="L95" s="79">
        <v>70</v>
      </c>
      <c r="M95" s="79">
        <v>90</v>
      </c>
      <c r="N95" s="80">
        <v>0.01</v>
      </c>
      <c r="O95" s="80">
        <v>0.02</v>
      </c>
      <c r="P95" s="80">
        <v>0.05</v>
      </c>
      <c r="Q95" s="607">
        <v>40</v>
      </c>
      <c r="R95" s="607">
        <v>60</v>
      </c>
      <c r="S95" s="607">
        <v>80</v>
      </c>
      <c r="T95" s="607">
        <v>95</v>
      </c>
      <c r="U95" s="607">
        <v>0</v>
      </c>
      <c r="V95" s="607">
        <v>100</v>
      </c>
      <c r="W95" s="607">
        <v>0</v>
      </c>
      <c r="X95" s="607">
        <v>100</v>
      </c>
      <c r="Y95" s="79" t="s">
        <v>188</v>
      </c>
      <c r="Z95" s="79" t="s">
        <v>189</v>
      </c>
      <c r="AA95" s="79" t="s">
        <v>190</v>
      </c>
      <c r="AB95" s="79" t="s">
        <v>191</v>
      </c>
      <c r="AC95" s="79" t="s">
        <v>192</v>
      </c>
      <c r="AD95" s="79" t="s">
        <v>193</v>
      </c>
      <c r="AE95" s="76"/>
      <c r="AF95" s="110">
        <f>I95</f>
        <v>10</v>
      </c>
      <c r="AG95" s="79">
        <v>30</v>
      </c>
      <c r="AH95" s="79">
        <v>50</v>
      </c>
      <c r="AI95" s="79">
        <v>70</v>
      </c>
      <c r="AJ95" s="110">
        <f>M95</f>
        <v>90</v>
      </c>
      <c r="AK95" s="76"/>
      <c r="AL95" s="76"/>
      <c r="AM95" s="76"/>
      <c r="AN95" s="73"/>
      <c r="AO95" s="57"/>
      <c r="AP95" s="45"/>
      <c r="AQ95" s="45"/>
      <c r="AR95" s="45"/>
      <c r="AS95" s="439"/>
      <c r="AT95" s="439"/>
      <c r="AV95" s="109"/>
      <c r="AX95">
        <f>AG95</f>
        <v>30</v>
      </c>
      <c r="AY95">
        <f>AH95</f>
        <v>50</v>
      </c>
      <c r="AZ95">
        <f>AI95</f>
        <v>70</v>
      </c>
      <c r="BD95" t="s">
        <v>2256</v>
      </c>
      <c r="BE95" s="153">
        <v>50</v>
      </c>
      <c r="BF95">
        <f>IFERROR(MIN(2,MATCH($BE95,i_woolp_mpg_range_w5,1)),1)-1</f>
        <v>1</v>
      </c>
      <c r="BG95" t="s">
        <v>2257</v>
      </c>
      <c r="BH95" s="97">
        <v>50</v>
      </c>
      <c r="BI95">
        <f>IFERROR(MIN(2,MATCH($BH95,i_woolp_fdprem_range_w5,1)),1)-1</f>
        <v>1</v>
      </c>
      <c r="BK95" s="312" t="s">
        <v>2335</v>
      </c>
      <c r="BL95" s="312"/>
      <c r="BM95" s="312"/>
    </row>
    <row r="96" spans="1:65" outlineLevel="3" x14ac:dyDescent="0.25">
      <c r="A96" s="45"/>
      <c r="B96" s="54"/>
      <c r="C96" s="87">
        <f t="shared" si="2"/>
        <v>4</v>
      </c>
      <c r="D96" s="73"/>
      <c r="E96" s="70"/>
      <c r="F96" s="70">
        <f t="shared" ref="F96:F101" si="3">($J99-$J96)/($H99-$H96)</f>
        <v>-3232.0065628113143</v>
      </c>
      <c r="G96" s="73"/>
      <c r="H96" s="79">
        <v>12</v>
      </c>
      <c r="I96" s="602">
        <v>8683.1022294036629</v>
      </c>
      <c r="J96" s="602">
        <v>10165.016407028286</v>
      </c>
      <c r="K96" s="602">
        <v>11506.435536455769</v>
      </c>
      <c r="L96" s="602">
        <v>12777.062587334305</v>
      </c>
      <c r="M96" s="602">
        <v>15594.103265182059</v>
      </c>
      <c r="N96" s="111">
        <f t="shared" ref="N96:W102" si="4">N97</f>
        <v>0</v>
      </c>
      <c r="O96" s="111">
        <f t="shared" si="4"/>
        <v>-1.9178082191780823E-2</v>
      </c>
      <c r="P96" s="111">
        <f t="shared" si="4"/>
        <v>-5.4794520547945202E-2</v>
      </c>
      <c r="Q96" s="606">
        <f t="shared" si="4"/>
        <v>-2.7397260273972601E-2</v>
      </c>
      <c r="R96" s="606">
        <f t="shared" si="4"/>
        <v>-1.0958904109589041E-2</v>
      </c>
      <c r="S96" s="606">
        <f t="shared" si="4"/>
        <v>0</v>
      </c>
      <c r="T96" s="606">
        <f t="shared" si="4"/>
        <v>4.10958904109589E-3</v>
      </c>
      <c r="U96" s="606">
        <f t="shared" si="4"/>
        <v>0</v>
      </c>
      <c r="V96" s="606">
        <f t="shared" si="4"/>
        <v>0</v>
      </c>
      <c r="W96" s="606">
        <f t="shared" si="4"/>
        <v>0</v>
      </c>
      <c r="X96" s="606">
        <f t="shared" ref="X96:AD102" si="5">X97</f>
        <v>0</v>
      </c>
      <c r="Y96" s="111">
        <f t="shared" si="5"/>
        <v>0.94399999999999995</v>
      </c>
      <c r="Z96" s="112">
        <f t="shared" si="5"/>
        <v>0.82499999999999996</v>
      </c>
      <c r="AA96" s="112">
        <f t="shared" si="5"/>
        <v>0.82499999999999996</v>
      </c>
      <c r="AB96" s="112">
        <f t="shared" si="5"/>
        <v>0.57499999999999996</v>
      </c>
      <c r="AC96" s="112">
        <f t="shared" si="5"/>
        <v>0.60499999999999998</v>
      </c>
      <c r="AD96" s="112">
        <f t="shared" si="5"/>
        <v>0.9</v>
      </c>
      <c r="AE96" s="76"/>
      <c r="AF96" s="142">
        <v>1.4178810718872636</v>
      </c>
      <c r="AG96" s="142">
        <v>7.2961630140360478</v>
      </c>
      <c r="AH96" s="142">
        <v>6.2607260050202047</v>
      </c>
      <c r="AI96" s="142">
        <v>0.78999999999999992</v>
      </c>
      <c r="AJ96" s="142">
        <v>8.1678328105967442</v>
      </c>
      <c r="AK96" s="76"/>
      <c r="AL96" s="76"/>
      <c r="AM96" s="76"/>
      <c r="AN96" s="73"/>
      <c r="AO96" s="57"/>
      <c r="AP96" s="45"/>
      <c r="AQ96" s="285"/>
      <c r="AR96" s="45"/>
      <c r="AS96" s="439"/>
      <c r="AT96" s="439"/>
      <c r="AV96" s="284">
        <f ca="1">AV97</f>
        <v>0.96308006535086399</v>
      </c>
      <c r="AX96" s="116"/>
      <c r="AY96" s="116"/>
      <c r="AZ96" s="116"/>
      <c r="BC96" s="320" t="s">
        <v>2258</v>
      </c>
      <c r="BD96" s="320" t="s">
        <v>2259</v>
      </c>
      <c r="BE96" s="320" t="s">
        <v>2257</v>
      </c>
      <c r="BF96" s="329" t="s">
        <v>2263</v>
      </c>
      <c r="BG96" s="417" t="s">
        <v>2698</v>
      </c>
      <c r="BK96" s="318" t="s">
        <v>2334</v>
      </c>
      <c r="BL96" s="318" t="s">
        <v>2256</v>
      </c>
      <c r="BM96" s="318" t="s">
        <v>2257</v>
      </c>
    </row>
    <row r="97" spans="1:65" outlineLevel="3" x14ac:dyDescent="0.25">
      <c r="A97" s="45"/>
      <c r="B97" s="54"/>
      <c r="C97" s="87">
        <f t="shared" si="2"/>
        <v>4</v>
      </c>
      <c r="D97" s="73"/>
      <c r="E97" s="70"/>
      <c r="F97" s="70">
        <f t="shared" si="3"/>
        <v>-824.80555555555577</v>
      </c>
      <c r="G97" s="73"/>
      <c r="H97" s="79">
        <v>13.5</v>
      </c>
      <c r="I97" s="602">
        <v>2803</v>
      </c>
      <c r="J97" s="602">
        <v>3100.1750000000002</v>
      </c>
      <c r="K97" s="602">
        <v>5357</v>
      </c>
      <c r="L97" s="602">
        <v>6282.9</v>
      </c>
      <c r="M97" s="602">
        <v>7260.4</v>
      </c>
      <c r="N97" s="286">
        <f t="shared" si="4"/>
        <v>0</v>
      </c>
      <c r="O97" s="286">
        <f t="shared" si="4"/>
        <v>-1.9178082191780823E-2</v>
      </c>
      <c r="P97" s="286">
        <f t="shared" si="4"/>
        <v>-5.4794520547945202E-2</v>
      </c>
      <c r="Q97" s="605">
        <f t="shared" si="4"/>
        <v>-2.7397260273972601E-2</v>
      </c>
      <c r="R97" s="605">
        <f t="shared" si="4"/>
        <v>-1.0958904109589041E-2</v>
      </c>
      <c r="S97" s="605">
        <f t="shared" si="4"/>
        <v>0</v>
      </c>
      <c r="T97" s="605">
        <f t="shared" si="4"/>
        <v>4.10958904109589E-3</v>
      </c>
      <c r="U97" s="605">
        <f t="shared" si="4"/>
        <v>0</v>
      </c>
      <c r="V97" s="605">
        <f t="shared" si="4"/>
        <v>0</v>
      </c>
      <c r="W97" s="605">
        <f t="shared" si="4"/>
        <v>0</v>
      </c>
      <c r="X97" s="605">
        <f t="shared" si="5"/>
        <v>0</v>
      </c>
      <c r="Y97" s="286">
        <f t="shared" si="5"/>
        <v>0.94399999999999995</v>
      </c>
      <c r="Z97" s="251">
        <f t="shared" si="5"/>
        <v>0.82499999999999996</v>
      </c>
      <c r="AA97" s="251">
        <f t="shared" si="5"/>
        <v>0.82499999999999996</v>
      </c>
      <c r="AB97" s="251">
        <f t="shared" si="5"/>
        <v>0.57499999999999996</v>
      </c>
      <c r="AC97" s="251">
        <f t="shared" si="5"/>
        <v>0.60499999999999998</v>
      </c>
      <c r="AD97" s="251">
        <f t="shared" si="5"/>
        <v>0.9</v>
      </c>
      <c r="AE97" s="76"/>
      <c r="AF97" s="113">
        <v>0.562405428998213</v>
      </c>
      <c r="AG97" s="113">
        <v>2.8754962680641576</v>
      </c>
      <c r="AH97" s="113">
        <v>2.2616895102928671</v>
      </c>
      <c r="AI97" s="113">
        <v>0.69</v>
      </c>
      <c r="AJ97" s="113">
        <v>3.6519779980927267</v>
      </c>
      <c r="AK97" s="114"/>
      <c r="AL97" s="76"/>
      <c r="AM97" s="76"/>
      <c r="AN97" s="73"/>
      <c r="AO97" s="57"/>
      <c r="AP97" s="45"/>
      <c r="AQ97" s="423"/>
      <c r="AR97" s="45"/>
      <c r="AS97" s="439"/>
      <c r="AT97" s="439"/>
      <c r="AV97" s="287">
        <f t="shared" ref="AV97:AV108" ca="1" si="6">($J$127*$Y97*(1+FORECAST($H97+$J$128,OFFSET($AF$96:$AJ$112,MATCH($H97+$J$128,i_woolp_fd_range_w4,1)-1,AF$89-1,2,1),OFFSET(i_woolp_fd_range_w4,MATCH($H97+$J$128,i_woolp_fd_range_w4,1)-1,0,2,1)))/(1+INDEX($AF97:$AJ97,1,AF$89)))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Z103" si="7">((1+AG97)/(1+AG98))^(1/($H98-$H97))-1</f>
        <v>1.6033351889713665</v>
      </c>
      <c r="AY97" s="116">
        <f t="shared" si="7"/>
        <v>1.8600002785444074</v>
      </c>
      <c r="AZ97" s="116">
        <f t="shared" si="7"/>
        <v>0.12974170325540912</v>
      </c>
      <c r="BC97" s="441">
        <f t="shared" ref="BC97:BC113" si="8">$H97</f>
        <v>13.5</v>
      </c>
      <c r="BD97">
        <f t="shared" ref="BD97:BD113" ca="1" si="9">IF($BC97=i_woolp_fd_std,_xlfn.FORECAST.LINEAR($BE$95,OFFSET($I97:$M97,0,$BF$95,1,2),OFFSET(i_woolp_mpg_range_w5,0,$BF$95,1,2)),0)</f>
        <v>0</v>
      </c>
      <c r="BE97" s="315">
        <f t="shared" ref="BE97:BE113" ca="1" si="10">_xlfn.FORECAST.LINEAR($BH$95,OFFSET($AF97:$AJ97,0,$BI$95,1,2),OFFSET(i_woolp_fdprem_range_w5,0,$BI$95,1,2))</f>
        <v>2.2616895102928671</v>
      </c>
      <c r="BF97" s="316">
        <f t="shared" ref="BF97:BF113" ca="1" si="11">SUM($BD$99:$BD$112)*(1+$BE97)*$Y97</f>
        <v>4879.5005541561704</v>
      </c>
      <c r="BG97" s="316">
        <f t="shared" ref="BG97:BG108" ca="1" si="12">(SUM($BD$99:$BD$112)*(1+$BE97)*$AV97*(1-i_wool_cost_pc)-i_wool_cost_kg*100)*$K$156</f>
        <v>3088.3474203569604</v>
      </c>
      <c r="BK97" s="4">
        <v>44551</v>
      </c>
      <c r="BL97">
        <v>60</v>
      </c>
      <c r="BM97">
        <v>85</v>
      </c>
    </row>
    <row r="98" spans="1:65" outlineLevel="3" x14ac:dyDescent="0.25">
      <c r="A98" s="45"/>
      <c r="B98" s="54"/>
      <c r="C98" s="87">
        <f t="shared" si="2"/>
        <v>4</v>
      </c>
      <c r="D98" s="73"/>
      <c r="E98" s="70"/>
      <c r="F98" s="70">
        <f t="shared" si="3"/>
        <v>-510.12500000000023</v>
      </c>
      <c r="G98" s="73"/>
      <c r="H98" s="79">
        <v>14</v>
      </c>
      <c r="I98" s="602">
        <v>1920.5833333333335</v>
      </c>
      <c r="J98" s="602">
        <v>2623.7500000000005</v>
      </c>
      <c r="K98" s="602">
        <v>3032.5</v>
      </c>
      <c r="L98" s="602">
        <v>3806</v>
      </c>
      <c r="M98" s="602">
        <v>4921</v>
      </c>
      <c r="N98" s="286">
        <f t="shared" si="4"/>
        <v>0</v>
      </c>
      <c r="O98" s="286">
        <f t="shared" si="4"/>
        <v>-1.9178082191780823E-2</v>
      </c>
      <c r="P98" s="286">
        <f t="shared" si="4"/>
        <v>-5.4794520547945202E-2</v>
      </c>
      <c r="Q98" s="605">
        <f t="shared" si="4"/>
        <v>-2.7397260273972601E-2</v>
      </c>
      <c r="R98" s="605">
        <f t="shared" si="4"/>
        <v>-1.0958904109589041E-2</v>
      </c>
      <c r="S98" s="605">
        <f t="shared" si="4"/>
        <v>0</v>
      </c>
      <c r="T98" s="605">
        <f t="shared" si="4"/>
        <v>4.10958904109589E-3</v>
      </c>
      <c r="U98" s="605">
        <f t="shared" si="4"/>
        <v>0</v>
      </c>
      <c r="V98" s="605">
        <f t="shared" si="4"/>
        <v>0</v>
      </c>
      <c r="W98" s="605">
        <f t="shared" si="4"/>
        <v>0</v>
      </c>
      <c r="X98" s="605">
        <f t="shared" si="5"/>
        <v>0</v>
      </c>
      <c r="Y98" s="286">
        <f t="shared" si="5"/>
        <v>0.94399999999999995</v>
      </c>
      <c r="Z98" s="251">
        <f t="shared" si="5"/>
        <v>0.82499999999999996</v>
      </c>
      <c r="AA98" s="251">
        <f t="shared" si="5"/>
        <v>0.82499999999999996</v>
      </c>
      <c r="AB98" s="251">
        <f t="shared" si="5"/>
        <v>0.57499999999999996</v>
      </c>
      <c r="AC98" s="251">
        <f t="shared" si="5"/>
        <v>0.60499999999999998</v>
      </c>
      <c r="AD98" s="251">
        <f t="shared" si="5"/>
        <v>0.9</v>
      </c>
      <c r="AE98" s="76"/>
      <c r="AF98" s="113">
        <v>0.27724688136852949</v>
      </c>
      <c r="AG98" s="113">
        <v>1.4019406860735275</v>
      </c>
      <c r="AH98" s="113">
        <v>0.92867734538375468</v>
      </c>
      <c r="AI98" s="113">
        <v>0.59</v>
      </c>
      <c r="AJ98" s="113">
        <v>2.1466930605913879</v>
      </c>
      <c r="AK98" s="114"/>
      <c r="AL98" s="76"/>
      <c r="AM98" s="76"/>
      <c r="AN98" s="73"/>
      <c r="AO98" s="57"/>
      <c r="AP98" s="45"/>
      <c r="AQ98" s="423"/>
      <c r="AR98" s="45"/>
      <c r="AS98" s="439"/>
      <c r="AT98" s="439"/>
      <c r="AV98" s="287">
        <f t="shared" ca="1" si="6"/>
        <v>1.017871563475772</v>
      </c>
      <c r="AX98" s="116">
        <f t="shared" si="7"/>
        <v>0.36197127418304542</v>
      </c>
      <c r="AY98" s="116">
        <f t="shared" si="7"/>
        <v>0.59462404032405769</v>
      </c>
      <c r="AZ98" s="116">
        <f t="shared" si="7"/>
        <v>6.598920559959498E-2</v>
      </c>
      <c r="BC98" s="441">
        <f t="shared" si="8"/>
        <v>14</v>
      </c>
      <c r="BD98">
        <f t="shared" ca="1" si="9"/>
        <v>0</v>
      </c>
      <c r="BE98" s="315">
        <f t="shared" ca="1" si="10"/>
        <v>0.9286773453837549</v>
      </c>
      <c r="BF98" s="316">
        <f t="shared" ca="1" si="11"/>
        <v>2885.3090234034789</v>
      </c>
      <c r="BG98" s="316">
        <f t="shared" ca="1" si="12"/>
        <v>1913.3167238914823</v>
      </c>
      <c r="BK98" s="4">
        <v>44551</v>
      </c>
      <c r="BL98">
        <v>60</v>
      </c>
      <c r="BM98">
        <v>85</v>
      </c>
    </row>
    <row r="99" spans="1:65" outlineLevel="3" x14ac:dyDescent="0.25">
      <c r="A99" s="45"/>
      <c r="B99" s="54"/>
      <c r="C99" s="87">
        <f t="shared" si="2"/>
        <v>4</v>
      </c>
      <c r="D99" s="73"/>
      <c r="E99" s="70"/>
      <c r="F99" s="70">
        <f t="shared" si="3"/>
        <v>-213.73999999999987</v>
      </c>
      <c r="G99" s="73"/>
      <c r="H99" s="79">
        <v>14.5</v>
      </c>
      <c r="I99" s="602">
        <v>1726.9924999999998</v>
      </c>
      <c r="J99" s="602">
        <v>2085</v>
      </c>
      <c r="K99" s="602">
        <v>2570.75</v>
      </c>
      <c r="L99" s="602">
        <v>3416.6</v>
      </c>
      <c r="M99" s="602">
        <v>4062.8249999999998</v>
      </c>
      <c r="N99" s="286">
        <f t="shared" si="4"/>
        <v>0</v>
      </c>
      <c r="O99" s="286">
        <f t="shared" si="4"/>
        <v>-1.9178082191780823E-2</v>
      </c>
      <c r="P99" s="286">
        <f t="shared" si="4"/>
        <v>-5.4794520547945202E-2</v>
      </c>
      <c r="Q99" s="605">
        <f t="shared" si="4"/>
        <v>-2.7397260273972601E-2</v>
      </c>
      <c r="R99" s="605">
        <f t="shared" si="4"/>
        <v>-1.0958904109589041E-2</v>
      </c>
      <c r="S99" s="605">
        <f t="shared" si="4"/>
        <v>0</v>
      </c>
      <c r="T99" s="605">
        <f t="shared" si="4"/>
        <v>4.10958904109589E-3</v>
      </c>
      <c r="U99" s="605">
        <f t="shared" si="4"/>
        <v>0</v>
      </c>
      <c r="V99" s="605">
        <f t="shared" si="4"/>
        <v>0</v>
      </c>
      <c r="W99" s="605">
        <f t="shared" si="4"/>
        <v>0</v>
      </c>
      <c r="X99" s="605">
        <f t="shared" si="5"/>
        <v>0</v>
      </c>
      <c r="Y99" s="286">
        <f t="shared" si="5"/>
        <v>0.94399999999999995</v>
      </c>
      <c r="Z99" s="251">
        <f t="shared" si="5"/>
        <v>0.82499999999999996</v>
      </c>
      <c r="AA99" s="251">
        <f t="shared" si="5"/>
        <v>0.82499999999999996</v>
      </c>
      <c r="AB99" s="251">
        <f t="shared" si="5"/>
        <v>0.57499999999999996</v>
      </c>
      <c r="AC99" s="251">
        <f t="shared" si="5"/>
        <v>0.60499999999999998</v>
      </c>
      <c r="AD99" s="251">
        <f t="shared" si="5"/>
        <v>0.9</v>
      </c>
      <c r="AE99" s="76"/>
      <c r="AF99" s="113">
        <v>0.20396495690264241</v>
      </c>
      <c r="AG99" s="113">
        <v>1.0581560724638805</v>
      </c>
      <c r="AH99" s="113">
        <v>0.52732136033626298</v>
      </c>
      <c r="AI99" s="113">
        <v>0.54</v>
      </c>
      <c r="AJ99" s="113">
        <v>1.4773619794848807</v>
      </c>
      <c r="AK99" s="114"/>
      <c r="AL99" s="76"/>
      <c r="AM99" s="76"/>
      <c r="AN99" s="73"/>
      <c r="AO99" s="57"/>
      <c r="AP99" s="45"/>
      <c r="AQ99" s="423"/>
      <c r="AR99" s="45"/>
      <c r="AS99" s="439"/>
      <c r="AT99" s="439"/>
      <c r="AV99" s="287">
        <f t="shared" ca="1" si="6"/>
        <v>1.0027069468640681</v>
      </c>
      <c r="AX99" s="116">
        <f t="shared" si="7"/>
        <v>0.33244907236352184</v>
      </c>
      <c r="AY99" s="116">
        <f t="shared" si="7"/>
        <v>0.16002820534436513</v>
      </c>
      <c r="AZ99" s="116">
        <f t="shared" si="7"/>
        <v>6.8240169361740488E-2</v>
      </c>
      <c r="BC99" s="441">
        <f t="shared" si="8"/>
        <v>14.5</v>
      </c>
      <c r="BD99">
        <f t="shared" ca="1" si="9"/>
        <v>0</v>
      </c>
      <c r="BE99" s="315">
        <f t="shared" ca="1" si="10"/>
        <v>0.52732136033626276</v>
      </c>
      <c r="BF99" s="316">
        <f t="shared" ca="1" si="11"/>
        <v>2284.8788643484904</v>
      </c>
      <c r="BG99" s="316">
        <f t="shared" ca="1" si="12"/>
        <v>1482.7594769175143</v>
      </c>
      <c r="BK99" s="4">
        <v>44551</v>
      </c>
      <c r="BL99">
        <v>60</v>
      </c>
      <c r="BM99">
        <v>85</v>
      </c>
    </row>
    <row r="100" spans="1:65" outlineLevel="3" x14ac:dyDescent="0.25">
      <c r="A100" s="45"/>
      <c r="B100" s="54"/>
      <c r="C100" s="87">
        <f t="shared" si="2"/>
        <v>4</v>
      </c>
      <c r="D100" s="73"/>
      <c r="E100" s="70"/>
      <c r="F100" s="70">
        <f t="shared" si="3"/>
        <v>-122.36222222222212</v>
      </c>
      <c r="G100" s="73"/>
      <c r="H100" s="79">
        <v>15</v>
      </c>
      <c r="I100" s="602">
        <v>1604.875</v>
      </c>
      <c r="J100" s="602">
        <v>1862.9666666666665</v>
      </c>
      <c r="K100" s="602">
        <v>2423.25</v>
      </c>
      <c r="L100" s="602">
        <v>2865.4</v>
      </c>
      <c r="M100" s="602">
        <v>3540.4458333333328</v>
      </c>
      <c r="N100" s="286">
        <f t="shared" si="4"/>
        <v>0</v>
      </c>
      <c r="O100" s="286">
        <f t="shared" si="4"/>
        <v>-1.9178082191780823E-2</v>
      </c>
      <c r="P100" s="286">
        <f t="shared" si="4"/>
        <v>-5.4794520547945202E-2</v>
      </c>
      <c r="Q100" s="605">
        <f t="shared" si="4"/>
        <v>-2.7397260273972601E-2</v>
      </c>
      <c r="R100" s="605">
        <f t="shared" si="4"/>
        <v>-1.0958904109589041E-2</v>
      </c>
      <c r="S100" s="605">
        <f t="shared" si="4"/>
        <v>0</v>
      </c>
      <c r="T100" s="605">
        <f t="shared" si="4"/>
        <v>4.10958904109589E-3</v>
      </c>
      <c r="U100" s="605">
        <f t="shared" si="4"/>
        <v>0</v>
      </c>
      <c r="V100" s="605">
        <f t="shared" si="4"/>
        <v>0</v>
      </c>
      <c r="W100" s="605">
        <f t="shared" si="4"/>
        <v>0</v>
      </c>
      <c r="X100" s="605">
        <f t="shared" si="5"/>
        <v>0</v>
      </c>
      <c r="Y100" s="286">
        <f t="shared" si="5"/>
        <v>0.94399999999999995</v>
      </c>
      <c r="Z100" s="251">
        <f t="shared" si="5"/>
        <v>0.82499999999999996</v>
      </c>
      <c r="AA100" s="251">
        <f t="shared" si="5"/>
        <v>0.82499999999999996</v>
      </c>
      <c r="AB100" s="251">
        <f t="shared" si="5"/>
        <v>0.57499999999999996</v>
      </c>
      <c r="AC100" s="251">
        <f t="shared" si="5"/>
        <v>0.60499999999999998</v>
      </c>
      <c r="AD100" s="251">
        <f t="shared" si="5"/>
        <v>0.9</v>
      </c>
      <c r="AE100" s="76"/>
      <c r="AF100" s="113">
        <v>0.1244638261366886</v>
      </c>
      <c r="AG100" s="113">
        <v>0.78300678300678261</v>
      </c>
      <c r="AH100" s="113">
        <v>0.41806504257643384</v>
      </c>
      <c r="AI100" s="113">
        <v>0.49</v>
      </c>
      <c r="AJ100" s="113">
        <v>1.1025339273538992</v>
      </c>
      <c r="AK100" s="114"/>
      <c r="AL100" s="76"/>
      <c r="AM100" s="76"/>
      <c r="AN100" s="73"/>
      <c r="AO100" s="57"/>
      <c r="AP100" s="45"/>
      <c r="AQ100" s="423"/>
      <c r="AR100" s="45"/>
      <c r="AS100" s="439"/>
      <c r="AT100" s="439"/>
      <c r="AV100" s="287">
        <f t="shared" ca="1" si="6"/>
        <v>0.93949365734816614</v>
      </c>
      <c r="AX100" s="116">
        <f t="shared" si="7"/>
        <v>0.17959601894110655</v>
      </c>
      <c r="AY100" s="116">
        <f t="shared" si="7"/>
        <v>0.11097133833206674</v>
      </c>
      <c r="AZ100" s="116">
        <f t="shared" si="7"/>
        <v>0.10370370370370363</v>
      </c>
      <c r="BC100" s="441">
        <f t="shared" si="8"/>
        <v>15</v>
      </c>
      <c r="BD100">
        <f t="shared" ca="1" si="9"/>
        <v>0</v>
      </c>
      <c r="BE100" s="315">
        <f t="shared" ca="1" si="10"/>
        <v>0.41806504257643395</v>
      </c>
      <c r="BF100" s="316">
        <f t="shared" ca="1" si="11"/>
        <v>2121.4309759545154</v>
      </c>
      <c r="BG100" s="316">
        <f t="shared" ca="1" si="12"/>
        <v>1284.0895727469003</v>
      </c>
      <c r="BH100">
        <f ca="1">BG100/$K$156</f>
        <v>1999.5088368554195</v>
      </c>
      <c r="BK100" s="4">
        <v>44551</v>
      </c>
      <c r="BL100">
        <v>60</v>
      </c>
      <c r="BM100">
        <v>85</v>
      </c>
    </row>
    <row r="101" spans="1:65" outlineLevel="3" x14ac:dyDescent="0.25">
      <c r="A101" s="45"/>
      <c r="B101" s="54"/>
      <c r="C101" s="87">
        <f t="shared" si="2"/>
        <v>4</v>
      </c>
      <c r="D101" s="73"/>
      <c r="E101" s="70"/>
      <c r="F101" s="70">
        <f t="shared" si="3"/>
        <v>39.833333333333336</v>
      </c>
      <c r="G101" s="73"/>
      <c r="H101" s="79">
        <v>16</v>
      </c>
      <c r="I101" s="602">
        <v>1446.56</v>
      </c>
      <c r="J101" s="602">
        <v>1603.5</v>
      </c>
      <c r="K101" s="602">
        <v>2149.0666666666666</v>
      </c>
      <c r="L101" s="602">
        <v>2524.7666666666669</v>
      </c>
      <c r="M101" s="602">
        <v>3081.2125000000001</v>
      </c>
      <c r="N101" s="286">
        <f t="shared" si="4"/>
        <v>0</v>
      </c>
      <c r="O101" s="286">
        <f t="shared" si="4"/>
        <v>-1.9178082191780823E-2</v>
      </c>
      <c r="P101" s="286">
        <f t="shared" si="4"/>
        <v>-5.4794520547945202E-2</v>
      </c>
      <c r="Q101" s="605">
        <f t="shared" si="4"/>
        <v>-2.7397260273972601E-2</v>
      </c>
      <c r="R101" s="605">
        <f t="shared" si="4"/>
        <v>-1.0958904109589041E-2</v>
      </c>
      <c r="S101" s="605">
        <f t="shared" si="4"/>
        <v>0</v>
      </c>
      <c r="T101" s="605">
        <f t="shared" si="4"/>
        <v>4.10958904109589E-3</v>
      </c>
      <c r="U101" s="605">
        <f t="shared" si="4"/>
        <v>0</v>
      </c>
      <c r="V101" s="605">
        <f t="shared" si="4"/>
        <v>0</v>
      </c>
      <c r="W101" s="605">
        <f t="shared" si="4"/>
        <v>0</v>
      </c>
      <c r="X101" s="605">
        <f t="shared" si="5"/>
        <v>0</v>
      </c>
      <c r="Y101" s="286">
        <f t="shared" si="5"/>
        <v>0.94399999999999995</v>
      </c>
      <c r="Z101" s="251">
        <f t="shared" si="5"/>
        <v>0.82499999999999996</v>
      </c>
      <c r="AA101" s="251">
        <f t="shared" si="5"/>
        <v>0.82499999999999996</v>
      </c>
      <c r="AB101" s="251">
        <f t="shared" si="5"/>
        <v>0.57499999999999996</v>
      </c>
      <c r="AC101" s="251">
        <f t="shared" si="5"/>
        <v>0.60499999999999998</v>
      </c>
      <c r="AD101" s="251">
        <f t="shared" si="5"/>
        <v>0.9</v>
      </c>
      <c r="AE101" s="76"/>
      <c r="AF101" s="113">
        <v>8.3536242742086486E-2</v>
      </c>
      <c r="AG101" s="113">
        <v>0.51154018356839037</v>
      </c>
      <c r="AH101" s="113">
        <v>0.27641910609990683</v>
      </c>
      <c r="AI101" s="113">
        <v>0.35</v>
      </c>
      <c r="AJ101" s="113">
        <v>0.6826911700910987</v>
      </c>
      <c r="AK101" s="114"/>
      <c r="AL101" s="76"/>
      <c r="AM101" s="76"/>
      <c r="AN101" s="73"/>
      <c r="AO101" s="57"/>
      <c r="AP101" s="45"/>
      <c r="AQ101" s="423"/>
      <c r="AR101" s="45"/>
      <c r="AS101" s="439"/>
      <c r="AT101" s="439"/>
      <c r="AV101" s="287">
        <f t="shared" ca="1" si="6"/>
        <v>0.91903604629666935</v>
      </c>
      <c r="AX101" s="116">
        <f t="shared" si="7"/>
        <v>0.14991144112537902</v>
      </c>
      <c r="AY101" s="116">
        <f t="shared" si="7"/>
        <v>0.10618782566853691</v>
      </c>
      <c r="AZ101" s="116">
        <f t="shared" si="7"/>
        <v>0.12500000000000022</v>
      </c>
      <c r="BC101" s="314">
        <f t="shared" si="8"/>
        <v>16</v>
      </c>
      <c r="BD101">
        <f t="shared" ca="1" si="9"/>
        <v>0</v>
      </c>
      <c r="BE101" s="315">
        <f t="shared" ca="1" si="10"/>
        <v>0.27641910609990683</v>
      </c>
      <c r="BF101" s="316">
        <f t="shared" ca="1" si="11"/>
        <v>1909.528088401885</v>
      </c>
      <c r="BG101" s="316">
        <f t="shared" ca="1" si="12"/>
        <v>1125.3193687820235</v>
      </c>
      <c r="BK101" s="4">
        <v>44551</v>
      </c>
      <c r="BL101">
        <v>60</v>
      </c>
      <c r="BM101">
        <v>85</v>
      </c>
    </row>
    <row r="102" spans="1:65" outlineLevel="3" x14ac:dyDescent="0.25">
      <c r="A102" s="45"/>
      <c r="B102" s="54"/>
      <c r="C102" s="87">
        <f t="shared" si="2"/>
        <v>4</v>
      </c>
      <c r="D102" s="73"/>
      <c r="E102" s="70"/>
      <c r="F102" s="70">
        <f t="shared" ref="F102:F109" si="13">($J103-$J102)/($H103-$H102)</f>
        <v>-54.770000000000209</v>
      </c>
      <c r="G102" s="73"/>
      <c r="H102" s="79">
        <v>17</v>
      </c>
      <c r="I102" s="602">
        <v>1313.1</v>
      </c>
      <c r="J102" s="602">
        <v>1550.6500000000003</v>
      </c>
      <c r="K102" s="602">
        <v>1959.2</v>
      </c>
      <c r="L102" s="602">
        <v>2343.35</v>
      </c>
      <c r="M102" s="602">
        <v>2671.9333333333329</v>
      </c>
      <c r="N102" s="286">
        <f t="shared" si="4"/>
        <v>0</v>
      </c>
      <c r="O102" s="286">
        <f t="shared" si="4"/>
        <v>-1.9178082191780823E-2</v>
      </c>
      <c r="P102" s="286">
        <f t="shared" si="4"/>
        <v>-5.4794520547945202E-2</v>
      </c>
      <c r="Q102" s="605">
        <f t="shared" si="4"/>
        <v>-2.7397260273972601E-2</v>
      </c>
      <c r="R102" s="605">
        <f t="shared" si="4"/>
        <v>-1.0958904109589041E-2</v>
      </c>
      <c r="S102" s="605">
        <f t="shared" si="4"/>
        <v>0</v>
      </c>
      <c r="T102" s="605">
        <f t="shared" si="4"/>
        <v>4.10958904109589E-3</v>
      </c>
      <c r="U102" s="605">
        <f t="shared" si="4"/>
        <v>0</v>
      </c>
      <c r="V102" s="605">
        <f t="shared" si="4"/>
        <v>0</v>
      </c>
      <c r="W102" s="605">
        <f t="shared" si="4"/>
        <v>0</v>
      </c>
      <c r="X102" s="605">
        <f t="shared" si="5"/>
        <v>0</v>
      </c>
      <c r="Y102" s="286">
        <f t="shared" si="5"/>
        <v>0.94399999999999995</v>
      </c>
      <c r="Z102" s="251">
        <f t="shared" si="5"/>
        <v>0.82499999999999996</v>
      </c>
      <c r="AA102" s="251">
        <f t="shared" si="5"/>
        <v>0.82499999999999996</v>
      </c>
      <c r="AB102" s="251">
        <f t="shared" si="5"/>
        <v>0.57499999999999996</v>
      </c>
      <c r="AC102" s="251">
        <f t="shared" si="5"/>
        <v>0.60499999999999998</v>
      </c>
      <c r="AD102" s="251">
        <f t="shared" si="5"/>
        <v>0.9</v>
      </c>
      <c r="AE102" s="76"/>
      <c r="AF102" s="113">
        <v>6.539591977869974E-2</v>
      </c>
      <c r="AG102" s="113">
        <v>0.31448399373181091</v>
      </c>
      <c r="AH102" s="113">
        <v>0.15389003248927358</v>
      </c>
      <c r="AI102" s="113">
        <v>0.2</v>
      </c>
      <c r="AJ102" s="113">
        <v>0.46610246887272067</v>
      </c>
      <c r="AK102" s="114"/>
      <c r="AL102" s="76"/>
      <c r="AM102" s="76"/>
      <c r="AN102" s="73"/>
      <c r="AO102" s="57"/>
      <c r="AP102" s="45"/>
      <c r="AQ102" s="423"/>
      <c r="AR102" s="45"/>
      <c r="AS102" s="439"/>
      <c r="AT102" s="439"/>
      <c r="AV102" s="287">
        <f t="shared" ca="1" si="6"/>
        <v>0.91938902333683425</v>
      </c>
      <c r="AX102" s="116">
        <f t="shared" si="7"/>
        <v>0.15880172350143207</v>
      </c>
      <c r="AY102" s="116">
        <f t="shared" si="7"/>
        <v>6.940513518653324E-2</v>
      </c>
      <c r="AZ102" s="116">
        <f t="shared" si="7"/>
        <v>0.10091743119266039</v>
      </c>
      <c r="BC102" s="314">
        <f t="shared" si="8"/>
        <v>17</v>
      </c>
      <c r="BD102">
        <f t="shared" ca="1" si="9"/>
        <v>0</v>
      </c>
      <c r="BE102" s="315">
        <f t="shared" ca="1" si="10"/>
        <v>0.15389003248927358</v>
      </c>
      <c r="BF102" s="316">
        <f t="shared" ca="1" si="11"/>
        <v>1726.2241041640832</v>
      </c>
      <c r="BG102" s="316">
        <f t="shared" ca="1" si="12"/>
        <v>1013.4124685395192</v>
      </c>
    </row>
    <row r="103" spans="1:65" outlineLevel="3" x14ac:dyDescent="0.25">
      <c r="A103" s="45"/>
      <c r="B103" s="54"/>
      <c r="C103" s="87">
        <f t="shared" si="2"/>
        <v>4</v>
      </c>
      <c r="D103" s="73"/>
      <c r="E103" s="70"/>
      <c r="F103" s="70">
        <f t="shared" si="13"/>
        <v>227.11999999999989</v>
      </c>
      <c r="G103" s="73"/>
      <c r="H103" s="79">
        <v>18</v>
      </c>
      <c r="I103" s="602">
        <v>1267.5</v>
      </c>
      <c r="J103" s="602">
        <v>1495.88</v>
      </c>
      <c r="K103" s="602">
        <v>1825</v>
      </c>
      <c r="L103" s="602">
        <v>2119.4800000000005</v>
      </c>
      <c r="M103" s="602">
        <v>2355</v>
      </c>
      <c r="N103" s="117">
        <v>0</v>
      </c>
      <c r="O103" s="117">
        <f>-35/$K103</f>
        <v>-1.9178082191780823E-2</v>
      </c>
      <c r="P103" s="117">
        <f>-100/$K103</f>
        <v>-5.4794520547945202E-2</v>
      </c>
      <c r="Q103" s="604">
        <f>R103+1.5*(Q$95-R$95)/$K103</f>
        <v>-2.7397260273972601E-2</v>
      </c>
      <c r="R103" s="604">
        <f>S103+1*(R$95-S$95)/$K103</f>
        <v>-1.0958904109589041E-2</v>
      </c>
      <c r="S103" s="604">
        <v>0</v>
      </c>
      <c r="T103" s="604">
        <f>S103+0.5*(T$95-S$95)/$K103</f>
        <v>4.10958904109589E-3</v>
      </c>
      <c r="U103" s="604">
        <v>0</v>
      </c>
      <c r="V103" s="604">
        <v>0</v>
      </c>
      <c r="W103" s="604">
        <v>0</v>
      </c>
      <c r="X103" s="604">
        <v>0</v>
      </c>
      <c r="Y103" s="117">
        <v>0.94399999999999995</v>
      </c>
      <c r="Z103" s="118">
        <v>0.82499999999999996</v>
      </c>
      <c r="AA103" s="118">
        <v>0.82499999999999996</v>
      </c>
      <c r="AB103" s="118">
        <v>0.57499999999999996</v>
      </c>
      <c r="AC103" s="118">
        <v>0.60499999999999998</v>
      </c>
      <c r="AD103" s="118">
        <v>0.9</v>
      </c>
      <c r="AE103" s="76"/>
      <c r="AF103" s="113">
        <v>3.6318595960868283E-2</v>
      </c>
      <c r="AG103" s="113">
        <v>0.13434763434763441</v>
      </c>
      <c r="AH103" s="113">
        <v>7.9001768855358812E-2</v>
      </c>
      <c r="AI103" s="113">
        <v>0.09</v>
      </c>
      <c r="AJ103" s="113">
        <v>0.22929584139646925</v>
      </c>
      <c r="AK103" s="114"/>
      <c r="AL103" s="76"/>
      <c r="AM103" s="76"/>
      <c r="AN103" s="73"/>
      <c r="AO103" s="57"/>
      <c r="AP103" s="45"/>
      <c r="AQ103" s="285"/>
      <c r="AR103" s="45"/>
      <c r="AS103" s="439"/>
      <c r="AT103" s="439"/>
      <c r="AV103" s="287">
        <f t="shared" ca="1" si="6"/>
        <v>0.91615448304455405</v>
      </c>
      <c r="AX103" s="116">
        <f t="shared" si="7"/>
        <v>0.13434763434763441</v>
      </c>
      <c r="AY103" s="116">
        <f t="shared" si="7"/>
        <v>7.9001768855358812E-2</v>
      </c>
      <c r="AZ103" s="116">
        <f t="shared" si="7"/>
        <v>9.000000000000008E-2</v>
      </c>
      <c r="BC103" s="314">
        <f t="shared" si="8"/>
        <v>18</v>
      </c>
      <c r="BD103">
        <f t="shared" ca="1" si="9"/>
        <v>0</v>
      </c>
      <c r="BE103" s="315">
        <f t="shared" ca="1" si="10"/>
        <v>7.9001768855358812E-2</v>
      </c>
      <c r="BF103" s="316">
        <f t="shared" ca="1" si="11"/>
        <v>1614.190962214692</v>
      </c>
      <c r="BG103" s="316">
        <f t="shared" ca="1" si="12"/>
        <v>941.26078469971606</v>
      </c>
    </row>
    <row r="104" spans="1:65" outlineLevel="3" x14ac:dyDescent="0.25">
      <c r="A104" s="45"/>
      <c r="B104" s="54"/>
      <c r="C104" s="87">
        <f t="shared" si="2"/>
        <v>4</v>
      </c>
      <c r="D104" s="73"/>
      <c r="E104" s="70"/>
      <c r="F104" s="70">
        <f t="shared" si="13"/>
        <v>-381</v>
      </c>
      <c r="G104" s="73"/>
      <c r="H104" s="79">
        <v>19</v>
      </c>
      <c r="I104" s="261">
        <v>1195.9000000000001</v>
      </c>
      <c r="J104" s="261">
        <v>1723</v>
      </c>
      <c r="K104" s="261">
        <v>1584.75</v>
      </c>
      <c r="L104" s="261">
        <v>1241</v>
      </c>
      <c r="M104" s="261">
        <v>2147.7333333333331</v>
      </c>
      <c r="N104" s="288">
        <f t="shared" ref="N104:W108" si="14">N103</f>
        <v>0</v>
      </c>
      <c r="O104" s="288">
        <f t="shared" si="14"/>
        <v>-1.9178082191780823E-2</v>
      </c>
      <c r="P104" s="288">
        <f t="shared" si="14"/>
        <v>-5.4794520547945202E-2</v>
      </c>
      <c r="Q104" s="603">
        <f t="shared" si="14"/>
        <v>-2.7397260273972601E-2</v>
      </c>
      <c r="R104" s="603">
        <f t="shared" si="14"/>
        <v>-1.0958904109589041E-2</v>
      </c>
      <c r="S104" s="603">
        <f t="shared" si="14"/>
        <v>0</v>
      </c>
      <c r="T104" s="603">
        <f t="shared" si="14"/>
        <v>4.10958904109589E-3</v>
      </c>
      <c r="U104" s="603">
        <f t="shared" si="14"/>
        <v>0</v>
      </c>
      <c r="V104" s="603">
        <f t="shared" si="14"/>
        <v>0</v>
      </c>
      <c r="W104" s="603">
        <f t="shared" si="14"/>
        <v>0</v>
      </c>
      <c r="X104" s="603">
        <f t="shared" ref="X104:AD108" si="15">X103</f>
        <v>0</v>
      </c>
      <c r="Y104" s="288">
        <f t="shared" si="15"/>
        <v>0.94399999999999995</v>
      </c>
      <c r="Z104" s="289">
        <f t="shared" si="15"/>
        <v>0.82499999999999996</v>
      </c>
      <c r="AA104" s="289">
        <f t="shared" si="15"/>
        <v>0.82499999999999996</v>
      </c>
      <c r="AB104" s="289">
        <f t="shared" si="15"/>
        <v>0.57499999999999996</v>
      </c>
      <c r="AC104" s="289">
        <f t="shared" si="15"/>
        <v>0.60499999999999998</v>
      </c>
      <c r="AD104" s="289">
        <f t="shared" si="15"/>
        <v>0.9</v>
      </c>
      <c r="AE104" s="76"/>
      <c r="AF104" s="113">
        <v>0</v>
      </c>
      <c r="AG104" s="113">
        <v>0</v>
      </c>
      <c r="AH104" s="113">
        <v>0</v>
      </c>
      <c r="AI104" s="113">
        <v>0</v>
      </c>
      <c r="AJ104" s="113">
        <v>0</v>
      </c>
      <c r="AK104" s="114"/>
      <c r="AL104" s="76"/>
      <c r="AM104" s="76"/>
      <c r="AN104" s="73"/>
      <c r="AO104" s="57"/>
      <c r="AP104" s="45"/>
      <c r="AQ104" s="285"/>
      <c r="AR104" s="45"/>
      <c r="AS104" s="439"/>
      <c r="AT104" s="439"/>
      <c r="AV104" s="287">
        <f t="shared" ca="1" si="6"/>
        <v>0.9165104831288633</v>
      </c>
      <c r="AX104" s="116"/>
      <c r="AY104" s="116"/>
      <c r="AZ104" s="116"/>
      <c r="BC104" s="314">
        <f t="shared" si="8"/>
        <v>19</v>
      </c>
      <c r="BD104">
        <f t="shared" ca="1" si="9"/>
        <v>1584.75</v>
      </c>
      <c r="BE104" s="315">
        <f t="shared" ca="1" si="10"/>
        <v>0</v>
      </c>
      <c r="BF104" s="316">
        <f t="shared" ca="1" si="11"/>
        <v>1496.0039999999999</v>
      </c>
      <c r="BG104" s="316">
        <f t="shared" ca="1" si="12"/>
        <v>869.42795954787675</v>
      </c>
      <c r="BH104">
        <f ca="1">BG104/$K$156</f>
        <v>1353.8221359483057</v>
      </c>
    </row>
    <row r="105" spans="1:65" outlineLevel="3" x14ac:dyDescent="0.25">
      <c r="A105" s="45"/>
      <c r="B105" s="54"/>
      <c r="C105" s="87">
        <f t="shared" si="2"/>
        <v>4</v>
      </c>
      <c r="D105" s="73"/>
      <c r="E105" s="70"/>
      <c r="F105" s="70">
        <f t="shared" si="13"/>
        <v>-42</v>
      </c>
      <c r="G105" s="73"/>
      <c r="H105" s="79">
        <v>20</v>
      </c>
      <c r="I105" s="602">
        <v>1165</v>
      </c>
      <c r="J105" s="602">
        <v>1342</v>
      </c>
      <c r="K105" s="602">
        <v>1440</v>
      </c>
      <c r="L105" s="602">
        <v>1627</v>
      </c>
      <c r="M105" s="602">
        <v>2188</v>
      </c>
      <c r="N105" s="288">
        <f t="shared" si="14"/>
        <v>0</v>
      </c>
      <c r="O105" s="288">
        <f t="shared" si="14"/>
        <v>-1.9178082191780823E-2</v>
      </c>
      <c r="P105" s="288">
        <f t="shared" si="14"/>
        <v>-5.4794520547945202E-2</v>
      </c>
      <c r="Q105" s="603">
        <f t="shared" si="14"/>
        <v>-2.7397260273972601E-2</v>
      </c>
      <c r="R105" s="603">
        <f t="shared" si="14"/>
        <v>-1.0958904109589041E-2</v>
      </c>
      <c r="S105" s="603">
        <f t="shared" si="14"/>
        <v>0</v>
      </c>
      <c r="T105" s="603">
        <f t="shared" si="14"/>
        <v>4.10958904109589E-3</v>
      </c>
      <c r="U105" s="603">
        <f t="shared" si="14"/>
        <v>0</v>
      </c>
      <c r="V105" s="603">
        <f t="shared" si="14"/>
        <v>0</v>
      </c>
      <c r="W105" s="603">
        <f t="shared" si="14"/>
        <v>0</v>
      </c>
      <c r="X105" s="603">
        <f t="shared" si="15"/>
        <v>0</v>
      </c>
      <c r="Y105" s="288">
        <f t="shared" si="15"/>
        <v>0.94399999999999995</v>
      </c>
      <c r="Z105" s="289">
        <f t="shared" si="15"/>
        <v>0.82499999999999996</v>
      </c>
      <c r="AA105" s="289">
        <f t="shared" si="15"/>
        <v>0.82499999999999996</v>
      </c>
      <c r="AB105" s="289">
        <f t="shared" si="15"/>
        <v>0.57499999999999996</v>
      </c>
      <c r="AC105" s="289">
        <f t="shared" si="15"/>
        <v>0.60499999999999998</v>
      </c>
      <c r="AD105" s="289">
        <f t="shared" si="15"/>
        <v>0.9</v>
      </c>
      <c r="AE105" s="76"/>
      <c r="AF105" s="113">
        <v>-2.0297628437713631E-2</v>
      </c>
      <c r="AG105" s="113">
        <v>-0.15358044759223244</v>
      </c>
      <c r="AH105" s="113">
        <v>-9.1339327969711337E-2</v>
      </c>
      <c r="AI105" s="113">
        <v>-0.09</v>
      </c>
      <c r="AJ105" s="113">
        <v>-0.17252984172056587</v>
      </c>
      <c r="AK105" s="114"/>
      <c r="AL105" s="76"/>
      <c r="AM105" s="76"/>
      <c r="AN105" s="73"/>
      <c r="AO105" s="57"/>
      <c r="AP105" s="45"/>
      <c r="AQ105" s="285"/>
      <c r="AR105" s="45"/>
      <c r="AS105" s="439"/>
      <c r="AT105" s="439"/>
      <c r="AV105" s="287">
        <f t="shared" ca="1" si="6"/>
        <v>0.91981407986111097</v>
      </c>
      <c r="AX105" s="116">
        <f t="shared" ref="AX105:AX113" si="16">1-((1+AG105)/(1+AG104))^(1/($H104-$H105))</f>
        <v>-0.18144718792866943</v>
      </c>
      <c r="AY105" s="116">
        <f t="shared" ref="AY105:AY113" si="17">1-((1+AH105)/(1+AH104))^(1/($H104-$H105))</f>
        <v>-0.10052083333333339</v>
      </c>
      <c r="AZ105" s="116">
        <f t="shared" ref="AZ105:AZ113" si="18">1-((1+AI105)/(1+AI104))^(1/($H104-$H105))</f>
        <v>-9.8901098901098772E-2</v>
      </c>
      <c r="BC105" s="314">
        <f t="shared" si="8"/>
        <v>20</v>
      </c>
      <c r="BD105">
        <f t="shared" ca="1" si="9"/>
        <v>0</v>
      </c>
      <c r="BE105" s="315">
        <f t="shared" ca="1" si="10"/>
        <v>-9.1339327969711337E-2</v>
      </c>
      <c r="BF105" s="316">
        <f t="shared" ca="1" si="11"/>
        <v>1359.36</v>
      </c>
      <c r="BG105" s="316">
        <f t="shared" ca="1" si="12"/>
        <v>788.92815953006618</v>
      </c>
    </row>
    <row r="106" spans="1:65" outlineLevel="3" x14ac:dyDescent="0.25">
      <c r="A106" s="45"/>
      <c r="B106" s="54"/>
      <c r="C106" s="87">
        <f t="shared" si="2"/>
        <v>4</v>
      </c>
      <c r="D106" s="73"/>
      <c r="E106" s="70"/>
      <c r="F106" s="70">
        <f t="shared" si="13"/>
        <v>-28</v>
      </c>
      <c r="G106" s="73"/>
      <c r="H106" s="79">
        <v>21</v>
      </c>
      <c r="I106" s="602">
        <v>1157</v>
      </c>
      <c r="J106" s="602">
        <v>1300</v>
      </c>
      <c r="K106" s="602">
        <v>1400</v>
      </c>
      <c r="L106" s="602">
        <v>1548</v>
      </c>
      <c r="M106" s="602">
        <v>2178</v>
      </c>
      <c r="N106" s="288">
        <f t="shared" si="14"/>
        <v>0</v>
      </c>
      <c r="O106" s="288">
        <f t="shared" si="14"/>
        <v>-1.9178082191780823E-2</v>
      </c>
      <c r="P106" s="288">
        <f t="shared" si="14"/>
        <v>-5.4794520547945202E-2</v>
      </c>
      <c r="Q106" s="603">
        <f t="shared" si="14"/>
        <v>-2.7397260273972601E-2</v>
      </c>
      <c r="R106" s="603">
        <f t="shared" si="14"/>
        <v>-1.0958904109589041E-2</v>
      </c>
      <c r="S106" s="603">
        <f t="shared" si="14"/>
        <v>0</v>
      </c>
      <c r="T106" s="603">
        <f t="shared" si="14"/>
        <v>4.10958904109589E-3</v>
      </c>
      <c r="U106" s="603">
        <f t="shared" si="14"/>
        <v>0</v>
      </c>
      <c r="V106" s="603">
        <f t="shared" si="14"/>
        <v>0</v>
      </c>
      <c r="W106" s="603">
        <f t="shared" si="14"/>
        <v>0</v>
      </c>
      <c r="X106" s="603">
        <f t="shared" si="15"/>
        <v>0</v>
      </c>
      <c r="Y106" s="288">
        <f t="shared" si="15"/>
        <v>0.94399999999999995</v>
      </c>
      <c r="Z106" s="289">
        <f t="shared" si="15"/>
        <v>0.82499999999999996</v>
      </c>
      <c r="AA106" s="289">
        <f t="shared" si="15"/>
        <v>0.82499999999999996</v>
      </c>
      <c r="AB106" s="289">
        <f t="shared" si="15"/>
        <v>0.57499999999999996</v>
      </c>
      <c r="AC106" s="289">
        <f t="shared" si="15"/>
        <v>0.60499999999999998</v>
      </c>
      <c r="AD106" s="289">
        <f t="shared" si="15"/>
        <v>0.9</v>
      </c>
      <c r="AE106" s="76"/>
      <c r="AF106" s="113">
        <v>-2.6903054352178827E-2</v>
      </c>
      <c r="AG106" s="113">
        <v>-0.18609038924849786</v>
      </c>
      <c r="AH106" s="113">
        <v>-0.11657990219277492</v>
      </c>
      <c r="AI106" s="113">
        <v>-0.13</v>
      </c>
      <c r="AJ106" s="113">
        <v>-0.19728906524931139</v>
      </c>
      <c r="AK106" s="76"/>
      <c r="AL106" s="76"/>
      <c r="AM106" s="76"/>
      <c r="AN106" s="73"/>
      <c r="AO106" s="57"/>
      <c r="AP106" s="45"/>
      <c r="AQ106" s="285"/>
      <c r="AR106" s="45"/>
      <c r="AS106" s="439"/>
      <c r="AT106" s="439"/>
      <c r="AV106" s="290">
        <f t="shared" ca="1" si="6"/>
        <v>0.91411678571428556</v>
      </c>
      <c r="AX106" s="116">
        <f t="shared" si="16"/>
        <v>-3.9942938659058402E-2</v>
      </c>
      <c r="AY106" s="116">
        <f t="shared" si="17"/>
        <v>-2.8571428571428692E-2</v>
      </c>
      <c r="AZ106" s="116">
        <f t="shared" si="18"/>
        <v>-4.5977011494253039E-2</v>
      </c>
      <c r="BC106" s="314">
        <f t="shared" si="8"/>
        <v>21</v>
      </c>
      <c r="BD106">
        <f t="shared" ca="1" si="9"/>
        <v>0</v>
      </c>
      <c r="BE106" s="315">
        <f t="shared" ca="1" si="10"/>
        <v>-0.11657990219277492</v>
      </c>
      <c r="BF106" s="316">
        <f t="shared" ca="1" si="11"/>
        <v>1321.6</v>
      </c>
      <c r="BG106" s="316">
        <f t="shared" ca="1" si="12"/>
        <v>760.75255271078879</v>
      </c>
    </row>
    <row r="107" spans="1:65" outlineLevel="3" x14ac:dyDescent="0.25">
      <c r="A107" s="45"/>
      <c r="B107" s="54"/>
      <c r="C107" s="87">
        <f t="shared" si="2"/>
        <v>4</v>
      </c>
      <c r="D107" s="73"/>
      <c r="E107" s="70"/>
      <c r="F107" s="70">
        <f t="shared" si="13"/>
        <v>-65</v>
      </c>
      <c r="G107" s="73"/>
      <c r="H107" s="79">
        <v>22</v>
      </c>
      <c r="I107" s="602">
        <v>1141</v>
      </c>
      <c r="J107" s="602">
        <v>1272</v>
      </c>
      <c r="K107" s="602">
        <v>1375</v>
      </c>
      <c r="L107" s="602">
        <v>1498</v>
      </c>
      <c r="M107" s="602">
        <v>2182</v>
      </c>
      <c r="N107" s="288">
        <f t="shared" si="14"/>
        <v>0</v>
      </c>
      <c r="O107" s="288">
        <f t="shared" si="14"/>
        <v>-1.9178082191780823E-2</v>
      </c>
      <c r="P107" s="288">
        <f t="shared" si="14"/>
        <v>-5.4794520547945202E-2</v>
      </c>
      <c r="Q107" s="603">
        <f t="shared" si="14"/>
        <v>-2.7397260273972601E-2</v>
      </c>
      <c r="R107" s="603">
        <f t="shared" si="14"/>
        <v>-1.0958904109589041E-2</v>
      </c>
      <c r="S107" s="603">
        <f t="shared" si="14"/>
        <v>0</v>
      </c>
      <c r="T107" s="603">
        <f t="shared" si="14"/>
        <v>4.10958904109589E-3</v>
      </c>
      <c r="U107" s="603">
        <f t="shared" si="14"/>
        <v>0</v>
      </c>
      <c r="V107" s="603">
        <f t="shared" si="14"/>
        <v>0</v>
      </c>
      <c r="W107" s="603">
        <f t="shared" si="14"/>
        <v>0</v>
      </c>
      <c r="X107" s="603">
        <f t="shared" si="15"/>
        <v>0</v>
      </c>
      <c r="Y107" s="288">
        <f t="shared" si="15"/>
        <v>0.94399999999999995</v>
      </c>
      <c r="Z107" s="289">
        <f t="shared" si="15"/>
        <v>0.82499999999999996</v>
      </c>
      <c r="AA107" s="289">
        <f t="shared" si="15"/>
        <v>0.82499999999999996</v>
      </c>
      <c r="AB107" s="289">
        <f t="shared" si="15"/>
        <v>0.57499999999999996</v>
      </c>
      <c r="AC107" s="289">
        <f t="shared" si="15"/>
        <v>0.60499999999999998</v>
      </c>
      <c r="AD107" s="289">
        <f t="shared" si="15"/>
        <v>0.9</v>
      </c>
      <c r="AE107" s="76"/>
      <c r="AF107" s="113">
        <v>-2.6471052216437932E-2</v>
      </c>
      <c r="AG107" s="113">
        <v>-0.20118429073176392</v>
      </c>
      <c r="AH107" s="113">
        <v>-0.13235526108218965</v>
      </c>
      <c r="AI107" s="113">
        <v>-0.15</v>
      </c>
      <c r="AJ107" s="113">
        <v>-0.21176841773150346</v>
      </c>
      <c r="AK107" s="114"/>
      <c r="AL107" s="76"/>
      <c r="AM107" s="76"/>
      <c r="AN107" s="73"/>
      <c r="AO107" s="57"/>
      <c r="AP107" s="45"/>
      <c r="AQ107" s="285"/>
      <c r="AR107" s="45"/>
      <c r="AS107" s="439"/>
      <c r="AT107" s="439"/>
      <c r="AV107" s="290">
        <f t="shared" ca="1" si="6"/>
        <v>0.91175673672727264</v>
      </c>
      <c r="AX107" s="116">
        <f t="shared" si="16"/>
        <v>-1.8895348837209225E-2</v>
      </c>
      <c r="AY107" s="116">
        <f t="shared" si="17"/>
        <v>-1.8181818181818077E-2</v>
      </c>
      <c r="AZ107" s="116">
        <f t="shared" si="18"/>
        <v>-2.3529411764705799E-2</v>
      </c>
      <c r="BC107" s="314">
        <f t="shared" si="8"/>
        <v>22</v>
      </c>
      <c r="BD107">
        <f t="shared" ca="1" si="9"/>
        <v>0</v>
      </c>
      <c r="BE107" s="315">
        <f t="shared" ca="1" si="10"/>
        <v>-0.13235526108218965</v>
      </c>
      <c r="BF107" s="316">
        <f t="shared" ca="1" si="11"/>
        <v>1298</v>
      </c>
      <c r="BG107" s="316">
        <f t="shared" ca="1" si="12"/>
        <v>744.32756407782733</v>
      </c>
    </row>
    <row r="108" spans="1:65" outlineLevel="3" x14ac:dyDescent="0.25">
      <c r="A108" s="45"/>
      <c r="B108" s="54"/>
      <c r="C108" s="87">
        <f t="shared" si="2"/>
        <v>4</v>
      </c>
      <c r="D108" s="73"/>
      <c r="E108" s="70"/>
      <c r="F108" s="70">
        <f t="shared" si="13"/>
        <v>-122.75</v>
      </c>
      <c r="G108" s="73"/>
      <c r="H108" s="79">
        <v>23</v>
      </c>
      <c r="I108" s="602">
        <v>1100.5</v>
      </c>
      <c r="J108" s="602">
        <v>1207</v>
      </c>
      <c r="K108" s="602">
        <v>1264.5</v>
      </c>
      <c r="L108" s="602">
        <v>1419</v>
      </c>
      <c r="M108" s="602">
        <v>2069.5</v>
      </c>
      <c r="N108" s="288">
        <f t="shared" si="14"/>
        <v>0</v>
      </c>
      <c r="O108" s="288">
        <f t="shared" si="14"/>
        <v>-1.9178082191780823E-2</v>
      </c>
      <c r="P108" s="288">
        <f t="shared" si="14"/>
        <v>-5.4794520547945202E-2</v>
      </c>
      <c r="Q108" s="603">
        <f t="shared" si="14"/>
        <v>-2.7397260273972601E-2</v>
      </c>
      <c r="R108" s="603">
        <f t="shared" si="14"/>
        <v>-1.0958904109589041E-2</v>
      </c>
      <c r="S108" s="603">
        <f t="shared" si="14"/>
        <v>0</v>
      </c>
      <c r="T108" s="603">
        <f t="shared" si="14"/>
        <v>4.10958904109589E-3</v>
      </c>
      <c r="U108" s="603">
        <f t="shared" si="14"/>
        <v>0</v>
      </c>
      <c r="V108" s="603">
        <f t="shared" si="14"/>
        <v>0</v>
      </c>
      <c r="W108" s="603">
        <f t="shared" si="14"/>
        <v>0</v>
      </c>
      <c r="X108" s="603">
        <f t="shared" si="15"/>
        <v>0</v>
      </c>
      <c r="Y108" s="288">
        <f t="shared" si="15"/>
        <v>0.94399999999999995</v>
      </c>
      <c r="Z108" s="289">
        <f t="shared" si="15"/>
        <v>0.82499999999999996</v>
      </c>
      <c r="AA108" s="289">
        <f t="shared" si="15"/>
        <v>0.82499999999999996</v>
      </c>
      <c r="AB108" s="289">
        <f t="shared" si="15"/>
        <v>0.57499999999999996</v>
      </c>
      <c r="AC108" s="289">
        <f t="shared" si="15"/>
        <v>0.60499999999999998</v>
      </c>
      <c r="AD108" s="289">
        <f t="shared" si="15"/>
        <v>0.9</v>
      </c>
      <c r="AE108" s="76"/>
      <c r="AF108" s="113">
        <v>-5.6133985381500752E-2</v>
      </c>
      <c r="AG108" s="113">
        <v>-0.25733360424951379</v>
      </c>
      <c r="AH108" s="113">
        <v>-0.20208234737340269</v>
      </c>
      <c r="AI108" s="113">
        <v>-0.18</v>
      </c>
      <c r="AJ108" s="113">
        <v>-0.31435031813640424</v>
      </c>
      <c r="AK108" s="114"/>
      <c r="AL108" s="76"/>
      <c r="AM108" s="76"/>
      <c r="AN108" s="73"/>
      <c r="AO108" s="57"/>
      <c r="AP108" s="45"/>
      <c r="AQ108" s="285"/>
      <c r="AR108" s="45"/>
      <c r="AS108" s="439"/>
      <c r="AT108" s="439"/>
      <c r="AV108" s="290">
        <f t="shared" ca="1" si="6"/>
        <v>0.9174422412020562</v>
      </c>
      <c r="AX108" s="116">
        <f t="shared" si="16"/>
        <v>-7.5605027828153482E-2</v>
      </c>
      <c r="AY108" s="116">
        <f t="shared" si="17"/>
        <v>-8.7386318703044585E-2</v>
      </c>
      <c r="AZ108" s="116">
        <f t="shared" si="18"/>
        <v>-3.6585365853658347E-2</v>
      </c>
      <c r="BC108" s="314">
        <f t="shared" si="8"/>
        <v>23</v>
      </c>
      <c r="BD108">
        <f t="shared" ca="1" si="9"/>
        <v>0</v>
      </c>
      <c r="BE108" s="315">
        <f t="shared" ca="1" si="10"/>
        <v>-0.20208234737340269</v>
      </c>
      <c r="BF108" s="316">
        <f t="shared" ca="1" si="11"/>
        <v>1193.6879999999999</v>
      </c>
      <c r="BG108" s="316">
        <f t="shared" ca="1" si="12"/>
        <v>685.44491404519579</v>
      </c>
    </row>
    <row r="109" spans="1:65" outlineLevel="3" x14ac:dyDescent="0.25">
      <c r="A109" s="45"/>
      <c r="B109" s="54"/>
      <c r="C109" s="87">
        <f t="shared" si="2"/>
        <v>4</v>
      </c>
      <c r="D109" s="73"/>
      <c r="E109" s="70"/>
      <c r="F109" s="70">
        <f t="shared" si="13"/>
        <v>-93.5</v>
      </c>
      <c r="G109" s="73"/>
      <c r="H109" s="79">
        <v>25</v>
      </c>
      <c r="I109" s="602">
        <v>832.5</v>
      </c>
      <c r="J109" s="602">
        <v>961.5</v>
      </c>
      <c r="K109" s="602">
        <v>1054.5</v>
      </c>
      <c r="L109" s="602">
        <v>1206.5</v>
      </c>
      <c r="M109" s="602">
        <v>1581.5</v>
      </c>
      <c r="N109" s="288">
        <f t="shared" ref="N109:X110" si="19">N108</f>
        <v>0</v>
      </c>
      <c r="O109" s="288">
        <f t="shared" si="19"/>
        <v>-1.9178082191780823E-2</v>
      </c>
      <c r="P109" s="288">
        <f t="shared" si="19"/>
        <v>-5.4794520547945202E-2</v>
      </c>
      <c r="Q109" s="603">
        <f t="shared" si="19"/>
        <v>-2.7397260273972601E-2</v>
      </c>
      <c r="R109" s="603">
        <f t="shared" si="19"/>
        <v>-1.0958904109589041E-2</v>
      </c>
      <c r="S109" s="603">
        <f t="shared" si="19"/>
        <v>0</v>
      </c>
      <c r="T109" s="603">
        <f t="shared" si="19"/>
        <v>4.10958904109589E-3</v>
      </c>
      <c r="U109" s="603">
        <f t="shared" si="19"/>
        <v>0</v>
      </c>
      <c r="V109" s="603">
        <f t="shared" si="19"/>
        <v>0</v>
      </c>
      <c r="W109" s="603">
        <f t="shared" si="19"/>
        <v>0</v>
      </c>
      <c r="X109" s="603">
        <f t="shared" si="19"/>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-0.38491190386345819</v>
      </c>
      <c r="AH109" s="113">
        <v>-0.33191355103328601</v>
      </c>
      <c r="AI109" s="113">
        <v>-0.34550000000000003</v>
      </c>
      <c r="AJ109" s="113">
        <v>-0.45612020823473742</v>
      </c>
      <c r="AK109" s="114"/>
      <c r="AL109" s="76"/>
      <c r="AM109" s="76"/>
      <c r="AN109" s="73"/>
      <c r="AO109" s="57"/>
      <c r="AP109" s="45"/>
      <c r="AQ109" s="285"/>
      <c r="AR109" s="45"/>
      <c r="AS109" s="439"/>
      <c r="AT109" s="439"/>
      <c r="AV109" s="291">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16"/>
        <v>-9.8824225408645994E-2</v>
      </c>
      <c r="AY109" s="116">
        <f t="shared" si="17"/>
        <v>-9.2855406624080983E-2</v>
      </c>
      <c r="AZ109" s="116">
        <f t="shared" si="18"/>
        <v>-0.11931442511769097</v>
      </c>
      <c r="BC109" s="314">
        <f t="shared" si="8"/>
        <v>25</v>
      </c>
      <c r="BD109">
        <f t="shared" ca="1" si="9"/>
        <v>0</v>
      </c>
      <c r="BE109" s="315">
        <f t="shared" ca="1" si="10"/>
        <v>-0.33191355103328601</v>
      </c>
      <c r="BF109" s="316">
        <f t="shared" ca="1" si="11"/>
        <v>911.58375000000001</v>
      </c>
      <c r="BG109" s="415">
        <f ca="1">(SUM($BD$99:$BD$112)*(1+$BE109)*$AV109*(1-i_wool_cost_pc)-i_wool_cost_kg*100)*$N$156</f>
        <v>510.82267339850625</v>
      </c>
    </row>
    <row r="110" spans="1:65" outlineLevel="3" x14ac:dyDescent="0.25">
      <c r="A110" s="45"/>
      <c r="B110" s="54"/>
      <c r="C110" s="87">
        <f t="shared" si="2"/>
        <v>4</v>
      </c>
      <c r="D110" s="73"/>
      <c r="E110" s="70"/>
      <c r="F110" s="70">
        <f>($J112-$J110)/($H112-$H110)</f>
        <v>-41.756450994974429</v>
      </c>
      <c r="G110" s="73"/>
      <c r="H110" s="79">
        <v>28</v>
      </c>
      <c r="I110" s="602">
        <v>498</v>
      </c>
      <c r="J110" s="602">
        <v>681</v>
      </c>
      <c r="K110" s="602">
        <v>781</v>
      </c>
      <c r="L110" s="602">
        <v>850</v>
      </c>
      <c r="M110" s="602">
        <v>1191</v>
      </c>
      <c r="N110" s="288">
        <f t="shared" si="19"/>
        <v>0</v>
      </c>
      <c r="O110" s="288">
        <f t="shared" si="19"/>
        <v>-1.9178082191780823E-2</v>
      </c>
      <c r="P110" s="288">
        <f t="shared" si="19"/>
        <v>-5.4794520547945202E-2</v>
      </c>
      <c r="Q110" s="603">
        <f t="shared" si="19"/>
        <v>-2.7397260273972601E-2</v>
      </c>
      <c r="R110" s="603">
        <f t="shared" si="19"/>
        <v>-1.0958904109589041E-2</v>
      </c>
      <c r="S110" s="603">
        <f t="shared" si="19"/>
        <v>0</v>
      </c>
      <c r="T110" s="603">
        <f t="shared" si="19"/>
        <v>4.10958904109589E-3</v>
      </c>
      <c r="U110" s="603">
        <f t="shared" si="19"/>
        <v>0</v>
      </c>
      <c r="V110" s="603">
        <f t="shared" si="19"/>
        <v>0</v>
      </c>
      <c r="W110" s="603">
        <f t="shared" si="19"/>
        <v>0</v>
      </c>
      <c r="X110" s="603">
        <f t="shared" si="19"/>
        <v>0</v>
      </c>
      <c r="Y110" s="288">
        <f>Y109</f>
        <v>0.86099999999999999</v>
      </c>
      <c r="Z110" s="289">
        <f>Z109</f>
        <v>0.61299999999999999</v>
      </c>
      <c r="AA110" s="289">
        <f>AA109</f>
        <v>0.59399999999999997</v>
      </c>
      <c r="AB110" s="289">
        <f>AB109</f>
        <v>0.42599999999999999</v>
      </c>
      <c r="AC110" s="289">
        <f>AC109</f>
        <v>0.41499999999999998</v>
      </c>
      <c r="AD110" s="289">
        <f>AD109</f>
        <v>0.9</v>
      </c>
      <c r="AE110" s="76"/>
      <c r="AF110" s="113">
        <v>-0.32313547530840547</v>
      </c>
      <c r="AG110" s="113">
        <v>-0.57662767408783488</v>
      </c>
      <c r="AH110" s="113">
        <v>-0.50717778829468374</v>
      </c>
      <c r="AI110" s="113">
        <v>-0.54949999999999999</v>
      </c>
      <c r="AJ110" s="113">
        <v>-0.62135047694264078</v>
      </c>
      <c r="AK110" s="114"/>
      <c r="AL110" s="76"/>
      <c r="AM110" s="76"/>
      <c r="AN110" s="73"/>
      <c r="AO110" s="57"/>
      <c r="AP110" s="45"/>
      <c r="AQ110" s="285"/>
      <c r="AR110" s="45"/>
      <c r="AS110" s="439"/>
      <c r="AT110" s="439"/>
      <c r="AV110" s="291">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16"/>
        <v>-0.13258712022488539</v>
      </c>
      <c r="AY110" s="116">
        <f t="shared" si="17"/>
        <v>-0.10674473123186012</v>
      </c>
      <c r="AZ110" s="116">
        <f t="shared" si="18"/>
        <v>-0.13258712022488539</v>
      </c>
      <c r="BC110" s="314">
        <f t="shared" si="8"/>
        <v>28</v>
      </c>
      <c r="BD110">
        <f t="shared" ca="1" si="9"/>
        <v>0</v>
      </c>
      <c r="BE110" s="315">
        <f t="shared" ca="1" si="10"/>
        <v>-0.50717778829468374</v>
      </c>
      <c r="BF110" s="316">
        <f t="shared" ca="1" si="11"/>
        <v>672.44099999999992</v>
      </c>
      <c r="BG110" s="415">
        <f ca="1">(SUM($BD$99:$BD$112)*(1+$BE110)*$AV110*(1-i_wool_cost_pc)-i_wool_cost_kg*100)*$N$156</f>
        <v>366.16806357600194</v>
      </c>
    </row>
    <row r="111" spans="1:65" outlineLevel="3" x14ac:dyDescent="0.25">
      <c r="A111" s="45"/>
      <c r="B111" s="54"/>
      <c r="C111" s="87">
        <f t="shared" si="2"/>
        <v>4</v>
      </c>
      <c r="D111" s="73"/>
      <c r="E111" s="70"/>
      <c r="F111" s="70"/>
      <c r="G111" s="73"/>
      <c r="H111" s="79">
        <v>32</v>
      </c>
      <c r="I111" s="602">
        <v>425.42270074144187</v>
      </c>
      <c r="J111" s="602">
        <v>498.02808013882316</v>
      </c>
      <c r="K111" s="602">
        <v>563.75</v>
      </c>
      <c r="L111" s="602">
        <v>626.00351001735282</v>
      </c>
      <c r="M111" s="602">
        <v>764.02250617868208</v>
      </c>
      <c r="N111" s="288">
        <f t="shared" ref="N111:AD111" si="20">N109</f>
        <v>0</v>
      </c>
      <c r="O111" s="288">
        <f t="shared" si="20"/>
        <v>-1.9178082191780823E-2</v>
      </c>
      <c r="P111" s="288">
        <f t="shared" si="20"/>
        <v>-5.4794520547945202E-2</v>
      </c>
      <c r="Q111" s="603">
        <f t="shared" si="20"/>
        <v>-2.7397260273972601E-2</v>
      </c>
      <c r="R111" s="603">
        <f t="shared" si="20"/>
        <v>-1.0958904109589041E-2</v>
      </c>
      <c r="S111" s="603">
        <f t="shared" si="20"/>
        <v>0</v>
      </c>
      <c r="T111" s="603">
        <f t="shared" si="20"/>
        <v>4.10958904109589E-3</v>
      </c>
      <c r="U111" s="603">
        <f t="shared" si="20"/>
        <v>0</v>
      </c>
      <c r="V111" s="603">
        <f t="shared" si="20"/>
        <v>0</v>
      </c>
      <c r="W111" s="603">
        <f t="shared" si="20"/>
        <v>0</v>
      </c>
      <c r="X111" s="603">
        <f t="shared" si="20"/>
        <v>0</v>
      </c>
      <c r="Y111" s="288">
        <f t="shared" si="20"/>
        <v>0.86099999999999999</v>
      </c>
      <c r="Z111" s="289">
        <f t="shared" si="20"/>
        <v>0.61299999999999999</v>
      </c>
      <c r="AA111" s="289">
        <f t="shared" si="20"/>
        <v>0.59399999999999997</v>
      </c>
      <c r="AB111" s="289">
        <f t="shared" si="20"/>
        <v>0.42599999999999999</v>
      </c>
      <c r="AC111" s="289">
        <f t="shared" si="20"/>
        <v>0.41499999999999998</v>
      </c>
      <c r="AD111" s="289">
        <f t="shared" si="20"/>
        <v>0.9</v>
      </c>
      <c r="AE111" s="76"/>
      <c r="AF111" s="113">
        <v>-0.45482378924120526</v>
      </c>
      <c r="AG111" s="113">
        <v>-0.67248555920002318</v>
      </c>
      <c r="AH111" s="113">
        <v>-0.64426565704369776</v>
      </c>
      <c r="AI111" s="113">
        <v>-0.65149999999999997</v>
      </c>
      <c r="AJ111" s="113">
        <v>-0.82658905190093079</v>
      </c>
      <c r="AK111" s="76" t="s">
        <v>194</v>
      </c>
      <c r="AL111" s="76"/>
      <c r="AM111" s="76"/>
      <c r="AN111" s="73"/>
      <c r="AO111" s="57"/>
      <c r="AP111" s="45"/>
      <c r="AQ111" s="285"/>
      <c r="AR111" s="45"/>
      <c r="AS111" s="439"/>
      <c r="AT111" s="439"/>
      <c r="AV111" s="291">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16"/>
        <v>-6.6284271839072817E-2</v>
      </c>
      <c r="AY111" s="116">
        <f t="shared" si="17"/>
        <v>-8.4903523662664515E-2</v>
      </c>
      <c r="AZ111" s="116">
        <f t="shared" si="18"/>
        <v>-6.6284271839072817E-2</v>
      </c>
      <c r="BC111" s="314">
        <f t="shared" si="8"/>
        <v>32</v>
      </c>
      <c r="BD111">
        <f t="shared" ca="1" si="9"/>
        <v>0</v>
      </c>
      <c r="BE111" s="315">
        <f t="shared" ca="1" si="10"/>
        <v>-0.64426565704369776</v>
      </c>
      <c r="BF111" s="316">
        <f t="shared" ca="1" si="11"/>
        <v>485.38875000000002</v>
      </c>
      <c r="BG111" s="415">
        <f ca="1">(SUM($BD$99:$BD$112)*(1+$BE111)*$AV111*(1-i_wool_cost_pc)-i_wool_cost_kg*100)*$N$156</f>
        <v>250.89478706389966</v>
      </c>
    </row>
    <row r="112" spans="1:65" outlineLevel="3" x14ac:dyDescent="0.25">
      <c r="A112" s="45"/>
      <c r="B112" s="54"/>
      <c r="C112" s="87">
        <f t="shared" si="2"/>
        <v>4</v>
      </c>
      <c r="D112" s="73"/>
      <c r="E112" s="70"/>
      <c r="F112" s="70"/>
      <c r="G112" s="73"/>
      <c r="H112" s="79">
        <v>35</v>
      </c>
      <c r="I112" s="602">
        <v>332.03722984697902</v>
      </c>
      <c r="J112" s="602">
        <v>388.70484303517901</v>
      </c>
      <c r="K112" s="602">
        <v>440</v>
      </c>
      <c r="L112" s="602">
        <v>488.58810537939735</v>
      </c>
      <c r="M112" s="602">
        <v>596.3102487248251</v>
      </c>
      <c r="N112" s="288">
        <f t="shared" ref="N112:AD112" si="21">N110</f>
        <v>0</v>
      </c>
      <c r="O112" s="288">
        <f t="shared" si="21"/>
        <v>-1.9178082191780823E-2</v>
      </c>
      <c r="P112" s="288">
        <f t="shared" si="21"/>
        <v>-5.4794520547945202E-2</v>
      </c>
      <c r="Q112" s="603">
        <f t="shared" si="21"/>
        <v>-2.7397260273972601E-2</v>
      </c>
      <c r="R112" s="603">
        <f t="shared" si="21"/>
        <v>-1.0958904109589041E-2</v>
      </c>
      <c r="S112" s="603">
        <f t="shared" si="21"/>
        <v>0</v>
      </c>
      <c r="T112" s="603">
        <f t="shared" si="21"/>
        <v>4.10958904109589E-3</v>
      </c>
      <c r="U112" s="603">
        <f t="shared" si="21"/>
        <v>0</v>
      </c>
      <c r="V112" s="603">
        <f t="shared" si="21"/>
        <v>0</v>
      </c>
      <c r="W112" s="603">
        <f t="shared" si="21"/>
        <v>0</v>
      </c>
      <c r="X112" s="603">
        <f t="shared" si="21"/>
        <v>0</v>
      </c>
      <c r="Y112" s="288">
        <f t="shared" si="21"/>
        <v>0.86099999999999999</v>
      </c>
      <c r="Z112" s="289">
        <f t="shared" si="21"/>
        <v>0.61299999999999999</v>
      </c>
      <c r="AA112" s="289">
        <f t="shared" si="21"/>
        <v>0.59399999999999997</v>
      </c>
      <c r="AB112" s="289">
        <f t="shared" si="21"/>
        <v>0.42599999999999999</v>
      </c>
      <c r="AC112" s="289">
        <f t="shared" si="21"/>
        <v>0.41499999999999998</v>
      </c>
      <c r="AD112" s="289">
        <f t="shared" si="21"/>
        <v>0.9</v>
      </c>
      <c r="AE112" s="76"/>
      <c r="AF112" s="113">
        <v>-0.56191197349739719</v>
      </c>
      <c r="AG112" s="113">
        <v>-0.74437897303416456</v>
      </c>
      <c r="AH112" s="113">
        <v>-0.7223536835463007</v>
      </c>
      <c r="AI112" s="113">
        <v>-0.72799999999999998</v>
      </c>
      <c r="AJ112" s="113">
        <v>-0.88964757848241049</v>
      </c>
      <c r="AK112" s="76" t="s">
        <v>195</v>
      </c>
      <c r="AL112" s="76"/>
      <c r="AM112" s="76"/>
      <c r="AN112" s="73"/>
      <c r="AO112" s="57"/>
      <c r="AP112" s="45"/>
      <c r="AQ112" s="285"/>
      <c r="AR112" s="45"/>
      <c r="AS112" s="439"/>
      <c r="AT112" s="439"/>
      <c r="AV112" s="425">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16"/>
        <v>-8.6120371442153232E-2</v>
      </c>
      <c r="AY112" s="116">
        <f t="shared" si="17"/>
        <v>-8.612037144215301E-2</v>
      </c>
      <c r="AZ112" s="116">
        <f t="shared" si="18"/>
        <v>-8.612037144215301E-2</v>
      </c>
      <c r="BC112" s="314">
        <f t="shared" si="8"/>
        <v>35</v>
      </c>
      <c r="BD112">
        <f t="shared" ca="1" si="9"/>
        <v>0</v>
      </c>
      <c r="BE112" s="315">
        <f t="shared" ca="1" si="10"/>
        <v>-0.7223536835463007</v>
      </c>
      <c r="BF112" s="316">
        <f t="shared" ca="1" si="11"/>
        <v>378.84</v>
      </c>
      <c r="BG112" s="415">
        <f ca="1">(SUM($BD$99:$BD$112)*(1+$BE112)*$AV112*(1-i_wool_cost_pc)-i_wool_cost_kg*100)*$N$156</f>
        <v>185.84791428672199</v>
      </c>
    </row>
    <row r="113" spans="1:59" outlineLevel="3" x14ac:dyDescent="0.25">
      <c r="A113" s="45"/>
      <c r="B113" s="54"/>
      <c r="C113" s="87"/>
      <c r="D113" s="73"/>
      <c r="E113" s="70"/>
      <c r="F113" s="70"/>
      <c r="G113" s="73"/>
      <c r="H113" s="79">
        <v>38</v>
      </c>
      <c r="I113" s="602">
        <v>238.65175895251616</v>
      </c>
      <c r="J113" s="602">
        <v>279.38160593153492</v>
      </c>
      <c r="K113" s="602">
        <v>316.24999999999994</v>
      </c>
      <c r="L113" s="602">
        <v>351.17270074144182</v>
      </c>
      <c r="M113" s="602">
        <v>428.59799127096801</v>
      </c>
      <c r="N113" s="292">
        <f t="shared" ref="N113:AD113" si="22">N111</f>
        <v>0</v>
      </c>
      <c r="O113" s="292">
        <f t="shared" si="22"/>
        <v>-1.9178082191780823E-2</v>
      </c>
      <c r="P113" s="292">
        <f t="shared" si="22"/>
        <v>-5.4794520547945202E-2</v>
      </c>
      <c r="Q113" s="601">
        <f t="shared" si="22"/>
        <v>-2.7397260273972601E-2</v>
      </c>
      <c r="R113" s="601">
        <f t="shared" si="22"/>
        <v>-1.0958904109589041E-2</v>
      </c>
      <c r="S113" s="601">
        <f t="shared" si="22"/>
        <v>0</v>
      </c>
      <c r="T113" s="601">
        <f t="shared" si="22"/>
        <v>4.10958904109589E-3</v>
      </c>
      <c r="U113" s="601">
        <f t="shared" si="22"/>
        <v>0</v>
      </c>
      <c r="V113" s="601">
        <f t="shared" si="22"/>
        <v>0</v>
      </c>
      <c r="W113" s="601">
        <f t="shared" si="22"/>
        <v>0</v>
      </c>
      <c r="X113" s="601">
        <f t="shared" si="22"/>
        <v>0</v>
      </c>
      <c r="Y113" s="292">
        <f t="shared" si="22"/>
        <v>0.86099999999999999</v>
      </c>
      <c r="Z113" s="293">
        <f t="shared" si="22"/>
        <v>0.61299999999999999</v>
      </c>
      <c r="AA113" s="293">
        <f t="shared" si="22"/>
        <v>0.59399999999999997</v>
      </c>
      <c r="AB113" s="293">
        <f t="shared" si="22"/>
        <v>0.42599999999999999</v>
      </c>
      <c r="AC113" s="293">
        <f t="shared" si="22"/>
        <v>0.41499999999999998</v>
      </c>
      <c r="AD113" s="293">
        <f t="shared" si="22"/>
        <v>0.9</v>
      </c>
      <c r="AE113" s="76"/>
      <c r="AF113" s="168">
        <v>-0.66900015775358912</v>
      </c>
      <c r="AG113" s="168">
        <v>-0.81627238686830594</v>
      </c>
      <c r="AH113" s="168">
        <v>-0.80044171004890363</v>
      </c>
      <c r="AI113" s="168">
        <v>-0.80449999999999999</v>
      </c>
      <c r="AJ113" s="168">
        <v>-0.95</v>
      </c>
      <c r="AK113" s="76"/>
      <c r="AL113" s="76"/>
      <c r="AM113" s="76"/>
      <c r="AN113" s="73"/>
      <c r="AO113" s="57"/>
      <c r="AP113" s="45"/>
      <c r="AQ113" s="285"/>
      <c r="AR113" s="45"/>
      <c r="AS113" s="439"/>
      <c r="AT113" s="439"/>
      <c r="AV113" s="426">
        <f ca="1">AV112</f>
        <v>0.82670906249999998</v>
      </c>
      <c r="AX113" s="116">
        <f t="shared" si="16"/>
        <v>-0.1163680039992967</v>
      </c>
      <c r="AY113" s="116">
        <f t="shared" si="17"/>
        <v>-0.11636800399929625</v>
      </c>
      <c r="AZ113" s="116">
        <f t="shared" si="18"/>
        <v>-0.11636800399929625</v>
      </c>
      <c r="BC113" s="317">
        <f t="shared" si="8"/>
        <v>38</v>
      </c>
      <c r="BD113" s="318">
        <f t="shared" ca="1" si="9"/>
        <v>0</v>
      </c>
      <c r="BE113" s="319">
        <f t="shared" ca="1" si="10"/>
        <v>-0.80044171004890363</v>
      </c>
      <c r="BF113" s="424">
        <f t="shared" ca="1" si="11"/>
        <v>272.29124999999993</v>
      </c>
      <c r="BG113" s="416">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3" t="s">
        <v>3263</v>
      </c>
      <c r="J114" s="119"/>
      <c r="K114" s="119"/>
      <c r="L114" s="119"/>
      <c r="M114" s="119"/>
      <c r="N114" s="119" t="s">
        <v>197</v>
      </c>
      <c r="O114" s="119"/>
      <c r="P114" s="119"/>
      <c r="Q114" s="600" t="s">
        <v>3262</v>
      </c>
      <c r="R114" s="600"/>
      <c r="S114" s="600"/>
      <c r="T114" s="600"/>
      <c r="U114" s="600"/>
      <c r="V114" s="600"/>
      <c r="W114" s="600"/>
      <c r="X114" s="600"/>
      <c r="Y114" s="119" t="s">
        <v>2203</v>
      </c>
      <c r="Z114" s="119"/>
      <c r="AA114" s="119"/>
      <c r="AB114" s="119"/>
      <c r="AC114" s="119"/>
      <c r="AD114" s="119"/>
      <c r="AE114" s="76"/>
      <c r="AF114" s="119" t="s">
        <v>3261</v>
      </c>
      <c r="AG114" s="119"/>
      <c r="AH114" s="119"/>
      <c r="AI114" s="119"/>
      <c r="AJ114" s="119"/>
      <c r="AK114" s="76"/>
      <c r="AL114" s="76"/>
      <c r="AM114" s="76"/>
      <c r="AN114" s="73"/>
      <c r="AO114" s="57"/>
      <c r="AP114" s="45"/>
      <c r="AQ114" s="45"/>
      <c r="AR114" s="45"/>
      <c r="AS114" s="439"/>
      <c r="AT114" s="439"/>
    </row>
    <row r="115" spans="1:59" ht="16.5" outlineLevel="3" thickTop="1" thickBot="1" x14ac:dyDescent="0.3">
      <c r="A115" s="45"/>
      <c r="B115" s="54"/>
      <c r="C115" s="87">
        <f>INT($C$81+3)</f>
        <v>4</v>
      </c>
      <c r="D115" s="73"/>
      <c r="E115" s="70"/>
      <c r="F115" s="70"/>
      <c r="G115" s="73"/>
      <c r="H115" s="174" t="s">
        <v>198</v>
      </c>
      <c r="I115" s="599">
        <v>19</v>
      </c>
      <c r="J115" s="311"/>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9"/>
      <c r="AT115" s="439"/>
      <c r="AV115" t="s">
        <v>2714</v>
      </c>
    </row>
    <row r="116" spans="1:59" ht="15.75" outlineLevel="3" thickTop="1" x14ac:dyDescent="0.25">
      <c r="A116" s="45"/>
      <c r="B116" s="54"/>
      <c r="C116" s="87">
        <f>INT($C$81+3)</f>
        <v>4</v>
      </c>
      <c r="D116" s="73"/>
      <c r="E116" s="70"/>
      <c r="F116" s="70"/>
      <c r="G116" s="73"/>
      <c r="H116" s="76" t="s">
        <v>199</v>
      </c>
      <c r="I116" s="598">
        <f>INDEX($I$96:$M$112,MATCH(i_woolp_fd_std,i_woolp_fd_range_w4,0),0)</f>
        <v>1195.9000000000001</v>
      </c>
      <c r="J116" s="364">
        <f>INDEX($I$96:$M$112,MATCH(i_woolp_fd_std,i_woolp_fd_range_w4,0),0)</f>
        <v>1723</v>
      </c>
      <c r="K116" s="364">
        <f>INDEX($I$96:$M$112,MATCH(i_woolp_fd_std,i_woolp_fd_range_w4,0),0)</f>
        <v>1584.75</v>
      </c>
      <c r="L116" s="364">
        <f>INDEX($I$96:$M$112,MATCH(i_woolp_fd_std,i_woolp_fd_range_w4,0),0)</f>
        <v>1241</v>
      </c>
      <c r="M116" s="364">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9"/>
      <c r="AT116" s="439"/>
      <c r="AV116" t="s">
        <v>2716</v>
      </c>
    </row>
    <row r="117" spans="1:59" outlineLevel="3" x14ac:dyDescent="0.25">
      <c r="A117" s="45"/>
      <c r="B117" s="54"/>
      <c r="C117" s="87">
        <f>INT($C$81+3)</f>
        <v>4</v>
      </c>
      <c r="D117" s="73"/>
      <c r="E117" s="70"/>
      <c r="F117" s="70"/>
      <c r="G117" s="73"/>
      <c r="H117" s="76" t="s">
        <v>201</v>
      </c>
      <c r="I117" s="97">
        <v>50</v>
      </c>
      <c r="J117" s="76" t="s">
        <v>2224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9"/>
      <c r="AT117" s="439"/>
      <c r="AV117" t="s">
        <v>2715</v>
      </c>
    </row>
    <row r="118" spans="1:59" outlineLevel="3" x14ac:dyDescent="0.25">
      <c r="A118" s="45"/>
      <c r="B118" s="54"/>
      <c r="C118" s="87">
        <f>INT($C$81+3)</f>
        <v>4</v>
      </c>
      <c r="D118" s="73"/>
      <c r="E118" s="70"/>
      <c r="F118" s="70"/>
      <c r="G118" s="73"/>
      <c r="H118" s="76" t="s">
        <v>202</v>
      </c>
      <c r="I118" s="97">
        <v>50</v>
      </c>
      <c r="J118" s="76" t="s">
        <v>2704</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9"/>
      <c r="AT118" s="439"/>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9"/>
      <c r="AT119" s="439"/>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9"/>
      <c r="AT120" s="439"/>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9"/>
      <c r="AT121" s="439"/>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9"/>
      <c r="AT122" s="439"/>
    </row>
    <row r="123" spans="1:59" outlineLevel="2" x14ac:dyDescent="0.25">
      <c r="A123" s="45"/>
      <c r="B123" s="54"/>
      <c r="C123" s="87">
        <f>INT($C$81)+2</f>
        <v>3</v>
      </c>
      <c r="D123" s="73"/>
      <c r="E123" s="70"/>
      <c r="F123" s="70"/>
      <c r="G123" s="73"/>
      <c r="H123" s="76" t="s">
        <v>2204</v>
      </c>
      <c r="I123" s="76"/>
      <c r="J123" s="76" t="str">
        <f t="shared" ref="J123:O123" si="23">Y95</f>
        <v>Fleece</v>
      </c>
      <c r="K123" s="76" t="str">
        <f t="shared" si="23"/>
        <v>Pieces</v>
      </c>
      <c r="L123" s="76" t="str">
        <f t="shared" si="23"/>
        <v>Bellies</v>
      </c>
      <c r="M123" s="76" t="str">
        <f t="shared" si="23"/>
        <v>Locks</v>
      </c>
      <c r="N123" s="76" t="str">
        <f t="shared" si="23"/>
        <v>Stains</v>
      </c>
      <c r="O123" s="76" t="str">
        <f t="shared" si="23"/>
        <v>Off types</v>
      </c>
      <c r="P123" s="76" t="s">
        <v>2205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9"/>
      <c r="AT123" s="439"/>
    </row>
    <row r="124" spans="1:59" outlineLevel="3" x14ac:dyDescent="0.25">
      <c r="A124" s="45"/>
      <c r="B124" s="54"/>
      <c r="C124" s="87">
        <f>INT($C$81+3)</f>
        <v>4</v>
      </c>
      <c r="D124" s="73"/>
      <c r="E124" s="70"/>
      <c r="F124" s="70"/>
      <c r="G124" s="73"/>
      <c r="H124" s="76"/>
      <c r="I124" s="78" t="s">
        <v>2206</v>
      </c>
      <c r="J124" s="113">
        <v>0.68</v>
      </c>
      <c r="K124" s="113">
        <v>0.55000000000000004</v>
      </c>
      <c r="L124" s="113">
        <v>0.5</v>
      </c>
      <c r="M124" s="113">
        <v>0.65</v>
      </c>
      <c r="N124" s="113">
        <v>0.65</v>
      </c>
      <c r="O124" s="124">
        <f>J124</f>
        <v>0.68</v>
      </c>
      <c r="P124" s="124">
        <v>0.4</v>
      </c>
      <c r="Q124" s="97" t="s">
        <v>2207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9"/>
      <c r="AT124" s="439"/>
    </row>
    <row r="125" spans="1:59" outlineLevel="3" x14ac:dyDescent="0.25">
      <c r="A125" s="45"/>
      <c r="B125" s="54"/>
      <c r="C125" s="87">
        <f>INT($C$81+3)</f>
        <v>4</v>
      </c>
      <c r="D125" s="73"/>
      <c r="E125" s="70"/>
      <c r="F125" s="70"/>
      <c r="G125" s="73"/>
      <c r="H125" s="76"/>
      <c r="I125" s="78" t="s">
        <v>2208</v>
      </c>
      <c r="J125" s="308">
        <f t="shared" ref="J125:P125" si="24">(J126/J$124)/SUMPRODUCT($J126:$P126,(1/$J$124:$P$124))</f>
        <v>0.750407617373261</v>
      </c>
      <c r="K125" s="294">
        <f t="shared" si="24"/>
        <v>0.1131434988500704</v>
      </c>
      <c r="L125" s="294">
        <f t="shared" si="24"/>
        <v>4.1071090082575555E-2</v>
      </c>
      <c r="M125" s="294">
        <f t="shared" si="24"/>
        <v>1.2445784873507741E-2</v>
      </c>
      <c r="N125" s="294">
        <f t="shared" si="24"/>
        <v>3.1593146217365808E-2</v>
      </c>
      <c r="O125" s="294">
        <f t="shared" si="24"/>
        <v>0</v>
      </c>
      <c r="P125" s="294">
        <f t="shared" si="24"/>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9"/>
      <c r="AT125" s="439"/>
    </row>
    <row r="126" spans="1:59" outlineLevel="3" x14ac:dyDescent="0.25">
      <c r="A126" s="45"/>
      <c r="B126" s="54"/>
      <c r="C126" s="87">
        <f>INT($C$81+3)</f>
        <v>4</v>
      </c>
      <c r="D126" s="73"/>
      <c r="E126" s="70"/>
      <c r="F126" s="70"/>
      <c r="G126" s="73"/>
      <c r="H126" s="76"/>
      <c r="I126" s="78" t="s">
        <v>2209</v>
      </c>
      <c r="J126" s="124">
        <v>0.82</v>
      </c>
      <c r="K126" s="124">
        <v>0.1</v>
      </c>
      <c r="L126" s="124">
        <v>3.3000000000000002E-2</v>
      </c>
      <c r="M126" s="124">
        <v>1.2999999999999999E-2</v>
      </c>
      <c r="N126" s="124">
        <v>3.3000000000000002E-2</v>
      </c>
      <c r="O126" s="124">
        <v>0</v>
      </c>
      <c r="P126" s="124">
        <v>3.3000000000000002E-2</v>
      </c>
      <c r="Q126" s="97" t="s">
        <v>2210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9"/>
      <c r="AT126" s="439"/>
    </row>
    <row r="127" spans="1:59" outlineLevel="3" x14ac:dyDescent="0.25">
      <c r="A127" s="45"/>
      <c r="B127" s="54"/>
      <c r="C127" s="87">
        <f>INT($C$81+3)</f>
        <v>4</v>
      </c>
      <c r="D127" s="73"/>
      <c r="E127" s="70"/>
      <c r="F127" s="70"/>
      <c r="G127" s="73"/>
      <c r="H127" s="76"/>
      <c r="I127" s="78" t="s">
        <v>2211</v>
      </c>
      <c r="J127" s="295">
        <f>1-SUM(K127:O127)</f>
        <v>0.82099999999999995</v>
      </c>
      <c r="K127" s="296">
        <f>K126/(1-($P$126-$N$126))</f>
        <v>0.1</v>
      </c>
      <c r="L127" s="296">
        <f>L126/(1-($P$126-$N$126))</f>
        <v>3.3000000000000002E-2</v>
      </c>
      <c r="M127" s="296">
        <f>M126/(1-($P$126-$N$126))</f>
        <v>1.2999999999999999E-2</v>
      </c>
      <c r="N127" s="296">
        <f>N126/(1-($P$126-$N$126))</f>
        <v>3.3000000000000002E-2</v>
      </c>
      <c r="O127" s="296">
        <f>O126/(1-($P$126-$N$126))</f>
        <v>0</v>
      </c>
      <c r="P127" s="76"/>
      <c r="Q127" s="76" t="s">
        <v>2212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9"/>
      <c r="AT127" s="439"/>
    </row>
    <row r="128" spans="1:59" outlineLevel="3" x14ac:dyDescent="0.25">
      <c r="A128" s="45"/>
      <c r="B128" s="54"/>
      <c r="C128" s="87">
        <f>INT($C$81+3)</f>
        <v>4</v>
      </c>
      <c r="D128" s="73"/>
      <c r="E128" s="70"/>
      <c r="F128" s="70"/>
      <c r="G128" s="73"/>
      <c r="H128" s="76"/>
      <c r="I128" s="121" t="s">
        <v>2213</v>
      </c>
      <c r="J128" s="428">
        <v>0</v>
      </c>
      <c r="K128" s="99">
        <v>-1</v>
      </c>
      <c r="L128" s="99">
        <v>0.7</v>
      </c>
      <c r="M128" s="99">
        <v>0.4</v>
      </c>
      <c r="N128" s="99">
        <v>0.1</v>
      </c>
      <c r="O128" s="428">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9"/>
      <c r="AT128" s="439"/>
    </row>
    <row r="129" spans="1:83" outlineLevel="2" x14ac:dyDescent="0.25">
      <c r="A129" s="45"/>
      <c r="B129" s="54"/>
      <c r="C129" s="87">
        <f>INT($C$81)+2</f>
        <v>3</v>
      </c>
      <c r="D129" s="73"/>
      <c r="E129" s="70"/>
      <c r="F129" s="70"/>
      <c r="G129" s="73"/>
      <c r="H129" s="76" t="s">
        <v>2214</v>
      </c>
      <c r="I129" s="76"/>
      <c r="J129" s="76" t="str">
        <f t="shared" ref="J129:P129" si="25">J123</f>
        <v>Fleece</v>
      </c>
      <c r="K129" s="76" t="str">
        <f t="shared" si="25"/>
        <v>Pieces</v>
      </c>
      <c r="L129" s="76" t="str">
        <f t="shared" si="25"/>
        <v>Bellies</v>
      </c>
      <c r="M129" s="76" t="str">
        <f t="shared" si="25"/>
        <v>Locks</v>
      </c>
      <c r="N129" s="76" t="str">
        <f t="shared" si="25"/>
        <v>Stains</v>
      </c>
      <c r="O129" s="76" t="str">
        <f t="shared" si="25"/>
        <v>Off types</v>
      </c>
      <c r="P129" s="76" t="str">
        <f t="shared" si="25"/>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9"/>
      <c r="AT129" s="439"/>
    </row>
    <row r="130" spans="1:83" outlineLevel="3" x14ac:dyDescent="0.25">
      <c r="A130" s="45"/>
      <c r="B130" s="54"/>
      <c r="C130" s="87">
        <f>INT($C$81+3)</f>
        <v>4</v>
      </c>
      <c r="D130" s="73"/>
      <c r="E130" s="70"/>
      <c r="F130" s="70"/>
      <c r="G130" s="73"/>
      <c r="H130" s="76"/>
      <c r="I130" s="78" t="s">
        <v>2208</v>
      </c>
      <c r="J130" s="308">
        <f t="shared" ref="J130:P130" si="26">(J131/J$124)/SUMPRODUCT($J131:$P131,(1/$J$124:$P$124))</f>
        <v>0.78918322295805732</v>
      </c>
      <c r="K130" s="294">
        <f t="shared" si="26"/>
        <v>9.1832229580573951E-2</v>
      </c>
      <c r="L130" s="294">
        <f t="shared" si="26"/>
        <v>3.7880794701986756E-2</v>
      </c>
      <c r="M130" s="294">
        <f t="shared" si="26"/>
        <v>9.7130242825607064E-3</v>
      </c>
      <c r="N130" s="294">
        <f t="shared" si="26"/>
        <v>2.7196467991169981E-2</v>
      </c>
      <c r="O130" s="294">
        <f t="shared" si="26"/>
        <v>0</v>
      </c>
      <c r="P130" s="294">
        <f t="shared" si="26"/>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9"/>
      <c r="AT130" s="439"/>
    </row>
    <row r="131" spans="1:83" outlineLevel="3" x14ac:dyDescent="0.25">
      <c r="A131" s="45"/>
      <c r="B131" s="54"/>
      <c r="C131" s="87">
        <f>INT($C$81+3)</f>
        <v>4</v>
      </c>
      <c r="D131" s="73"/>
      <c r="E131" s="70"/>
      <c r="F131" s="70"/>
      <c r="G131" s="73"/>
      <c r="H131" s="76"/>
      <c r="I131" s="78" t="s">
        <v>2209</v>
      </c>
      <c r="J131" s="124">
        <v>0.85</v>
      </c>
      <c r="K131" s="124">
        <v>0.08</v>
      </c>
      <c r="L131" s="124">
        <v>0.03</v>
      </c>
      <c r="M131" s="124">
        <v>0.01</v>
      </c>
      <c r="N131" s="124">
        <v>2.8000000000000001E-2</v>
      </c>
      <c r="O131" s="124">
        <v>0</v>
      </c>
      <c r="P131" s="124">
        <v>2.8000000000000001E-2</v>
      </c>
      <c r="Q131" s="97" t="s">
        <v>2215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9"/>
      <c r="AT131" s="439"/>
    </row>
    <row r="132" spans="1:83" outlineLevel="3" x14ac:dyDescent="0.25">
      <c r="A132" s="45"/>
      <c r="B132" s="54"/>
      <c r="C132" s="87">
        <f>INT($C$81+3)</f>
        <v>4</v>
      </c>
      <c r="D132" s="73"/>
      <c r="E132" s="70"/>
      <c r="F132" s="70"/>
      <c r="G132" s="73"/>
      <c r="H132" s="76"/>
      <c r="I132" s="78" t="s">
        <v>2211</v>
      </c>
      <c r="J132" s="295">
        <f>1-SUM(K132:O132)</f>
        <v>0.85199999999999998</v>
      </c>
      <c r="K132" s="296">
        <f>K131/(1-($P$131-$N$131))</f>
        <v>0.08</v>
      </c>
      <c r="L132" s="296">
        <f>L131/(1-($P$131-$N$131))</f>
        <v>0.03</v>
      </c>
      <c r="M132" s="296">
        <f>M131/(1-($P$131-$N$131))</f>
        <v>0.01</v>
      </c>
      <c r="N132" s="296">
        <f>N131/(1-($P$131-$N$131))</f>
        <v>2.8000000000000001E-2</v>
      </c>
      <c r="O132" s="296">
        <f>O131/(1-($P$131-$N$131))</f>
        <v>0</v>
      </c>
      <c r="P132" s="76"/>
      <c r="Q132" s="76" t="s">
        <v>2212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9"/>
      <c r="AT132" s="439"/>
    </row>
    <row r="133" spans="1:83" outlineLevel="3" x14ac:dyDescent="0.25">
      <c r="A133" s="45"/>
      <c r="B133" s="54"/>
      <c r="C133" s="87">
        <f>INT($C$81+3)</f>
        <v>4</v>
      </c>
      <c r="D133" s="73"/>
      <c r="E133" s="70"/>
      <c r="F133" s="70"/>
      <c r="G133" s="73"/>
      <c r="H133" s="76"/>
      <c r="I133" s="121" t="s">
        <v>2213</v>
      </c>
      <c r="J133" s="428">
        <v>0</v>
      </c>
      <c r="K133" s="99">
        <v>-2</v>
      </c>
      <c r="L133" s="99">
        <v>-0.6</v>
      </c>
      <c r="M133" s="99">
        <v>-0.5</v>
      </c>
      <c r="N133" s="99">
        <v>0</v>
      </c>
      <c r="O133" s="428">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9"/>
      <c r="AT133" s="439"/>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9"/>
      <c r="AT134" s="439"/>
      <c r="AU134" s="439"/>
      <c r="AV134" s="439"/>
      <c r="AW134" s="439"/>
      <c r="AX134" s="439"/>
      <c r="AY134" s="439"/>
      <c r="AZ134" s="439"/>
      <c r="BA134" s="439"/>
      <c r="BB134" s="439"/>
      <c r="BC134" s="439"/>
      <c r="BD134" s="439"/>
      <c r="BE134" s="439"/>
      <c r="BF134" s="439"/>
      <c r="BG134" s="439"/>
      <c r="BH134" s="439"/>
      <c r="BI134" s="439"/>
      <c r="BJ134" s="439"/>
      <c r="BK134" s="439"/>
      <c r="BL134" s="439"/>
      <c r="BM134" s="439"/>
      <c r="BN134" s="439"/>
      <c r="BO134" s="439"/>
      <c r="BP134" s="439"/>
      <c r="BQ134" s="439"/>
      <c r="BR134" s="439"/>
      <c r="BS134" s="439"/>
      <c r="BT134" s="439"/>
      <c r="BU134" s="439"/>
      <c r="BV134" s="439"/>
      <c r="BW134" s="439"/>
      <c r="BX134" s="439"/>
      <c r="BY134" s="439"/>
      <c r="BZ134" s="439"/>
      <c r="CA134" s="439"/>
      <c r="CB134" s="439"/>
      <c r="CC134" s="439"/>
      <c r="CD134" s="439"/>
      <c r="CE134" s="439"/>
    </row>
    <row r="135" spans="1:83" ht="15" customHeight="1" outlineLevel="1" x14ac:dyDescent="0.25">
      <c r="A135" s="45"/>
      <c r="B135" s="54"/>
      <c r="C135" s="87">
        <f>INT($C$81)+1</f>
        <v>2</v>
      </c>
      <c r="D135" s="73"/>
      <c r="E135" s="70"/>
      <c r="F135" s="70"/>
      <c r="G135" s="73"/>
      <c r="H135" s="90" t="s">
        <v>3260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9"/>
      <c r="AT135" s="439"/>
      <c r="AU135" s="439"/>
      <c r="AV135" s="439"/>
      <c r="AW135" s="439"/>
      <c r="AX135" s="439"/>
      <c r="AY135" s="439"/>
      <c r="AZ135" s="439"/>
      <c r="BA135" s="439"/>
      <c r="BB135" s="439"/>
      <c r="BC135" s="439"/>
      <c r="BD135" s="439"/>
      <c r="BE135" s="439"/>
      <c r="BF135" s="439"/>
      <c r="BG135" s="439"/>
      <c r="BH135" s="439"/>
      <c r="BI135" s="439"/>
      <c r="BJ135" s="439"/>
      <c r="BK135" s="439"/>
      <c r="BL135" s="439"/>
      <c r="BM135" s="439"/>
      <c r="BN135" s="439"/>
      <c r="BO135" s="439"/>
      <c r="BP135" s="439"/>
      <c r="BQ135" s="439"/>
      <c r="BR135" s="439"/>
      <c r="BS135" s="439"/>
      <c r="BT135" s="439"/>
      <c r="BU135" s="439"/>
      <c r="BV135" s="439"/>
      <c r="BW135" s="439"/>
      <c r="BX135" s="439"/>
      <c r="BY135" s="439"/>
      <c r="BZ135" s="439"/>
      <c r="CA135" s="439"/>
      <c r="CB135" s="439"/>
      <c r="CC135" s="439"/>
      <c r="CD135" s="439"/>
      <c r="CE135" s="439"/>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9"/>
      <c r="AT136" s="439"/>
      <c r="AU136" s="439"/>
      <c r="AV136" s="439"/>
      <c r="AW136" s="439"/>
      <c r="AX136" s="439"/>
      <c r="AY136" s="439"/>
      <c r="AZ136" s="439"/>
      <c r="BA136" s="439"/>
      <c r="BB136" s="439"/>
      <c r="BC136" s="439"/>
      <c r="BD136" s="439"/>
      <c r="BE136" s="439"/>
      <c r="BF136" s="439"/>
      <c r="BG136" s="439"/>
      <c r="BH136" s="439"/>
      <c r="BI136" s="439"/>
      <c r="BJ136" s="439"/>
      <c r="BK136" s="439"/>
      <c r="BL136" s="439"/>
      <c r="BM136" s="439"/>
      <c r="BN136" s="439"/>
      <c r="BO136" s="439"/>
      <c r="BP136" s="439"/>
      <c r="BQ136" s="439"/>
      <c r="BR136" s="439"/>
      <c r="BS136" s="439"/>
      <c r="BT136" s="439"/>
      <c r="BU136" s="439"/>
      <c r="BV136" s="439"/>
      <c r="BW136" s="439"/>
      <c r="BX136" s="439"/>
      <c r="BY136" s="439"/>
      <c r="BZ136" s="439"/>
      <c r="CA136" s="439"/>
      <c r="CB136" s="439"/>
      <c r="CC136" s="439"/>
      <c r="CD136" s="439"/>
      <c r="CE136" s="439"/>
    </row>
    <row r="137" spans="1:83" ht="15" customHeight="1" outlineLevel="3" x14ac:dyDescent="0.25">
      <c r="A137" s="45"/>
      <c r="B137" s="54"/>
      <c r="C137" s="87">
        <f t="shared" ref="C137:C146" si="27">INT($C$81+3)</f>
        <v>4</v>
      </c>
      <c r="D137" s="73"/>
      <c r="E137" s="70"/>
      <c r="F137" s="70"/>
      <c r="G137" s="73"/>
      <c r="H137" s="246" t="s">
        <v>3259</v>
      </c>
      <c r="I137" s="76" t="s">
        <v>2803</v>
      </c>
      <c r="J137" s="76" t="s">
        <v>2804</v>
      </c>
      <c r="K137" s="76" t="s">
        <v>3258</v>
      </c>
      <c r="L137" s="76"/>
      <c r="M137" s="76"/>
      <c r="N137" s="76"/>
      <c r="O137" s="76"/>
      <c r="P137" s="246" t="s">
        <v>3257</v>
      </c>
      <c r="Q137" s="76"/>
      <c r="R137" s="76" t="s">
        <v>3256</v>
      </c>
      <c r="S137" s="76" t="s">
        <v>3255</v>
      </c>
      <c r="T137" s="76" t="s">
        <v>3254</v>
      </c>
      <c r="U137" s="76" t="s">
        <v>3253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9"/>
      <c r="AT137" s="439"/>
      <c r="AU137" s="439"/>
      <c r="AV137" s="439"/>
      <c r="AW137" s="439"/>
      <c r="AX137" s="439"/>
      <c r="AY137" s="439"/>
      <c r="AZ137" s="439"/>
      <c r="BA137" s="439"/>
      <c r="BB137" s="439"/>
      <c r="BC137" s="439"/>
      <c r="BD137" s="439"/>
      <c r="BE137" s="439"/>
      <c r="BF137" s="439"/>
      <c r="BG137" s="439"/>
      <c r="BH137" s="439"/>
      <c r="BI137" s="439"/>
      <c r="BJ137" s="439"/>
      <c r="BK137" s="439"/>
      <c r="BL137" s="439"/>
      <c r="BM137" s="439"/>
      <c r="BN137" s="439"/>
      <c r="BO137" s="439"/>
      <c r="BP137" s="439"/>
      <c r="BQ137" s="439"/>
      <c r="BR137" s="439"/>
      <c r="BS137" s="439"/>
      <c r="BT137" s="439"/>
      <c r="BU137" s="439"/>
      <c r="BV137" s="439"/>
      <c r="BW137" s="439"/>
      <c r="BX137" s="439"/>
      <c r="BY137" s="439"/>
      <c r="BZ137" s="439"/>
      <c r="CA137" s="439"/>
      <c r="CB137" s="439"/>
      <c r="CC137" s="439"/>
      <c r="CD137" s="439"/>
      <c r="CE137" s="439"/>
    </row>
    <row r="138" spans="1:83" ht="15" customHeight="1" outlineLevel="3" x14ac:dyDescent="0.25">
      <c r="A138" s="45"/>
      <c r="B138" s="54"/>
      <c r="C138" s="87">
        <f t="shared" si="27"/>
        <v>4</v>
      </c>
      <c r="D138" s="73"/>
      <c r="E138" s="70"/>
      <c r="F138" s="70"/>
      <c r="G138" s="73"/>
      <c r="H138" s="76" t="s">
        <v>3252</v>
      </c>
      <c r="I138" s="597">
        <v>-0.10100000000000001</v>
      </c>
      <c r="J138" s="597">
        <v>0</v>
      </c>
      <c r="K138" s="596">
        <v>0</v>
      </c>
      <c r="L138" s="76"/>
      <c r="M138" s="76"/>
      <c r="N138" s="76"/>
      <c r="O138" s="76"/>
      <c r="P138" s="76" t="s">
        <v>3252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9"/>
      <c r="AT138" s="439"/>
      <c r="AU138" s="439"/>
      <c r="AV138" s="439"/>
      <c r="AW138" s="439"/>
      <c r="AX138" s="439"/>
      <c r="AY138" s="439"/>
      <c r="AZ138" s="439"/>
      <c r="BA138" s="439"/>
      <c r="BB138" s="439"/>
      <c r="BC138" s="439"/>
      <c r="BD138" s="439"/>
      <c r="BE138" s="439"/>
      <c r="BF138" s="439"/>
      <c r="BG138" s="439"/>
      <c r="BH138" s="439"/>
      <c r="BI138" s="439"/>
      <c r="BJ138" s="439"/>
      <c r="BK138" s="439"/>
      <c r="BL138" s="439"/>
      <c r="BM138" s="439"/>
      <c r="BN138" s="439"/>
      <c r="BO138" s="439"/>
      <c r="BP138" s="439"/>
      <c r="BQ138" s="439"/>
      <c r="BR138" s="439"/>
      <c r="BS138" s="439"/>
      <c r="BT138" s="439"/>
      <c r="BU138" s="439"/>
      <c r="BV138" s="439"/>
      <c r="BW138" s="439"/>
      <c r="BX138" s="439"/>
      <c r="BY138" s="439"/>
      <c r="BZ138" s="439"/>
      <c r="CA138" s="439"/>
      <c r="CB138" s="439"/>
      <c r="CC138" s="439"/>
      <c r="CD138" s="439"/>
      <c r="CE138" s="439"/>
    </row>
    <row r="139" spans="1:83" ht="15" customHeight="1" outlineLevel="3" x14ac:dyDescent="0.25">
      <c r="A139" s="45"/>
      <c r="B139" s="54"/>
      <c r="C139" s="87">
        <f t="shared" si="27"/>
        <v>4</v>
      </c>
      <c r="D139" s="73"/>
      <c r="E139" s="70"/>
      <c r="F139" s="70"/>
      <c r="G139" s="73"/>
      <c r="H139" s="76" t="s">
        <v>3251</v>
      </c>
      <c r="I139" s="597">
        <v>0</v>
      </c>
      <c r="J139" s="597">
        <v>0.113</v>
      </c>
      <c r="K139" s="596">
        <v>5.9005989731888203E-3</v>
      </c>
      <c r="L139" s="76"/>
      <c r="M139" s="76"/>
      <c r="N139" s="76"/>
      <c r="O139" s="76"/>
      <c r="P139" s="76" t="s">
        <v>3251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9"/>
      <c r="AT139" s="439"/>
      <c r="AU139" s="439"/>
      <c r="AV139" s="439"/>
      <c r="AW139" s="439"/>
      <c r="AX139" s="439"/>
      <c r="AY139" s="439"/>
      <c r="AZ139" s="439"/>
      <c r="BA139" s="439"/>
      <c r="BB139" s="439"/>
      <c r="BC139" s="439"/>
      <c r="BD139" s="439"/>
      <c r="BE139" s="439"/>
      <c r="BF139" s="439"/>
      <c r="BG139" s="439"/>
      <c r="BH139" s="439"/>
      <c r="BI139" s="439"/>
      <c r="BJ139" s="439"/>
      <c r="BK139" s="439"/>
      <c r="BL139" s="439"/>
      <c r="BM139" s="439"/>
      <c r="BN139" s="439"/>
      <c r="BO139" s="439"/>
      <c r="BP139" s="439"/>
      <c r="BQ139" s="439"/>
      <c r="BR139" s="439"/>
      <c r="BS139" s="439"/>
      <c r="BT139" s="439"/>
      <c r="BU139" s="439"/>
      <c r="BV139" s="439"/>
      <c r="BW139" s="439"/>
      <c r="BX139" s="439"/>
      <c r="BY139" s="439"/>
      <c r="BZ139" s="439"/>
      <c r="CA139" s="439"/>
      <c r="CB139" s="439"/>
      <c r="CC139" s="439"/>
      <c r="CD139" s="439"/>
      <c r="CE139" s="439"/>
    </row>
    <row r="140" spans="1:83" ht="15" customHeight="1" outlineLevel="3" x14ac:dyDescent="0.25">
      <c r="A140" s="45"/>
      <c r="B140" s="54"/>
      <c r="C140" s="87">
        <f t="shared" si="27"/>
        <v>4</v>
      </c>
      <c r="D140" s="73"/>
      <c r="E140" s="70"/>
      <c r="F140" s="70"/>
      <c r="G140" s="73"/>
      <c r="H140" s="76" t="s">
        <v>3250</v>
      </c>
      <c r="I140" s="597">
        <v>-6.0999999999999999E-2</v>
      </c>
      <c r="J140" s="597">
        <v>5.1999999999999998E-2</v>
      </c>
      <c r="K140" s="596">
        <v>3.5107296137339059E-3</v>
      </c>
      <c r="L140" s="76"/>
      <c r="M140" s="76"/>
      <c r="N140" s="76"/>
      <c r="O140" s="76"/>
      <c r="P140" s="76" t="s">
        <v>3250</v>
      </c>
      <c r="Q140" s="76"/>
      <c r="R140" s="76">
        <v>90</v>
      </c>
      <c r="S140" s="114">
        <v>4.0000000000000001E-3</v>
      </c>
      <c r="T140" s="114">
        <v>-2E-3</v>
      </c>
      <c r="U140" s="595">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9"/>
      <c r="AT140" s="439"/>
      <c r="AU140" s="439"/>
      <c r="AV140" s="439"/>
      <c r="AW140" s="439"/>
      <c r="AX140" s="439"/>
      <c r="AY140" s="439"/>
      <c r="AZ140" s="439"/>
      <c r="BA140" s="439"/>
      <c r="BB140" s="439"/>
      <c r="BC140" s="439"/>
      <c r="BD140" s="439"/>
      <c r="BE140" s="439"/>
      <c r="BF140" s="439"/>
      <c r="BG140" s="439"/>
      <c r="BH140" s="439"/>
      <c r="BI140" s="439"/>
      <c r="BJ140" s="439"/>
      <c r="BK140" s="439"/>
      <c r="BL140" s="439"/>
      <c r="BM140" s="439"/>
      <c r="BN140" s="439"/>
      <c r="BO140" s="439"/>
      <c r="BP140" s="439"/>
      <c r="BQ140" s="439"/>
      <c r="BR140" s="439"/>
      <c r="BS140" s="439"/>
      <c r="BT140" s="439"/>
      <c r="BU140" s="439"/>
      <c r="BV140" s="439"/>
      <c r="BW140" s="439"/>
      <c r="BX140" s="439"/>
      <c r="BY140" s="439"/>
      <c r="BZ140" s="439"/>
      <c r="CA140" s="439"/>
      <c r="CB140" s="439"/>
      <c r="CC140" s="439"/>
      <c r="CD140" s="439"/>
      <c r="CE140" s="439"/>
    </row>
    <row r="141" spans="1:83" ht="15" customHeight="1" outlineLevel="3" x14ac:dyDescent="0.25">
      <c r="A141" s="45"/>
      <c r="B141" s="54"/>
      <c r="C141" s="87">
        <f t="shared" si="27"/>
        <v>4</v>
      </c>
      <c r="D141" s="73"/>
      <c r="E141" s="70"/>
      <c r="F141" s="70"/>
      <c r="G141" s="73"/>
      <c r="H141" s="76" t="s">
        <v>3249</v>
      </c>
      <c r="I141" s="355">
        <v>47.809731093905945</v>
      </c>
      <c r="J141" s="364">
        <v>4566.4973039173738</v>
      </c>
      <c r="K141" s="355">
        <v>45.892351332455597</v>
      </c>
      <c r="L141" s="76"/>
      <c r="M141" s="76"/>
      <c r="N141" s="76"/>
      <c r="O141" s="76"/>
      <c r="P141" s="76" t="s">
        <v>3249</v>
      </c>
      <c r="Q141" s="76"/>
      <c r="R141" s="440">
        <v>0.50934072627417315</v>
      </c>
      <c r="S141" s="355">
        <v>45.892351332455597</v>
      </c>
      <c r="T141" s="355">
        <v>45.892351332455597</v>
      </c>
      <c r="U141" s="355">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9"/>
      <c r="AT141" s="439"/>
      <c r="AU141" s="439"/>
      <c r="AV141" s="439"/>
      <c r="AW141" s="439"/>
      <c r="AX141" s="439"/>
      <c r="AY141" s="439"/>
      <c r="AZ141" s="439"/>
      <c r="BA141" s="439"/>
      <c r="BB141" s="439"/>
      <c r="BC141" s="439"/>
      <c r="BD141" s="439"/>
      <c r="BE141" s="439"/>
      <c r="BF141" s="439"/>
      <c r="BG141" s="439"/>
      <c r="BH141" s="439"/>
      <c r="BI141" s="439"/>
      <c r="BJ141" s="439"/>
      <c r="BK141" s="439"/>
      <c r="BL141" s="439"/>
      <c r="BM141" s="439"/>
      <c r="BN141" s="439"/>
      <c r="BO141" s="439"/>
      <c r="BP141" s="439"/>
      <c r="BQ141" s="439"/>
      <c r="BR141" s="439"/>
      <c r="BS141" s="439"/>
      <c r="BT141" s="439"/>
      <c r="BU141" s="439"/>
      <c r="BV141" s="439"/>
      <c r="BW141" s="439"/>
      <c r="BX141" s="439"/>
      <c r="BY141" s="439"/>
      <c r="BZ141" s="439"/>
      <c r="CA141" s="439"/>
      <c r="CB141" s="439"/>
      <c r="CC141" s="439"/>
      <c r="CD141" s="439"/>
      <c r="CE141" s="439"/>
    </row>
    <row r="142" spans="1:83" ht="15" customHeight="1" outlineLevel="3" x14ac:dyDescent="0.25">
      <c r="A142" s="45"/>
      <c r="B142" s="54"/>
      <c r="C142" s="87">
        <f t="shared" si="27"/>
        <v>4</v>
      </c>
      <c r="D142" s="73"/>
      <c r="E142" s="70"/>
      <c r="F142" s="70"/>
      <c r="G142" s="73"/>
      <c r="H142" s="76" t="s">
        <v>3248</v>
      </c>
      <c r="I142" s="440">
        <v>-0.22538711253423788</v>
      </c>
      <c r="J142" s="594">
        <v>-0.50483440440253269</v>
      </c>
      <c r="K142" s="594">
        <v>-0.22213692403040283</v>
      </c>
      <c r="L142" s="76"/>
      <c r="M142" s="76"/>
      <c r="N142" s="76"/>
      <c r="O142" s="76"/>
      <c r="P142" s="76" t="s">
        <v>3248</v>
      </c>
      <c r="Q142" s="76"/>
      <c r="R142" s="440">
        <v>4.06297323744437E-2</v>
      </c>
      <c r="S142" s="594">
        <v>-0.22213692403040283</v>
      </c>
      <c r="T142" s="594">
        <v>-0.22213692403040283</v>
      </c>
      <c r="U142" s="594">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9"/>
      <c r="AT142" s="439"/>
      <c r="AU142" s="439"/>
      <c r="AV142" s="439"/>
      <c r="AW142" s="439"/>
      <c r="AX142" s="439"/>
      <c r="AY142" s="439"/>
      <c r="AZ142" s="439"/>
      <c r="BA142" s="439"/>
      <c r="BB142" s="439"/>
      <c r="BC142" s="439"/>
      <c r="BD142" s="439"/>
      <c r="BE142" s="439"/>
      <c r="BF142" s="439"/>
      <c r="BG142" s="439"/>
      <c r="BH142" s="439"/>
      <c r="BI142" s="439"/>
      <c r="BJ142" s="439"/>
      <c r="BK142" s="439"/>
      <c r="BL142" s="439"/>
      <c r="BM142" s="439"/>
      <c r="BN142" s="439"/>
      <c r="BO142" s="439"/>
      <c r="BP142" s="439"/>
      <c r="BQ142" s="439"/>
      <c r="BR142" s="439"/>
      <c r="BS142" s="439"/>
      <c r="BT142" s="439"/>
      <c r="BU142" s="439"/>
      <c r="BV142" s="439"/>
      <c r="BW142" s="439"/>
      <c r="BX142" s="439"/>
      <c r="BY142" s="439"/>
      <c r="BZ142" s="439"/>
      <c r="CA142" s="439"/>
      <c r="CB142" s="439"/>
      <c r="CC142" s="439"/>
      <c r="CD142" s="439"/>
      <c r="CE142" s="439"/>
    </row>
    <row r="143" spans="1:83" ht="15" customHeight="1" outlineLevel="3" x14ac:dyDescent="0.25">
      <c r="A143" s="45"/>
      <c r="B143" s="54"/>
      <c r="C143" s="87">
        <f t="shared" si="27"/>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9"/>
      <c r="AT143" s="439"/>
      <c r="AU143" s="439"/>
      <c r="AV143" s="439"/>
      <c r="AW143" s="439"/>
      <c r="AX143" s="439"/>
      <c r="AY143" s="439"/>
      <c r="AZ143" s="439"/>
      <c r="BA143" s="439"/>
      <c r="BB143" s="439"/>
      <c r="BC143" s="439"/>
      <c r="BD143" s="439"/>
      <c r="BE143" s="439"/>
      <c r="BF143" s="439"/>
      <c r="BG143" s="439"/>
      <c r="BH143" s="439"/>
      <c r="BI143" s="439"/>
      <c r="BJ143" s="439"/>
      <c r="BK143" s="439"/>
      <c r="BL143" s="439"/>
      <c r="BM143" s="439"/>
      <c r="BN143" s="439"/>
      <c r="BO143" s="439"/>
      <c r="BP143" s="439"/>
      <c r="BQ143" s="439"/>
      <c r="BR143" s="439"/>
      <c r="BS143" s="439"/>
      <c r="BT143" s="439"/>
      <c r="BU143" s="439"/>
      <c r="BV143" s="439"/>
      <c r="BW143" s="439"/>
      <c r="BX143" s="439"/>
      <c r="BY143" s="439"/>
      <c r="BZ143" s="439"/>
      <c r="CA143" s="439"/>
      <c r="CB143" s="439"/>
      <c r="CC143" s="439"/>
      <c r="CD143" s="439"/>
      <c r="CE143" s="439"/>
    </row>
    <row r="144" spans="1:83" ht="15" customHeight="1" outlineLevel="3" x14ac:dyDescent="0.25">
      <c r="A144" s="45"/>
      <c r="B144" s="54"/>
      <c r="C144" s="87">
        <f t="shared" si="27"/>
        <v>4</v>
      </c>
      <c r="D144" s="73"/>
      <c r="E144" s="70"/>
      <c r="F144" s="70"/>
      <c r="G144" s="73"/>
      <c r="H144" s="76" t="s">
        <v>3247</v>
      </c>
      <c r="I144" s="76">
        <v>35</v>
      </c>
      <c r="J144" s="76"/>
      <c r="K144" s="76"/>
      <c r="L144" s="76"/>
      <c r="M144" s="76"/>
      <c r="N144" s="76"/>
      <c r="O144" s="76"/>
      <c r="P144" s="76" t="s">
        <v>3246</v>
      </c>
      <c r="Q144" s="76"/>
      <c r="R144" s="97">
        <v>50</v>
      </c>
      <c r="S144" s="76" t="s">
        <v>2148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9"/>
      <c r="AT144" s="439"/>
      <c r="AU144" s="439"/>
      <c r="AV144" s="439"/>
      <c r="AW144" s="439"/>
      <c r="AX144" s="439"/>
      <c r="AY144" s="439"/>
      <c r="AZ144" s="439"/>
      <c r="BA144" s="439"/>
      <c r="BB144" s="439"/>
      <c r="BC144" s="439"/>
      <c r="BD144" s="439"/>
      <c r="BE144" s="439"/>
      <c r="BF144" s="439"/>
      <c r="BG144" s="439"/>
      <c r="BH144" s="439"/>
      <c r="BI144" s="439"/>
      <c r="BJ144" s="439"/>
      <c r="BK144" s="439"/>
      <c r="BL144" s="439"/>
      <c r="BM144" s="439"/>
      <c r="BN144" s="439"/>
      <c r="BO144" s="439"/>
      <c r="BP144" s="439"/>
      <c r="BQ144" s="439"/>
      <c r="BR144" s="439"/>
      <c r="BS144" s="439"/>
      <c r="BT144" s="439"/>
      <c r="BU144" s="439"/>
      <c r="BV144" s="439"/>
      <c r="BW144" s="439"/>
      <c r="BX144" s="439"/>
      <c r="BY144" s="439"/>
      <c r="BZ144" s="439"/>
      <c r="CA144" s="439"/>
      <c r="CB144" s="439"/>
      <c r="CC144" s="439"/>
      <c r="CD144" s="439"/>
      <c r="CE144" s="439"/>
    </row>
    <row r="145" spans="1:83" ht="15" customHeight="1" outlineLevel="3" x14ac:dyDescent="0.25">
      <c r="A145" s="45"/>
      <c r="B145" s="54"/>
      <c r="C145" s="87">
        <f t="shared" si="27"/>
        <v>4</v>
      </c>
      <c r="D145" s="73"/>
      <c r="E145" s="70"/>
      <c r="F145" s="70"/>
      <c r="G145" s="73"/>
      <c r="H145" s="76"/>
      <c r="I145" s="76"/>
      <c r="J145" s="76"/>
      <c r="K145" s="76"/>
      <c r="L145" s="76"/>
      <c r="M145" s="76"/>
      <c r="N145" s="76"/>
      <c r="O145" s="76"/>
      <c r="P145" s="76" t="s">
        <v>3245</v>
      </c>
      <c r="Q145" s="76"/>
      <c r="R145" s="97">
        <v>17</v>
      </c>
      <c r="S145" s="76" t="s">
        <v>2148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9"/>
      <c r="AT145" s="439"/>
      <c r="AU145" s="439"/>
      <c r="AV145" s="439"/>
      <c r="AW145" s="439"/>
      <c r="AX145" s="439"/>
      <c r="AY145" s="439"/>
      <c r="AZ145" s="439"/>
      <c r="BA145" s="439"/>
      <c r="BB145" s="439"/>
      <c r="BC145" s="439"/>
      <c r="BD145" s="439"/>
      <c r="BE145" s="439"/>
      <c r="BF145" s="439"/>
      <c r="BG145" s="439"/>
      <c r="BH145" s="439"/>
      <c r="BI145" s="439"/>
      <c r="BJ145" s="439"/>
      <c r="BK145" s="439"/>
      <c r="BL145" s="439"/>
      <c r="BM145" s="439"/>
      <c r="BN145" s="439"/>
      <c r="BO145" s="439"/>
      <c r="BP145" s="439"/>
      <c r="BQ145" s="439"/>
      <c r="BR145" s="439"/>
      <c r="BS145" s="439"/>
      <c r="BT145" s="439"/>
      <c r="BU145" s="439"/>
      <c r="BV145" s="439"/>
      <c r="BW145" s="439"/>
      <c r="BX145" s="439"/>
      <c r="BY145" s="439"/>
      <c r="BZ145" s="439"/>
      <c r="CA145" s="439"/>
      <c r="CB145" s="439"/>
      <c r="CC145" s="439"/>
      <c r="CD145" s="439"/>
      <c r="CE145" s="439"/>
    </row>
    <row r="146" spans="1:83" ht="15" customHeight="1" outlineLevel="2" x14ac:dyDescent="0.25">
      <c r="A146" s="45"/>
      <c r="B146" s="54"/>
      <c r="C146" s="87">
        <f t="shared" si="27"/>
        <v>4</v>
      </c>
      <c r="D146" s="73"/>
      <c r="E146" s="70"/>
      <c r="F146" s="70"/>
      <c r="G146" s="73"/>
      <c r="H146" s="76" t="s">
        <v>196</v>
      </c>
      <c r="I146" s="593" t="s">
        <v>3244</v>
      </c>
      <c r="J146" s="119"/>
      <c r="K146" s="119"/>
      <c r="L146" s="119"/>
      <c r="M146" s="119"/>
      <c r="N146" s="119"/>
      <c r="O146" s="76"/>
      <c r="P146" s="76" t="s">
        <v>196</v>
      </c>
      <c r="Q146" s="76"/>
      <c r="R146" s="593" t="s">
        <v>3243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9"/>
      <c r="AT146" s="439"/>
      <c r="AU146" s="439"/>
      <c r="AV146" s="439"/>
      <c r="AW146" s="439"/>
      <c r="AX146" s="439"/>
      <c r="AY146" s="439"/>
      <c r="AZ146" s="439"/>
      <c r="BA146" s="439"/>
      <c r="BB146" s="439"/>
      <c r="BC146" s="439"/>
      <c r="BD146" s="439"/>
      <c r="BE146" s="439"/>
      <c r="BF146" s="439"/>
      <c r="BG146" s="439"/>
      <c r="BH146" s="439"/>
      <c r="BI146" s="439"/>
      <c r="BJ146" s="439"/>
      <c r="BK146" s="439"/>
      <c r="BL146" s="439"/>
      <c r="BM146" s="439"/>
      <c r="BN146" s="439"/>
      <c r="BO146" s="439"/>
      <c r="BP146" s="439"/>
      <c r="BQ146" s="439"/>
      <c r="BR146" s="439"/>
      <c r="BS146" s="439"/>
      <c r="BT146" s="439"/>
      <c r="BU146" s="439"/>
      <c r="BV146" s="439"/>
      <c r="BW146" s="439"/>
      <c r="BX146" s="439"/>
      <c r="BY146" s="439"/>
      <c r="BZ146" s="439"/>
      <c r="CA146" s="439"/>
      <c r="CB146" s="439"/>
      <c r="CC146" s="439"/>
      <c r="CD146" s="439"/>
      <c r="CE146" s="439"/>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9"/>
      <c r="AT147" s="439"/>
      <c r="AU147" s="439"/>
      <c r="AV147" s="439"/>
      <c r="AW147" s="439"/>
      <c r="AX147" s="439"/>
      <c r="AY147" s="439"/>
      <c r="AZ147" s="439"/>
      <c r="BA147" s="439"/>
      <c r="BB147" s="439"/>
      <c r="BC147" s="439"/>
      <c r="BD147" s="439"/>
      <c r="BE147" s="439"/>
      <c r="BF147" s="439"/>
      <c r="BG147" s="439"/>
      <c r="BH147" s="439"/>
      <c r="BI147" s="439"/>
      <c r="BJ147" s="439"/>
      <c r="BK147" s="439"/>
      <c r="BL147" s="439"/>
      <c r="BM147" s="439"/>
      <c r="BN147" s="439"/>
      <c r="BO147" s="439"/>
      <c r="BP147" s="439"/>
      <c r="BQ147" s="439"/>
      <c r="BR147" s="439"/>
      <c r="BS147" s="439"/>
      <c r="BT147" s="439"/>
      <c r="BU147" s="439"/>
      <c r="BV147" s="439"/>
      <c r="BW147" s="439"/>
      <c r="BX147" s="439"/>
      <c r="BY147" s="439"/>
      <c r="BZ147" s="439"/>
      <c r="CA147" s="439"/>
      <c r="CB147" s="439"/>
      <c r="CC147" s="439"/>
      <c r="CD147" s="439"/>
      <c r="CE147" s="439"/>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9"/>
      <c r="AT148" s="439"/>
      <c r="AU148" s="439"/>
      <c r="AV148" s="439"/>
      <c r="AW148" s="439"/>
      <c r="AX148" s="439"/>
      <c r="AY148" s="439"/>
      <c r="AZ148" s="439"/>
      <c r="BA148" s="439"/>
      <c r="BB148" s="439"/>
      <c r="BC148" s="439"/>
      <c r="BD148" s="439"/>
      <c r="BE148" s="439"/>
      <c r="BF148" s="439"/>
      <c r="BG148" s="439"/>
      <c r="BH148" s="439"/>
      <c r="BI148" s="439"/>
      <c r="BJ148" s="439"/>
      <c r="BK148" s="439"/>
      <c r="BL148" s="439"/>
      <c r="BM148" s="439"/>
      <c r="BN148" s="439"/>
      <c r="BO148" s="439"/>
      <c r="BP148" s="439"/>
      <c r="BQ148" s="439"/>
      <c r="BR148" s="439"/>
      <c r="BS148" s="439"/>
      <c r="BT148" s="439"/>
      <c r="BU148" s="439"/>
      <c r="BV148" s="439"/>
      <c r="BW148" s="439"/>
      <c r="BX148" s="439"/>
      <c r="BY148" s="439"/>
      <c r="BZ148" s="439"/>
      <c r="CA148" s="439"/>
      <c r="CB148" s="439"/>
      <c r="CC148" s="439"/>
      <c r="CD148" s="439"/>
      <c r="CE148" s="439"/>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9"/>
      <c r="AT149" s="439"/>
      <c r="AU149" s="439"/>
      <c r="AV149" s="439"/>
      <c r="AW149" s="439"/>
      <c r="AX149" s="439"/>
      <c r="AY149" s="439"/>
      <c r="AZ149" s="439"/>
      <c r="BA149" s="439"/>
      <c r="BB149" s="439"/>
      <c r="BC149" s="439"/>
      <c r="BD149" s="439"/>
      <c r="BE149" s="439"/>
      <c r="BF149" s="439"/>
      <c r="BG149" s="439"/>
      <c r="BH149" s="439"/>
      <c r="BI149" s="439"/>
      <c r="BJ149" s="439"/>
      <c r="BK149" s="439"/>
      <c r="BL149" s="439"/>
      <c r="BM149" s="439"/>
      <c r="BN149" s="439"/>
      <c r="BO149" s="439"/>
      <c r="BP149" s="439"/>
      <c r="BQ149" s="439"/>
      <c r="BR149" s="439"/>
      <c r="BS149" s="439"/>
      <c r="BT149" s="439"/>
      <c r="BU149" s="439"/>
      <c r="BV149" s="439"/>
      <c r="BW149" s="439"/>
      <c r="BX149" s="439"/>
      <c r="BY149" s="439"/>
      <c r="BZ149" s="439"/>
      <c r="CA149" s="439"/>
      <c r="CB149" s="439"/>
      <c r="CC149" s="439"/>
      <c r="CD149" s="439"/>
      <c r="CE149" s="439"/>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9"/>
      <c r="AT150" s="439"/>
    </row>
    <row r="151" spans="1:83" outlineLevel="3" x14ac:dyDescent="0.25">
      <c r="A151" s="45"/>
      <c r="B151" s="54"/>
      <c r="C151" s="87">
        <f t="shared" ref="C151:C157" si="28">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9"/>
      <c r="AT151" s="439"/>
    </row>
    <row r="152" spans="1:83" outlineLevel="3" x14ac:dyDescent="0.25">
      <c r="A152" s="45"/>
      <c r="B152" s="54"/>
      <c r="C152" s="87">
        <f t="shared" si="28"/>
        <v>4</v>
      </c>
      <c r="D152" s="73"/>
      <c r="E152" s="70"/>
      <c r="F152" s="70"/>
      <c r="G152" s="73"/>
      <c r="H152" s="76" t="s">
        <v>2216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9"/>
      <c r="AT152" s="439"/>
    </row>
    <row r="153" spans="1:83" outlineLevel="3" x14ac:dyDescent="0.25">
      <c r="A153" s="45"/>
      <c r="B153" s="54"/>
      <c r="C153" s="87">
        <f t="shared" si="28"/>
        <v>4</v>
      </c>
      <c r="D153" s="73"/>
      <c r="E153" s="70"/>
      <c r="F153" s="70"/>
      <c r="G153" s="73"/>
      <c r="H153" s="76" t="s">
        <v>2217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9"/>
      <c r="AT153" s="439"/>
    </row>
    <row r="154" spans="1:83" outlineLevel="3" x14ac:dyDescent="0.25">
      <c r="A154" s="45"/>
      <c r="B154" s="54"/>
      <c r="C154" s="87">
        <f t="shared" si="28"/>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9"/>
      <c r="AT154" s="439"/>
    </row>
    <row r="155" spans="1:83" outlineLevel="3" x14ac:dyDescent="0.25">
      <c r="A155" s="45"/>
      <c r="B155" s="54"/>
      <c r="C155" s="87">
        <f t="shared" si="28"/>
        <v>4</v>
      </c>
      <c r="D155" s="73"/>
      <c r="E155" s="70"/>
      <c r="F155" s="70"/>
      <c r="G155" s="73"/>
      <c r="H155" s="125" t="s">
        <v>2218</v>
      </c>
      <c r="I155" s="126"/>
      <c r="J155" s="126"/>
      <c r="K155" s="297">
        <f>SUM(K151:K154)</f>
        <v>0.4467741935483871</v>
      </c>
      <c r="L155" s="127"/>
      <c r="M155" s="76"/>
      <c r="N155" s="76" t="s">
        <v>2699</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9"/>
      <c r="AT155" s="439"/>
    </row>
    <row r="156" spans="1:83" outlineLevel="3" x14ac:dyDescent="0.25">
      <c r="A156" s="45"/>
      <c r="B156" s="54"/>
      <c r="C156" s="87">
        <f t="shared" si="28"/>
        <v>4</v>
      </c>
      <c r="D156" s="73"/>
      <c r="E156" s="70"/>
      <c r="F156" s="70"/>
      <c r="G156" s="73"/>
      <c r="H156" s="76" t="s">
        <v>2219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9"/>
      <c r="AT156" s="439"/>
    </row>
    <row r="157" spans="1:83" outlineLevel="3" x14ac:dyDescent="0.25">
      <c r="A157" s="45"/>
      <c r="B157" s="54"/>
      <c r="C157" s="87">
        <f t="shared" si="28"/>
        <v>4</v>
      </c>
      <c r="D157" s="73"/>
      <c r="E157" s="70"/>
      <c r="F157" s="70"/>
      <c r="G157" s="73"/>
      <c r="H157" s="125" t="s">
        <v>2220</v>
      </c>
      <c r="I157" s="126"/>
      <c r="J157" s="126"/>
      <c r="K157" s="297">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9"/>
      <c r="AT157" s="439"/>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9"/>
      <c r="AT158" s="439"/>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9"/>
      <c r="AT159" s="439"/>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9"/>
      <c r="AT160" s="439"/>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9"/>
      <c r="AT161" s="439"/>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9"/>
      <c r="AT162" s="439"/>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9"/>
      <c r="AT163" s="439"/>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9"/>
      <c r="AT164" s="439"/>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9"/>
      <c r="AT165" s="439"/>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9"/>
      <c r="AT166" s="439"/>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9"/>
      <c r="AT167" s="439"/>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9"/>
      <c r="AT168" s="439"/>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9"/>
      <c r="AT169" s="439"/>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9"/>
      <c r="AT170" s="439"/>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9"/>
      <c r="AT171" s="439"/>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9"/>
      <c r="AT172" s="439"/>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9"/>
      <c r="AT173" s="439"/>
    </row>
    <row r="174" spans="1:46" ht="11.45" hidden="1"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9"/>
      <c r="AT174" s="439"/>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9"/>
      <c r="AT175" s="439"/>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9"/>
      <c r="AT176" s="439"/>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9"/>
      <c r="AT177" s="439"/>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9"/>
      <c r="AT178" s="439"/>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9"/>
      <c r="AT179" s="439"/>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9"/>
      <c r="AT180" s="439"/>
      <c r="AV180" t="s">
        <v>2260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2802</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2571</v>
      </c>
      <c r="AM181" s="95"/>
      <c r="AN181" s="73"/>
      <c r="AO181" s="57"/>
      <c r="AP181" s="45"/>
      <c r="AQ181" s="45"/>
      <c r="AR181" s="45"/>
      <c r="AS181" s="439"/>
      <c r="AT181" s="439"/>
      <c r="AV181" t="s">
        <v>2703</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2803</v>
      </c>
      <c r="P182" s="134" t="s">
        <v>2804</v>
      </c>
      <c r="Q182" s="134" t="s">
        <v>2805</v>
      </c>
      <c r="R182" s="134" t="s">
        <v>2806</v>
      </c>
      <c r="S182" s="134" t="s">
        <v>2807</v>
      </c>
      <c r="T182" s="134" t="s">
        <v>2808</v>
      </c>
      <c r="U182" s="132" t="s">
        <v>232</v>
      </c>
      <c r="V182" s="132" t="s">
        <v>233</v>
      </c>
      <c r="W182" s="133" t="s">
        <v>234</v>
      </c>
      <c r="X182" s="133" t="s">
        <v>2700</v>
      </c>
      <c r="Y182" s="133" t="s">
        <v>2701</v>
      </c>
      <c r="Z182" s="110">
        <v>10</v>
      </c>
      <c r="AA182" s="79">
        <v>30</v>
      </c>
      <c r="AB182" s="79">
        <v>50</v>
      </c>
      <c r="AC182" s="79">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9"/>
      <c r="AT182" s="439"/>
      <c r="AV182" t="s">
        <v>251</v>
      </c>
      <c r="AW182" t="s">
        <v>2261</v>
      </c>
      <c r="AX182" t="s">
        <v>2262</v>
      </c>
      <c r="AY182" t="s">
        <v>1171</v>
      </c>
      <c r="AZ182" s="5" t="s">
        <v>2702</v>
      </c>
      <c r="BA182" s="421" t="s">
        <v>272</v>
      </c>
      <c r="BD182" t="s">
        <v>2306</v>
      </c>
    </row>
    <row r="183" spans="1:58" outlineLevel="3" x14ac:dyDescent="0.25">
      <c r="A183" s="45"/>
      <c r="B183" s="54"/>
      <c r="C183" s="87">
        <f>INT($C$167+3)</f>
        <v>4</v>
      </c>
      <c r="D183" s="73"/>
      <c r="E183" s="70">
        <v>0</v>
      </c>
      <c r="F183" s="70"/>
      <c r="G183" s="73"/>
      <c r="H183" s="135" t="s">
        <v>2798</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9">
        <v>6.26</v>
      </c>
      <c r="Y183" s="418">
        <f>X183/(1+AVERAGEIF(INDEX(i_salep_months_priceadj_s7s9p4,1+$E183*2,0),"&lt;&gt;-1"))</f>
        <v>5.7692035986889678</v>
      </c>
      <c r="Z183" s="309">
        <v>0.77635782747603832</v>
      </c>
      <c r="AA183" s="309">
        <v>1.19</v>
      </c>
      <c r="AB183" s="139">
        <v>1</v>
      </c>
      <c r="AC183" s="309">
        <v>0.8</v>
      </c>
      <c r="AD183" s="309">
        <v>1.3210862619808306</v>
      </c>
      <c r="AE183" s="141" t="s">
        <v>238</v>
      </c>
      <c r="AF183" s="137">
        <v>3</v>
      </c>
      <c r="AG183" s="142">
        <v>0.05</v>
      </c>
      <c r="AH183" s="137">
        <v>0.17</v>
      </c>
      <c r="AI183" s="137"/>
      <c r="AJ183" s="142">
        <v>0.02</v>
      </c>
      <c r="AK183" s="143">
        <v>4.4999999999999997E-3</v>
      </c>
      <c r="AL183" s="139">
        <f t="shared" ref="AL183:AM190" si="29">SUMIFS($AF183:$AK183,$AF$182:$AK$182,AL$182)</f>
        <v>3.17</v>
      </c>
      <c r="AM183" s="144">
        <f t="shared" si="29"/>
        <v>7.4500000000000011E-2</v>
      </c>
      <c r="AN183" s="73"/>
      <c r="AO183" s="57"/>
      <c r="AP183" s="45"/>
      <c r="AQ183" s="45"/>
      <c r="AR183" s="45"/>
      <c r="AS183" s="439"/>
      <c r="AT183" s="439"/>
      <c r="AV183" s="321" t="str">
        <f t="shared" ref="AV183:AV190" si="30">$H183</f>
        <v>Lamb grid (0)</v>
      </c>
      <c r="AW183" s="322">
        <v>50</v>
      </c>
      <c r="AX183" s="312">
        <f>IFERROR(MIN(COUNT(i_salep_percentile_range_s4)-1,MATCH($AW183,i_salep_percentile_range_s4,1)),1)-1</f>
        <v>2</v>
      </c>
      <c r="AY183" s="313">
        <f t="shared" ref="AY183:AY190" ca="1" si="31">_xlfn.FORECAST.LINEAR($AW$183,OFFSET($Z183:$AD183,0,$AX$183,1,2),OFFSET(i_salep_percentile_range_s4,0,$AX$183,1,2))</f>
        <v>1</v>
      </c>
      <c r="AZ183" s="323">
        <f t="shared" ref="AZ183:AZ190" ca="1" si="32">$Y183*$AY183</f>
        <v>5.7692035986889678</v>
      </c>
      <c r="BA183" s="323">
        <f t="shared" ref="BA183:BA190" ca="1" si="33">AZ183*(1+INDEX(i_salep_months_priceadj_s7s9p4,1+$E183*2,MATCH(BA$182,$J$267:$U$267,0)))</f>
        <v>5.7692035986889678</v>
      </c>
    </row>
    <row r="184" spans="1:58" outlineLevel="3" x14ac:dyDescent="0.25">
      <c r="A184" s="45"/>
      <c r="B184" s="54"/>
      <c r="C184" s="87">
        <f t="shared" ref="C184:C191" si="34">INT($C$167)+3</f>
        <v>4</v>
      </c>
      <c r="D184" s="73"/>
      <c r="E184" s="70">
        <v>1</v>
      </c>
      <c r="F184" s="70"/>
      <c r="G184" s="73"/>
      <c r="H184" s="76" t="s">
        <v>2799</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2">
        <v>0</v>
      </c>
      <c r="Y184" s="122">
        <f>X184/(1+AVERAGEIF(INDEX(i_salep_months_priceadj_s7s9p4,1+$E184*2,0),"&lt;&gt;-1"))</f>
        <v>0</v>
      </c>
      <c r="Z184" s="192">
        <v>0.73898858075040785</v>
      </c>
      <c r="AA184" s="192">
        <v>1.19</v>
      </c>
      <c r="AB184" s="96">
        <v>1</v>
      </c>
      <c r="AC184" s="192">
        <v>0.8</v>
      </c>
      <c r="AD184" s="192">
        <v>1.3442088091353996</v>
      </c>
      <c r="AE184" s="147" t="s">
        <v>238</v>
      </c>
      <c r="AF184" s="148">
        <v>3</v>
      </c>
      <c r="AG184" s="149">
        <v>0.05</v>
      </c>
      <c r="AH184" s="148">
        <v>0.17</v>
      </c>
      <c r="AI184" s="148"/>
      <c r="AJ184" s="149">
        <v>0.02</v>
      </c>
      <c r="AK184" s="150">
        <v>4.4999999999999997E-3</v>
      </c>
      <c r="AL184" s="151">
        <f t="shared" si="29"/>
        <v>3.17</v>
      </c>
      <c r="AM184" s="152">
        <f t="shared" si="29"/>
        <v>7.4500000000000011E-2</v>
      </c>
      <c r="AN184" s="73"/>
      <c r="AO184" s="57"/>
      <c r="AP184" s="45"/>
      <c r="AQ184" s="45"/>
      <c r="AR184" s="45"/>
      <c r="AS184" s="439"/>
      <c r="AT184" s="439"/>
      <c r="AV184" s="324" t="str">
        <f t="shared" si="30"/>
        <v>empty grid (1)</v>
      </c>
      <c r="AY184" s="315">
        <f t="shared" ca="1" si="31"/>
        <v>1</v>
      </c>
      <c r="AZ184" s="325">
        <f t="shared" ca="1" si="32"/>
        <v>0</v>
      </c>
      <c r="BA184" s="325">
        <f t="shared" ca="1" si="33"/>
        <v>0</v>
      </c>
    </row>
    <row r="185" spans="1:58" outlineLevel="3" x14ac:dyDescent="0.25">
      <c r="A185" s="45"/>
      <c r="B185" s="54"/>
      <c r="C185" s="87">
        <f t="shared" si="34"/>
        <v>4</v>
      </c>
      <c r="D185" s="73"/>
      <c r="E185" s="70">
        <v>2</v>
      </c>
      <c r="F185" s="70"/>
      <c r="G185" s="73"/>
      <c r="H185" s="76" t="s">
        <v>2800</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2">
        <v>0</v>
      </c>
      <c r="Y185" s="122">
        <f>X185/(1+AVERAGEIF(INDEX(i_salep_months_priceadj_s7s9p4,1+$E185*2,0),"&lt;&gt;-1"))</f>
        <v>0</v>
      </c>
      <c r="Z185" s="192">
        <v>0.70065789473684215</v>
      </c>
      <c r="AA185" s="192">
        <v>1.19</v>
      </c>
      <c r="AB185" s="96">
        <v>1</v>
      </c>
      <c r="AC185" s="192">
        <v>0.8</v>
      </c>
      <c r="AD185" s="192">
        <v>1.4111842105263157</v>
      </c>
      <c r="AE185" s="147" t="s">
        <v>238</v>
      </c>
      <c r="AF185" s="148">
        <v>3</v>
      </c>
      <c r="AG185" s="149">
        <v>0.05</v>
      </c>
      <c r="AH185" s="148">
        <v>0.17</v>
      </c>
      <c r="AI185" s="148"/>
      <c r="AJ185" s="149">
        <v>0.02</v>
      </c>
      <c r="AK185" s="150">
        <v>4.4999999999999997E-3</v>
      </c>
      <c r="AL185" s="151">
        <f t="shared" si="29"/>
        <v>3.17</v>
      </c>
      <c r="AM185" s="152">
        <f t="shared" si="29"/>
        <v>7.4500000000000011E-2</v>
      </c>
      <c r="AN185" s="73"/>
      <c r="AO185" s="57"/>
      <c r="AP185" s="45"/>
      <c r="AQ185" s="45"/>
      <c r="AR185" s="45"/>
      <c r="AS185" s="439"/>
      <c r="AT185" s="439"/>
      <c r="AV185" s="324" t="str">
        <f t="shared" si="30"/>
        <v>empty grid (2)</v>
      </c>
      <c r="AY185" s="315">
        <f t="shared" ca="1" si="31"/>
        <v>1</v>
      </c>
      <c r="AZ185" s="325">
        <f t="shared" ca="1" si="32"/>
        <v>0</v>
      </c>
      <c r="BA185" s="325">
        <f t="shared" ca="1" si="33"/>
        <v>0</v>
      </c>
    </row>
    <row r="186" spans="1:58" outlineLevel="3" x14ac:dyDescent="0.25">
      <c r="A186" s="45"/>
      <c r="B186" s="54"/>
      <c r="C186" s="87">
        <f t="shared" si="34"/>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1">
        <f>X$189</f>
        <v>3.99</v>
      </c>
      <c r="Y186" s="122">
        <f>X186/(1+AVERAGEIF(INDEX(i_salep_months_priceadj_s7s9p4,1+$E186*2,0),"&lt;&gt;-1"))</f>
        <v>3.6661218629701886</v>
      </c>
      <c r="Z186" s="591">
        <f t="shared" ref="Z186:AA186" si="35">Z$189</f>
        <v>0.63909774436090228</v>
      </c>
      <c r="AA186" s="591">
        <f t="shared" si="35"/>
        <v>1.3480000000000001</v>
      </c>
      <c r="AB186" s="96">
        <v>1</v>
      </c>
      <c r="AC186" s="591">
        <f t="shared" ref="AC186:AD186" si="36">AC$189</f>
        <v>0.76200000000000001</v>
      </c>
      <c r="AD186" s="591">
        <f t="shared" si="36"/>
        <v>1.5563909774436091</v>
      </c>
      <c r="AE186" s="147" t="s">
        <v>238</v>
      </c>
      <c r="AF186" s="148">
        <v>3</v>
      </c>
      <c r="AG186" s="149">
        <v>0.05</v>
      </c>
      <c r="AH186" s="148">
        <v>0.17</v>
      </c>
      <c r="AI186" s="148">
        <v>0.2</v>
      </c>
      <c r="AJ186" s="148"/>
      <c r="AK186" s="150">
        <v>4.4999999999999997E-3</v>
      </c>
      <c r="AL186" s="151">
        <f t="shared" si="29"/>
        <v>3.37</v>
      </c>
      <c r="AM186" s="152">
        <f t="shared" si="29"/>
        <v>5.45E-2</v>
      </c>
      <c r="AN186" s="73"/>
      <c r="AO186" s="57"/>
      <c r="AP186" s="45"/>
      <c r="AQ186" s="45"/>
      <c r="AR186" s="45"/>
      <c r="AS186" s="439"/>
      <c r="AT186" s="439"/>
      <c r="AV186" s="324" t="str">
        <f t="shared" si="30"/>
        <v>Yearling grid (3)</v>
      </c>
      <c r="AY186" s="315">
        <f t="shared" ca="1" si="31"/>
        <v>1</v>
      </c>
      <c r="AZ186" s="325">
        <f t="shared" ca="1" si="32"/>
        <v>3.6661218629701886</v>
      </c>
      <c r="BA186" s="325">
        <f t="shared" ca="1" si="33"/>
        <v>3.6661218629701886</v>
      </c>
      <c r="BD186" s="325">
        <f ca="1">50*0.44*AZ186</f>
        <v>80.654680985344143</v>
      </c>
      <c r="BE186" t="s">
        <v>2307</v>
      </c>
    </row>
    <row r="187" spans="1:58" outlineLevel="3" x14ac:dyDescent="0.25">
      <c r="A187" s="45"/>
      <c r="B187" s="54"/>
      <c r="C187" s="87">
        <f t="shared" si="34"/>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2">
        <v>110</v>
      </c>
      <c r="Y187" s="122">
        <f>X187/(1+AVERAGEIF(INDEX(i_salep_months_priceadj_s7s9p4,1+$E187*2,0),"&lt;&gt;-1"))</f>
        <v>103.34061503440209</v>
      </c>
      <c r="Z187" s="310">
        <v>0.75454545454545452</v>
      </c>
      <c r="AA187" s="310">
        <v>1.2909999999999999</v>
      </c>
      <c r="AB187" s="132">
        <v>1</v>
      </c>
      <c r="AC187" s="310">
        <v>0.78200000000000003</v>
      </c>
      <c r="AD187" s="310">
        <v>1.3272727272727274</v>
      </c>
      <c r="AE187" s="147" t="s">
        <v>242</v>
      </c>
      <c r="AF187" s="148">
        <v>5</v>
      </c>
      <c r="AG187" s="149">
        <v>0.05</v>
      </c>
      <c r="AH187" s="148">
        <v>0.17</v>
      </c>
      <c r="AI187" s="148">
        <v>0.2</v>
      </c>
      <c r="AJ187" s="148"/>
      <c r="AK187" s="150">
        <v>4.4999999999999997E-3</v>
      </c>
      <c r="AL187" s="151">
        <f t="shared" si="29"/>
        <v>5.37</v>
      </c>
      <c r="AM187" s="152">
        <f t="shared" si="29"/>
        <v>5.45E-2</v>
      </c>
      <c r="AN187" s="73"/>
      <c r="AO187" s="57"/>
      <c r="AP187" s="45"/>
      <c r="AQ187" s="45"/>
      <c r="AR187" s="45"/>
      <c r="AS187" s="439"/>
      <c r="AT187" s="439"/>
      <c r="AV187" s="324" t="str">
        <f t="shared" si="30"/>
        <v>Export wether grid (4)</v>
      </c>
      <c r="AY187" s="315">
        <f t="shared" ca="1" si="31"/>
        <v>1</v>
      </c>
      <c r="AZ187" s="325">
        <f t="shared" ca="1" si="32"/>
        <v>103.34061503440209</v>
      </c>
      <c r="BA187" s="325">
        <f t="shared" ca="1" si="33"/>
        <v>103.34061503440209</v>
      </c>
    </row>
    <row r="188" spans="1:58" outlineLevel="3" x14ac:dyDescent="0.25">
      <c r="A188" s="45"/>
      <c r="B188" s="54"/>
      <c r="C188" s="87">
        <f t="shared" si="34"/>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2"/>
      <c r="Y188" s="592">
        <f>MROUND(1.33*26.5*Y$189,5)</f>
        <v>130</v>
      </c>
      <c r="Z188" s="591">
        <f>AVERAGE(Z$183,Z$189)</f>
        <v>0.7077277859184703</v>
      </c>
      <c r="AA188" s="591">
        <f>AVERAGE(AA$183,AA$189)</f>
        <v>1.2690000000000001</v>
      </c>
      <c r="AB188" s="96">
        <v>1</v>
      </c>
      <c r="AC188" s="591">
        <f>AVERAGE(AC$183,AC$189)</f>
        <v>0.78100000000000003</v>
      </c>
      <c r="AD188" s="591">
        <f>AVERAGE(AD$183,AD$189)</f>
        <v>1.4387386197122198</v>
      </c>
      <c r="AE188" s="147" t="s">
        <v>244</v>
      </c>
      <c r="AF188" s="148">
        <v>3</v>
      </c>
      <c r="AG188" s="149">
        <v>0.05</v>
      </c>
      <c r="AH188" s="148">
        <f>0.17+0.79</f>
        <v>0.96000000000000008</v>
      </c>
      <c r="AI188" s="148">
        <v>0.2</v>
      </c>
      <c r="AJ188" s="148"/>
      <c r="AK188" s="150">
        <v>4.4999999999999997E-3</v>
      </c>
      <c r="AL188" s="151">
        <f t="shared" si="29"/>
        <v>4.16</v>
      </c>
      <c r="AM188" s="152">
        <f t="shared" si="29"/>
        <v>5.45E-2</v>
      </c>
      <c r="AN188" s="73"/>
      <c r="AO188" s="57"/>
      <c r="AP188" s="45"/>
      <c r="AQ188" s="45"/>
      <c r="AR188" s="45"/>
      <c r="AS188" s="439"/>
      <c r="AT188" s="439"/>
      <c r="AV188" s="324" t="str">
        <f t="shared" si="30"/>
        <v>Breeder grid (5)</v>
      </c>
      <c r="AY188" s="315">
        <f t="shared" ca="1" si="31"/>
        <v>1</v>
      </c>
      <c r="AZ188" s="325">
        <f t="shared" ca="1" si="32"/>
        <v>130</v>
      </c>
      <c r="BA188" s="325">
        <f t="shared" ca="1" si="33"/>
        <v>130</v>
      </c>
      <c r="BD188" s="325">
        <f ca="1">AZ188*(1+AVERAGE($J$279:$U$279))*($M$238/$N$238)</f>
        <v>109.45161290322579</v>
      </c>
      <c r="BE188" t="s">
        <v>2308</v>
      </c>
    </row>
    <row r="189" spans="1:58" outlineLevel="3" x14ac:dyDescent="0.25">
      <c r="A189" s="45"/>
      <c r="B189" s="54"/>
      <c r="C189" s="87">
        <f t="shared" si="34"/>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2">
        <v>3.99</v>
      </c>
      <c r="Y189" s="419">
        <f>X189/(1+AVERAGEIF(INDEX(i_salep_months_priceadj_s7s9p4,1+$E189*2,0),"&lt;&gt;-1"))</f>
        <v>3.6661218629701886</v>
      </c>
      <c r="Z189" s="310">
        <v>0.63909774436090228</v>
      </c>
      <c r="AA189" s="310">
        <v>1.3480000000000001</v>
      </c>
      <c r="AB189" s="132">
        <v>1</v>
      </c>
      <c r="AC189" s="310">
        <v>0.76200000000000001</v>
      </c>
      <c r="AD189" s="310">
        <v>1.5563909774436091</v>
      </c>
      <c r="AE189" s="156" t="s">
        <v>244</v>
      </c>
      <c r="AF189" s="157">
        <v>3</v>
      </c>
      <c r="AG189" s="158">
        <v>0.05</v>
      </c>
      <c r="AH189" s="157">
        <f>0.17+0.79</f>
        <v>0.96000000000000008</v>
      </c>
      <c r="AI189" s="157">
        <v>0.2</v>
      </c>
      <c r="AJ189" s="157"/>
      <c r="AK189" s="159">
        <v>4.4999999999999997E-3</v>
      </c>
      <c r="AL189" s="160">
        <f t="shared" si="29"/>
        <v>4.16</v>
      </c>
      <c r="AM189" s="161">
        <f t="shared" si="29"/>
        <v>5.45E-2</v>
      </c>
      <c r="AN189" s="73"/>
      <c r="AO189" s="57"/>
      <c r="AP189" s="45"/>
      <c r="AQ189" s="45"/>
      <c r="AR189" s="45"/>
      <c r="AS189" s="439"/>
      <c r="AT189" s="439"/>
      <c r="AV189" s="324" t="str">
        <f t="shared" si="30"/>
        <v>Mutton grid (6)</v>
      </c>
      <c r="AY189" s="315">
        <f t="shared" ca="1" si="31"/>
        <v>1</v>
      </c>
      <c r="AZ189" s="325">
        <f t="shared" ca="1" si="32"/>
        <v>3.6661218629701886</v>
      </c>
      <c r="BA189" s="325">
        <f t="shared" ca="1" si="33"/>
        <v>3.6661218629701886</v>
      </c>
      <c r="BD189" s="325">
        <f ca="1">BE189*0.42*BA189</f>
        <v>76.988559122373957</v>
      </c>
      <c r="BE189">
        <v>50</v>
      </c>
      <c r="BF189" t="s">
        <v>2796</v>
      </c>
    </row>
    <row r="190" spans="1:58" outlineLevel="3" x14ac:dyDescent="0.25">
      <c r="A190" s="45"/>
      <c r="B190" s="54"/>
      <c r="C190" s="87">
        <f t="shared" si="34"/>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1">
        <f>0.5*X189</f>
        <v>1.9950000000000001</v>
      </c>
      <c r="Y190" s="420">
        <f>X190/(1+AVERAGEIF(INDEX(i_salep_months_priceadj_s7s9p4,1+$E190*2,0),"&lt;&gt;-1"))</f>
        <v>1.9950000000000001</v>
      </c>
      <c r="Z190" s="590">
        <f>AVERAGE(Z$183,Z$189)</f>
        <v>0.7077277859184703</v>
      </c>
      <c r="AA190" s="590">
        <f>AVERAGE(AA$183,AA$189)</f>
        <v>1.2690000000000001</v>
      </c>
      <c r="AB190" s="166">
        <v>1</v>
      </c>
      <c r="AC190" s="590">
        <f>AVERAGE(AC$183,AC$189)</f>
        <v>0.78100000000000003</v>
      </c>
      <c r="AD190" s="590">
        <f>AVERAGE(AD$183,AD$189)</f>
        <v>1.4387386197122198</v>
      </c>
      <c r="AE190" s="167" t="s">
        <v>244</v>
      </c>
      <c r="AF190" s="164">
        <v>3</v>
      </c>
      <c r="AG190" s="168">
        <v>0.05</v>
      </c>
      <c r="AH190" s="164">
        <f>0.17+0.79</f>
        <v>0.96000000000000008</v>
      </c>
      <c r="AI190" s="164">
        <v>0.2</v>
      </c>
      <c r="AJ190" s="164"/>
      <c r="AK190" s="169">
        <v>4.4999999999999997E-3</v>
      </c>
      <c r="AL190" s="166">
        <f t="shared" si="29"/>
        <v>4.16</v>
      </c>
      <c r="AM190" s="170">
        <f t="shared" si="29"/>
        <v>5.45E-2</v>
      </c>
      <c r="AN190" s="73"/>
      <c r="AO190" s="57"/>
      <c r="AP190" s="45"/>
      <c r="AQ190" s="45"/>
      <c r="AR190" s="45"/>
      <c r="AS190" s="439"/>
      <c r="AT190" s="439"/>
      <c r="AV190" s="326" t="str">
        <f t="shared" si="30"/>
        <v>Ram grid (7)</v>
      </c>
      <c r="AW190" s="318"/>
      <c r="AX190" s="318"/>
      <c r="AY190" s="319">
        <f t="shared" ca="1" si="31"/>
        <v>1</v>
      </c>
      <c r="AZ190" s="327">
        <f t="shared" ca="1" si="32"/>
        <v>1.9950000000000001</v>
      </c>
      <c r="BA190" s="327">
        <f t="shared" ca="1" si="33"/>
        <v>1.9950000000000001</v>
      </c>
    </row>
    <row r="191" spans="1:58" outlineLevel="3" x14ac:dyDescent="0.25">
      <c r="A191" s="45"/>
      <c r="B191" s="54"/>
      <c r="C191" s="87">
        <f t="shared" si="34"/>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9"/>
      <c r="AT191" s="439"/>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9"/>
      <c r="AT192" s="439"/>
      <c r="AW192" t="s">
        <v>233</v>
      </c>
      <c r="AX192" s="436">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9"/>
      <c r="AT193" s="439"/>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9"/>
      <c r="AT194" s="439" t="s">
        <v>2801</v>
      </c>
      <c r="AW194" s="437" t="str">
        <f t="array" ref="AW194:BD194">TRANSPOSE(AV183:AV190)</f>
        <v>Lamb grid (0)</v>
      </c>
      <c r="AX194" s="437" t="str">
        <v>empty grid (1)</v>
      </c>
      <c r="AY194" s="437" t="str">
        <v>empty grid (2)</v>
      </c>
      <c r="AZ194" s="437" t="str">
        <v>Yearling grid (3)</v>
      </c>
      <c r="BA194" s="437" t="str">
        <v>Export wether grid (4)</v>
      </c>
      <c r="BB194" s="438" t="str">
        <v>Breeder grid (5)</v>
      </c>
      <c r="BC194" s="438" t="str">
        <v>Mutton grid (6)</v>
      </c>
      <c r="BD194" s="438"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9"/>
      <c r="AT195" s="439"/>
      <c r="AW195" s="435">
        <v>0.44</v>
      </c>
      <c r="AX195" s="435">
        <v>0.42</v>
      </c>
      <c r="AY195" s="435">
        <v>0.42</v>
      </c>
      <c r="AZ195" s="435">
        <v>0.42</v>
      </c>
      <c r="BA195" s="435">
        <v>1</v>
      </c>
      <c r="BB195" s="435">
        <v>1</v>
      </c>
      <c r="BC195" s="435">
        <v>0.42</v>
      </c>
      <c r="BD195" s="435">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2228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9"/>
      <c r="AT196" s="439"/>
      <c r="AV196" s="173">
        <v>25</v>
      </c>
      <c r="AW196" s="441">
        <f t="array" aca="1" ref="AW196" ca="1">AW210*AW223*INDEX($BA$183:$BA$190,AW$207,1)*$AV196*AW$195</f>
        <v>44.936697642048117</v>
      </c>
      <c r="AX196" s="441">
        <f t="array" aca="1" ref="AX196" ca="1">AX210*AX223*INDEX($BA$183:$BA$190,AX$207,1)*$AV196*AX$195</f>
        <v>0</v>
      </c>
      <c r="AY196" s="441">
        <f t="array" aca="1" ref="AY196" ca="1">AY210*AY223*INDEX($BA$183:$BA$190,AY$207,1)*$AV196*AY$195</f>
        <v>0</v>
      </c>
      <c r="AZ196" s="441">
        <f t="array" aca="1" ref="AZ196" ca="1">AZ210*AZ223*INDEX($BA$183:$BA$190,AZ$207,1)*$AV196*AZ$195</f>
        <v>22.2082382083771</v>
      </c>
      <c r="BA196" s="441">
        <f t="array" aca="1" ref="BA196" ca="1">BA210*BA223*INDEX($BA$183:$BA$190,BA$207,1)</f>
        <v>22.558022989939918</v>
      </c>
      <c r="BB196" s="441">
        <f t="array" aca="1" ref="BB196" ca="1">BB210*BB223*INDEX($BA$183:$BA$190,BB$207,1)</f>
        <v>121.61290322580645</v>
      </c>
      <c r="BC196" s="441">
        <f t="array" aca="1" ref="BC196" ca="1">BC210*BC223*INDEX($BA$183:$BA$190,BC$207,1)*$AV196*BC$195</f>
        <v>22.2082382083771</v>
      </c>
      <c r="BD196" s="441">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69"/>
      <c r="AI197" s="469"/>
      <c r="AJ197" s="469"/>
      <c r="AK197" s="469"/>
      <c r="AL197" s="469"/>
      <c r="AM197" s="469"/>
      <c r="AN197" s="73"/>
      <c r="AO197" s="57"/>
      <c r="AP197" s="45"/>
      <c r="AQ197" s="45"/>
      <c r="AR197" s="45"/>
      <c r="AS197" s="439"/>
      <c r="AT197" s="439"/>
      <c r="AV197" s="173">
        <v>35</v>
      </c>
      <c r="AW197" s="441">
        <f t="array" aca="1" ref="AW197" ca="1">AW211*AW224*INDEX($BA$183:$BA$190,AW$207,1)*$AV197*AW$195</f>
        <v>62.911376698867358</v>
      </c>
      <c r="AX197" s="441">
        <f t="array" aca="1" ref="AX197" ca="1">AX211*AX224*INDEX($BA$183:$BA$190,AX$207,1)*$AV197*AX$195</f>
        <v>0</v>
      </c>
      <c r="AY197" s="441">
        <f t="array" aca="1" ref="AY197" ca="1">AY211*AY224*INDEX($BA$183:$BA$190,AY$207,1)*$AV197*AY$195</f>
        <v>0</v>
      </c>
      <c r="AZ197" s="441">
        <f t="array" aca="1" ref="AZ197" ca="1">AZ211*AZ224*INDEX($BA$183:$BA$190,AZ$207,1)*$AV197*AZ$195</f>
        <v>45.600915787867656</v>
      </c>
      <c r="BA197" s="441">
        <f t="array" aca="1" ref="BA197" ca="1">BA211*BA224*INDEX($BA$183:$BA$190,BA$207,1)</f>
        <v>72.33843052408146</v>
      </c>
      <c r="BB197" s="441">
        <f t="array" aca="1" ref="BB197" ca="1">BB211*BB224*INDEX($BA$183:$BA$190,BB$207,1)</f>
        <v>121.61290322580645</v>
      </c>
      <c r="BC197" s="441">
        <f t="array" aca="1" ref="BC197" ca="1">BC211*BC224*INDEX($BA$183:$BA$190,BC$207,1)*$AV197*BC$195</f>
        <v>45.600915787867656</v>
      </c>
      <c r="BD197" s="441">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2">
        <v>3.6</v>
      </c>
      <c r="K198" s="443">
        <v>5</v>
      </c>
      <c r="L198" s="443">
        <v>5</v>
      </c>
      <c r="M198" s="443">
        <v>5</v>
      </c>
      <c r="N198" s="444">
        <v>3.6</v>
      </c>
      <c r="O198" s="445">
        <v>0</v>
      </c>
      <c r="P198" s="174"/>
      <c r="Q198" s="619">
        <v>0.8</v>
      </c>
      <c r="R198" s="389">
        <v>0.70809675221439938</v>
      </c>
      <c r="S198" s="389">
        <v>0.70809675221439938</v>
      </c>
      <c r="T198" s="389">
        <v>0.70809675221439938</v>
      </c>
      <c r="U198" s="390">
        <v>0.95133819951338194</v>
      </c>
      <c r="V198" s="175">
        <v>0</v>
      </c>
      <c r="W198" s="174"/>
      <c r="X198" s="388">
        <v>0.88462809917355367</v>
      </c>
      <c r="Y198" s="389">
        <v>1</v>
      </c>
      <c r="Z198" s="389">
        <v>1</v>
      </c>
      <c r="AA198" s="389">
        <v>1</v>
      </c>
      <c r="AB198" s="390">
        <v>0.89564738292011015</v>
      </c>
      <c r="AC198" s="175">
        <v>0</v>
      </c>
      <c r="AD198" s="76"/>
      <c r="AE198" s="440"/>
      <c r="AF198" s="440"/>
      <c r="AG198" s="76"/>
      <c r="AH198" s="76"/>
      <c r="AI198" s="76"/>
      <c r="AJ198" s="76"/>
      <c r="AK198" s="76"/>
      <c r="AL198" s="76"/>
      <c r="AM198" s="76"/>
      <c r="AN198" s="73"/>
      <c r="AO198" s="57"/>
      <c r="AP198" s="45"/>
      <c r="AQ198" s="45"/>
      <c r="AR198" s="45"/>
      <c r="AS198" s="439"/>
      <c r="AT198" s="439"/>
      <c r="AV198" s="173">
        <v>40</v>
      </c>
      <c r="AW198" s="441">
        <f t="array" aca="1" ref="AW198" ca="1">AW212*AW225*INDEX($BA$183:$BA$190,AW$207,1)*$AV198*AW$195</f>
        <v>91.384185003233256</v>
      </c>
      <c r="AX198" s="441">
        <f t="array" aca="1" ref="AX198" ca="1">AX212*AX225*INDEX($BA$183:$BA$190,AX$207,1)*$AV198*AX$195</f>
        <v>0</v>
      </c>
      <c r="AY198" s="441">
        <f t="array" aca="1" ref="AY198" ca="1">AY212*AY225*INDEX($BA$183:$BA$190,AY$207,1)*$AV198*AY$195</f>
        <v>0</v>
      </c>
      <c r="AZ198" s="441">
        <f t="array" aca="1" ref="AZ198" ca="1">AZ212*AZ225*INDEX($BA$183:$BA$190,AZ$207,1)*$AV198*AZ$195</f>
        <v>52.115332328991606</v>
      </c>
      <c r="BA198" s="441">
        <f t="array" aca="1" ref="BA198" ca="1">BA212*BA225*INDEX($BA$183:$BA$190,BA$207,1)</f>
        <v>79.227804859708257</v>
      </c>
      <c r="BB198" s="441">
        <f t="array" aca="1" ref="BB198" ca="1">BB212*BB225*INDEX($BA$183:$BA$190,BB$207,1)</f>
        <v>121.61290322580645</v>
      </c>
      <c r="BC198" s="441">
        <f t="array" aca="1" ref="BC198" ca="1">BC212*BC225*INDEX($BA$183:$BA$190,BC$207,1)*$AV198*BC$195</f>
        <v>52.115332328991606</v>
      </c>
      <c r="BD198" s="441">
        <f t="array" aca="1" ref="BD198" ca="1">BD212*BD225*INDEX($BA$183:$BA$190,BD$207,1)*$AV198*BD$195</f>
        <v>16.758000000000003</v>
      </c>
    </row>
    <row r="199" spans="1:56" outlineLevel="3" x14ac:dyDescent="0.25">
      <c r="A199" s="45"/>
      <c r="B199" s="54"/>
      <c r="C199" s="87">
        <f t="shared" ref="C199:C205" si="37">INT($C$167)+3</f>
        <v>4</v>
      </c>
      <c r="D199" s="73"/>
      <c r="E199" s="70">
        <f t="shared" ref="E199:F205" si="38">E198</f>
        <v>0</v>
      </c>
      <c r="F199" s="70">
        <f t="shared" si="38"/>
        <v>0</v>
      </c>
      <c r="G199" s="73"/>
      <c r="H199" s="176" t="str">
        <f>INDEX($M$175:$M$177,INDEX(i_salep_price_type_s7,$F199+1,1)+1,1)&amp;INDEX($L$175:$L$177,INDEX(ia_s8_s7,$F199+1,1)+1,1)</f>
        <v>$/kg DW, DW - Fat score</v>
      </c>
      <c r="I199" s="173">
        <v>16.100000000000001</v>
      </c>
      <c r="J199" s="446">
        <v>4.4000000000000004</v>
      </c>
      <c r="K199" s="447">
        <v>5.6</v>
      </c>
      <c r="L199" s="447">
        <v>5.6</v>
      </c>
      <c r="M199" s="447">
        <v>5.6</v>
      </c>
      <c r="N199" s="448">
        <v>3.6</v>
      </c>
      <c r="O199" s="445">
        <v>0</v>
      </c>
      <c r="P199" s="174"/>
      <c r="Q199" s="391">
        <f>Q200*0.9</f>
        <v>0.86159999999999992</v>
      </c>
      <c r="R199" s="392">
        <f>R200*0.9</f>
        <v>0.9</v>
      </c>
      <c r="S199" s="392">
        <f>S200*0.9</f>
        <v>0.9</v>
      </c>
      <c r="T199" s="392">
        <f>T200*0.9</f>
        <v>0.9</v>
      </c>
      <c r="U199" s="393">
        <f>U200*0.9</f>
        <v>0.85620437956204376</v>
      </c>
      <c r="V199" s="175">
        <v>0</v>
      </c>
      <c r="W199" s="174"/>
      <c r="X199" s="391">
        <v>0.8040891961755271</v>
      </c>
      <c r="Y199" s="392">
        <v>1</v>
      </c>
      <c r="Z199" s="392">
        <v>1</v>
      </c>
      <c r="AA199" s="392">
        <v>1</v>
      </c>
      <c r="AB199" s="393">
        <v>0.76100470273132148</v>
      </c>
      <c r="AC199" s="175">
        <v>0</v>
      </c>
      <c r="AD199" s="76"/>
      <c r="AE199" s="440"/>
      <c r="AF199" s="440"/>
      <c r="AG199" s="76"/>
      <c r="AH199" s="76"/>
      <c r="AI199" s="76"/>
      <c r="AJ199" s="76"/>
      <c r="AK199" s="76"/>
      <c r="AL199" s="76"/>
      <c r="AM199" s="76"/>
      <c r="AN199" s="73"/>
      <c r="AO199" s="57"/>
      <c r="AP199" s="45"/>
      <c r="AQ199" s="45"/>
      <c r="AR199" s="45"/>
      <c r="AS199" s="439"/>
      <c r="AT199" s="439"/>
      <c r="AV199" s="173">
        <v>45</v>
      </c>
      <c r="AW199" s="441">
        <f t="array" aca="1" ref="AW199" ca="1">AW213*AW226*INDEX($BA$183:$BA$190,AW$207,1)*$AV199*AW$195</f>
        <v>114.23023125404156</v>
      </c>
      <c r="AX199" s="441">
        <f t="array" aca="1" ref="AX199" ca="1">AX213*AX226*INDEX($BA$183:$BA$190,AX$207,1)*$AV199*AX$195</f>
        <v>0</v>
      </c>
      <c r="AY199" s="441">
        <f t="array" aca="1" ref="AY199" ca="1">AY213*AY226*INDEX($BA$183:$BA$190,AY$207,1)*$AV199*AY$195</f>
        <v>0</v>
      </c>
      <c r="AZ199" s="441">
        <f t="array" aca="1" ref="AZ199" ca="1">AZ213*AZ226*INDEX($BA$183:$BA$190,AZ$207,1)*$AV199*AZ$195</f>
        <v>69.289703210136565</v>
      </c>
      <c r="BA199" s="441">
        <f t="array" aca="1" ref="BA199" ca="1">BA213*BA226*INDEX($BA$183:$BA$190,BA$207,1)</f>
        <v>85.256007403381744</v>
      </c>
      <c r="BB199" s="441">
        <f t="array" aca="1" ref="BB199" ca="1">BB213*BB226*INDEX($BA$183:$BA$190,BB$207,1)</f>
        <v>121.61290322580645</v>
      </c>
      <c r="BC199" s="441">
        <f t="array" aca="1" ref="BC199" ca="1">BC213*BC226*INDEX($BA$183:$BA$190,BC$207,1)*$AV199*BC$195</f>
        <v>69.289703210136565</v>
      </c>
      <c r="BD199" s="441">
        <f t="array" aca="1" ref="BD199" ca="1">BD213*BD226*INDEX($BA$183:$BA$190,BD$207,1)*$AV199*BD$195</f>
        <v>18.85275</v>
      </c>
    </row>
    <row r="200" spans="1:56" outlineLevel="3" x14ac:dyDescent="0.25">
      <c r="A200" s="45"/>
      <c r="B200" s="54"/>
      <c r="C200" s="87">
        <f t="shared" si="37"/>
        <v>4</v>
      </c>
      <c r="D200" s="73"/>
      <c r="E200" s="70">
        <f t="shared" si="38"/>
        <v>0</v>
      </c>
      <c r="F200" s="70">
        <f t="shared" si="38"/>
        <v>0</v>
      </c>
      <c r="G200" s="73"/>
      <c r="H200" s="97" t="s">
        <v>2573</v>
      </c>
      <c r="I200" s="173">
        <v>18.100000000000001</v>
      </c>
      <c r="J200" s="446">
        <v>4.8</v>
      </c>
      <c r="K200" s="447">
        <v>6.8</v>
      </c>
      <c r="L200" s="447">
        <v>6.8</v>
      </c>
      <c r="M200" s="447">
        <v>6.8</v>
      </c>
      <c r="N200" s="448">
        <v>3.6</v>
      </c>
      <c r="O200" s="445">
        <v>0</v>
      </c>
      <c r="P200" s="174"/>
      <c r="Q200" s="391">
        <v>0.95733333333333326</v>
      </c>
      <c r="R200" s="392">
        <v>1</v>
      </c>
      <c r="S200" s="392">
        <v>1</v>
      </c>
      <c r="T200" s="392">
        <v>1</v>
      </c>
      <c r="U200" s="393">
        <v>0.95133819951338194</v>
      </c>
      <c r="V200" s="175">
        <v>0</v>
      </c>
      <c r="W200" s="174"/>
      <c r="X200" s="618">
        <v>0.73</v>
      </c>
      <c r="Y200" s="392">
        <v>1</v>
      </c>
      <c r="Z200" s="392">
        <v>1</v>
      </c>
      <c r="AA200" s="392">
        <v>1</v>
      </c>
      <c r="AB200" s="393">
        <v>0.63046029222499811</v>
      </c>
      <c r="AC200" s="175">
        <v>0</v>
      </c>
      <c r="AD200" s="76"/>
      <c r="AE200" s="440"/>
      <c r="AF200" s="440"/>
      <c r="AG200" s="76"/>
      <c r="AH200" s="76"/>
      <c r="AI200" s="76"/>
      <c r="AJ200" s="76"/>
      <c r="AK200" s="76"/>
      <c r="AL200" s="76"/>
      <c r="AM200" s="76"/>
      <c r="AN200" s="73"/>
      <c r="AO200" s="57"/>
      <c r="AP200" s="45"/>
      <c r="AQ200" s="45"/>
      <c r="AR200" s="45"/>
      <c r="AS200" s="439"/>
      <c r="AT200" s="439"/>
      <c r="AV200" s="173">
        <v>50</v>
      </c>
      <c r="AW200" s="441">
        <f t="array" aca="1" ref="AW200" ca="1">AW214*AW227*INDEX($BA$183:$BA$190,AW$207,1)*$AV200*AW$195</f>
        <v>126.92247917115729</v>
      </c>
      <c r="AX200" s="441">
        <f t="array" aca="1" ref="AX200" ca="1">AX214*AX227*INDEX($BA$183:$BA$190,AX$207,1)*$AV200*AX$195</f>
        <v>0</v>
      </c>
      <c r="AY200" s="441">
        <f t="array" aca="1" ref="AY200" ca="1">AY214*AY227*INDEX($BA$183:$BA$190,AY$207,1)*$AV200*AY$195</f>
        <v>0</v>
      </c>
      <c r="AZ200" s="441">
        <f t="array" aca="1" ref="AZ200" ca="1">AZ214*AZ227*INDEX($BA$183:$BA$190,AZ$207,1)*$AV200*AZ$195</f>
        <v>76.988559122373957</v>
      </c>
      <c r="BA200" s="441">
        <f t="array" aca="1" ref="BA200" ca="1">BA214*BA227*INDEX($BA$183:$BA$190,BA$207,1)</f>
        <v>90.423038155101835</v>
      </c>
      <c r="BB200" s="441">
        <f t="array" aca="1" ref="BB200" ca="1">BB214*BB227*INDEX($BA$183:$BA$190,BB$207,1)</f>
        <v>121.61290322580645</v>
      </c>
      <c r="BC200" s="441">
        <f t="array" aca="1" ref="BC200" ca="1">BC214*BC227*INDEX($BA$183:$BA$190,BC$207,1)*$AV200*BC$195</f>
        <v>76.988559122373957</v>
      </c>
      <c r="BD200" s="441">
        <f t="array" aca="1" ref="BD200" ca="1">BD214*BD227*INDEX($BA$183:$BA$190,BD$207,1)*$AV200*BD$195</f>
        <v>20.947499999999998</v>
      </c>
    </row>
    <row r="201" spans="1:56" outlineLevel="3" x14ac:dyDescent="0.25">
      <c r="A201" s="45"/>
      <c r="B201" s="54"/>
      <c r="C201" s="87">
        <f t="shared" si="37"/>
        <v>4</v>
      </c>
      <c r="D201" s="73"/>
      <c r="E201" s="70">
        <f t="shared" si="38"/>
        <v>0</v>
      </c>
      <c r="F201" s="70">
        <f t="shared" si="38"/>
        <v>0</v>
      </c>
      <c r="G201" s="73"/>
      <c r="H201" s="97" t="s">
        <v>255</v>
      </c>
      <c r="I201" s="173">
        <v>28.1</v>
      </c>
      <c r="J201" s="446">
        <v>4.3</v>
      </c>
      <c r="K201" s="447">
        <v>5.3</v>
      </c>
      <c r="L201" s="447">
        <v>5.3</v>
      </c>
      <c r="M201" s="447">
        <v>5.3</v>
      </c>
      <c r="N201" s="448">
        <v>3.6</v>
      </c>
      <c r="O201" s="445">
        <v>0</v>
      </c>
      <c r="P201" s="174"/>
      <c r="Q201" s="391">
        <v>0.92261111111111116</v>
      </c>
      <c r="R201" s="392">
        <v>0.87592003768474347</v>
      </c>
      <c r="S201" s="392">
        <v>0.87592003768474347</v>
      </c>
      <c r="T201" s="392">
        <v>0.87592003768474347</v>
      </c>
      <c r="U201" s="393">
        <v>0.95133819951338194</v>
      </c>
      <c r="V201" s="175">
        <v>0</v>
      </c>
      <c r="W201" s="174"/>
      <c r="X201" s="391">
        <v>0.76440403426850423</v>
      </c>
      <c r="Y201" s="392">
        <v>1</v>
      </c>
      <c r="Z201" s="392">
        <v>1</v>
      </c>
      <c r="AA201" s="392">
        <v>1</v>
      </c>
      <c r="AB201" s="393">
        <v>0.71534869594928063</v>
      </c>
      <c r="AC201" s="175">
        <v>0</v>
      </c>
      <c r="AD201" s="76"/>
      <c r="AE201" s="440"/>
      <c r="AF201" s="440"/>
      <c r="AG201" s="76"/>
      <c r="AH201" s="76"/>
      <c r="AI201" s="76"/>
      <c r="AJ201" s="76"/>
      <c r="AK201" s="76"/>
      <c r="AL201" s="76"/>
      <c r="AM201" s="76"/>
      <c r="AN201" s="73"/>
      <c r="AO201" s="57"/>
      <c r="AP201" s="45"/>
      <c r="AQ201" s="45"/>
      <c r="AR201" s="45"/>
      <c r="AS201" s="439"/>
      <c r="AT201" s="439"/>
      <c r="AV201" s="173">
        <v>55</v>
      </c>
      <c r="AW201" s="441">
        <f t="array" aca="1" ref="AW201" ca="1">AW215*AW228*INDEX($BA$183:$BA$190,AW$207,1)*$AV201*AW$195</f>
        <v>139.61472708827301</v>
      </c>
      <c r="AX201" s="441">
        <f t="array" aca="1" ref="AX201" ca="1">AX215*AX228*INDEX($BA$183:$BA$190,AX$207,1)*$AV201*AX$195</f>
        <v>0</v>
      </c>
      <c r="AY201" s="441">
        <f t="array" aca="1" ref="AY201" ca="1">AY215*AY228*INDEX($BA$183:$BA$190,AY$207,1)*$AV201*AY$195</f>
        <v>0</v>
      </c>
      <c r="AZ201" s="441">
        <f t="array" aca="1" ref="AZ201" ca="1">AZ215*AZ228*INDEX($BA$183:$BA$190,AZ$207,1)*$AV201*AZ$195</f>
        <v>84.687415034611348</v>
      </c>
      <c r="BA201" s="441">
        <f t="array" aca="1" ref="BA201" ca="1">BA215*BA228*INDEX($BA$183:$BA$190,BA$207,1)</f>
        <v>94.728897114868573</v>
      </c>
      <c r="BB201" s="441">
        <f t="array" aca="1" ref="BB201" ca="1">BB215*BB228*INDEX($BA$183:$BA$190,BB$207,1)</f>
        <v>121.61290322580645</v>
      </c>
      <c r="BC201" s="441">
        <f t="array" aca="1" ref="BC201" ca="1">BC215*BC228*INDEX($BA$183:$BA$190,BC$207,1)*$AV201*BC$195</f>
        <v>84.687415034611348</v>
      </c>
      <c r="BD201" s="441">
        <f t="array" aca="1" ref="BD201" ca="1">BD215*BD228*INDEX($BA$183:$BA$190,BD$207,1)*$AV201*BD$195</f>
        <v>23.042249999999999</v>
      </c>
    </row>
    <row r="202" spans="1:56" outlineLevel="3" x14ac:dyDescent="0.25">
      <c r="A202" s="45"/>
      <c r="B202" s="54"/>
      <c r="C202" s="87">
        <f t="shared" si="37"/>
        <v>4</v>
      </c>
      <c r="D202" s="73"/>
      <c r="E202" s="70">
        <f t="shared" si="38"/>
        <v>0</v>
      </c>
      <c r="F202" s="70">
        <f t="shared" si="38"/>
        <v>0</v>
      </c>
      <c r="G202" s="73"/>
      <c r="H202" s="76"/>
      <c r="I202" s="173">
        <v>31.1</v>
      </c>
      <c r="J202" s="446">
        <v>4</v>
      </c>
      <c r="K202" s="447">
        <v>5</v>
      </c>
      <c r="L202" s="447">
        <v>5</v>
      </c>
      <c r="M202" s="447">
        <v>5</v>
      </c>
      <c r="N202" s="448">
        <v>3.6</v>
      </c>
      <c r="O202" s="445">
        <v>0</v>
      </c>
      <c r="P202" s="174"/>
      <c r="Q202" s="391">
        <v>0.87644444444444447</v>
      </c>
      <c r="R202" s="392">
        <v>0.75088954500719218</v>
      </c>
      <c r="S202" s="392">
        <v>0.75088954500719218</v>
      </c>
      <c r="T202" s="392">
        <v>0.75088954500719218</v>
      </c>
      <c r="U202" s="393">
        <v>0.94890510948905105</v>
      </c>
      <c r="V202" s="175">
        <v>0</v>
      </c>
      <c r="W202" s="174"/>
      <c r="X202" s="391">
        <v>0.8666666666666667</v>
      </c>
      <c r="Y202" s="392">
        <v>1</v>
      </c>
      <c r="Z202" s="392">
        <v>1</v>
      </c>
      <c r="AA202" s="392">
        <v>1</v>
      </c>
      <c r="AB202" s="393">
        <v>0.84952380952380946</v>
      </c>
      <c r="AC202" s="175">
        <v>0</v>
      </c>
      <c r="AD202" s="76"/>
      <c r="AE202" s="440"/>
      <c r="AF202" s="440"/>
      <c r="AG202" s="76"/>
      <c r="AH202" s="76"/>
      <c r="AI202" s="76"/>
      <c r="AJ202" s="76"/>
      <c r="AK202" s="76"/>
      <c r="AL202" s="76"/>
      <c r="AM202" s="76"/>
      <c r="AN202" s="73"/>
      <c r="AO202" s="57"/>
      <c r="AP202" s="45"/>
      <c r="AQ202" s="45"/>
      <c r="AR202" s="45"/>
      <c r="AS202" s="439"/>
      <c r="AT202" s="439"/>
      <c r="AV202" s="173">
        <v>60</v>
      </c>
      <c r="AW202" s="441">
        <f t="array" aca="1" ref="AW202" ca="1">AW216*AW229*INDEX($BA$183:$BA$190,AW$207,1)*$AV202*AW$195</f>
        <v>152.30697500538875</v>
      </c>
      <c r="AX202" s="441">
        <f t="array" aca="1" ref="AX202" ca="1">AX216*AX229*INDEX($BA$183:$BA$190,AX$207,1)*$AV202*AX$195</f>
        <v>0</v>
      </c>
      <c r="AY202" s="441">
        <f t="array" aca="1" ref="AY202" ca="1">AY216*AY229*INDEX($BA$183:$BA$190,AY$207,1)*$AV202*AY$195</f>
        <v>0</v>
      </c>
      <c r="AZ202" s="441">
        <f t="array" aca="1" ref="AZ202" ca="1">AZ216*AZ229*INDEX($BA$183:$BA$190,AZ$207,1)*$AV202*AZ$195</f>
        <v>92.386270946848754</v>
      </c>
      <c r="BA202" s="441">
        <f t="array" aca="1" ref="BA202" ca="1">BA216*BA229*INDEX($BA$183:$BA$190,BA$207,1)</f>
        <v>103.34061503440209</v>
      </c>
      <c r="BB202" s="441">
        <f t="array" aca="1" ref="BB202" ca="1">BB216*BB229*INDEX($BA$183:$BA$190,BB$207,1)</f>
        <v>121.61290322580645</v>
      </c>
      <c r="BC202" s="441">
        <f t="array" aca="1" ref="BC202" ca="1">BC216*BC229*INDEX($BA$183:$BA$190,BC$207,1)*$AV202*BC$195</f>
        <v>92.386270946848754</v>
      </c>
      <c r="BD202" s="441">
        <f t="array" aca="1" ref="BD202" ca="1">BD216*BD229*INDEX($BA$183:$BA$190,BD$207,1)*$AV202*BD$195</f>
        <v>25.137</v>
      </c>
    </row>
    <row r="203" spans="1:56" outlineLevel="3" x14ac:dyDescent="0.25">
      <c r="A203" s="45"/>
      <c r="B203" s="54"/>
      <c r="C203" s="87">
        <f t="shared" si="37"/>
        <v>4</v>
      </c>
      <c r="D203" s="73"/>
      <c r="E203" s="70">
        <f t="shared" si="38"/>
        <v>0</v>
      </c>
      <c r="F203" s="70">
        <f t="shared" si="38"/>
        <v>0</v>
      </c>
      <c r="G203" s="73"/>
      <c r="H203" s="76"/>
      <c r="I203" s="173">
        <f t="shared" ref="I203:N204" si="39">I202</f>
        <v>31.1</v>
      </c>
      <c r="J203" s="446">
        <f t="shared" si="39"/>
        <v>4</v>
      </c>
      <c r="K203" s="447">
        <f t="shared" si="39"/>
        <v>5</v>
      </c>
      <c r="L203" s="447">
        <f t="shared" si="39"/>
        <v>5</v>
      </c>
      <c r="M203" s="447">
        <f t="shared" si="39"/>
        <v>5</v>
      </c>
      <c r="N203" s="448">
        <f t="shared" si="39"/>
        <v>3.6</v>
      </c>
      <c r="O203" s="445">
        <v>0</v>
      </c>
      <c r="P203" s="174"/>
      <c r="Q203" s="391">
        <f t="shared" ref="Q203:U204" si="40">Q202</f>
        <v>0.87644444444444447</v>
      </c>
      <c r="R203" s="392">
        <f t="shared" si="40"/>
        <v>0.75088954500719218</v>
      </c>
      <c r="S203" s="392">
        <f t="shared" si="40"/>
        <v>0.75088954500719218</v>
      </c>
      <c r="T203" s="392">
        <f t="shared" si="40"/>
        <v>0.75088954500719218</v>
      </c>
      <c r="U203" s="393">
        <f t="shared" si="40"/>
        <v>0.94890510948905105</v>
      </c>
      <c r="V203" s="175">
        <v>0</v>
      </c>
      <c r="W203" s="174"/>
      <c r="X203" s="391">
        <f t="shared" ref="X203:AB204" si="41">X202</f>
        <v>0.8666666666666667</v>
      </c>
      <c r="Y203" s="392">
        <f t="shared" si="41"/>
        <v>1</v>
      </c>
      <c r="Z203" s="392">
        <f t="shared" si="41"/>
        <v>1</v>
      </c>
      <c r="AA203" s="392">
        <f t="shared" si="41"/>
        <v>1</v>
      </c>
      <c r="AB203" s="393">
        <f t="shared" si="41"/>
        <v>0.84952380952380946</v>
      </c>
      <c r="AC203" s="175">
        <v>0</v>
      </c>
      <c r="AD203" s="76"/>
      <c r="AE203" s="440"/>
      <c r="AF203" s="440"/>
      <c r="AG203" s="76"/>
      <c r="AH203" s="76"/>
      <c r="AI203" s="76"/>
      <c r="AJ203" s="76"/>
      <c r="AK203" s="76"/>
      <c r="AL203" s="76"/>
      <c r="AM203" s="76"/>
      <c r="AN203" s="73"/>
      <c r="AO203" s="57"/>
      <c r="AP203" s="45"/>
      <c r="AQ203" s="45"/>
      <c r="AR203" s="45"/>
      <c r="AS203" s="439"/>
      <c r="AT203" s="439"/>
      <c r="AV203" s="173">
        <v>65</v>
      </c>
      <c r="AW203" s="441">
        <f t="array" aca="1" ref="AW203" ca="1">AW217*AW230*INDEX($BA$183:$BA$190,AW$207,1)*$AV203*AW$195</f>
        <v>144.52612556023351</v>
      </c>
      <c r="AX203" s="441">
        <f t="array" aca="1" ref="AX203" ca="1">AX217*AX230*INDEX($BA$183:$BA$190,AX$207,1)*$AV203*AX$195</f>
        <v>0</v>
      </c>
      <c r="AY203" s="441">
        <f t="array" aca="1" ref="AY203" ca="1">AY217*AY230*INDEX($BA$183:$BA$190,AY$207,1)*$AV203*AY$195</f>
        <v>0</v>
      </c>
      <c r="AZ203" s="441">
        <f t="array" aca="1" ref="AZ203" ca="1">AZ217*AZ230*INDEX($BA$183:$BA$190,AZ$207,1)*$AV203*AZ$195</f>
        <v>100.08512685908615</v>
      </c>
      <c r="BA203" s="441">
        <f t="array" aca="1" ref="BA203" ca="1">BA217*BA230*INDEX($BA$183:$BA$190,BA$207,1)</f>
        <v>103.34061503440209</v>
      </c>
      <c r="BB203" s="441">
        <f t="array" aca="1" ref="BB203" ca="1">BB217*BB230*INDEX($BA$183:$BA$190,BB$207,1)</f>
        <v>121.61290322580645</v>
      </c>
      <c r="BC203" s="441">
        <f t="array" aca="1" ref="BC203" ca="1">BC217*BC230*INDEX($BA$183:$BA$190,BC$207,1)*$AV203*BC$195</f>
        <v>100.08512685908615</v>
      </c>
      <c r="BD203" s="441">
        <f t="array" aca="1" ref="BD203" ca="1">BD217*BD230*INDEX($BA$183:$BA$190,BD$207,1)*$AV203*BD$195</f>
        <v>27.231750000000002</v>
      </c>
    </row>
    <row r="204" spans="1:56" outlineLevel="3" x14ac:dyDescent="0.25">
      <c r="A204" s="45"/>
      <c r="B204" s="54"/>
      <c r="C204" s="87">
        <f t="shared" si="37"/>
        <v>4</v>
      </c>
      <c r="D204" s="73"/>
      <c r="E204" s="70">
        <f t="shared" si="38"/>
        <v>0</v>
      </c>
      <c r="F204" s="70">
        <f t="shared" si="38"/>
        <v>0</v>
      </c>
      <c r="G204" s="73"/>
      <c r="H204" s="76"/>
      <c r="I204" s="173">
        <f t="shared" si="39"/>
        <v>31.1</v>
      </c>
      <c r="J204" s="449">
        <f t="shared" si="39"/>
        <v>4</v>
      </c>
      <c r="K204" s="450">
        <f t="shared" si="39"/>
        <v>5</v>
      </c>
      <c r="L204" s="450">
        <f t="shared" si="39"/>
        <v>5</v>
      </c>
      <c r="M204" s="450">
        <f t="shared" si="39"/>
        <v>5</v>
      </c>
      <c r="N204" s="451">
        <f t="shared" si="39"/>
        <v>3.6</v>
      </c>
      <c r="O204" s="445">
        <v>0</v>
      </c>
      <c r="P204" s="174"/>
      <c r="Q204" s="394">
        <f t="shared" si="40"/>
        <v>0.87644444444444447</v>
      </c>
      <c r="R204" s="395">
        <f t="shared" si="40"/>
        <v>0.75088954500719218</v>
      </c>
      <c r="S204" s="395">
        <f t="shared" si="40"/>
        <v>0.75088954500719218</v>
      </c>
      <c r="T204" s="395">
        <f t="shared" si="40"/>
        <v>0.75088954500719218</v>
      </c>
      <c r="U204" s="396">
        <f t="shared" si="40"/>
        <v>0.94890510948905105</v>
      </c>
      <c r="V204" s="175">
        <v>0</v>
      </c>
      <c r="W204" s="174"/>
      <c r="X204" s="394">
        <f t="shared" si="41"/>
        <v>0.8666666666666667</v>
      </c>
      <c r="Y204" s="395">
        <f t="shared" si="41"/>
        <v>1</v>
      </c>
      <c r="Z204" s="395">
        <f t="shared" si="41"/>
        <v>1</v>
      </c>
      <c r="AA204" s="395">
        <f t="shared" si="41"/>
        <v>1</v>
      </c>
      <c r="AB204" s="396">
        <f t="shared" si="41"/>
        <v>0.84952380952380946</v>
      </c>
      <c r="AC204" s="175">
        <v>0</v>
      </c>
      <c r="AD204" s="76"/>
      <c r="AE204" s="440"/>
      <c r="AF204" s="440"/>
      <c r="AG204" s="76"/>
      <c r="AH204" s="76"/>
      <c r="AI204" s="76"/>
      <c r="AJ204" s="76"/>
      <c r="AK204" s="76"/>
      <c r="AL204" s="76"/>
      <c r="AM204" s="76"/>
      <c r="AN204" s="73"/>
      <c r="AO204" s="57"/>
      <c r="AP204" s="45"/>
      <c r="AQ204" s="45"/>
      <c r="AR204" s="45"/>
      <c r="AS204" s="439"/>
      <c r="AT204" s="439"/>
      <c r="AV204" s="173">
        <v>70</v>
      </c>
      <c r="AW204" s="441">
        <f t="array" aca="1" ref="AW204" ca="1">AW218*AW231*INDEX($BA$183:$BA$190,AW$207,1)*$AV204*AW$195</f>
        <v>155.64351983409762</v>
      </c>
      <c r="AX204" s="441">
        <f t="array" aca="1" ref="AX204" ca="1">AX218*AX231*INDEX($BA$183:$BA$190,AX$207,1)*$AV204*AX$195</f>
        <v>0</v>
      </c>
      <c r="AY204" s="441">
        <f t="array" aca="1" ref="AY204" ca="1">AY218*AY231*INDEX($BA$183:$BA$190,AY$207,1)*$AV204*AY$195</f>
        <v>0</v>
      </c>
      <c r="AZ204" s="441">
        <f t="array" aca="1" ref="AZ204" ca="1">AZ218*AZ231*INDEX($BA$183:$BA$190,AZ$207,1)*$AV204*AZ$195</f>
        <v>107.78398277132355</v>
      </c>
      <c r="BA204" s="441">
        <f t="array" aca="1" ref="BA204" ca="1">BA218*BA231*INDEX($BA$183:$BA$190,BA$207,1)</f>
        <v>103.34061503440209</v>
      </c>
      <c r="BB204" s="441">
        <f t="array" aca="1" ref="BB204" ca="1">BB218*BB231*INDEX($BA$183:$BA$190,BB$207,1)</f>
        <v>121.61290322580645</v>
      </c>
      <c r="BC204" s="441">
        <f t="array" aca="1" ref="BC204" ca="1">BC218*BC231*INDEX($BA$183:$BA$190,BC$207,1)*$AV204*BC$195</f>
        <v>107.78398277132355</v>
      </c>
      <c r="BD204" s="441">
        <f t="array" aca="1" ref="BD204" ca="1">BD218*BD231*INDEX($BA$183:$BA$190,BD$207,1)*$AV204*BD$195</f>
        <v>29.326499999999999</v>
      </c>
    </row>
    <row r="205" spans="1:56" outlineLevel="3" x14ac:dyDescent="0.25">
      <c r="A205" s="45"/>
      <c r="B205" s="54"/>
      <c r="C205" s="87">
        <f t="shared" si="37"/>
        <v>4</v>
      </c>
      <c r="D205" s="73"/>
      <c r="E205" s="70">
        <f t="shared" si="38"/>
        <v>0</v>
      </c>
      <c r="F205" s="70">
        <f t="shared" si="38"/>
        <v>0</v>
      </c>
      <c r="G205" s="73"/>
      <c r="H205" s="76"/>
      <c r="I205" s="96">
        <v>1000</v>
      </c>
      <c r="J205" s="452">
        <v>0</v>
      </c>
      <c r="K205" s="452">
        <v>0</v>
      </c>
      <c r="L205" s="452">
        <v>0</v>
      </c>
      <c r="M205" s="452">
        <v>0</v>
      </c>
      <c r="N205" s="452">
        <v>0</v>
      </c>
      <c r="O205" s="453">
        <v>0</v>
      </c>
      <c r="P205" s="76"/>
      <c r="Q205" s="387">
        <v>0</v>
      </c>
      <c r="R205" s="387">
        <v>0</v>
      </c>
      <c r="S205" s="387">
        <v>0</v>
      </c>
      <c r="T205" s="387">
        <v>0</v>
      </c>
      <c r="U205" s="387">
        <v>0</v>
      </c>
      <c r="V205" s="79">
        <v>0</v>
      </c>
      <c r="W205" s="76"/>
      <c r="X205" s="387">
        <v>0</v>
      </c>
      <c r="Y205" s="387">
        <v>0</v>
      </c>
      <c r="Z205" s="387">
        <v>0</v>
      </c>
      <c r="AA205" s="387">
        <v>0</v>
      </c>
      <c r="AB205" s="387">
        <v>0</v>
      </c>
      <c r="AC205" s="79">
        <v>0</v>
      </c>
      <c r="AD205" s="76"/>
      <c r="AE205" s="76"/>
      <c r="AF205" s="76"/>
      <c r="AG205" s="76"/>
      <c r="AH205" s="76"/>
      <c r="AI205" s="76"/>
      <c r="AJ205" s="76"/>
      <c r="AK205" s="76"/>
      <c r="AL205" s="76"/>
      <c r="AM205" s="76"/>
      <c r="AN205" s="73"/>
      <c r="AO205" s="57"/>
      <c r="AP205" s="45"/>
      <c r="AQ205" s="45"/>
      <c r="AR205" s="45"/>
      <c r="AS205" s="439"/>
      <c r="AT205" s="439"/>
    </row>
    <row r="206" spans="1:56" outlineLevel="2" collapsed="1" x14ac:dyDescent="0.25">
      <c r="A206" s="45"/>
      <c r="B206" s="54"/>
      <c r="C206" s="87">
        <f>INT($C$167)+2</f>
        <v>3</v>
      </c>
      <c r="D206" s="73"/>
      <c r="E206" s="70">
        <v>1</v>
      </c>
      <c r="F206" s="70">
        <f>E206</f>
        <v>1</v>
      </c>
      <c r="G206" s="73"/>
      <c r="H206" s="96" t="str">
        <f>INDEX($H$183:$H$190,$E206+1,1)</f>
        <v>empty grid (1)</v>
      </c>
      <c r="I206" s="173">
        <v>10</v>
      </c>
      <c r="J206" s="442">
        <v>1</v>
      </c>
      <c r="K206" s="443">
        <v>2</v>
      </c>
      <c r="L206" s="443">
        <v>2</v>
      </c>
      <c r="M206" s="443">
        <v>2</v>
      </c>
      <c r="N206" s="444">
        <v>1</v>
      </c>
      <c r="O206" s="445">
        <v>0</v>
      </c>
      <c r="P206" s="174"/>
      <c r="Q206" s="388">
        <v>0.85133333333333328</v>
      </c>
      <c r="R206" s="389">
        <v>0.70809675221439938</v>
      </c>
      <c r="S206" s="389">
        <v>0.70809675221439938</v>
      </c>
      <c r="T206" s="389">
        <v>0.70809675221439938</v>
      </c>
      <c r="U206" s="390">
        <v>0.95133819951338194</v>
      </c>
      <c r="V206" s="175">
        <v>0</v>
      </c>
      <c r="W206" s="174"/>
      <c r="X206" s="388">
        <v>0.88462809917355367</v>
      </c>
      <c r="Y206" s="389">
        <v>1</v>
      </c>
      <c r="Z206" s="389">
        <v>1</v>
      </c>
      <c r="AA206" s="389">
        <v>1</v>
      </c>
      <c r="AB206" s="390">
        <v>0.89564738292011015</v>
      </c>
      <c r="AC206" s="175">
        <v>0</v>
      </c>
      <c r="AD206" s="76"/>
      <c r="AE206" s="76"/>
      <c r="AF206" s="76"/>
      <c r="AG206" s="76"/>
      <c r="AH206" s="76"/>
      <c r="AI206" s="76"/>
      <c r="AJ206" s="76"/>
      <c r="AK206" s="76"/>
      <c r="AL206" s="76"/>
      <c r="AM206" s="76"/>
      <c r="AN206" s="73"/>
      <c r="AO206" s="57"/>
      <c r="AP206" s="45"/>
      <c r="AQ206" s="45"/>
      <c r="AR206" s="45"/>
      <c r="AS206" s="439"/>
      <c r="AT206" s="439"/>
    </row>
    <row r="207" spans="1:56" hidden="1" outlineLevel="3" x14ac:dyDescent="0.25">
      <c r="A207" s="45"/>
      <c r="B207" s="54"/>
      <c r="C207" s="87">
        <f t="shared" ref="C207:C213" si="42">INT($C$167)+3</f>
        <v>4</v>
      </c>
      <c r="D207" s="73"/>
      <c r="E207" s="70"/>
      <c r="F207" s="70">
        <f t="shared" ref="F207:F213" si="43">F206</f>
        <v>1</v>
      </c>
      <c r="G207" s="73"/>
      <c r="H207" s="176" t="str">
        <f>INDEX($M$175:$M$177,INDEX(i_salep_price_type_s7,$F207+1,1)+1,1)&amp;INDEX($L$175:$L$177,INDEX(ia_s8_s7,$F207+1,1)+1,1)</f>
        <v>$/kg DW, DW - Fat score</v>
      </c>
      <c r="I207" s="173">
        <v>16.100000000000001</v>
      </c>
      <c r="J207" s="446">
        <v>3</v>
      </c>
      <c r="K207" s="447">
        <v>5.5</v>
      </c>
      <c r="L207" s="447">
        <v>5.5</v>
      </c>
      <c r="M207" s="447">
        <v>5.5</v>
      </c>
      <c r="N207" s="448">
        <v>3</v>
      </c>
      <c r="O207" s="445">
        <v>0</v>
      </c>
      <c r="P207" s="174"/>
      <c r="Q207" s="391">
        <v>0.95733333333333326</v>
      </c>
      <c r="R207" s="392">
        <v>1</v>
      </c>
      <c r="S207" s="392">
        <v>1</v>
      </c>
      <c r="T207" s="392">
        <v>1</v>
      </c>
      <c r="U207" s="393">
        <v>0.95133819951338194</v>
      </c>
      <c r="V207" s="175">
        <v>0</v>
      </c>
      <c r="W207" s="174"/>
      <c r="X207" s="391">
        <v>0.8040891961755271</v>
      </c>
      <c r="Y207" s="392">
        <v>1</v>
      </c>
      <c r="Z207" s="392">
        <v>1</v>
      </c>
      <c r="AA207" s="392">
        <v>1</v>
      </c>
      <c r="AB207" s="393">
        <v>0.76100470273132148</v>
      </c>
      <c r="AC207" s="175">
        <v>0</v>
      </c>
      <c r="AD207" s="76"/>
      <c r="AE207" s="76"/>
      <c r="AF207" s="76"/>
      <c r="AG207" s="76"/>
      <c r="AH207" s="76"/>
      <c r="AI207" s="76"/>
      <c r="AJ207" s="76"/>
      <c r="AK207" s="76"/>
      <c r="AL207" s="76"/>
      <c r="AM207" s="76"/>
      <c r="AN207" s="73"/>
      <c r="AO207" s="57"/>
      <c r="AP207" s="45"/>
      <c r="AQ207" s="45"/>
      <c r="AR207" s="45"/>
      <c r="AS207" s="439"/>
      <c r="AT207" s="439"/>
      <c r="AW207">
        <v>1</v>
      </c>
      <c r="AX207">
        <v>2</v>
      </c>
      <c r="AY207">
        <v>3</v>
      </c>
      <c r="AZ207">
        <v>4</v>
      </c>
      <c r="BA207">
        <v>5</v>
      </c>
      <c r="BB207">
        <v>6</v>
      </c>
      <c r="BC207">
        <v>7</v>
      </c>
      <c r="BD207">
        <v>8</v>
      </c>
    </row>
    <row r="208" spans="1:56" hidden="1" outlineLevel="3" x14ac:dyDescent="0.25">
      <c r="A208" s="45"/>
      <c r="B208" s="54"/>
      <c r="C208" s="87">
        <f t="shared" si="42"/>
        <v>4</v>
      </c>
      <c r="D208" s="73"/>
      <c r="E208" s="70"/>
      <c r="F208" s="70">
        <f t="shared" si="43"/>
        <v>1</v>
      </c>
      <c r="G208" s="73"/>
      <c r="H208" s="97" t="s">
        <v>2574</v>
      </c>
      <c r="I208" s="173">
        <v>18.100000000000001</v>
      </c>
      <c r="J208" s="446">
        <v>5</v>
      </c>
      <c r="K208" s="447">
        <v>6</v>
      </c>
      <c r="L208" s="447">
        <v>6</v>
      </c>
      <c r="M208" s="447">
        <v>6</v>
      </c>
      <c r="N208" s="448">
        <v>5</v>
      </c>
      <c r="O208" s="445">
        <v>0</v>
      </c>
      <c r="P208" s="174"/>
      <c r="Q208" s="391">
        <v>0.92261111111111116</v>
      </c>
      <c r="R208" s="392">
        <v>0.87592003768474347</v>
      </c>
      <c r="S208" s="392">
        <v>0.87592003768474347</v>
      </c>
      <c r="T208" s="392">
        <v>0.87592003768474347</v>
      </c>
      <c r="U208" s="393">
        <v>0.95133819951338194</v>
      </c>
      <c r="V208" s="175">
        <v>0</v>
      </c>
      <c r="W208" s="174"/>
      <c r="X208" s="391">
        <v>0.69242982478276593</v>
      </c>
      <c r="Y208" s="392">
        <v>1</v>
      </c>
      <c r="Z208" s="392">
        <v>1</v>
      </c>
      <c r="AA208" s="392">
        <v>1</v>
      </c>
      <c r="AB208" s="393">
        <v>0.63046029222499811</v>
      </c>
      <c r="AC208" s="175">
        <v>0</v>
      </c>
      <c r="AD208" s="76"/>
      <c r="AE208" s="76"/>
      <c r="AF208" s="76"/>
      <c r="AG208" s="76"/>
      <c r="AH208" s="76"/>
      <c r="AI208" s="76"/>
      <c r="AJ208" s="76"/>
      <c r="AK208" s="76"/>
      <c r="AL208" s="76"/>
      <c r="AM208" s="76"/>
      <c r="AN208" s="73"/>
      <c r="AO208" s="57"/>
      <c r="AP208" s="45"/>
      <c r="AQ208" s="45"/>
      <c r="AR208" s="45"/>
      <c r="AS208" s="439"/>
      <c r="AT208" s="439" t="s">
        <v>2797</v>
      </c>
      <c r="AW208" s="437" t="str">
        <f t="array" ref="AW208:BD208">TRANSPOSE(AV183:AV190)</f>
        <v>Lamb grid (0)</v>
      </c>
      <c r="AX208" s="437" t="str">
        <v>empty grid (1)</v>
      </c>
      <c r="AY208" s="437" t="str">
        <v>empty grid (2)</v>
      </c>
      <c r="AZ208" s="437" t="str">
        <v>Yearling grid (3)</v>
      </c>
      <c r="BA208" s="437" t="str">
        <v>Export wether grid (4)</v>
      </c>
      <c r="BB208" s="438" t="str">
        <v>Breeder grid (5)</v>
      </c>
      <c r="BC208" s="438" t="str">
        <v>Mutton grid (6)</v>
      </c>
      <c r="BD208" s="438" t="str">
        <v>Ram grid (7)</v>
      </c>
    </row>
    <row r="209" spans="1:56" hidden="1" outlineLevel="3" x14ac:dyDescent="0.25">
      <c r="A209" s="45"/>
      <c r="B209" s="54"/>
      <c r="C209" s="87">
        <f t="shared" si="42"/>
        <v>4</v>
      </c>
      <c r="D209" s="73"/>
      <c r="E209" s="70"/>
      <c r="F209" s="70">
        <f t="shared" si="43"/>
        <v>1</v>
      </c>
      <c r="G209" s="73"/>
      <c r="H209" s="76"/>
      <c r="I209" s="173">
        <v>28.1</v>
      </c>
      <c r="J209" s="446">
        <v>5.2</v>
      </c>
      <c r="K209" s="447">
        <v>6.8</v>
      </c>
      <c r="L209" s="447">
        <v>6.8</v>
      </c>
      <c r="M209" s="447">
        <v>6.8</v>
      </c>
      <c r="N209" s="448">
        <v>5.2</v>
      </c>
      <c r="O209" s="445">
        <v>0</v>
      </c>
      <c r="P209" s="174"/>
      <c r="Q209" s="391">
        <v>0.92261111111111116</v>
      </c>
      <c r="R209" s="392">
        <v>0.87592003768474347</v>
      </c>
      <c r="S209" s="392">
        <v>0.87592003768474347</v>
      </c>
      <c r="T209" s="392">
        <v>0.87592003768474347</v>
      </c>
      <c r="U209" s="393">
        <v>0.95133819951338194</v>
      </c>
      <c r="V209" s="175">
        <v>0</v>
      </c>
      <c r="W209" s="174"/>
      <c r="X209" s="391">
        <v>0.76440403426850423</v>
      </c>
      <c r="Y209" s="392">
        <v>1</v>
      </c>
      <c r="Z209" s="392">
        <v>1</v>
      </c>
      <c r="AA209" s="392">
        <v>1</v>
      </c>
      <c r="AB209" s="393">
        <v>0.71534869594928063</v>
      </c>
      <c r="AC209" s="175">
        <v>0</v>
      </c>
      <c r="AD209" s="76"/>
      <c r="AE209" s="76"/>
      <c r="AF209" s="76"/>
      <c r="AG209" s="76"/>
      <c r="AH209" s="76"/>
      <c r="AI209" s="76"/>
      <c r="AJ209" s="76"/>
      <c r="AK209" s="76"/>
      <c r="AL209" s="76"/>
      <c r="AM209" s="76"/>
      <c r="AN209" s="73"/>
      <c r="AO209" s="57"/>
      <c r="AP209" s="45"/>
      <c r="AQ209" s="45"/>
      <c r="AR209" s="45"/>
      <c r="AS209" s="439"/>
      <c r="AT209" s="439"/>
      <c r="AW209" s="435">
        <v>0.44</v>
      </c>
      <c r="AX209" s="435">
        <v>0.42</v>
      </c>
      <c r="AY209" s="435">
        <v>0.42</v>
      </c>
      <c r="AZ209" s="435">
        <v>0.42</v>
      </c>
      <c r="BA209" s="435">
        <v>1</v>
      </c>
      <c r="BB209" s="435">
        <v>1</v>
      </c>
      <c r="BC209" s="435">
        <v>0.42</v>
      </c>
      <c r="BD209" s="435">
        <v>0.42</v>
      </c>
    </row>
    <row r="210" spans="1:56" hidden="1" outlineLevel="3" x14ac:dyDescent="0.25">
      <c r="A210" s="45"/>
      <c r="B210" s="54"/>
      <c r="C210" s="87">
        <f t="shared" si="42"/>
        <v>4</v>
      </c>
      <c r="D210" s="73"/>
      <c r="E210" s="70"/>
      <c r="F210" s="70">
        <f t="shared" si="43"/>
        <v>1</v>
      </c>
      <c r="G210" s="73"/>
      <c r="H210" s="76"/>
      <c r="I210" s="173">
        <v>31.1</v>
      </c>
      <c r="J210" s="446">
        <v>5</v>
      </c>
      <c r="K210" s="447">
        <v>6.6</v>
      </c>
      <c r="L210" s="447">
        <v>6.6</v>
      </c>
      <c r="M210" s="447">
        <v>6.6</v>
      </c>
      <c r="N210" s="448">
        <v>5</v>
      </c>
      <c r="O210" s="445">
        <v>0</v>
      </c>
      <c r="P210" s="174"/>
      <c r="Q210" s="391">
        <v>0.87644444444444447</v>
      </c>
      <c r="R210" s="392">
        <v>0.75088954500719218</v>
      </c>
      <c r="S210" s="392">
        <v>0.75088954500719218</v>
      </c>
      <c r="T210" s="392">
        <v>0.75088954500719218</v>
      </c>
      <c r="U210" s="393">
        <v>0.94890510948905105</v>
      </c>
      <c r="V210" s="175">
        <v>0</v>
      </c>
      <c r="W210" s="174"/>
      <c r="X210" s="391">
        <v>0.8666666666666667</v>
      </c>
      <c r="Y210" s="392">
        <v>1</v>
      </c>
      <c r="Z210" s="392">
        <v>1</v>
      </c>
      <c r="AA210" s="392">
        <v>1</v>
      </c>
      <c r="AB210" s="393">
        <v>0.84952380952380946</v>
      </c>
      <c r="AC210" s="175">
        <v>0</v>
      </c>
      <c r="AD210" s="76"/>
      <c r="AE210" s="76"/>
      <c r="AF210" s="76"/>
      <c r="AG210" s="76"/>
      <c r="AH210" s="76"/>
      <c r="AI210" s="76"/>
      <c r="AJ210" s="76"/>
      <c r="AK210" s="76"/>
      <c r="AL210" s="76"/>
      <c r="AM210" s="76"/>
      <c r="AN210" s="73"/>
      <c r="AO210" s="57"/>
      <c r="AP210" s="45"/>
      <c r="AQ210" s="45"/>
      <c r="AR210" s="45"/>
      <c r="AS210" s="439"/>
      <c r="AT210" s="439"/>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25">
      <c r="A211" s="45"/>
      <c r="B211" s="54"/>
      <c r="C211" s="87">
        <f t="shared" si="42"/>
        <v>4</v>
      </c>
      <c r="D211" s="73"/>
      <c r="E211" s="70"/>
      <c r="F211" s="70">
        <f t="shared" si="43"/>
        <v>1</v>
      </c>
      <c r="G211" s="73"/>
      <c r="H211" s="76"/>
      <c r="I211" s="173">
        <f>I210</f>
        <v>31.1</v>
      </c>
      <c r="J211" s="446">
        <v>5</v>
      </c>
      <c r="K211" s="447">
        <v>6</v>
      </c>
      <c r="L211" s="447">
        <v>6</v>
      </c>
      <c r="M211" s="447">
        <v>6</v>
      </c>
      <c r="N211" s="448">
        <v>5</v>
      </c>
      <c r="O211" s="445">
        <v>0</v>
      </c>
      <c r="P211" s="174"/>
      <c r="Q211" s="391">
        <v>0.87644444444444447</v>
      </c>
      <c r="R211" s="392">
        <v>0.75088954500719218</v>
      </c>
      <c r="S211" s="392">
        <v>0.75088954500719218</v>
      </c>
      <c r="T211" s="392">
        <v>0.75088954500719218</v>
      </c>
      <c r="U211" s="393">
        <v>0.94890510948905105</v>
      </c>
      <c r="V211" s="175">
        <v>0</v>
      </c>
      <c r="W211" s="174"/>
      <c r="X211" s="391">
        <v>0.8666666666666667</v>
      </c>
      <c r="Y211" s="392">
        <v>1</v>
      </c>
      <c r="Z211" s="392">
        <v>1</v>
      </c>
      <c r="AA211" s="392">
        <v>1</v>
      </c>
      <c r="AB211" s="393">
        <v>0.84952380952380946</v>
      </c>
      <c r="AC211" s="175">
        <v>0</v>
      </c>
      <c r="AD211" s="76"/>
      <c r="AE211" s="76"/>
      <c r="AF211" s="76"/>
      <c r="AG211" s="76"/>
      <c r="AH211" s="76"/>
      <c r="AI211" s="76"/>
      <c r="AJ211" s="76"/>
      <c r="AK211" s="76"/>
      <c r="AL211" s="76"/>
      <c r="AM211" s="76"/>
      <c r="AN211" s="73"/>
      <c r="AO211" s="57"/>
      <c r="AP211" s="45"/>
      <c r="AQ211" s="45"/>
      <c r="AR211" s="45"/>
      <c r="AS211" s="439"/>
      <c r="AT211" s="439"/>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25">
      <c r="A212" s="45"/>
      <c r="B212" s="54"/>
      <c r="C212" s="87">
        <f t="shared" si="42"/>
        <v>4</v>
      </c>
      <c r="D212" s="73"/>
      <c r="E212" s="70"/>
      <c r="F212" s="70">
        <f t="shared" si="43"/>
        <v>1</v>
      </c>
      <c r="G212" s="73"/>
      <c r="H212" s="76"/>
      <c r="I212" s="173">
        <f>I211</f>
        <v>31.1</v>
      </c>
      <c r="J212" s="449">
        <v>4.8</v>
      </c>
      <c r="K212" s="450">
        <v>5.8</v>
      </c>
      <c r="L212" s="450">
        <v>5.8</v>
      </c>
      <c r="M212" s="450">
        <v>5.8</v>
      </c>
      <c r="N212" s="451">
        <v>4.8</v>
      </c>
      <c r="O212" s="445">
        <v>0</v>
      </c>
      <c r="P212" s="174"/>
      <c r="Q212" s="394">
        <v>0.87644444444444447</v>
      </c>
      <c r="R212" s="395">
        <v>0.75088954500719218</v>
      </c>
      <c r="S212" s="395">
        <v>0.75088954500719218</v>
      </c>
      <c r="T212" s="395">
        <v>0.75088954500719218</v>
      </c>
      <c r="U212" s="396">
        <v>0.94890510948905105</v>
      </c>
      <c r="V212" s="175">
        <v>0</v>
      </c>
      <c r="W212" s="174"/>
      <c r="X212" s="394">
        <v>0.8666666666666667</v>
      </c>
      <c r="Y212" s="395">
        <v>1</v>
      </c>
      <c r="Z212" s="395">
        <v>1</v>
      </c>
      <c r="AA212" s="395">
        <v>1</v>
      </c>
      <c r="AB212" s="396">
        <v>0.84952380952380946</v>
      </c>
      <c r="AC212" s="175">
        <v>0</v>
      </c>
      <c r="AD212" s="76"/>
      <c r="AE212" s="76"/>
      <c r="AF212" s="76"/>
      <c r="AG212" s="76"/>
      <c r="AH212" s="76"/>
      <c r="AI212" s="76"/>
      <c r="AJ212" s="76"/>
      <c r="AK212" s="76"/>
      <c r="AL212" s="76"/>
      <c r="AM212" s="76"/>
      <c r="AN212" s="73"/>
      <c r="AO212" s="57"/>
      <c r="AP212" s="45"/>
      <c r="AQ212" s="45"/>
      <c r="AR212" s="45"/>
      <c r="AS212" s="439"/>
      <c r="AT212" s="439"/>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25">
      <c r="A213" s="45"/>
      <c r="B213" s="54"/>
      <c r="C213" s="87">
        <f t="shared" si="42"/>
        <v>4</v>
      </c>
      <c r="D213" s="73"/>
      <c r="E213" s="70"/>
      <c r="F213" s="70">
        <f t="shared" si="43"/>
        <v>1</v>
      </c>
      <c r="G213" s="73"/>
      <c r="H213" s="76"/>
      <c r="I213" s="96">
        <v>1000</v>
      </c>
      <c r="J213" s="452">
        <v>0</v>
      </c>
      <c r="K213" s="452">
        <v>0</v>
      </c>
      <c r="L213" s="452">
        <v>0</v>
      </c>
      <c r="M213" s="452">
        <v>0</v>
      </c>
      <c r="N213" s="452">
        <v>0</v>
      </c>
      <c r="O213" s="453">
        <v>0</v>
      </c>
      <c r="P213" s="76"/>
      <c r="Q213" s="387">
        <v>0</v>
      </c>
      <c r="R213" s="387">
        <v>0</v>
      </c>
      <c r="S213" s="387">
        <v>0</v>
      </c>
      <c r="T213" s="387">
        <v>0</v>
      </c>
      <c r="U213" s="387">
        <v>0</v>
      </c>
      <c r="V213" s="79">
        <v>0</v>
      </c>
      <c r="W213" s="76"/>
      <c r="X213" s="387">
        <v>0</v>
      </c>
      <c r="Y213" s="387">
        <v>0</v>
      </c>
      <c r="Z213" s="387">
        <v>0</v>
      </c>
      <c r="AA213" s="387">
        <v>0</v>
      </c>
      <c r="AB213" s="387">
        <v>0</v>
      </c>
      <c r="AC213" s="79">
        <v>0</v>
      </c>
      <c r="AD213" s="76"/>
      <c r="AE213" s="76"/>
      <c r="AF213" s="76"/>
      <c r="AG213" s="76"/>
      <c r="AH213" s="76"/>
      <c r="AI213" s="76"/>
      <c r="AJ213" s="76"/>
      <c r="AK213" s="76"/>
      <c r="AL213" s="76"/>
      <c r="AM213" s="76"/>
      <c r="AN213" s="73"/>
      <c r="AO213" s="57"/>
      <c r="AP213" s="45"/>
      <c r="AQ213" s="45"/>
      <c r="AR213" s="45"/>
      <c r="AS213" s="439"/>
      <c r="AT213" s="439"/>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collapsed="1" x14ac:dyDescent="0.25">
      <c r="A214" s="45"/>
      <c r="B214" s="54"/>
      <c r="C214" s="87">
        <f>INT($C$167)+2</f>
        <v>3</v>
      </c>
      <c r="D214" s="73"/>
      <c r="E214" s="70">
        <v>2</v>
      </c>
      <c r="F214" s="70">
        <f>E214</f>
        <v>2</v>
      </c>
      <c r="G214" s="73"/>
      <c r="H214" s="96" t="str">
        <f>INDEX($H$183:$H$190,$E214+1,1)</f>
        <v>empty grid (2)</v>
      </c>
      <c r="I214" s="173">
        <v>10</v>
      </c>
      <c r="J214" s="442">
        <v>1</v>
      </c>
      <c r="K214" s="443">
        <v>2</v>
      </c>
      <c r="L214" s="443">
        <v>2</v>
      </c>
      <c r="M214" s="443">
        <v>2</v>
      </c>
      <c r="N214" s="444">
        <v>1</v>
      </c>
      <c r="O214" s="445">
        <v>0</v>
      </c>
      <c r="P214" s="174"/>
      <c r="Q214" s="388">
        <v>0.95733333333333326</v>
      </c>
      <c r="R214" s="389">
        <v>1</v>
      </c>
      <c r="S214" s="389">
        <v>1</v>
      </c>
      <c r="T214" s="389">
        <v>1</v>
      </c>
      <c r="U214" s="390">
        <v>0.95133819951338194</v>
      </c>
      <c r="V214" s="175">
        <v>0</v>
      </c>
      <c r="W214" s="174"/>
      <c r="X214" s="388">
        <v>0.88462809917355367</v>
      </c>
      <c r="Y214" s="389">
        <v>1</v>
      </c>
      <c r="Z214" s="389">
        <v>1</v>
      </c>
      <c r="AA214" s="389">
        <v>1</v>
      </c>
      <c r="AB214" s="390">
        <v>0.89564738292011015</v>
      </c>
      <c r="AC214" s="175">
        <v>0</v>
      </c>
      <c r="AD214" s="76"/>
      <c r="AE214" s="76"/>
      <c r="AF214" s="76"/>
      <c r="AG214" s="76"/>
      <c r="AH214" s="76"/>
      <c r="AI214" s="76"/>
      <c r="AJ214" s="76"/>
      <c r="AK214" s="76"/>
      <c r="AL214" s="76"/>
      <c r="AM214" s="76"/>
      <c r="AN214" s="73"/>
      <c r="AO214" s="57"/>
      <c r="AP214" s="45"/>
      <c r="AQ214" s="45"/>
      <c r="AR214" s="45"/>
      <c r="AS214" s="439"/>
      <c r="AT214" s="439"/>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25">
      <c r="A215" s="45"/>
      <c r="B215" s="54"/>
      <c r="C215" s="87">
        <f t="shared" ref="C215:C221" si="44">INT($C$167)+3</f>
        <v>4</v>
      </c>
      <c r="D215" s="73"/>
      <c r="E215" s="70"/>
      <c r="F215" s="70">
        <f t="shared" ref="F215:F221" si="45">F214</f>
        <v>2</v>
      </c>
      <c r="G215" s="73"/>
      <c r="H215" s="176" t="str">
        <f>INDEX($M$175:$M$177,INDEX(i_salep_price_type_s7,$F215+1,1)+1,1)&amp;INDEX($L$175:$L$177,INDEX(ia_s8_s7,$F215+1,1)+1,1)</f>
        <v>$/kg DW, DW - Fat score</v>
      </c>
      <c r="I215" s="173">
        <v>16.100000000000001</v>
      </c>
      <c r="J215" s="446">
        <v>3</v>
      </c>
      <c r="K215" s="447">
        <v>5</v>
      </c>
      <c r="L215" s="447">
        <v>5</v>
      </c>
      <c r="M215" s="447">
        <v>5</v>
      </c>
      <c r="N215" s="448">
        <v>3</v>
      </c>
      <c r="O215" s="445">
        <v>0</v>
      </c>
      <c r="P215" s="174"/>
      <c r="Q215" s="391">
        <v>0.95733333333333326</v>
      </c>
      <c r="R215" s="392">
        <v>1</v>
      </c>
      <c r="S215" s="392">
        <v>1</v>
      </c>
      <c r="T215" s="392">
        <v>1</v>
      </c>
      <c r="U215" s="393">
        <v>0.95133819951338194</v>
      </c>
      <c r="V215" s="175">
        <v>0</v>
      </c>
      <c r="W215" s="174"/>
      <c r="X215" s="391">
        <v>0.8040891961755271</v>
      </c>
      <c r="Y215" s="392">
        <v>1</v>
      </c>
      <c r="Z215" s="392">
        <v>1</v>
      </c>
      <c r="AA215" s="392">
        <v>1</v>
      </c>
      <c r="AB215" s="393">
        <v>0.76100470273132148</v>
      </c>
      <c r="AC215" s="175">
        <v>0</v>
      </c>
      <c r="AD215" s="76"/>
      <c r="AE215" s="76"/>
      <c r="AF215" s="76"/>
      <c r="AG215" s="76"/>
      <c r="AH215" s="76"/>
      <c r="AI215" s="76"/>
      <c r="AJ215" s="76"/>
      <c r="AK215" s="76"/>
      <c r="AL215" s="76"/>
      <c r="AM215" s="76"/>
      <c r="AN215" s="73"/>
      <c r="AO215" s="57"/>
      <c r="AP215" s="45"/>
      <c r="AQ215" s="45"/>
      <c r="AR215" s="45"/>
      <c r="AS215" s="439"/>
      <c r="AT215" s="439"/>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25">
      <c r="A216" s="45"/>
      <c r="B216" s="54"/>
      <c r="C216" s="87">
        <f t="shared" si="44"/>
        <v>4</v>
      </c>
      <c r="D216" s="73"/>
      <c r="E216" s="70"/>
      <c r="F216" s="70">
        <f t="shared" si="45"/>
        <v>2</v>
      </c>
      <c r="G216" s="73"/>
      <c r="H216" s="97" t="s">
        <v>2574</v>
      </c>
      <c r="I216" s="173">
        <v>18.100000000000001</v>
      </c>
      <c r="J216" s="446">
        <v>4.5</v>
      </c>
      <c r="K216" s="447">
        <v>5.6</v>
      </c>
      <c r="L216" s="447">
        <v>5.6</v>
      </c>
      <c r="M216" s="447">
        <v>5.6</v>
      </c>
      <c r="N216" s="448">
        <v>4.5</v>
      </c>
      <c r="O216" s="445">
        <v>0</v>
      </c>
      <c r="P216" s="174"/>
      <c r="Q216" s="391">
        <v>0.95733333333333326</v>
      </c>
      <c r="R216" s="392">
        <v>1</v>
      </c>
      <c r="S216" s="392">
        <v>1</v>
      </c>
      <c r="T216" s="392">
        <v>1</v>
      </c>
      <c r="U216" s="393">
        <v>0.95133819951338194</v>
      </c>
      <c r="V216" s="175">
        <v>0</v>
      </c>
      <c r="W216" s="174"/>
      <c r="X216" s="391">
        <v>0.69242982478276593</v>
      </c>
      <c r="Y216" s="392">
        <v>1</v>
      </c>
      <c r="Z216" s="392">
        <v>1</v>
      </c>
      <c r="AA216" s="392">
        <v>1</v>
      </c>
      <c r="AB216" s="393">
        <v>0.63046029222499811</v>
      </c>
      <c r="AC216" s="175">
        <v>0</v>
      </c>
      <c r="AD216" s="76"/>
      <c r="AE216" s="76"/>
      <c r="AF216" s="76"/>
      <c r="AG216" s="76"/>
      <c r="AH216" s="76"/>
      <c r="AI216" s="76"/>
      <c r="AJ216" s="76"/>
      <c r="AK216" s="76"/>
      <c r="AL216" s="76"/>
      <c r="AM216" s="76"/>
      <c r="AN216" s="73"/>
      <c r="AO216" s="57"/>
      <c r="AP216" s="45"/>
      <c r="AQ216" s="45"/>
      <c r="AR216" s="45"/>
      <c r="AS216" s="439"/>
      <c r="AT216" s="439"/>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25">
      <c r="A217" s="45"/>
      <c r="B217" s="54"/>
      <c r="C217" s="87">
        <f t="shared" si="44"/>
        <v>4</v>
      </c>
      <c r="D217" s="73"/>
      <c r="E217" s="70"/>
      <c r="F217" s="70">
        <f t="shared" si="45"/>
        <v>2</v>
      </c>
      <c r="G217" s="73"/>
      <c r="H217" s="76"/>
      <c r="I217" s="173">
        <v>28.1</v>
      </c>
      <c r="J217" s="446">
        <v>5</v>
      </c>
      <c r="K217" s="447">
        <v>6.4</v>
      </c>
      <c r="L217" s="447">
        <v>6.4</v>
      </c>
      <c r="M217" s="447">
        <v>6.4</v>
      </c>
      <c r="N217" s="448">
        <v>5</v>
      </c>
      <c r="O217" s="445">
        <v>0</v>
      </c>
      <c r="P217" s="174"/>
      <c r="Q217" s="391">
        <v>0.92261111111111116</v>
      </c>
      <c r="R217" s="392">
        <v>0.87592003768474347</v>
      </c>
      <c r="S217" s="392">
        <v>0.87592003768474347</v>
      </c>
      <c r="T217" s="392">
        <v>0.87592003768474347</v>
      </c>
      <c r="U217" s="393">
        <v>0.95133819951338194</v>
      </c>
      <c r="V217" s="175">
        <v>0</v>
      </c>
      <c r="W217" s="174"/>
      <c r="X217" s="391">
        <v>0.76440403426850423</v>
      </c>
      <c r="Y217" s="392">
        <v>1</v>
      </c>
      <c r="Z217" s="392">
        <v>1</v>
      </c>
      <c r="AA217" s="392">
        <v>1</v>
      </c>
      <c r="AB217" s="393">
        <v>0.71534869594928063</v>
      </c>
      <c r="AC217" s="175">
        <v>0</v>
      </c>
      <c r="AD217" s="76"/>
      <c r="AE217" s="76"/>
      <c r="AF217" s="76"/>
      <c r="AG217" s="76"/>
      <c r="AH217" s="76"/>
      <c r="AI217" s="76"/>
      <c r="AJ217" s="76"/>
      <c r="AK217" s="76"/>
      <c r="AL217" s="76"/>
      <c r="AM217" s="76"/>
      <c r="AN217" s="73"/>
      <c r="AO217" s="57"/>
      <c r="AP217" s="45"/>
      <c r="AQ217" s="45"/>
      <c r="AR217" s="45"/>
      <c r="AS217" s="439"/>
      <c r="AT217" s="439"/>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25">
      <c r="A218" s="45"/>
      <c r="B218" s="54"/>
      <c r="C218" s="87">
        <f t="shared" si="44"/>
        <v>4</v>
      </c>
      <c r="D218" s="73"/>
      <c r="E218" s="70"/>
      <c r="F218" s="70">
        <f t="shared" si="45"/>
        <v>2</v>
      </c>
      <c r="G218" s="73"/>
      <c r="H218" s="76"/>
      <c r="I218" s="173">
        <v>31.1</v>
      </c>
      <c r="J218" s="446">
        <v>4.5999999999999996</v>
      </c>
      <c r="K218" s="447">
        <v>6.2</v>
      </c>
      <c r="L218" s="447">
        <v>6.2</v>
      </c>
      <c r="M218" s="447">
        <v>6.2</v>
      </c>
      <c r="N218" s="448">
        <v>4.5999999999999996</v>
      </c>
      <c r="O218" s="445">
        <v>0</v>
      </c>
      <c r="P218" s="174"/>
      <c r="Q218" s="391">
        <v>0.87644444444444447</v>
      </c>
      <c r="R218" s="392">
        <v>0.75088954500719218</v>
      </c>
      <c r="S218" s="392">
        <v>0.75088954500719218</v>
      </c>
      <c r="T218" s="392">
        <v>0.75088954500719218</v>
      </c>
      <c r="U218" s="393">
        <v>0.94890510948905105</v>
      </c>
      <c r="V218" s="175">
        <v>0</v>
      </c>
      <c r="W218" s="174"/>
      <c r="X218" s="391">
        <v>0.8666666666666667</v>
      </c>
      <c r="Y218" s="392">
        <v>1</v>
      </c>
      <c r="Z218" s="392">
        <v>1</v>
      </c>
      <c r="AA218" s="392">
        <v>1</v>
      </c>
      <c r="AB218" s="393">
        <v>0.84952380952380946</v>
      </c>
      <c r="AC218" s="175">
        <v>0</v>
      </c>
      <c r="AD218" s="76"/>
      <c r="AE218" s="76"/>
      <c r="AF218" s="76"/>
      <c r="AG218" s="76"/>
      <c r="AH218" s="76"/>
      <c r="AI218" s="76"/>
      <c r="AJ218" s="76"/>
      <c r="AK218" s="76"/>
      <c r="AL218" s="76"/>
      <c r="AM218" s="76"/>
      <c r="AN218" s="73"/>
      <c r="AO218" s="57"/>
      <c r="AP218" s="45"/>
      <c r="AQ218" s="45"/>
      <c r="AR218" s="45"/>
      <c r="AS218" s="439"/>
      <c r="AT218" s="439"/>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25">
      <c r="A219" s="45"/>
      <c r="B219" s="54"/>
      <c r="C219" s="87">
        <f t="shared" si="44"/>
        <v>4</v>
      </c>
      <c r="D219" s="73"/>
      <c r="E219" s="70"/>
      <c r="F219" s="70">
        <f t="shared" si="45"/>
        <v>2</v>
      </c>
      <c r="G219" s="73"/>
      <c r="H219" s="76"/>
      <c r="I219" s="173">
        <f>I218</f>
        <v>31.1</v>
      </c>
      <c r="J219" s="446">
        <v>4</v>
      </c>
      <c r="K219" s="447">
        <v>5.8</v>
      </c>
      <c r="L219" s="447">
        <v>5.8</v>
      </c>
      <c r="M219" s="447">
        <v>5.8</v>
      </c>
      <c r="N219" s="448">
        <v>4</v>
      </c>
      <c r="O219" s="445">
        <v>0</v>
      </c>
      <c r="P219" s="174"/>
      <c r="Q219" s="391">
        <v>0.87644444444444447</v>
      </c>
      <c r="R219" s="392">
        <v>0.75088954500719218</v>
      </c>
      <c r="S219" s="392">
        <v>0.75088954500719218</v>
      </c>
      <c r="T219" s="392">
        <v>0.75088954500719218</v>
      </c>
      <c r="U219" s="393">
        <v>0.94890510948905105</v>
      </c>
      <c r="V219" s="175">
        <v>0</v>
      </c>
      <c r="W219" s="174"/>
      <c r="X219" s="391">
        <v>0.8666666666666667</v>
      </c>
      <c r="Y219" s="392">
        <v>1</v>
      </c>
      <c r="Z219" s="392">
        <v>1</v>
      </c>
      <c r="AA219" s="392">
        <v>1</v>
      </c>
      <c r="AB219" s="393">
        <v>0.84952380952380946</v>
      </c>
      <c r="AC219" s="175">
        <v>0</v>
      </c>
      <c r="AD219" s="76"/>
      <c r="AE219" s="76"/>
      <c r="AF219" s="76"/>
      <c r="AG219" s="76"/>
      <c r="AH219" s="76"/>
      <c r="AI219" s="76"/>
      <c r="AJ219" s="76"/>
      <c r="AK219" s="76"/>
      <c r="AL219" s="76"/>
      <c r="AM219" s="76"/>
      <c r="AN219" s="73"/>
      <c r="AO219" s="57"/>
      <c r="AP219" s="45"/>
      <c r="AQ219" s="45"/>
      <c r="AR219" s="45"/>
      <c r="AS219" s="439"/>
      <c r="AT219" s="439"/>
    </row>
    <row r="220" spans="1:56" hidden="1" outlineLevel="3" x14ac:dyDescent="0.25">
      <c r="A220" s="45"/>
      <c r="B220" s="54"/>
      <c r="C220" s="87">
        <f t="shared" si="44"/>
        <v>4</v>
      </c>
      <c r="D220" s="73"/>
      <c r="E220" s="70"/>
      <c r="F220" s="70">
        <f t="shared" si="45"/>
        <v>2</v>
      </c>
      <c r="G220" s="73"/>
      <c r="H220" s="76"/>
      <c r="I220" s="173">
        <f>I219</f>
        <v>31.1</v>
      </c>
      <c r="J220" s="449">
        <v>4</v>
      </c>
      <c r="K220" s="450">
        <v>5.4</v>
      </c>
      <c r="L220" s="450">
        <v>5.4</v>
      </c>
      <c r="M220" s="450">
        <v>5.4</v>
      </c>
      <c r="N220" s="451">
        <v>4</v>
      </c>
      <c r="O220" s="445">
        <v>0</v>
      </c>
      <c r="P220" s="174"/>
      <c r="Q220" s="394">
        <v>0.87644444444444447</v>
      </c>
      <c r="R220" s="395">
        <v>0.75088954500719218</v>
      </c>
      <c r="S220" s="395">
        <v>0.75088954500719218</v>
      </c>
      <c r="T220" s="395">
        <v>0.75088954500719218</v>
      </c>
      <c r="U220" s="396">
        <v>0.94890510948905105</v>
      </c>
      <c r="V220" s="175">
        <v>0</v>
      </c>
      <c r="W220" s="174"/>
      <c r="X220" s="394">
        <v>0.8666666666666667</v>
      </c>
      <c r="Y220" s="395">
        <v>1</v>
      </c>
      <c r="Z220" s="395">
        <v>1</v>
      </c>
      <c r="AA220" s="395">
        <v>1</v>
      </c>
      <c r="AB220" s="396">
        <v>0.84952380952380946</v>
      </c>
      <c r="AC220" s="175">
        <v>0</v>
      </c>
      <c r="AD220" s="76"/>
      <c r="AE220" s="76"/>
      <c r="AF220" s="76"/>
      <c r="AG220" s="76"/>
      <c r="AH220" s="76"/>
      <c r="AI220" s="76"/>
      <c r="AJ220" s="76"/>
      <c r="AK220" s="76"/>
      <c r="AL220" s="76"/>
      <c r="AM220" s="76"/>
      <c r="AN220" s="73"/>
      <c r="AO220" s="57"/>
      <c r="AP220" s="45"/>
      <c r="AQ220" s="45"/>
      <c r="AR220" s="45"/>
      <c r="AS220" s="439"/>
      <c r="AT220" s="439"/>
      <c r="AW220">
        <v>1</v>
      </c>
      <c r="AX220">
        <v>2</v>
      </c>
      <c r="AY220">
        <v>3</v>
      </c>
      <c r="AZ220">
        <v>4</v>
      </c>
      <c r="BA220">
        <v>5</v>
      </c>
      <c r="BB220">
        <v>6</v>
      </c>
      <c r="BC220">
        <v>7</v>
      </c>
      <c r="BD220">
        <v>8</v>
      </c>
    </row>
    <row r="221" spans="1:56" hidden="1" outlineLevel="3" x14ac:dyDescent="0.25">
      <c r="A221" s="45"/>
      <c r="B221" s="54"/>
      <c r="C221" s="87">
        <f t="shared" si="44"/>
        <v>4</v>
      </c>
      <c r="D221" s="73"/>
      <c r="E221" s="70"/>
      <c r="F221" s="70">
        <f t="shared" si="45"/>
        <v>2</v>
      </c>
      <c r="G221" s="73"/>
      <c r="H221" s="76"/>
      <c r="I221" s="96">
        <v>1000</v>
      </c>
      <c r="J221" s="452">
        <v>0</v>
      </c>
      <c r="K221" s="452">
        <v>0</v>
      </c>
      <c r="L221" s="452">
        <v>0</v>
      </c>
      <c r="M221" s="452">
        <v>0</v>
      </c>
      <c r="N221" s="452">
        <v>0</v>
      </c>
      <c r="O221" s="453">
        <v>0</v>
      </c>
      <c r="P221" s="76"/>
      <c r="Q221" s="387">
        <v>0</v>
      </c>
      <c r="R221" s="387">
        <v>0</v>
      </c>
      <c r="S221" s="387">
        <v>0</v>
      </c>
      <c r="T221" s="387">
        <v>0</v>
      </c>
      <c r="U221" s="387">
        <v>0</v>
      </c>
      <c r="V221" s="79">
        <v>0</v>
      </c>
      <c r="W221" s="76"/>
      <c r="X221" s="387">
        <v>0</v>
      </c>
      <c r="Y221" s="387">
        <v>0</v>
      </c>
      <c r="Z221" s="387">
        <v>0</v>
      </c>
      <c r="AA221" s="387">
        <v>0</v>
      </c>
      <c r="AB221" s="387">
        <v>0</v>
      </c>
      <c r="AC221" s="79">
        <v>0</v>
      </c>
      <c r="AD221" s="76"/>
      <c r="AE221" s="76"/>
      <c r="AF221" s="76"/>
      <c r="AG221" s="76"/>
      <c r="AH221" s="76"/>
      <c r="AI221" s="76"/>
      <c r="AJ221" s="76"/>
      <c r="AK221" s="76"/>
      <c r="AL221" s="76"/>
      <c r="AM221" s="76"/>
      <c r="AN221" s="73"/>
      <c r="AO221" s="57"/>
      <c r="AP221" s="45"/>
      <c r="AQ221" s="45"/>
      <c r="AR221" s="45"/>
      <c r="AS221" s="439"/>
      <c r="AT221" s="439" t="s">
        <v>254</v>
      </c>
      <c r="AW221" s="437" t="str">
        <f t="array" ref="AW221:BD221">TRANSPOSE(AV183:AV190)</f>
        <v>Lamb grid (0)</v>
      </c>
      <c r="AX221" s="437" t="str">
        <v>empty grid (1)</v>
      </c>
      <c r="AY221" s="437" t="str">
        <v>empty grid (2)</v>
      </c>
      <c r="AZ221" s="437" t="str">
        <v>Yearling grid (3)</v>
      </c>
      <c r="BA221" s="437" t="str">
        <v>Export wether grid (4)</v>
      </c>
      <c r="BB221" s="438" t="str">
        <v>Breeder grid (5)</v>
      </c>
      <c r="BC221" s="438" t="str">
        <v>Mutton grid (6)</v>
      </c>
      <c r="BD221" s="438"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46">I246</f>
        <v>10.1</v>
      </c>
      <c r="J222" s="442">
        <f t="shared" si="46"/>
        <v>3</v>
      </c>
      <c r="K222" s="443">
        <f t="shared" si="46"/>
        <v>3</v>
      </c>
      <c r="L222" s="443">
        <f t="shared" si="46"/>
        <v>3</v>
      </c>
      <c r="M222" s="443">
        <f t="shared" si="46"/>
        <v>3</v>
      </c>
      <c r="N222" s="444">
        <f t="shared" si="46"/>
        <v>2</v>
      </c>
      <c r="O222" s="445">
        <v>0</v>
      </c>
      <c r="P222" s="174"/>
      <c r="Q222" s="388">
        <v>0.58834840541455213</v>
      </c>
      <c r="R222" s="389">
        <v>0.57692307692307687</v>
      </c>
      <c r="S222" s="389">
        <v>0.57692307692307687</v>
      </c>
      <c r="T222" s="389">
        <v>0.57692307692307687</v>
      </c>
      <c r="U222" s="390">
        <v>0.53708615552957462</v>
      </c>
      <c r="V222" s="175">
        <v>0</v>
      </c>
      <c r="W222" s="174"/>
      <c r="X222" s="388">
        <v>0.98058067569092011</v>
      </c>
      <c r="Y222" s="389">
        <v>1</v>
      </c>
      <c r="Z222" s="389">
        <v>1</v>
      </c>
      <c r="AA222" s="389">
        <v>1</v>
      </c>
      <c r="AB222" s="390">
        <v>0.71611487403943286</v>
      </c>
      <c r="AC222" s="175">
        <v>0</v>
      </c>
      <c r="AD222" s="76"/>
      <c r="AE222" s="76"/>
      <c r="AF222" s="76"/>
      <c r="AG222" s="76"/>
      <c r="AH222" s="76"/>
      <c r="AI222" s="76"/>
      <c r="AJ222" s="76"/>
      <c r="AK222" s="76"/>
      <c r="AL222" s="76"/>
      <c r="AM222" s="76"/>
      <c r="AN222" s="73"/>
      <c r="AO222" s="57"/>
      <c r="AP222" s="45"/>
      <c r="AQ222" s="45"/>
      <c r="AR222" s="45"/>
      <c r="AS222" s="439"/>
      <c r="AT222" s="439"/>
      <c r="AW222" s="435">
        <v>0.44</v>
      </c>
      <c r="AX222" s="435">
        <v>0.42</v>
      </c>
      <c r="AY222" s="435">
        <v>0.42</v>
      </c>
      <c r="AZ222" s="435">
        <v>0.42</v>
      </c>
      <c r="BA222" s="435">
        <v>1</v>
      </c>
      <c r="BB222" s="435">
        <v>1</v>
      </c>
      <c r="BC222" s="435">
        <v>0.42</v>
      </c>
      <c r="BD222" s="435">
        <v>0.42</v>
      </c>
    </row>
    <row r="223" spans="1:56" outlineLevel="3" x14ac:dyDescent="0.25">
      <c r="A223" s="45"/>
      <c r="B223" s="54"/>
      <c r="C223" s="87">
        <f t="shared" ref="C223:C229" si="47">INT($C$167)+3</f>
        <v>4</v>
      </c>
      <c r="D223" s="73"/>
      <c r="E223" s="70"/>
      <c r="F223" s="70">
        <f t="shared" ref="F223:F229" si="48">F222</f>
        <v>3</v>
      </c>
      <c r="G223" s="73"/>
      <c r="H223" s="176" t="str">
        <f>INDEX($M$175:$M$177,INDEX(i_salep_price_type_s7,$F223+1,1)+1,1)&amp;INDEX($L$175:$L$177,INDEX(ia_s8_s7,$F223+1,1)+1,1)</f>
        <v>$/kg DW, DW - Fat score</v>
      </c>
      <c r="I223" s="173">
        <f t="shared" si="46"/>
        <v>14.1</v>
      </c>
      <c r="J223" s="446">
        <f t="shared" si="46"/>
        <v>4.4000000000000004</v>
      </c>
      <c r="K223" s="447">
        <f t="shared" si="46"/>
        <v>4.4000000000000004</v>
      </c>
      <c r="L223" s="447">
        <f t="shared" si="46"/>
        <v>4.4000000000000004</v>
      </c>
      <c r="M223" s="447">
        <f t="shared" si="46"/>
        <v>4.4000000000000004</v>
      </c>
      <c r="N223" s="448">
        <f t="shared" si="46"/>
        <v>2</v>
      </c>
      <c r="O223" s="445">
        <v>0</v>
      </c>
      <c r="P223" s="174"/>
      <c r="Q223" s="391">
        <v>0.8629109946080098</v>
      </c>
      <c r="R223" s="392">
        <v>0.84615384615384615</v>
      </c>
      <c r="S223" s="392">
        <v>0.84615384615384615</v>
      </c>
      <c r="T223" s="392">
        <v>0.84615384615384615</v>
      </c>
      <c r="U223" s="393">
        <v>0.6504436355879909</v>
      </c>
      <c r="V223" s="175">
        <v>0</v>
      </c>
      <c r="W223" s="174"/>
      <c r="X223" s="391">
        <v>0.98058067569092011</v>
      </c>
      <c r="Y223" s="392">
        <v>1</v>
      </c>
      <c r="Z223" s="392">
        <v>1</v>
      </c>
      <c r="AA223" s="392">
        <v>1</v>
      </c>
      <c r="AB223" s="393">
        <v>0.59131239598908258</v>
      </c>
      <c r="AC223" s="175">
        <v>0</v>
      </c>
      <c r="AD223" s="76"/>
      <c r="AE223" s="76"/>
      <c r="AF223" s="76"/>
      <c r="AG223" s="76"/>
      <c r="AH223" s="76"/>
      <c r="AI223" s="76"/>
      <c r="AJ223" s="76"/>
      <c r="AK223" s="76"/>
      <c r="AL223" s="76"/>
      <c r="AM223" s="76"/>
      <c r="AN223" s="73"/>
      <c r="AO223" s="57"/>
      <c r="AP223" s="45"/>
      <c r="AQ223" s="45"/>
      <c r="AR223" s="45"/>
      <c r="AS223" s="439"/>
      <c r="AT223" s="439"/>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47"/>
        <v>4</v>
      </c>
      <c r="D224" s="73"/>
      <c r="E224" s="70"/>
      <c r="F224" s="70">
        <f t="shared" si="48"/>
        <v>3</v>
      </c>
      <c r="G224" s="73"/>
      <c r="H224" s="179" t="s">
        <v>256</v>
      </c>
      <c r="I224" s="173">
        <f t="shared" si="46"/>
        <v>18.100000000000001</v>
      </c>
      <c r="J224" s="446">
        <f t="shared" si="46"/>
        <v>5</v>
      </c>
      <c r="K224" s="447">
        <f t="shared" si="46"/>
        <v>5.2</v>
      </c>
      <c r="L224" s="447">
        <f t="shared" si="46"/>
        <v>5.2</v>
      </c>
      <c r="M224" s="447">
        <f t="shared" si="46"/>
        <v>5.2</v>
      </c>
      <c r="N224" s="448">
        <f t="shared" si="46"/>
        <v>4</v>
      </c>
      <c r="O224" s="445">
        <v>0</v>
      </c>
      <c r="P224" s="174"/>
      <c r="Q224" s="391">
        <v>1</v>
      </c>
      <c r="R224" s="392">
        <v>1</v>
      </c>
      <c r="S224" s="392">
        <v>1</v>
      </c>
      <c r="T224" s="392">
        <v>1</v>
      </c>
      <c r="U224" s="393">
        <v>1</v>
      </c>
      <c r="V224" s="175">
        <v>0</v>
      </c>
      <c r="W224" s="174"/>
      <c r="X224" s="391">
        <v>0.96153846153846145</v>
      </c>
      <c r="Y224" s="392">
        <v>1</v>
      </c>
      <c r="Z224" s="392">
        <v>1</v>
      </c>
      <c r="AA224" s="392">
        <v>1</v>
      </c>
      <c r="AB224" s="393">
        <v>0.76923076923076916</v>
      </c>
      <c r="AC224" s="175">
        <v>0</v>
      </c>
      <c r="AD224" s="76"/>
      <c r="AE224" s="76"/>
      <c r="AF224" s="76"/>
      <c r="AG224" s="76"/>
      <c r="AH224" s="76"/>
      <c r="AI224" s="76"/>
      <c r="AJ224" s="76"/>
      <c r="AK224" s="76"/>
      <c r="AL224" s="76"/>
      <c r="AM224" s="76"/>
      <c r="AN224" s="73"/>
      <c r="AO224" s="57"/>
      <c r="AP224" s="45"/>
      <c r="AQ224" s="45"/>
      <c r="AR224" s="45"/>
      <c r="AS224" s="439"/>
      <c r="AT224" s="439"/>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47"/>
        <v>4</v>
      </c>
      <c r="D225" s="73"/>
      <c r="E225" s="70"/>
      <c r="F225" s="70">
        <f t="shared" si="48"/>
        <v>3</v>
      </c>
      <c r="G225" s="73"/>
      <c r="H225" s="76"/>
      <c r="I225" s="173">
        <f t="shared" si="46"/>
        <v>35.1</v>
      </c>
      <c r="J225" s="446">
        <f t="shared" si="46"/>
        <v>4.5</v>
      </c>
      <c r="K225" s="447">
        <f t="shared" si="46"/>
        <v>4.9000000000000004</v>
      </c>
      <c r="L225" s="447">
        <f t="shared" si="46"/>
        <v>4.9000000000000004</v>
      </c>
      <c r="M225" s="447">
        <f t="shared" si="46"/>
        <v>4.9000000000000004</v>
      </c>
      <c r="N225" s="448">
        <f t="shared" si="46"/>
        <v>4</v>
      </c>
      <c r="O225" s="445">
        <v>0</v>
      </c>
      <c r="P225" s="174"/>
      <c r="Q225" s="391">
        <v>0.92091092027238064</v>
      </c>
      <c r="R225" s="392">
        <v>0.9423076923076924</v>
      </c>
      <c r="S225" s="392">
        <v>0.9423076923076924</v>
      </c>
      <c r="T225" s="392">
        <v>0.9423076923076924</v>
      </c>
      <c r="U225" s="393">
        <v>0.97072534339415095</v>
      </c>
      <c r="V225" s="175">
        <v>0</v>
      </c>
      <c r="W225" s="174"/>
      <c r="X225" s="391">
        <v>0.93970502068610262</v>
      </c>
      <c r="Y225" s="392">
        <v>1</v>
      </c>
      <c r="Z225" s="392">
        <v>1</v>
      </c>
      <c r="AA225" s="392">
        <v>1</v>
      </c>
      <c r="AB225" s="393">
        <v>0.79242885175032729</v>
      </c>
      <c r="AC225" s="175">
        <v>0</v>
      </c>
      <c r="AD225" s="76"/>
      <c r="AE225" s="76"/>
      <c r="AF225" s="76"/>
      <c r="AG225" s="76"/>
      <c r="AH225" s="76"/>
      <c r="AI225" s="76"/>
      <c r="AJ225" s="76"/>
      <c r="AK225" s="76"/>
      <c r="AL225" s="76"/>
      <c r="AM225" s="76"/>
      <c r="AN225" s="73"/>
      <c r="AO225" s="57"/>
      <c r="AP225" s="45"/>
      <c r="AQ225" s="45"/>
      <c r="AR225" s="45"/>
      <c r="AS225" s="439"/>
      <c r="AT225" s="439"/>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47"/>
        <v>4</v>
      </c>
      <c r="D226" s="73"/>
      <c r="E226" s="70"/>
      <c r="F226" s="70">
        <f t="shared" si="48"/>
        <v>3</v>
      </c>
      <c r="G226" s="73"/>
      <c r="H226" s="76"/>
      <c r="I226" s="173">
        <f t="shared" si="46"/>
        <v>40.1</v>
      </c>
      <c r="J226" s="446">
        <f t="shared" si="46"/>
        <v>4.4000000000000004</v>
      </c>
      <c r="K226" s="447">
        <f t="shared" si="46"/>
        <v>4.5999999999999996</v>
      </c>
      <c r="L226" s="447">
        <f t="shared" si="46"/>
        <v>4.5999999999999996</v>
      </c>
      <c r="M226" s="447">
        <f t="shared" si="46"/>
        <v>4.5999999999999996</v>
      </c>
      <c r="N226" s="448">
        <f t="shared" si="46"/>
        <v>4</v>
      </c>
      <c r="O226" s="445">
        <v>0</v>
      </c>
      <c r="P226" s="174"/>
      <c r="Q226" s="391">
        <v>0.88230467439628724</v>
      </c>
      <c r="R226" s="392">
        <v>0.88461538461538447</v>
      </c>
      <c r="S226" s="392">
        <v>0.88461538461538447</v>
      </c>
      <c r="T226" s="392">
        <v>0.88461538461538447</v>
      </c>
      <c r="U226" s="393">
        <v>0.94053994312596023</v>
      </c>
      <c r="V226" s="175">
        <v>0</v>
      </c>
      <c r="W226" s="174"/>
      <c r="X226" s="391">
        <v>0.9590268199959644</v>
      </c>
      <c r="Y226" s="392">
        <v>1</v>
      </c>
      <c r="Z226" s="392">
        <v>1</v>
      </c>
      <c r="AA226" s="392">
        <v>1</v>
      </c>
      <c r="AB226" s="393">
        <v>0.81786082010953065</v>
      </c>
      <c r="AC226" s="175">
        <v>0</v>
      </c>
      <c r="AD226" s="76"/>
      <c r="AE226" s="76"/>
      <c r="AF226" s="76"/>
      <c r="AG226" s="76"/>
      <c r="AH226" s="76"/>
      <c r="AI226" s="76"/>
      <c r="AJ226" s="76"/>
      <c r="AK226" s="76"/>
      <c r="AL226" s="76"/>
      <c r="AM226" s="76"/>
      <c r="AN226" s="73"/>
      <c r="AO226" s="57"/>
      <c r="AP226" s="45"/>
      <c r="AQ226" s="45"/>
      <c r="AR226" s="45"/>
      <c r="AS226" s="439"/>
      <c r="AT226" s="439"/>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47"/>
        <v>4</v>
      </c>
      <c r="D227" s="73"/>
      <c r="E227" s="70"/>
      <c r="F227" s="70">
        <f t="shared" si="48"/>
        <v>3</v>
      </c>
      <c r="G227" s="73"/>
      <c r="H227" s="76"/>
      <c r="I227" s="173">
        <f t="shared" si="46"/>
        <v>45.1</v>
      </c>
      <c r="J227" s="446">
        <f t="shared" si="46"/>
        <v>4</v>
      </c>
      <c r="K227" s="447">
        <f t="shared" si="46"/>
        <v>4</v>
      </c>
      <c r="L227" s="447">
        <f t="shared" si="46"/>
        <v>4</v>
      </c>
      <c r="M227" s="447">
        <f t="shared" si="46"/>
        <v>4</v>
      </c>
      <c r="N227" s="448">
        <f t="shared" si="46"/>
        <v>4</v>
      </c>
      <c r="O227" s="445">
        <v>0</v>
      </c>
      <c r="P227" s="174"/>
      <c r="Q227" s="391">
        <v>0.78446454055273618</v>
      </c>
      <c r="R227" s="392">
        <v>0.76923076923076916</v>
      </c>
      <c r="S227" s="392">
        <v>0.76923076923076916</v>
      </c>
      <c r="T227" s="392">
        <v>0.76923076923076916</v>
      </c>
      <c r="U227" s="393">
        <v>0.8770580193070292</v>
      </c>
      <c r="V227" s="175">
        <v>0</v>
      </c>
      <c r="W227" s="174"/>
      <c r="X227" s="391">
        <v>0.98058067569092011</v>
      </c>
      <c r="Y227" s="392">
        <v>1</v>
      </c>
      <c r="Z227" s="392">
        <v>1</v>
      </c>
      <c r="AA227" s="392">
        <v>1</v>
      </c>
      <c r="AB227" s="393">
        <v>0.8770580193070292</v>
      </c>
      <c r="AC227" s="175">
        <v>0</v>
      </c>
      <c r="AD227" s="76"/>
      <c r="AE227" s="76"/>
      <c r="AF227" s="76"/>
      <c r="AG227" s="76"/>
      <c r="AH227" s="76"/>
      <c r="AI227" s="76"/>
      <c r="AJ227" s="76"/>
      <c r="AK227" s="76"/>
      <c r="AL227" s="76"/>
      <c r="AM227" s="76"/>
      <c r="AN227" s="73"/>
      <c r="AO227" s="57"/>
      <c r="AP227" s="45"/>
      <c r="AQ227" s="45"/>
      <c r="AR227" s="45"/>
      <c r="AS227" s="439"/>
      <c r="AT227" s="439"/>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47"/>
        <v>4</v>
      </c>
      <c r="D228" s="73"/>
      <c r="E228" s="70"/>
      <c r="F228" s="70">
        <f t="shared" si="48"/>
        <v>3</v>
      </c>
      <c r="G228" s="73"/>
      <c r="H228" s="76"/>
      <c r="I228" s="173">
        <f t="shared" si="46"/>
        <v>45.1</v>
      </c>
      <c r="J228" s="449">
        <f t="shared" si="46"/>
        <v>4</v>
      </c>
      <c r="K228" s="450">
        <f t="shared" si="46"/>
        <v>4</v>
      </c>
      <c r="L228" s="450">
        <f t="shared" si="46"/>
        <v>4</v>
      </c>
      <c r="M228" s="450">
        <f t="shared" si="46"/>
        <v>4</v>
      </c>
      <c r="N228" s="451">
        <f t="shared" si="46"/>
        <v>4</v>
      </c>
      <c r="O228" s="445">
        <v>0</v>
      </c>
      <c r="P228" s="174"/>
      <c r="Q228" s="394">
        <v>0.78446454055273618</v>
      </c>
      <c r="R228" s="395">
        <v>0.76923076923076916</v>
      </c>
      <c r="S228" s="395">
        <v>0.76923076923076916</v>
      </c>
      <c r="T228" s="395">
        <v>0.76923076923076916</v>
      </c>
      <c r="U228" s="396">
        <v>0.8770580193070292</v>
      </c>
      <c r="V228" s="175">
        <v>0</v>
      </c>
      <c r="W228" s="174"/>
      <c r="X228" s="394">
        <v>0.98058067569092011</v>
      </c>
      <c r="Y228" s="395">
        <v>1</v>
      </c>
      <c r="Z228" s="395">
        <v>1</v>
      </c>
      <c r="AA228" s="395">
        <v>1</v>
      </c>
      <c r="AB228" s="396">
        <v>0.8770580193070292</v>
      </c>
      <c r="AC228" s="175">
        <v>0</v>
      </c>
      <c r="AD228" s="76"/>
      <c r="AE228" s="76"/>
      <c r="AF228" s="76"/>
      <c r="AG228" s="76"/>
      <c r="AH228" s="76"/>
      <c r="AI228" s="76"/>
      <c r="AJ228" s="76"/>
      <c r="AK228" s="76"/>
      <c r="AL228" s="76"/>
      <c r="AM228" s="76"/>
      <c r="AN228" s="73"/>
      <c r="AO228" s="57"/>
      <c r="AP228" s="45"/>
      <c r="AQ228" s="45"/>
      <c r="AR228" s="45"/>
      <c r="AS228" s="439"/>
      <c r="AT228" s="439"/>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47"/>
        <v>4</v>
      </c>
      <c r="D229" s="73"/>
      <c r="E229" s="70"/>
      <c r="F229" s="70">
        <f t="shared" si="48"/>
        <v>3</v>
      </c>
      <c r="G229" s="73"/>
      <c r="H229" s="76"/>
      <c r="I229" s="96">
        <v>1000</v>
      </c>
      <c r="J229" s="452">
        <v>0</v>
      </c>
      <c r="K229" s="452">
        <v>0</v>
      </c>
      <c r="L229" s="452">
        <v>0</v>
      </c>
      <c r="M229" s="452">
        <v>0</v>
      </c>
      <c r="N229" s="452">
        <v>0</v>
      </c>
      <c r="O229" s="453">
        <v>0</v>
      </c>
      <c r="P229" s="76"/>
      <c r="Q229" s="387">
        <v>0</v>
      </c>
      <c r="R229" s="387">
        <v>0</v>
      </c>
      <c r="S229" s="387">
        <v>0</v>
      </c>
      <c r="T229" s="387">
        <v>0</v>
      </c>
      <c r="U229" s="387">
        <v>0</v>
      </c>
      <c r="V229" s="79">
        <v>0</v>
      </c>
      <c r="W229" s="76"/>
      <c r="X229" s="387">
        <v>0</v>
      </c>
      <c r="Y229" s="387">
        <v>0</v>
      </c>
      <c r="Z229" s="387">
        <v>0</v>
      </c>
      <c r="AA229" s="387">
        <v>0</v>
      </c>
      <c r="AB229" s="387">
        <v>0</v>
      </c>
      <c r="AC229" s="79">
        <v>0</v>
      </c>
      <c r="AD229" s="76"/>
      <c r="AE229" s="76"/>
      <c r="AF229" s="76"/>
      <c r="AG229" s="76"/>
      <c r="AH229" s="76"/>
      <c r="AI229" s="76"/>
      <c r="AJ229" s="76"/>
      <c r="AK229" s="76"/>
      <c r="AL229" s="76"/>
      <c r="AM229" s="76"/>
      <c r="AN229" s="73"/>
      <c r="AO229" s="57"/>
      <c r="AP229" s="45"/>
      <c r="AQ229" s="45"/>
      <c r="AR229" s="45"/>
      <c r="AS229" s="439"/>
      <c r="AT229" s="439"/>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collapsed="1" x14ac:dyDescent="0.25">
      <c r="A230" s="45"/>
      <c r="B230" s="54"/>
      <c r="C230" s="87">
        <f>INT($C$167)+2</f>
        <v>3</v>
      </c>
      <c r="D230" s="73"/>
      <c r="E230" s="70">
        <v>4</v>
      </c>
      <c r="F230" s="70">
        <f>E230</f>
        <v>4</v>
      </c>
      <c r="G230" s="73"/>
      <c r="H230" s="96" t="str">
        <f>INDEX($H$183:$H$190,$E230+1,1)</f>
        <v>Export wether grid (4)</v>
      </c>
      <c r="I230" s="173">
        <v>25</v>
      </c>
      <c r="J230" s="454">
        <v>26.194567913996277</v>
      </c>
      <c r="K230" s="455">
        <v>26.194567913996277</v>
      </c>
      <c r="L230" s="455">
        <v>26.194567913996277</v>
      </c>
      <c r="M230" s="455">
        <v>26.194567913996277</v>
      </c>
      <c r="N230" s="456">
        <v>17.463045275997519</v>
      </c>
      <c r="O230" s="445">
        <v>0</v>
      </c>
      <c r="P230" s="174"/>
      <c r="Q230" s="388">
        <v>0.233606542047718</v>
      </c>
      <c r="R230" s="389">
        <v>0.22907006084697065</v>
      </c>
      <c r="S230" s="389">
        <v>0.22907006084697065</v>
      </c>
      <c r="T230" s="389">
        <v>0.21828806594996897</v>
      </c>
      <c r="U230" s="390">
        <v>0.17823145950547564</v>
      </c>
      <c r="V230" s="175">
        <v>0</v>
      </c>
      <c r="W230" s="174"/>
      <c r="X230" s="388">
        <v>0.93442616819087199</v>
      </c>
      <c r="Y230" s="389">
        <v>0.95293145312339811</v>
      </c>
      <c r="Z230" s="389">
        <f t="shared" ref="Z230:Z236" si="49">AVERAGE(Y230,AA230)</f>
        <v>0.97646572656169905</v>
      </c>
      <c r="AA230" s="389">
        <v>1</v>
      </c>
      <c r="AB230" s="390">
        <v>0.81649658092772603</v>
      </c>
      <c r="AC230" s="175">
        <v>0</v>
      </c>
      <c r="AD230" s="76"/>
      <c r="AE230" s="76"/>
      <c r="AF230" s="76"/>
      <c r="AG230" s="76"/>
      <c r="AH230" s="76"/>
      <c r="AI230" s="76"/>
      <c r="AJ230" s="76"/>
      <c r="AK230" s="76"/>
      <c r="AL230" s="76"/>
      <c r="AM230" s="76"/>
      <c r="AN230" s="73"/>
      <c r="AO230" s="57"/>
      <c r="AP230" s="45"/>
      <c r="AQ230" s="45"/>
      <c r="AR230" s="45"/>
      <c r="AS230" s="439"/>
      <c r="AT230" s="439"/>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25">
      <c r="A231" s="45"/>
      <c r="B231" s="54"/>
      <c r="C231" s="87">
        <f t="shared" ref="C231:C237" si="50">INT($C$167)+3</f>
        <v>4</v>
      </c>
      <c r="D231" s="73"/>
      <c r="E231" s="70"/>
      <c r="F231" s="70">
        <f t="shared" ref="F231:F237" si="51">F230</f>
        <v>4</v>
      </c>
      <c r="G231" s="73"/>
      <c r="H231" s="176" t="str">
        <f>INDEX($M$175:$M$177,INDEX(i_salep_price_type_s7,$F231+1,1)+1,1)&amp;INDEX($L$175:$L$177,INDEX(ia_s8_s7,$F231+1,1)+1,1)</f>
        <v>$/hd, LW - Condition score</v>
      </c>
      <c r="I231" s="173">
        <v>35</v>
      </c>
      <c r="J231" s="457">
        <v>53.786179450072368</v>
      </c>
      <c r="K231" s="458">
        <v>53.786179450072368</v>
      </c>
      <c r="L231" s="458">
        <v>53.786179450072368</v>
      </c>
      <c r="M231" s="447">
        <v>84</v>
      </c>
      <c r="N231" s="448">
        <v>84</v>
      </c>
      <c r="O231" s="445">
        <v>0</v>
      </c>
      <c r="P231" s="174"/>
      <c r="Q231" s="391">
        <v>0.59944418700437274</v>
      </c>
      <c r="R231" s="392">
        <v>0.58780338593174208</v>
      </c>
      <c r="S231" s="392">
        <v>0.58780338593174208</v>
      </c>
      <c r="T231" s="392">
        <v>0.7</v>
      </c>
      <c r="U231" s="393">
        <v>0.7</v>
      </c>
      <c r="V231" s="175">
        <v>0</v>
      </c>
      <c r="W231" s="174"/>
      <c r="X231" s="391">
        <v>0.74772292700649168</v>
      </c>
      <c r="Y231" s="392">
        <v>0.7625307591133631</v>
      </c>
      <c r="Z231" s="392">
        <f t="shared" si="49"/>
        <v>0.88126537955668161</v>
      </c>
      <c r="AA231" s="392">
        <v>1</v>
      </c>
      <c r="AB231" s="393">
        <v>1</v>
      </c>
      <c r="AC231" s="175">
        <v>0</v>
      </c>
      <c r="AD231" s="76"/>
      <c r="AE231" s="76"/>
      <c r="AF231" s="76"/>
      <c r="AG231" s="76"/>
      <c r="AH231" s="76"/>
      <c r="AI231" s="76"/>
      <c r="AJ231" s="76"/>
      <c r="AK231" s="76"/>
      <c r="AL231" s="76"/>
      <c r="AM231" s="76"/>
      <c r="AN231" s="73"/>
      <c r="AO231" s="57"/>
      <c r="AP231" s="45"/>
      <c r="AQ231" s="45"/>
      <c r="AR231" s="45"/>
      <c r="AS231" s="439"/>
      <c r="AT231" s="439"/>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25">
      <c r="A232" s="45"/>
      <c r="B232" s="54"/>
      <c r="C232" s="87">
        <f t="shared" si="50"/>
        <v>4</v>
      </c>
      <c r="D232" s="73"/>
      <c r="E232" s="70"/>
      <c r="F232" s="70">
        <f t="shared" si="51"/>
        <v>4</v>
      </c>
      <c r="G232" s="73"/>
      <c r="H232" s="97" t="s">
        <v>257</v>
      </c>
      <c r="I232" s="173">
        <v>40</v>
      </c>
      <c r="J232" s="459">
        <v>69.852181103990077</v>
      </c>
      <c r="K232" s="460">
        <v>72.64626834814969</v>
      </c>
      <c r="L232" s="460">
        <v>72.64626834814969</v>
      </c>
      <c r="M232" s="447">
        <v>92</v>
      </c>
      <c r="N232" s="448">
        <v>92</v>
      </c>
      <c r="O232" s="445">
        <v>0</v>
      </c>
      <c r="P232" s="174"/>
      <c r="Q232" s="391">
        <v>0.7149203529842405</v>
      </c>
      <c r="R232" s="392">
        <v>0.71492035298424061</v>
      </c>
      <c r="S232" s="392">
        <v>0.71492035298424061</v>
      </c>
      <c r="T232" s="392">
        <v>0.76666666666666661</v>
      </c>
      <c r="U232" s="393">
        <v>0.76666666666666661</v>
      </c>
      <c r="V232" s="175">
        <v>0</v>
      </c>
      <c r="W232" s="174"/>
      <c r="X232" s="391">
        <v>0.81421868431929911</v>
      </c>
      <c r="Y232" s="392">
        <v>0.84678743169207127</v>
      </c>
      <c r="Z232" s="392">
        <f t="shared" si="49"/>
        <v>0.92339371584603569</v>
      </c>
      <c r="AA232" s="392">
        <v>1</v>
      </c>
      <c r="AB232" s="393">
        <v>1</v>
      </c>
      <c r="AC232" s="175">
        <v>0</v>
      </c>
      <c r="AD232" s="76"/>
      <c r="AE232" s="76"/>
      <c r="AF232" s="76"/>
      <c r="AG232" s="76"/>
      <c r="AH232" s="76"/>
      <c r="AI232" s="76"/>
      <c r="AJ232" s="76"/>
      <c r="AK232" s="76"/>
      <c r="AL232" s="76"/>
      <c r="AM232" s="76"/>
      <c r="AN232" s="73"/>
      <c r="AO232" s="57"/>
      <c r="AP232" s="45"/>
      <c r="AQ232" s="45"/>
      <c r="AR232" s="45"/>
      <c r="AS232" s="439"/>
      <c r="AT232" s="439"/>
    </row>
    <row r="233" spans="1:56" hidden="1" outlineLevel="3" x14ac:dyDescent="0.25">
      <c r="A233" s="45"/>
      <c r="B233" s="54"/>
      <c r="C233" s="87">
        <f t="shared" si="50"/>
        <v>4</v>
      </c>
      <c r="D233" s="73"/>
      <c r="E233" s="70"/>
      <c r="F233" s="70">
        <f t="shared" si="51"/>
        <v>4</v>
      </c>
      <c r="G233" s="73"/>
      <c r="H233" s="97" t="s">
        <v>2575</v>
      </c>
      <c r="I233" s="173">
        <v>45</v>
      </c>
      <c r="J233" s="459">
        <v>78.583703741988842</v>
      </c>
      <c r="K233" s="460">
        <v>81.727051891668395</v>
      </c>
      <c r="L233" s="460">
        <v>81.727051891668395</v>
      </c>
      <c r="M233" s="447">
        <v>99.000000000000014</v>
      </c>
      <c r="N233" s="448">
        <v>99.000000000000014</v>
      </c>
      <c r="O233" s="445">
        <v>0</v>
      </c>
      <c r="P233" s="174"/>
      <c r="Q233" s="391">
        <v>0.78660663612761372</v>
      </c>
      <c r="R233" s="392">
        <v>0.78660663612761372</v>
      </c>
      <c r="S233" s="392">
        <v>0.78660663612761372</v>
      </c>
      <c r="T233" s="392">
        <v>0.82500000000000018</v>
      </c>
      <c r="U233" s="393">
        <v>0.82500000000000018</v>
      </c>
      <c r="V233" s="175">
        <v>0</v>
      </c>
      <c r="W233" s="174"/>
      <c r="X233" s="391">
        <v>0.83251801824828009</v>
      </c>
      <c r="Y233" s="392">
        <v>0.86581873897821138</v>
      </c>
      <c r="Z233" s="392">
        <f t="shared" si="49"/>
        <v>0.93290936948910574</v>
      </c>
      <c r="AA233" s="392">
        <v>1</v>
      </c>
      <c r="AB233" s="393">
        <v>1</v>
      </c>
      <c r="AC233" s="175">
        <v>0</v>
      </c>
      <c r="AD233" s="76"/>
      <c r="AE233" s="76"/>
      <c r="AF233" s="76"/>
      <c r="AG233" s="76"/>
      <c r="AH233" s="76"/>
      <c r="AI233" s="76"/>
      <c r="AJ233" s="76"/>
      <c r="AK233" s="76"/>
      <c r="AL233" s="76"/>
      <c r="AM233" s="76"/>
      <c r="AN233" s="73"/>
      <c r="AO233" s="57"/>
      <c r="AP233" s="45"/>
      <c r="AQ233" s="45"/>
      <c r="AR233" s="45"/>
      <c r="AS233" s="439"/>
      <c r="AT233" s="439"/>
    </row>
    <row r="234" spans="1:56" hidden="1" outlineLevel="3" x14ac:dyDescent="0.25">
      <c r="A234" s="45"/>
      <c r="B234" s="54"/>
      <c r="C234" s="87">
        <f t="shared" si="50"/>
        <v>4</v>
      </c>
      <c r="D234" s="73"/>
      <c r="E234" s="70"/>
      <c r="F234" s="70">
        <f t="shared" si="51"/>
        <v>4</v>
      </c>
      <c r="G234" s="73"/>
      <c r="H234" s="76"/>
      <c r="I234" s="173">
        <v>50</v>
      </c>
      <c r="J234" s="459">
        <v>87.315226379987593</v>
      </c>
      <c r="K234" s="460">
        <v>90.807835435187116</v>
      </c>
      <c r="L234" s="460">
        <v>90.807835435187116</v>
      </c>
      <c r="M234" s="447">
        <v>105</v>
      </c>
      <c r="N234" s="448">
        <v>105</v>
      </c>
      <c r="O234" s="445">
        <v>0</v>
      </c>
      <c r="P234" s="174"/>
      <c r="Q234" s="391">
        <v>0.8539125638299665</v>
      </c>
      <c r="R234" s="392">
        <v>0.85391256382996661</v>
      </c>
      <c r="S234" s="392">
        <v>0.85391256382996661</v>
      </c>
      <c r="T234" s="392">
        <v>0.875</v>
      </c>
      <c r="U234" s="393">
        <v>0.875</v>
      </c>
      <c r="V234" s="175">
        <v>0</v>
      </c>
      <c r="W234" s="174"/>
      <c r="X234" s="391">
        <v>0.85210935793747578</v>
      </c>
      <c r="Y234" s="392">
        <v>0.886193732254975</v>
      </c>
      <c r="Z234" s="392">
        <f t="shared" si="49"/>
        <v>0.94309686612748744</v>
      </c>
      <c r="AA234" s="392">
        <v>1</v>
      </c>
      <c r="AB234" s="393">
        <v>1</v>
      </c>
      <c r="AC234" s="175">
        <v>0</v>
      </c>
      <c r="AD234" s="76"/>
      <c r="AE234" s="76"/>
      <c r="AF234" s="76"/>
      <c r="AG234" s="76"/>
      <c r="AH234" s="76"/>
      <c r="AI234" s="76"/>
      <c r="AJ234" s="76"/>
      <c r="AK234" s="76"/>
      <c r="AL234" s="76"/>
      <c r="AM234" s="76"/>
      <c r="AN234" s="73"/>
      <c r="AO234" s="57"/>
      <c r="AP234" s="45"/>
      <c r="AQ234" s="45"/>
      <c r="AR234" s="45"/>
      <c r="AS234" s="439"/>
      <c r="AT234" s="439"/>
    </row>
    <row r="235" spans="1:56" hidden="1" outlineLevel="3" x14ac:dyDescent="0.25">
      <c r="A235" s="45"/>
      <c r="B235" s="54"/>
      <c r="C235" s="87">
        <f t="shared" si="50"/>
        <v>4</v>
      </c>
      <c r="D235" s="73"/>
      <c r="E235" s="70"/>
      <c r="F235" s="70">
        <f t="shared" si="51"/>
        <v>4</v>
      </c>
      <c r="G235" s="73"/>
      <c r="H235" s="76"/>
      <c r="I235" s="173">
        <v>55</v>
      </c>
      <c r="J235" s="459">
        <v>96.046749017986357</v>
      </c>
      <c r="K235" s="460">
        <v>99.888618978705821</v>
      </c>
      <c r="L235" s="460">
        <v>99.888618978705821</v>
      </c>
      <c r="M235" s="447">
        <v>110</v>
      </c>
      <c r="N235" s="448">
        <v>110</v>
      </c>
      <c r="O235" s="445">
        <v>0</v>
      </c>
      <c r="P235" s="174"/>
      <c r="Q235" s="391">
        <v>0.91666666666666663</v>
      </c>
      <c r="R235" s="392">
        <v>0.91666666666666674</v>
      </c>
      <c r="S235" s="392">
        <v>0.91666666666666674</v>
      </c>
      <c r="T235" s="392">
        <v>0.91666666666666663</v>
      </c>
      <c r="U235" s="393">
        <v>0.91666666666666663</v>
      </c>
      <c r="V235" s="175">
        <v>0</v>
      </c>
      <c r="W235" s="174"/>
      <c r="X235" s="391">
        <v>0.87315226379987598</v>
      </c>
      <c r="Y235" s="392">
        <v>0.90807835435187101</v>
      </c>
      <c r="Z235" s="392">
        <f t="shared" si="49"/>
        <v>0.95403917717593556</v>
      </c>
      <c r="AA235" s="392">
        <v>1</v>
      </c>
      <c r="AB235" s="393">
        <v>1</v>
      </c>
      <c r="AC235" s="175">
        <v>0</v>
      </c>
      <c r="AD235" s="76"/>
      <c r="AE235" s="76"/>
      <c r="AF235" s="76"/>
      <c r="AG235" s="76"/>
      <c r="AH235" s="76"/>
      <c r="AI235" s="76"/>
      <c r="AJ235" s="76"/>
      <c r="AK235" s="76"/>
      <c r="AL235" s="76"/>
      <c r="AM235" s="76"/>
      <c r="AN235" s="73"/>
      <c r="AO235" s="57"/>
      <c r="AP235" s="45"/>
      <c r="AQ235" s="45"/>
      <c r="AR235" s="45"/>
      <c r="AS235" s="439"/>
      <c r="AT235" s="439"/>
    </row>
    <row r="236" spans="1:56" hidden="1" outlineLevel="3" x14ac:dyDescent="0.25">
      <c r="A236" s="45"/>
      <c r="B236" s="54"/>
      <c r="C236" s="87">
        <f t="shared" si="50"/>
        <v>4</v>
      </c>
      <c r="D236" s="73"/>
      <c r="E236" s="70"/>
      <c r="F236" s="70">
        <f t="shared" si="51"/>
        <v>4</v>
      </c>
      <c r="G236" s="73"/>
      <c r="H236" s="76"/>
      <c r="I236" s="173">
        <v>60</v>
      </c>
      <c r="J236" s="461">
        <v>104.77827165598511</v>
      </c>
      <c r="K236" s="462">
        <v>108.96940252222453</v>
      </c>
      <c r="L236" s="462">
        <v>108.96940252222453</v>
      </c>
      <c r="M236" s="450">
        <v>120</v>
      </c>
      <c r="N236" s="451">
        <v>120</v>
      </c>
      <c r="O236" s="445">
        <v>0</v>
      </c>
      <c r="P236" s="174"/>
      <c r="Q236" s="394">
        <v>1</v>
      </c>
      <c r="R236" s="395">
        <v>1</v>
      </c>
      <c r="S236" s="395">
        <v>1</v>
      </c>
      <c r="T236" s="395">
        <v>1</v>
      </c>
      <c r="U236" s="396">
        <v>1</v>
      </c>
      <c r="V236" s="175">
        <v>0</v>
      </c>
      <c r="W236" s="174"/>
      <c r="X236" s="394">
        <v>0.87315226379987587</v>
      </c>
      <c r="Y236" s="395">
        <v>0.90807835435187101</v>
      </c>
      <c r="Z236" s="395">
        <f t="shared" si="49"/>
        <v>0.95403917717593556</v>
      </c>
      <c r="AA236" s="395">
        <v>1</v>
      </c>
      <c r="AB236" s="396">
        <v>1</v>
      </c>
      <c r="AC236" s="175">
        <v>0</v>
      </c>
      <c r="AD236" s="76"/>
      <c r="AE236" s="76"/>
      <c r="AF236" s="76"/>
      <c r="AG236" s="76"/>
      <c r="AH236" s="76"/>
      <c r="AI236" s="76"/>
      <c r="AJ236" s="76"/>
      <c r="AK236" s="76"/>
      <c r="AL236" s="76"/>
      <c r="AM236" s="76"/>
      <c r="AN236" s="73"/>
      <c r="AO236" s="57"/>
      <c r="AP236" s="45"/>
      <c r="AQ236" s="45"/>
      <c r="AR236" s="45"/>
      <c r="AS236" s="439"/>
      <c r="AT236" s="439"/>
    </row>
    <row r="237" spans="1:56" hidden="1" outlineLevel="3" x14ac:dyDescent="0.25">
      <c r="A237" s="45"/>
      <c r="B237" s="54"/>
      <c r="C237" s="87">
        <f t="shared" si="50"/>
        <v>4</v>
      </c>
      <c r="D237" s="73"/>
      <c r="E237" s="70"/>
      <c r="F237" s="70">
        <f t="shared" si="51"/>
        <v>4</v>
      </c>
      <c r="G237" s="73"/>
      <c r="H237" s="76"/>
      <c r="I237" s="96">
        <v>1000</v>
      </c>
      <c r="J237" s="452">
        <v>0</v>
      </c>
      <c r="K237" s="452">
        <v>0</v>
      </c>
      <c r="L237" s="452">
        <v>0</v>
      </c>
      <c r="M237" s="452">
        <v>0</v>
      </c>
      <c r="N237" s="452">
        <v>0</v>
      </c>
      <c r="O237" s="453">
        <v>0</v>
      </c>
      <c r="P237" s="76"/>
      <c r="Q237" s="387">
        <v>0</v>
      </c>
      <c r="R237" s="387">
        <v>0</v>
      </c>
      <c r="S237" s="387">
        <v>0</v>
      </c>
      <c r="T237" s="387">
        <v>0</v>
      </c>
      <c r="U237" s="387">
        <v>0</v>
      </c>
      <c r="V237" s="79">
        <v>0</v>
      </c>
      <c r="W237" s="76"/>
      <c r="X237" s="387">
        <v>0</v>
      </c>
      <c r="Y237" s="387">
        <v>0</v>
      </c>
      <c r="Z237" s="387">
        <v>0</v>
      </c>
      <c r="AA237" s="387">
        <v>0</v>
      </c>
      <c r="AB237" s="387">
        <v>0</v>
      </c>
      <c r="AC237" s="79">
        <v>0</v>
      </c>
      <c r="AD237" s="76"/>
      <c r="AE237" s="76"/>
      <c r="AF237" s="76"/>
      <c r="AG237" s="76"/>
      <c r="AH237" s="76"/>
      <c r="AI237" s="76"/>
      <c r="AJ237" s="76"/>
      <c r="AK237" s="76"/>
      <c r="AL237" s="76"/>
      <c r="AM237" s="76"/>
      <c r="AN237" s="73"/>
      <c r="AO237" s="57"/>
      <c r="AP237" s="45"/>
      <c r="AQ237" s="45"/>
      <c r="AR237" s="45"/>
      <c r="AS237" s="439"/>
      <c r="AT237" s="439"/>
    </row>
    <row r="238" spans="1:56" outlineLevel="2" collapsed="1" x14ac:dyDescent="0.25">
      <c r="A238" s="45"/>
      <c r="B238" s="54"/>
      <c r="C238" s="87">
        <f>INT($C$167)+2</f>
        <v>3</v>
      </c>
      <c r="D238" s="73"/>
      <c r="E238" s="70">
        <v>5</v>
      </c>
      <c r="F238" s="70">
        <f>E238</f>
        <v>5</v>
      </c>
      <c r="G238" s="73"/>
      <c r="H238" s="96" t="str">
        <f>INDEX($H$183:$H$190,$E238+1,1)</f>
        <v>Breeder grid (5)</v>
      </c>
      <c r="I238" s="173">
        <f>I246/0.43</f>
        <v>23.488372093023255</v>
      </c>
      <c r="J238" s="454">
        <v>23.516900971676659</v>
      </c>
      <c r="K238" s="455">
        <v>23.516900971676659</v>
      </c>
      <c r="L238" s="443">
        <v>130</v>
      </c>
      <c r="M238" s="443">
        <v>145</v>
      </c>
      <c r="N238" s="444">
        <v>155</v>
      </c>
      <c r="O238" s="445">
        <v>0</v>
      </c>
      <c r="P238" s="174"/>
      <c r="Q238" s="388">
        <v>0.59357019921433796</v>
      </c>
      <c r="R238" s="389">
        <v>0.58204346701558951</v>
      </c>
      <c r="S238" s="389">
        <v>1</v>
      </c>
      <c r="T238" s="389">
        <v>1</v>
      </c>
      <c r="U238" s="390">
        <v>1</v>
      </c>
      <c r="V238" s="175">
        <v>0</v>
      </c>
      <c r="W238" s="174"/>
      <c r="X238" s="388">
        <v>0.25560909552665378</v>
      </c>
      <c r="Y238" s="389">
        <v>0.26067115318844203</v>
      </c>
      <c r="Z238" s="389">
        <v>0.83870967741935487</v>
      </c>
      <c r="AA238" s="389">
        <v>0.93548387096774188</v>
      </c>
      <c r="AB238" s="390">
        <v>1</v>
      </c>
      <c r="AC238" s="175">
        <v>0</v>
      </c>
      <c r="AD238" s="76"/>
      <c r="AE238" s="76"/>
      <c r="AF238" s="76"/>
      <c r="AG238" s="76"/>
      <c r="AH238" s="76"/>
      <c r="AI238" s="76"/>
      <c r="AJ238" s="76"/>
      <c r="AK238" s="76"/>
      <c r="AL238" s="76"/>
      <c r="AM238" s="76"/>
      <c r="AN238" s="73"/>
      <c r="AO238" s="57"/>
      <c r="AP238" s="45"/>
      <c r="AQ238" s="45"/>
      <c r="AR238" s="45"/>
      <c r="AS238" s="439"/>
      <c r="AT238" s="439"/>
    </row>
    <row r="239" spans="1:56" hidden="1" outlineLevel="3" x14ac:dyDescent="0.25">
      <c r="A239" s="45"/>
      <c r="B239" s="54"/>
      <c r="C239" s="87">
        <f t="shared" ref="C239:C245" si="52">INT($C$167)+3</f>
        <v>4</v>
      </c>
      <c r="D239" s="73"/>
      <c r="E239" s="70"/>
      <c r="F239" s="70">
        <f t="shared" ref="F239:F245" si="53">F238</f>
        <v>5</v>
      </c>
      <c r="G239" s="73"/>
      <c r="H239" s="176" t="str">
        <f>INDEX($M$175:$M$177,INDEX(i_salep_price_type_s7,$F239+1,1)+1,1)&amp;INDEX($L$175:$L$177,INDEX(ia_s8_s7,$F239+1,1)+1,1)</f>
        <v>$/hd, LW - Condition score</v>
      </c>
      <c r="I239" s="173">
        <f>I247/0.43</f>
        <v>32.790697674418603</v>
      </c>
      <c r="J239" s="457">
        <v>48.151436841017158</v>
      </c>
      <c r="K239" s="458">
        <v>48.151436841017158</v>
      </c>
      <c r="L239" s="447">
        <v>130</v>
      </c>
      <c r="M239" s="447">
        <v>145</v>
      </c>
      <c r="N239" s="448">
        <v>155</v>
      </c>
      <c r="O239" s="445">
        <v>0</v>
      </c>
      <c r="P239" s="174"/>
      <c r="Q239" s="391">
        <v>0.84934995663578461</v>
      </c>
      <c r="R239" s="392">
        <v>0.83285615437597138</v>
      </c>
      <c r="S239" s="392">
        <v>1</v>
      </c>
      <c r="T239" s="392">
        <v>1</v>
      </c>
      <c r="U239" s="393">
        <v>1</v>
      </c>
      <c r="V239" s="175">
        <v>0</v>
      </c>
      <c r="W239" s="174"/>
      <c r="X239" s="391">
        <v>0.3657555155037025</v>
      </c>
      <c r="Y239" s="392">
        <v>0.37299890215151349</v>
      </c>
      <c r="Z239" s="392">
        <v>0.83870967741935487</v>
      </c>
      <c r="AA239" s="392">
        <v>0.93548387096774188</v>
      </c>
      <c r="AB239" s="393">
        <v>1</v>
      </c>
      <c r="AC239" s="175">
        <v>0</v>
      </c>
      <c r="AD239" s="76"/>
      <c r="AE239" s="76"/>
      <c r="AF239" s="76"/>
      <c r="AG239" s="76"/>
      <c r="AH239" s="76"/>
      <c r="AI239" s="76"/>
      <c r="AJ239" s="76"/>
      <c r="AK239" s="76"/>
      <c r="AL239" s="76"/>
      <c r="AM239" s="76"/>
      <c r="AN239" s="73"/>
      <c r="AO239" s="57"/>
      <c r="AP239" s="45"/>
      <c r="AQ239" s="45"/>
      <c r="AR239" s="45"/>
      <c r="AS239" s="439"/>
      <c r="AT239" s="439"/>
    </row>
    <row r="240" spans="1:56" hidden="1" outlineLevel="3" x14ac:dyDescent="0.25">
      <c r="A240" s="45"/>
      <c r="B240" s="54"/>
      <c r="C240" s="87">
        <f t="shared" si="52"/>
        <v>4</v>
      </c>
      <c r="D240" s="73"/>
      <c r="E240" s="70"/>
      <c r="F240" s="70">
        <f t="shared" si="53"/>
        <v>5</v>
      </c>
      <c r="G240" s="73"/>
      <c r="H240" s="97" t="s">
        <v>258</v>
      </c>
      <c r="I240" s="173">
        <v>40</v>
      </c>
      <c r="J240" s="459">
        <v>66.747639721590517</v>
      </c>
      <c r="K240" s="460">
        <v>69.417545310454145</v>
      </c>
      <c r="L240" s="447">
        <v>130</v>
      </c>
      <c r="M240" s="447">
        <v>145</v>
      </c>
      <c r="N240" s="448">
        <v>155</v>
      </c>
      <c r="O240" s="445">
        <v>0</v>
      </c>
      <c r="P240" s="174"/>
      <c r="Q240" s="391">
        <v>1</v>
      </c>
      <c r="R240" s="392">
        <v>1</v>
      </c>
      <c r="S240" s="392">
        <v>1</v>
      </c>
      <c r="T240" s="392">
        <v>1</v>
      </c>
      <c r="U240" s="393">
        <v>1</v>
      </c>
      <c r="V240" s="175">
        <v>0</v>
      </c>
      <c r="W240" s="174"/>
      <c r="X240" s="391">
        <v>0.43062993368768077</v>
      </c>
      <c r="Y240" s="392">
        <v>0.44785513103518804</v>
      </c>
      <c r="Z240" s="392">
        <v>0.83870967741935487</v>
      </c>
      <c r="AA240" s="392">
        <v>0.93548387096774188</v>
      </c>
      <c r="AB240" s="393">
        <v>1</v>
      </c>
      <c r="AC240" s="175">
        <v>0</v>
      </c>
      <c r="AD240" s="76"/>
      <c r="AE240" s="76"/>
      <c r="AF240" s="76"/>
      <c r="AG240" s="76"/>
      <c r="AH240" s="76"/>
      <c r="AI240" s="76"/>
      <c r="AJ240" s="76"/>
      <c r="AK240" s="76"/>
      <c r="AL240" s="76"/>
      <c r="AM240" s="76"/>
      <c r="AN240" s="73"/>
      <c r="AO240" s="57"/>
      <c r="AP240" s="45"/>
      <c r="AQ240" s="45"/>
      <c r="AR240" s="45"/>
      <c r="AS240" s="439"/>
      <c r="AT240" s="439"/>
    </row>
    <row r="241" spans="1:46" hidden="1" outlineLevel="3" x14ac:dyDescent="0.25">
      <c r="A241" s="45"/>
      <c r="B241" s="54"/>
      <c r="C241" s="87">
        <f t="shared" si="52"/>
        <v>4</v>
      </c>
      <c r="D241" s="73"/>
      <c r="E241" s="70"/>
      <c r="F241" s="70">
        <f t="shared" si="53"/>
        <v>5</v>
      </c>
      <c r="G241" s="73"/>
      <c r="H241" s="97" t="s">
        <v>2576</v>
      </c>
      <c r="I241" s="173">
        <f>I240</f>
        <v>40</v>
      </c>
      <c r="J241" s="459">
        <v>66.747639721590517</v>
      </c>
      <c r="K241" s="460">
        <v>69.417545310454145</v>
      </c>
      <c r="L241" s="447">
        <v>130</v>
      </c>
      <c r="M241" s="447">
        <v>145</v>
      </c>
      <c r="N241" s="448">
        <v>155</v>
      </c>
      <c r="O241" s="445">
        <v>0</v>
      </c>
      <c r="P241" s="174"/>
      <c r="Q241" s="391">
        <v>1</v>
      </c>
      <c r="R241" s="392">
        <v>1</v>
      </c>
      <c r="S241" s="392">
        <v>1</v>
      </c>
      <c r="T241" s="392">
        <v>1</v>
      </c>
      <c r="U241" s="393">
        <v>1</v>
      </c>
      <c r="V241" s="175">
        <v>0</v>
      </c>
      <c r="W241" s="174"/>
      <c r="X241" s="391">
        <v>0.43062993368768077</v>
      </c>
      <c r="Y241" s="392">
        <v>0.44785513103518804</v>
      </c>
      <c r="Z241" s="392">
        <v>0.83870967741935487</v>
      </c>
      <c r="AA241" s="392">
        <v>0.93548387096774188</v>
      </c>
      <c r="AB241" s="393">
        <v>1</v>
      </c>
      <c r="AC241" s="175">
        <v>0</v>
      </c>
      <c r="AD241" s="76"/>
      <c r="AE241" s="76"/>
      <c r="AF241" s="76"/>
      <c r="AG241" s="76"/>
      <c r="AH241" s="76"/>
      <c r="AI241" s="76"/>
      <c r="AJ241" s="76"/>
      <c r="AK241" s="76"/>
      <c r="AL241" s="76"/>
      <c r="AM241" s="76"/>
      <c r="AN241" s="73"/>
      <c r="AO241" s="57"/>
      <c r="AP241" s="45"/>
      <c r="AQ241" s="45"/>
      <c r="AR241" s="45"/>
      <c r="AS241" s="439"/>
      <c r="AT241" s="439"/>
    </row>
    <row r="242" spans="1:46" hidden="1" outlineLevel="3" x14ac:dyDescent="0.25">
      <c r="A242" s="45"/>
      <c r="B242" s="54"/>
      <c r="C242" s="87">
        <f t="shared" si="52"/>
        <v>4</v>
      </c>
      <c r="D242" s="73"/>
      <c r="E242" s="70"/>
      <c r="F242" s="70">
        <f t="shared" si="53"/>
        <v>5</v>
      </c>
      <c r="G242" s="73"/>
      <c r="H242" s="76"/>
      <c r="I242" s="173">
        <f>I241</f>
        <v>40</v>
      </c>
      <c r="J242" s="459">
        <v>66.747639721590517</v>
      </c>
      <c r="K242" s="460">
        <v>69.417545310454145</v>
      </c>
      <c r="L242" s="447">
        <v>130</v>
      </c>
      <c r="M242" s="447">
        <v>145</v>
      </c>
      <c r="N242" s="448">
        <v>155</v>
      </c>
      <c r="O242" s="445">
        <v>0</v>
      </c>
      <c r="P242" s="174"/>
      <c r="Q242" s="391">
        <v>1</v>
      </c>
      <c r="R242" s="392">
        <v>1</v>
      </c>
      <c r="S242" s="392">
        <v>1</v>
      </c>
      <c r="T242" s="392">
        <v>1</v>
      </c>
      <c r="U242" s="393">
        <v>1</v>
      </c>
      <c r="V242" s="175">
        <v>0</v>
      </c>
      <c r="W242" s="174"/>
      <c r="X242" s="391">
        <v>0.43062993368768077</v>
      </c>
      <c r="Y242" s="392">
        <v>0.44785513103518804</v>
      </c>
      <c r="Z242" s="392">
        <v>0.83870967741935487</v>
      </c>
      <c r="AA242" s="392">
        <v>0.93548387096774188</v>
      </c>
      <c r="AB242" s="393">
        <v>1</v>
      </c>
      <c r="AC242" s="175">
        <v>0</v>
      </c>
      <c r="AD242" s="76"/>
      <c r="AE242" s="76"/>
      <c r="AF242" s="76"/>
      <c r="AG242" s="76"/>
      <c r="AH242" s="76"/>
      <c r="AI242" s="76"/>
      <c r="AJ242" s="76"/>
      <c r="AK242" s="76"/>
      <c r="AL242" s="76"/>
      <c r="AM242" s="76"/>
      <c r="AN242" s="73"/>
      <c r="AO242" s="57"/>
      <c r="AP242" s="45"/>
      <c r="AQ242" s="45"/>
      <c r="AR242" s="45"/>
      <c r="AS242" s="439"/>
      <c r="AT242" s="439"/>
    </row>
    <row r="243" spans="1:46" hidden="1" outlineLevel="3" x14ac:dyDescent="0.25">
      <c r="A243" s="45"/>
      <c r="B243" s="54"/>
      <c r="C243" s="87">
        <f t="shared" si="52"/>
        <v>4</v>
      </c>
      <c r="D243" s="73"/>
      <c r="E243" s="70"/>
      <c r="F243" s="70">
        <f t="shared" si="53"/>
        <v>5</v>
      </c>
      <c r="G243" s="73"/>
      <c r="H243" s="76"/>
      <c r="I243" s="173">
        <f>I242</f>
        <v>40</v>
      </c>
      <c r="J243" s="459">
        <v>66.747639721590517</v>
      </c>
      <c r="K243" s="460">
        <v>69.417545310454145</v>
      </c>
      <c r="L243" s="447">
        <v>130</v>
      </c>
      <c r="M243" s="447">
        <v>145</v>
      </c>
      <c r="N243" s="448">
        <v>155</v>
      </c>
      <c r="O243" s="445">
        <v>0</v>
      </c>
      <c r="P243" s="174"/>
      <c r="Q243" s="391">
        <v>1</v>
      </c>
      <c r="R243" s="392">
        <v>1</v>
      </c>
      <c r="S243" s="392">
        <v>1</v>
      </c>
      <c r="T243" s="392">
        <v>1</v>
      </c>
      <c r="U243" s="393">
        <v>1</v>
      </c>
      <c r="V243" s="175">
        <v>0</v>
      </c>
      <c r="W243" s="174"/>
      <c r="X243" s="391">
        <v>0.43062993368768077</v>
      </c>
      <c r="Y243" s="392">
        <v>0.44785513103518804</v>
      </c>
      <c r="Z243" s="392">
        <v>0.83870967741935487</v>
      </c>
      <c r="AA243" s="392">
        <v>0.93548387096774188</v>
      </c>
      <c r="AB243" s="393">
        <v>1</v>
      </c>
      <c r="AC243" s="175">
        <v>0</v>
      </c>
      <c r="AD243" s="76"/>
      <c r="AE243" s="76"/>
      <c r="AF243" s="76"/>
      <c r="AG243" s="76"/>
      <c r="AH243" s="76"/>
      <c r="AI243" s="76"/>
      <c r="AJ243" s="76"/>
      <c r="AK243" s="76"/>
      <c r="AL243" s="76"/>
      <c r="AM243" s="76"/>
      <c r="AN243" s="73"/>
      <c r="AO243" s="57"/>
      <c r="AP243" s="45"/>
      <c r="AQ243" s="45"/>
      <c r="AR243" s="45"/>
      <c r="AS243" s="439"/>
      <c r="AT243" s="439"/>
    </row>
    <row r="244" spans="1:46" hidden="1" outlineLevel="3" x14ac:dyDescent="0.25">
      <c r="A244" s="45"/>
      <c r="B244" s="54"/>
      <c r="C244" s="87">
        <f t="shared" si="52"/>
        <v>4</v>
      </c>
      <c r="D244" s="73"/>
      <c r="E244" s="70"/>
      <c r="F244" s="70">
        <f t="shared" si="53"/>
        <v>5</v>
      </c>
      <c r="G244" s="73"/>
      <c r="H244" s="76"/>
      <c r="I244" s="173">
        <f>I243</f>
        <v>40</v>
      </c>
      <c r="J244" s="461">
        <v>66.747639721590517</v>
      </c>
      <c r="K244" s="462">
        <v>69.417545310454145</v>
      </c>
      <c r="L244" s="450">
        <v>130</v>
      </c>
      <c r="M244" s="450">
        <v>145</v>
      </c>
      <c r="N244" s="451">
        <v>155</v>
      </c>
      <c r="O244" s="445">
        <v>0</v>
      </c>
      <c r="P244" s="174"/>
      <c r="Q244" s="394">
        <v>1</v>
      </c>
      <c r="R244" s="395">
        <v>1</v>
      </c>
      <c r="S244" s="395">
        <v>1</v>
      </c>
      <c r="T244" s="395">
        <v>1</v>
      </c>
      <c r="U244" s="396">
        <v>1</v>
      </c>
      <c r="V244" s="175">
        <v>0</v>
      </c>
      <c r="W244" s="174"/>
      <c r="X244" s="394">
        <v>0.43062993368768077</v>
      </c>
      <c r="Y244" s="395">
        <v>0.44785513103518804</v>
      </c>
      <c r="Z244" s="395">
        <v>0.83870967741935487</v>
      </c>
      <c r="AA244" s="395">
        <v>0.93548387096774188</v>
      </c>
      <c r="AB244" s="396">
        <v>1</v>
      </c>
      <c r="AC244" s="175">
        <v>0</v>
      </c>
      <c r="AD244" s="76"/>
      <c r="AE244" s="76"/>
      <c r="AF244" s="76"/>
      <c r="AG244" s="76"/>
      <c r="AH244" s="76"/>
      <c r="AI244" s="76"/>
      <c r="AJ244" s="76"/>
      <c r="AK244" s="76"/>
      <c r="AL244" s="76"/>
      <c r="AM244" s="76"/>
      <c r="AN244" s="73"/>
      <c r="AO244" s="57"/>
      <c r="AP244" s="45"/>
      <c r="AQ244" s="45"/>
      <c r="AR244" s="45"/>
      <c r="AS244" s="439"/>
      <c r="AT244" s="439"/>
    </row>
    <row r="245" spans="1:46" hidden="1" outlineLevel="3" x14ac:dyDescent="0.25">
      <c r="A245" s="45"/>
      <c r="B245" s="54"/>
      <c r="C245" s="87">
        <f t="shared" si="52"/>
        <v>4</v>
      </c>
      <c r="D245" s="73"/>
      <c r="E245" s="70"/>
      <c r="F245" s="70">
        <f t="shared" si="53"/>
        <v>5</v>
      </c>
      <c r="G245" s="73"/>
      <c r="H245" s="76"/>
      <c r="I245" s="96">
        <v>1000</v>
      </c>
      <c r="J245" s="452">
        <v>0</v>
      </c>
      <c r="K245" s="452">
        <v>0</v>
      </c>
      <c r="L245" s="452">
        <v>0</v>
      </c>
      <c r="M245" s="452">
        <v>0</v>
      </c>
      <c r="N245" s="452">
        <v>0</v>
      </c>
      <c r="O245" s="453">
        <v>0</v>
      </c>
      <c r="P245" s="76"/>
      <c r="Q245" s="387">
        <v>0</v>
      </c>
      <c r="R245" s="387">
        <v>0</v>
      </c>
      <c r="S245" s="387">
        <v>0</v>
      </c>
      <c r="T245" s="387">
        <v>0</v>
      </c>
      <c r="U245" s="387">
        <v>0</v>
      </c>
      <c r="V245" s="79">
        <v>0</v>
      </c>
      <c r="W245" s="76"/>
      <c r="X245" s="387">
        <v>0</v>
      </c>
      <c r="Y245" s="387">
        <v>0</v>
      </c>
      <c r="Z245" s="387">
        <v>0</v>
      </c>
      <c r="AA245" s="387">
        <v>0</v>
      </c>
      <c r="AB245" s="387">
        <v>0</v>
      </c>
      <c r="AC245" s="79">
        <v>0</v>
      </c>
      <c r="AD245" s="76"/>
      <c r="AE245" s="76"/>
      <c r="AF245" s="76"/>
      <c r="AG245" s="76"/>
      <c r="AH245" s="76"/>
      <c r="AI245" s="76"/>
      <c r="AJ245" s="76"/>
      <c r="AK245" s="76"/>
      <c r="AL245" s="76"/>
      <c r="AM245" s="76"/>
      <c r="AN245" s="73"/>
      <c r="AO245" s="57"/>
      <c r="AP245" s="45"/>
      <c r="AQ245" s="45"/>
      <c r="AR245" s="45"/>
      <c r="AS245" s="439"/>
      <c r="AT245" s="439"/>
    </row>
    <row r="246" spans="1:46" outlineLevel="2" x14ac:dyDescent="0.25">
      <c r="A246" s="45"/>
      <c r="B246" s="54"/>
      <c r="C246" s="87">
        <f>INT($C$167)+2</f>
        <v>3</v>
      </c>
      <c r="D246" s="73"/>
      <c r="E246" s="70">
        <v>6</v>
      </c>
      <c r="F246" s="70">
        <f>E246</f>
        <v>6</v>
      </c>
      <c r="G246" s="73"/>
      <c r="H246" s="96" t="str">
        <f>INDEX($H$183:$H$190,$E246+1,1)</f>
        <v>Mutton grid (6)</v>
      </c>
      <c r="I246" s="173">
        <v>10.1</v>
      </c>
      <c r="J246" s="442">
        <v>3</v>
      </c>
      <c r="K246" s="443">
        <v>3</v>
      </c>
      <c r="L246" s="443">
        <v>3</v>
      </c>
      <c r="M246" s="443">
        <v>3</v>
      </c>
      <c r="N246" s="444">
        <v>2</v>
      </c>
      <c r="O246" s="445">
        <v>0</v>
      </c>
      <c r="P246" s="174"/>
      <c r="Q246" s="388">
        <v>0.58834840541455213</v>
      </c>
      <c r="R246" s="389">
        <v>0.57692307692307687</v>
      </c>
      <c r="S246" s="389">
        <v>0.57692307692307687</v>
      </c>
      <c r="T246" s="389">
        <v>0.57692307692307687</v>
      </c>
      <c r="U246" s="390">
        <v>0.53708615552957462</v>
      </c>
      <c r="V246" s="175">
        <v>0</v>
      </c>
      <c r="W246" s="174"/>
      <c r="X246" s="388">
        <v>0.98058067569092011</v>
      </c>
      <c r="Y246" s="389">
        <v>1</v>
      </c>
      <c r="Z246" s="389">
        <v>1</v>
      </c>
      <c r="AA246" s="389">
        <v>1</v>
      </c>
      <c r="AB246" s="390">
        <v>0.71611487403943286</v>
      </c>
      <c r="AC246" s="175">
        <v>0</v>
      </c>
      <c r="AD246" s="76"/>
      <c r="AE246" s="76"/>
      <c r="AF246" s="76"/>
      <c r="AG246" s="76"/>
      <c r="AH246" s="76"/>
      <c r="AI246" s="76"/>
      <c r="AJ246" s="76"/>
      <c r="AK246" s="76"/>
      <c r="AL246" s="76"/>
      <c r="AM246" s="76"/>
      <c r="AN246" s="73"/>
      <c r="AO246" s="57"/>
      <c r="AP246" s="45"/>
      <c r="AQ246" s="45"/>
      <c r="AR246" s="45"/>
      <c r="AS246" s="439"/>
      <c r="AT246" s="439"/>
    </row>
    <row r="247" spans="1:46" outlineLevel="3" x14ac:dyDescent="0.25">
      <c r="A247" s="45"/>
      <c r="B247" s="54"/>
      <c r="C247" s="87">
        <f t="shared" ref="C247:C253" si="54">INT($C$167)+3</f>
        <v>4</v>
      </c>
      <c r="D247" s="73"/>
      <c r="E247" s="70"/>
      <c r="F247" s="70">
        <f t="shared" ref="F247:F253" si="55">F246</f>
        <v>6</v>
      </c>
      <c r="G247" s="73"/>
      <c r="H247" s="176" t="str">
        <f>INDEX($M$175:$M$177,INDEX(i_salep_price_type_s7,$F247+1,1)+1,1)&amp;INDEX($L$175:$L$177,INDEX(ia_s8_s7,$F247+1,1)+1,1)</f>
        <v>$/kg DW, DW - Fat score</v>
      </c>
      <c r="I247" s="173">
        <v>14.1</v>
      </c>
      <c r="J247" s="446">
        <v>4.4000000000000004</v>
      </c>
      <c r="K247" s="447">
        <v>4.4000000000000004</v>
      </c>
      <c r="L247" s="447">
        <v>4.4000000000000004</v>
      </c>
      <c r="M247" s="447">
        <v>4.4000000000000004</v>
      </c>
      <c r="N247" s="448">
        <v>2</v>
      </c>
      <c r="O247" s="445">
        <v>0</v>
      </c>
      <c r="P247" s="174"/>
      <c r="Q247" s="391">
        <v>0.8629109946080098</v>
      </c>
      <c r="R247" s="392">
        <v>0.84615384615384615</v>
      </c>
      <c r="S247" s="392">
        <v>0.84615384615384615</v>
      </c>
      <c r="T247" s="392">
        <v>0.84615384615384615</v>
      </c>
      <c r="U247" s="393">
        <v>0.6504436355879909</v>
      </c>
      <c r="V247" s="175">
        <v>0</v>
      </c>
      <c r="W247" s="174"/>
      <c r="X247" s="391">
        <v>0.98058067569092011</v>
      </c>
      <c r="Y247" s="392">
        <v>1</v>
      </c>
      <c r="Z247" s="392">
        <v>1</v>
      </c>
      <c r="AA247" s="392">
        <v>1</v>
      </c>
      <c r="AB247" s="393">
        <v>0.59131239598908258</v>
      </c>
      <c r="AC247" s="175">
        <v>0</v>
      </c>
      <c r="AD247" s="76"/>
      <c r="AE247" s="76"/>
      <c r="AF247" s="76"/>
      <c r="AG247" s="76"/>
      <c r="AH247" s="76"/>
      <c r="AI247" s="76"/>
      <c r="AJ247" s="76"/>
      <c r="AK247" s="76"/>
      <c r="AL247" s="76"/>
      <c r="AM247" s="76"/>
      <c r="AN247" s="73"/>
      <c r="AO247" s="57"/>
      <c r="AP247" s="45"/>
      <c r="AQ247" s="45"/>
      <c r="AR247" s="45"/>
      <c r="AS247" s="439"/>
      <c r="AT247" s="439"/>
    </row>
    <row r="248" spans="1:46" outlineLevel="3" x14ac:dyDescent="0.25">
      <c r="A248" s="45"/>
      <c r="B248" s="54"/>
      <c r="C248" s="87">
        <f t="shared" si="54"/>
        <v>4</v>
      </c>
      <c r="D248" s="73"/>
      <c r="E248" s="70"/>
      <c r="F248" s="70">
        <f t="shared" si="55"/>
        <v>6</v>
      </c>
      <c r="G248" s="73"/>
      <c r="H248" s="97" t="s">
        <v>259</v>
      </c>
      <c r="I248" s="173">
        <v>18.100000000000001</v>
      </c>
      <c r="J248" s="446">
        <v>5</v>
      </c>
      <c r="K248" s="447">
        <v>5.2</v>
      </c>
      <c r="L248" s="447">
        <v>5.2</v>
      </c>
      <c r="M248" s="447">
        <v>5.2</v>
      </c>
      <c r="N248" s="448">
        <v>4</v>
      </c>
      <c r="O248" s="445">
        <v>0</v>
      </c>
      <c r="P248" s="174"/>
      <c r="Q248" s="391">
        <v>1</v>
      </c>
      <c r="R248" s="392">
        <v>1</v>
      </c>
      <c r="S248" s="392">
        <v>1</v>
      </c>
      <c r="T248" s="392">
        <v>1</v>
      </c>
      <c r="U248" s="393">
        <v>1</v>
      </c>
      <c r="V248" s="175">
        <v>0</v>
      </c>
      <c r="W248" s="174"/>
      <c r="X248" s="391">
        <v>0.96153846153846145</v>
      </c>
      <c r="Y248" s="392">
        <v>1</v>
      </c>
      <c r="Z248" s="392">
        <v>1</v>
      </c>
      <c r="AA248" s="392">
        <v>1</v>
      </c>
      <c r="AB248" s="393">
        <v>0.76923076923076916</v>
      </c>
      <c r="AC248" s="175">
        <v>0</v>
      </c>
      <c r="AD248" s="76"/>
      <c r="AE248" s="76"/>
      <c r="AF248" s="76"/>
      <c r="AG248" s="76"/>
      <c r="AH248" s="76"/>
      <c r="AI248" s="76"/>
      <c r="AJ248" s="76"/>
      <c r="AK248" s="76"/>
      <c r="AL248" s="76"/>
      <c r="AM248" s="76"/>
      <c r="AN248" s="73"/>
      <c r="AO248" s="57"/>
      <c r="AP248" s="45"/>
      <c r="AQ248" s="45"/>
      <c r="AR248" s="45"/>
      <c r="AS248" s="439"/>
      <c r="AT248" s="439"/>
    </row>
    <row r="249" spans="1:46" outlineLevel="3" x14ac:dyDescent="0.25">
      <c r="A249" s="45"/>
      <c r="B249" s="54"/>
      <c r="C249" s="87">
        <f t="shared" si="54"/>
        <v>4</v>
      </c>
      <c r="D249" s="73"/>
      <c r="E249" s="70"/>
      <c r="F249" s="70">
        <f t="shared" si="55"/>
        <v>6</v>
      </c>
      <c r="G249" s="73"/>
      <c r="H249" s="76"/>
      <c r="I249" s="173">
        <v>35.1</v>
      </c>
      <c r="J249" s="446">
        <v>4.5</v>
      </c>
      <c r="K249" s="447">
        <v>4.9000000000000004</v>
      </c>
      <c r="L249" s="447">
        <v>4.9000000000000004</v>
      </c>
      <c r="M249" s="447">
        <v>4.9000000000000004</v>
      </c>
      <c r="N249" s="448">
        <v>4</v>
      </c>
      <c r="O249" s="445">
        <v>0</v>
      </c>
      <c r="P249" s="174"/>
      <c r="Q249" s="391">
        <v>0.92091092027238064</v>
      </c>
      <c r="R249" s="392">
        <v>0.9423076923076924</v>
      </c>
      <c r="S249" s="392">
        <v>0.9423076923076924</v>
      </c>
      <c r="T249" s="392">
        <v>0.9423076923076924</v>
      </c>
      <c r="U249" s="393">
        <v>0.97072534339415095</v>
      </c>
      <c r="V249" s="175">
        <v>0</v>
      </c>
      <c r="W249" s="174"/>
      <c r="X249" s="391">
        <v>0.93970502068610262</v>
      </c>
      <c r="Y249" s="392">
        <v>1</v>
      </c>
      <c r="Z249" s="392">
        <v>1</v>
      </c>
      <c r="AA249" s="392">
        <v>1</v>
      </c>
      <c r="AB249" s="393">
        <v>0.79242885175032729</v>
      </c>
      <c r="AC249" s="175">
        <v>0</v>
      </c>
      <c r="AD249" s="76"/>
      <c r="AE249" s="76"/>
      <c r="AF249" s="76"/>
      <c r="AG249" s="76"/>
      <c r="AH249" s="76"/>
      <c r="AI249" s="76"/>
      <c r="AJ249" s="76"/>
      <c r="AK249" s="76"/>
      <c r="AL249" s="76"/>
      <c r="AM249" s="76"/>
      <c r="AN249" s="73"/>
      <c r="AO249" s="57"/>
      <c r="AP249" s="45"/>
      <c r="AQ249" s="45"/>
      <c r="AR249" s="45"/>
      <c r="AS249" s="439"/>
      <c r="AT249" s="439"/>
    </row>
    <row r="250" spans="1:46" outlineLevel="3" x14ac:dyDescent="0.25">
      <c r="A250" s="45"/>
      <c r="B250" s="54"/>
      <c r="C250" s="87">
        <f t="shared" si="54"/>
        <v>4</v>
      </c>
      <c r="D250" s="73"/>
      <c r="E250" s="70"/>
      <c r="F250" s="70">
        <f t="shared" si="55"/>
        <v>6</v>
      </c>
      <c r="G250" s="73"/>
      <c r="H250" s="76"/>
      <c r="I250" s="173">
        <v>40.1</v>
      </c>
      <c r="J250" s="446">
        <v>4.4000000000000004</v>
      </c>
      <c r="K250" s="447">
        <v>4.5999999999999996</v>
      </c>
      <c r="L250" s="447">
        <v>4.5999999999999996</v>
      </c>
      <c r="M250" s="447">
        <v>4.5999999999999996</v>
      </c>
      <c r="N250" s="448">
        <v>4</v>
      </c>
      <c r="O250" s="445">
        <v>0</v>
      </c>
      <c r="P250" s="174"/>
      <c r="Q250" s="391">
        <v>0.88230467439628724</v>
      </c>
      <c r="R250" s="392">
        <v>0.88461538461538447</v>
      </c>
      <c r="S250" s="392">
        <v>0.88461538461538447</v>
      </c>
      <c r="T250" s="392">
        <v>0.88461538461538447</v>
      </c>
      <c r="U250" s="393">
        <v>0.94053994312596023</v>
      </c>
      <c r="V250" s="175">
        <v>0</v>
      </c>
      <c r="W250" s="174"/>
      <c r="X250" s="391">
        <v>0.9590268199959644</v>
      </c>
      <c r="Y250" s="392">
        <v>1</v>
      </c>
      <c r="Z250" s="392">
        <v>1</v>
      </c>
      <c r="AA250" s="392">
        <v>1</v>
      </c>
      <c r="AB250" s="393">
        <v>0.81786082010953065</v>
      </c>
      <c r="AC250" s="175">
        <v>0</v>
      </c>
      <c r="AD250" s="76"/>
      <c r="AE250" s="76"/>
      <c r="AF250" s="76"/>
      <c r="AG250" s="76"/>
      <c r="AH250" s="76"/>
      <c r="AI250" s="76"/>
      <c r="AJ250" s="76"/>
      <c r="AK250" s="76"/>
      <c r="AL250" s="76"/>
      <c r="AM250" s="76"/>
      <c r="AN250" s="73"/>
      <c r="AO250" s="57"/>
      <c r="AP250" s="45"/>
      <c r="AQ250" s="45"/>
      <c r="AR250" s="45"/>
      <c r="AS250" s="439"/>
      <c r="AT250" s="439"/>
    </row>
    <row r="251" spans="1:46" outlineLevel="3" x14ac:dyDescent="0.25">
      <c r="A251" s="45"/>
      <c r="B251" s="54"/>
      <c r="C251" s="87">
        <f t="shared" si="54"/>
        <v>4</v>
      </c>
      <c r="D251" s="73"/>
      <c r="E251" s="70"/>
      <c r="F251" s="70">
        <f t="shared" si="55"/>
        <v>6</v>
      </c>
      <c r="G251" s="73"/>
      <c r="H251" s="76"/>
      <c r="I251" s="173">
        <v>45.1</v>
      </c>
      <c r="J251" s="446">
        <v>4</v>
      </c>
      <c r="K251" s="447">
        <v>4</v>
      </c>
      <c r="L251" s="447">
        <v>4</v>
      </c>
      <c r="M251" s="447">
        <v>4</v>
      </c>
      <c r="N251" s="448">
        <v>4</v>
      </c>
      <c r="O251" s="445">
        <v>0</v>
      </c>
      <c r="P251" s="174"/>
      <c r="Q251" s="391">
        <v>0.78446454055273618</v>
      </c>
      <c r="R251" s="392">
        <v>0.76923076923076916</v>
      </c>
      <c r="S251" s="392">
        <v>0.76923076923076916</v>
      </c>
      <c r="T251" s="392">
        <v>0.76923076923076916</v>
      </c>
      <c r="U251" s="393">
        <v>0.8770580193070292</v>
      </c>
      <c r="V251" s="175">
        <v>0</v>
      </c>
      <c r="W251" s="174"/>
      <c r="X251" s="391">
        <v>0.98058067569092011</v>
      </c>
      <c r="Y251" s="392">
        <v>1</v>
      </c>
      <c r="Z251" s="392">
        <v>1</v>
      </c>
      <c r="AA251" s="392">
        <v>1</v>
      </c>
      <c r="AB251" s="393">
        <v>0.8770580193070292</v>
      </c>
      <c r="AC251" s="175">
        <v>0</v>
      </c>
      <c r="AD251" s="76"/>
      <c r="AE251" s="76"/>
      <c r="AF251" s="76"/>
      <c r="AG251" s="76"/>
      <c r="AH251" s="76"/>
      <c r="AI251" s="76"/>
      <c r="AJ251" s="76"/>
      <c r="AK251" s="76"/>
      <c r="AL251" s="76"/>
      <c r="AM251" s="76"/>
      <c r="AN251" s="73"/>
      <c r="AO251" s="57"/>
      <c r="AP251" s="45"/>
      <c r="AQ251" s="45"/>
      <c r="AR251" s="45"/>
      <c r="AS251" s="439"/>
      <c r="AT251" s="439"/>
    </row>
    <row r="252" spans="1:46" outlineLevel="3" x14ac:dyDescent="0.25">
      <c r="A252" s="45"/>
      <c r="B252" s="54"/>
      <c r="C252" s="87">
        <f t="shared" si="54"/>
        <v>4</v>
      </c>
      <c r="D252" s="73"/>
      <c r="E252" s="70"/>
      <c r="F252" s="70">
        <f t="shared" si="55"/>
        <v>6</v>
      </c>
      <c r="G252" s="73"/>
      <c r="H252" s="76"/>
      <c r="I252" s="173">
        <f t="shared" ref="I252:N252" si="56">I251</f>
        <v>45.1</v>
      </c>
      <c r="J252" s="463">
        <f t="shared" si="56"/>
        <v>4</v>
      </c>
      <c r="K252" s="464">
        <f t="shared" si="56"/>
        <v>4</v>
      </c>
      <c r="L252" s="464">
        <f t="shared" si="56"/>
        <v>4</v>
      </c>
      <c r="M252" s="464">
        <f t="shared" si="56"/>
        <v>4</v>
      </c>
      <c r="N252" s="465">
        <f t="shared" si="56"/>
        <v>4</v>
      </c>
      <c r="O252" s="445">
        <v>0</v>
      </c>
      <c r="P252" s="174"/>
      <c r="Q252" s="394">
        <v>0.78446454055273618</v>
      </c>
      <c r="R252" s="395">
        <v>0.76923076923076916</v>
      </c>
      <c r="S252" s="395">
        <v>0.76923076923076916</v>
      </c>
      <c r="T252" s="395">
        <v>0.76923076923076916</v>
      </c>
      <c r="U252" s="396">
        <v>0.8770580193070292</v>
      </c>
      <c r="V252" s="175">
        <v>0</v>
      </c>
      <c r="W252" s="174"/>
      <c r="X252" s="394">
        <v>0.98058067569092011</v>
      </c>
      <c r="Y252" s="395">
        <v>1</v>
      </c>
      <c r="Z252" s="395">
        <v>1</v>
      </c>
      <c r="AA252" s="395">
        <v>1</v>
      </c>
      <c r="AB252" s="396">
        <v>0.8770580193070292</v>
      </c>
      <c r="AC252" s="175">
        <v>0</v>
      </c>
      <c r="AD252" s="76"/>
      <c r="AE252" s="76"/>
      <c r="AF252" s="76"/>
      <c r="AG252" s="76"/>
      <c r="AH252" s="76"/>
      <c r="AI252" s="76"/>
      <c r="AJ252" s="76"/>
      <c r="AK252" s="76"/>
      <c r="AL252" s="76"/>
      <c r="AM252" s="76"/>
      <c r="AN252" s="73"/>
      <c r="AO252" s="57"/>
      <c r="AP252" s="45"/>
      <c r="AQ252" s="45"/>
      <c r="AR252" s="45"/>
      <c r="AS252" s="439"/>
      <c r="AT252" s="439"/>
    </row>
    <row r="253" spans="1:46" outlineLevel="3" x14ac:dyDescent="0.25">
      <c r="A253" s="45"/>
      <c r="B253" s="54"/>
      <c r="C253" s="87">
        <f t="shared" si="54"/>
        <v>4</v>
      </c>
      <c r="D253" s="73"/>
      <c r="E253" s="70"/>
      <c r="F253" s="70">
        <f t="shared" si="55"/>
        <v>6</v>
      </c>
      <c r="G253" s="73"/>
      <c r="H253" s="76"/>
      <c r="I253" s="96">
        <v>1000</v>
      </c>
      <c r="J253" s="452">
        <v>0</v>
      </c>
      <c r="K253" s="452">
        <v>0</v>
      </c>
      <c r="L253" s="452">
        <v>0</v>
      </c>
      <c r="M253" s="452">
        <v>0</v>
      </c>
      <c r="N253" s="452">
        <v>0</v>
      </c>
      <c r="O253" s="453">
        <v>0</v>
      </c>
      <c r="P253" s="76"/>
      <c r="Q253" s="387">
        <v>0</v>
      </c>
      <c r="R253" s="387">
        <v>0</v>
      </c>
      <c r="S253" s="387">
        <v>0</v>
      </c>
      <c r="T253" s="387">
        <v>0</v>
      </c>
      <c r="U253" s="387">
        <v>0</v>
      </c>
      <c r="V253" s="79">
        <v>0</v>
      </c>
      <c r="W253" s="76"/>
      <c r="X253" s="387">
        <v>0</v>
      </c>
      <c r="Y253" s="387">
        <v>0</v>
      </c>
      <c r="Z253" s="387">
        <v>0</v>
      </c>
      <c r="AA253" s="387">
        <v>0</v>
      </c>
      <c r="AB253" s="387">
        <v>0</v>
      </c>
      <c r="AC253" s="79">
        <v>0</v>
      </c>
      <c r="AD253" s="76"/>
      <c r="AE253" s="76"/>
      <c r="AF253" s="76"/>
      <c r="AG253" s="76"/>
      <c r="AH253" s="76"/>
      <c r="AI253" s="76"/>
      <c r="AJ253" s="76"/>
      <c r="AK253" s="76"/>
      <c r="AL253" s="76"/>
      <c r="AM253" s="76"/>
      <c r="AN253" s="73"/>
      <c r="AO253" s="57"/>
      <c r="AP253" s="45"/>
      <c r="AQ253" s="45"/>
      <c r="AR253" s="45"/>
      <c r="AS253" s="439"/>
      <c r="AT253" s="439"/>
    </row>
    <row r="254" spans="1:46" outlineLevel="2" collapsed="1" x14ac:dyDescent="0.25">
      <c r="A254" s="45"/>
      <c r="B254" s="54"/>
      <c r="C254" s="87">
        <f>INT($C$167)+2</f>
        <v>3</v>
      </c>
      <c r="D254" s="73"/>
      <c r="E254" s="70">
        <v>7</v>
      </c>
      <c r="F254" s="70">
        <f>E254</f>
        <v>7</v>
      </c>
      <c r="G254" s="73"/>
      <c r="H254" s="96" t="str">
        <f>INDEX($H$183:$H$190,$E254+1,1)</f>
        <v>Ram grid (7)</v>
      </c>
      <c r="I254" s="173">
        <v>10</v>
      </c>
      <c r="J254" s="442">
        <v>1</v>
      </c>
      <c r="K254" s="443">
        <v>1</v>
      </c>
      <c r="L254" s="443">
        <v>1</v>
      </c>
      <c r="M254" s="443">
        <v>1</v>
      </c>
      <c r="N254" s="444">
        <v>1</v>
      </c>
      <c r="O254" s="445">
        <v>0</v>
      </c>
      <c r="P254" s="174"/>
      <c r="Q254" s="388">
        <v>0.5</v>
      </c>
      <c r="R254" s="389">
        <v>0.5</v>
      </c>
      <c r="S254" s="389">
        <v>0.70710678118654757</v>
      </c>
      <c r="T254" s="389">
        <v>0.70710678118654757</v>
      </c>
      <c r="U254" s="390">
        <v>0.70710678118654757</v>
      </c>
      <c r="V254" s="175">
        <v>0</v>
      </c>
      <c r="W254" s="174"/>
      <c r="X254" s="388">
        <v>1</v>
      </c>
      <c r="Y254" s="389">
        <v>1</v>
      </c>
      <c r="Z254" s="389">
        <v>0.70710678118654757</v>
      </c>
      <c r="AA254" s="389">
        <v>0.70710678118654757</v>
      </c>
      <c r="AB254" s="390">
        <v>0.70710678118654757</v>
      </c>
      <c r="AC254" s="175">
        <v>0</v>
      </c>
      <c r="AD254" s="76"/>
      <c r="AE254" s="76"/>
      <c r="AF254" s="76"/>
      <c r="AG254" s="76"/>
      <c r="AH254" s="76"/>
      <c r="AI254" s="76"/>
      <c r="AJ254" s="76"/>
      <c r="AK254" s="76"/>
      <c r="AL254" s="76"/>
      <c r="AM254" s="76"/>
      <c r="AN254" s="73"/>
      <c r="AO254" s="57"/>
      <c r="AP254" s="45"/>
      <c r="AQ254" s="45"/>
      <c r="AR254" s="45"/>
      <c r="AS254" s="439"/>
      <c r="AT254" s="439"/>
    </row>
    <row r="255" spans="1:46" hidden="1" outlineLevel="3" x14ac:dyDescent="0.25">
      <c r="A255" s="45"/>
      <c r="B255" s="54"/>
      <c r="C255" s="87">
        <f t="shared" ref="C255:C261" si="57">INT($C$167)+3</f>
        <v>4</v>
      </c>
      <c r="D255" s="73"/>
      <c r="E255" s="70"/>
      <c r="F255" s="70">
        <f t="shared" ref="F255:F261" si="58">F254</f>
        <v>7</v>
      </c>
      <c r="G255" s="73"/>
      <c r="H255" s="176" t="str">
        <f>INDEX($M$175:$M$177,INDEX(i_salep_price_type_s7,$F255+1,1)+1,1)&amp;INDEX($L$175:$L$177,INDEX(ia_s8_s7,$F255+1,1)+1,1)</f>
        <v>$/kg DW, DW - Fat score</v>
      </c>
      <c r="I255" s="173">
        <v>16.100000000000001</v>
      </c>
      <c r="J255" s="446">
        <v>2</v>
      </c>
      <c r="K255" s="447">
        <v>2</v>
      </c>
      <c r="L255" s="447">
        <v>1</v>
      </c>
      <c r="M255" s="447">
        <v>1</v>
      </c>
      <c r="N255" s="448">
        <v>1</v>
      </c>
      <c r="O255" s="445">
        <v>0</v>
      </c>
      <c r="P255" s="174"/>
      <c r="Q255" s="391">
        <v>1</v>
      </c>
      <c r="R255" s="392">
        <v>1</v>
      </c>
      <c r="S255" s="392">
        <v>1</v>
      </c>
      <c r="T255" s="392">
        <v>1</v>
      </c>
      <c r="U255" s="393">
        <v>1</v>
      </c>
      <c r="V255" s="175">
        <v>0</v>
      </c>
      <c r="W255" s="174"/>
      <c r="X255" s="391">
        <v>1</v>
      </c>
      <c r="Y255" s="392">
        <v>1</v>
      </c>
      <c r="Z255" s="392">
        <v>0.5</v>
      </c>
      <c r="AA255" s="392">
        <v>0.5</v>
      </c>
      <c r="AB255" s="393">
        <v>0.5</v>
      </c>
      <c r="AC255" s="175">
        <v>0</v>
      </c>
      <c r="AD255" s="76"/>
      <c r="AE255" s="76"/>
      <c r="AF255" s="76"/>
      <c r="AG255" s="76"/>
      <c r="AH255" s="76"/>
      <c r="AI255" s="76"/>
      <c r="AJ255" s="76"/>
      <c r="AK255" s="76"/>
      <c r="AL255" s="76"/>
      <c r="AM255" s="76"/>
      <c r="AN255" s="73"/>
      <c r="AO255" s="57"/>
      <c r="AP255" s="45"/>
      <c r="AQ255" s="45"/>
      <c r="AR255" s="45"/>
      <c r="AS255" s="439"/>
      <c r="AT255" s="439"/>
    </row>
    <row r="256" spans="1:46" hidden="1" outlineLevel="3" x14ac:dyDescent="0.25">
      <c r="A256" s="45"/>
      <c r="B256" s="54"/>
      <c r="C256" s="87">
        <f t="shared" si="57"/>
        <v>4</v>
      </c>
      <c r="D256" s="73"/>
      <c r="E256" s="70"/>
      <c r="F256" s="70">
        <f t="shared" si="58"/>
        <v>7</v>
      </c>
      <c r="G256" s="73"/>
      <c r="H256" s="97" t="s">
        <v>260</v>
      </c>
      <c r="I256" s="173">
        <v>30</v>
      </c>
      <c r="J256" s="446">
        <v>1</v>
      </c>
      <c r="K256" s="447">
        <v>1</v>
      </c>
      <c r="L256" s="447">
        <v>1</v>
      </c>
      <c r="M256" s="447">
        <v>1</v>
      </c>
      <c r="N256" s="448">
        <v>1</v>
      </c>
      <c r="O256" s="445">
        <v>0</v>
      </c>
      <c r="P256" s="174"/>
      <c r="Q256" s="391">
        <v>0.5</v>
      </c>
      <c r="R256" s="392">
        <v>0.5</v>
      </c>
      <c r="S256" s="392">
        <v>0.70710678118654757</v>
      </c>
      <c r="T256" s="392">
        <v>0.70710678118654757</v>
      </c>
      <c r="U256" s="393">
        <v>0.70710678118654757</v>
      </c>
      <c r="V256" s="175">
        <v>0</v>
      </c>
      <c r="W256" s="174"/>
      <c r="X256" s="391">
        <v>1</v>
      </c>
      <c r="Y256" s="392">
        <v>1</v>
      </c>
      <c r="Z256" s="392">
        <v>0.70710678118654757</v>
      </c>
      <c r="AA256" s="392">
        <v>0.70710678118654757</v>
      </c>
      <c r="AB256" s="393">
        <v>0.70710678118654757</v>
      </c>
      <c r="AC256" s="175">
        <v>0</v>
      </c>
      <c r="AD256" s="76"/>
      <c r="AE256" s="76"/>
      <c r="AF256" s="76"/>
      <c r="AG256" s="76"/>
      <c r="AH256" s="76"/>
      <c r="AI256" s="76"/>
      <c r="AJ256" s="76"/>
      <c r="AK256" s="76"/>
      <c r="AL256" s="76"/>
      <c r="AM256" s="76"/>
      <c r="AN256" s="73"/>
      <c r="AO256" s="57"/>
      <c r="AP256" s="45"/>
      <c r="AQ256" s="45"/>
      <c r="AR256" s="45"/>
      <c r="AS256" s="439"/>
      <c r="AT256" s="439"/>
    </row>
    <row r="257" spans="1:46" hidden="1" outlineLevel="3" x14ac:dyDescent="0.25">
      <c r="A257" s="45"/>
      <c r="B257" s="54"/>
      <c r="C257" s="87">
        <f t="shared" si="57"/>
        <v>4</v>
      </c>
      <c r="D257" s="73"/>
      <c r="E257" s="70"/>
      <c r="F257" s="70">
        <f t="shared" si="58"/>
        <v>7</v>
      </c>
      <c r="G257" s="73"/>
      <c r="H257" s="76"/>
      <c r="I257" s="173">
        <f t="shared" ref="I257:N260" si="59">I256</f>
        <v>30</v>
      </c>
      <c r="J257" s="466">
        <f t="shared" si="59"/>
        <v>1</v>
      </c>
      <c r="K257" s="467">
        <f t="shared" si="59"/>
        <v>1</v>
      </c>
      <c r="L257" s="467">
        <f t="shared" si="59"/>
        <v>1</v>
      </c>
      <c r="M257" s="467">
        <f t="shared" si="59"/>
        <v>1</v>
      </c>
      <c r="N257" s="468">
        <f t="shared" si="59"/>
        <v>1</v>
      </c>
      <c r="O257" s="445">
        <v>0</v>
      </c>
      <c r="P257" s="174"/>
      <c r="Q257" s="391">
        <v>0.5</v>
      </c>
      <c r="R257" s="392">
        <v>0.5</v>
      </c>
      <c r="S257" s="392">
        <v>0.70710678118654757</v>
      </c>
      <c r="T257" s="392">
        <v>0.70710678118654757</v>
      </c>
      <c r="U257" s="393">
        <v>0.70710678118654757</v>
      </c>
      <c r="V257" s="175">
        <v>0</v>
      </c>
      <c r="W257" s="174"/>
      <c r="X257" s="391">
        <v>1</v>
      </c>
      <c r="Y257" s="392">
        <v>1</v>
      </c>
      <c r="Z257" s="392">
        <v>0.70710678118654757</v>
      </c>
      <c r="AA257" s="392">
        <v>0.70710678118654757</v>
      </c>
      <c r="AB257" s="393">
        <v>0.70710678118654757</v>
      </c>
      <c r="AC257" s="175">
        <v>0</v>
      </c>
      <c r="AD257" s="76"/>
      <c r="AE257" s="76"/>
      <c r="AF257" s="76"/>
      <c r="AG257" s="76"/>
      <c r="AH257" s="76"/>
      <c r="AI257" s="76"/>
      <c r="AJ257" s="76"/>
      <c r="AK257" s="76"/>
      <c r="AL257" s="76"/>
      <c r="AM257" s="76"/>
      <c r="AN257" s="73"/>
      <c r="AO257" s="57"/>
      <c r="AP257" s="45"/>
      <c r="AQ257" s="45"/>
      <c r="AR257" s="45"/>
      <c r="AS257" s="439"/>
      <c r="AT257" s="439"/>
    </row>
    <row r="258" spans="1:46" hidden="1" outlineLevel="3" x14ac:dyDescent="0.25">
      <c r="A258" s="45"/>
      <c r="B258" s="54"/>
      <c r="C258" s="87">
        <f t="shared" si="57"/>
        <v>4</v>
      </c>
      <c r="D258" s="73"/>
      <c r="E258" s="70"/>
      <c r="F258" s="70">
        <f t="shared" si="58"/>
        <v>7</v>
      </c>
      <c r="G258" s="73"/>
      <c r="H258" s="76"/>
      <c r="I258" s="173">
        <f t="shared" si="59"/>
        <v>30</v>
      </c>
      <c r="J258" s="466">
        <f t="shared" si="59"/>
        <v>1</v>
      </c>
      <c r="K258" s="467">
        <f t="shared" si="59"/>
        <v>1</v>
      </c>
      <c r="L258" s="467">
        <f t="shared" si="59"/>
        <v>1</v>
      </c>
      <c r="M258" s="467">
        <f t="shared" si="59"/>
        <v>1</v>
      </c>
      <c r="N258" s="468">
        <f t="shared" si="59"/>
        <v>1</v>
      </c>
      <c r="O258" s="445">
        <v>0</v>
      </c>
      <c r="P258" s="174"/>
      <c r="Q258" s="391">
        <v>0.5</v>
      </c>
      <c r="R258" s="392">
        <v>0.5</v>
      </c>
      <c r="S258" s="392">
        <v>0.70710678118654757</v>
      </c>
      <c r="T258" s="392">
        <v>0.70710678118654757</v>
      </c>
      <c r="U258" s="393">
        <v>0.70710678118654757</v>
      </c>
      <c r="V258" s="175">
        <v>0</v>
      </c>
      <c r="W258" s="174"/>
      <c r="X258" s="391">
        <v>1</v>
      </c>
      <c r="Y258" s="392">
        <v>1</v>
      </c>
      <c r="Z258" s="392">
        <v>0.70710678118654757</v>
      </c>
      <c r="AA258" s="392">
        <v>0.70710678118654757</v>
      </c>
      <c r="AB258" s="393">
        <v>0.70710678118654757</v>
      </c>
      <c r="AC258" s="175">
        <v>0</v>
      </c>
      <c r="AD258" s="76"/>
      <c r="AE258" s="76"/>
      <c r="AF258" s="76"/>
      <c r="AG258" s="76"/>
      <c r="AH258" s="76"/>
      <c r="AI258" s="76"/>
      <c r="AJ258" s="76"/>
      <c r="AK258" s="76"/>
      <c r="AL258" s="76"/>
      <c r="AM258" s="76"/>
      <c r="AN258" s="73"/>
      <c r="AO258" s="57"/>
      <c r="AP258" s="45"/>
      <c r="AQ258" s="45"/>
      <c r="AR258" s="45"/>
      <c r="AS258" s="439"/>
      <c r="AT258" s="439"/>
    </row>
    <row r="259" spans="1:46" hidden="1" outlineLevel="3" x14ac:dyDescent="0.25">
      <c r="A259" s="45"/>
      <c r="B259" s="54"/>
      <c r="C259" s="87">
        <f t="shared" si="57"/>
        <v>4</v>
      </c>
      <c r="D259" s="73"/>
      <c r="E259" s="70"/>
      <c r="F259" s="70">
        <f t="shared" si="58"/>
        <v>7</v>
      </c>
      <c r="G259" s="73"/>
      <c r="H259" s="76"/>
      <c r="I259" s="173">
        <f t="shared" si="59"/>
        <v>30</v>
      </c>
      <c r="J259" s="466">
        <f t="shared" si="59"/>
        <v>1</v>
      </c>
      <c r="K259" s="467">
        <f t="shared" si="59"/>
        <v>1</v>
      </c>
      <c r="L259" s="467">
        <f t="shared" si="59"/>
        <v>1</v>
      </c>
      <c r="M259" s="467">
        <f t="shared" si="59"/>
        <v>1</v>
      </c>
      <c r="N259" s="468">
        <f t="shared" si="59"/>
        <v>1</v>
      </c>
      <c r="O259" s="445">
        <v>0</v>
      </c>
      <c r="P259" s="174"/>
      <c r="Q259" s="391">
        <v>0.5</v>
      </c>
      <c r="R259" s="392">
        <v>0.5</v>
      </c>
      <c r="S259" s="392">
        <v>0.70710678118654757</v>
      </c>
      <c r="T259" s="392">
        <v>0.70710678118654757</v>
      </c>
      <c r="U259" s="393">
        <v>0.70710678118654757</v>
      </c>
      <c r="V259" s="175">
        <v>0</v>
      </c>
      <c r="W259" s="174"/>
      <c r="X259" s="391">
        <v>1</v>
      </c>
      <c r="Y259" s="392">
        <v>1</v>
      </c>
      <c r="Z259" s="392">
        <v>0.70710678118654757</v>
      </c>
      <c r="AA259" s="392">
        <v>0.70710678118654757</v>
      </c>
      <c r="AB259" s="393">
        <v>0.70710678118654757</v>
      </c>
      <c r="AC259" s="175">
        <v>0</v>
      </c>
      <c r="AD259" s="76"/>
      <c r="AE259" s="76"/>
      <c r="AF259" s="76"/>
      <c r="AG259" s="76"/>
      <c r="AH259" s="76"/>
      <c r="AI259" s="76"/>
      <c r="AJ259" s="76"/>
      <c r="AK259" s="76"/>
      <c r="AL259" s="76"/>
      <c r="AM259" s="76"/>
      <c r="AN259" s="73"/>
      <c r="AO259" s="57"/>
      <c r="AP259" s="45"/>
      <c r="AQ259" s="45"/>
      <c r="AR259" s="45"/>
      <c r="AS259" s="439"/>
      <c r="AT259" s="439"/>
    </row>
    <row r="260" spans="1:46" hidden="1" outlineLevel="3" x14ac:dyDescent="0.25">
      <c r="A260" s="45"/>
      <c r="B260" s="54"/>
      <c r="C260" s="87">
        <f t="shared" si="57"/>
        <v>4</v>
      </c>
      <c r="D260" s="73"/>
      <c r="E260" s="70"/>
      <c r="F260" s="70">
        <f t="shared" si="58"/>
        <v>7</v>
      </c>
      <c r="G260" s="73"/>
      <c r="H260" s="76"/>
      <c r="I260" s="173">
        <f t="shared" si="59"/>
        <v>30</v>
      </c>
      <c r="J260" s="463">
        <f t="shared" si="59"/>
        <v>1</v>
      </c>
      <c r="K260" s="464">
        <f t="shared" si="59"/>
        <v>1</v>
      </c>
      <c r="L260" s="464">
        <f t="shared" si="59"/>
        <v>1</v>
      </c>
      <c r="M260" s="464">
        <f t="shared" si="59"/>
        <v>1</v>
      </c>
      <c r="N260" s="465">
        <f t="shared" si="59"/>
        <v>1</v>
      </c>
      <c r="O260" s="445">
        <v>0</v>
      </c>
      <c r="P260" s="174"/>
      <c r="Q260" s="394">
        <v>0.5</v>
      </c>
      <c r="R260" s="395">
        <v>0.5</v>
      </c>
      <c r="S260" s="395">
        <v>0.70710678118654757</v>
      </c>
      <c r="T260" s="395">
        <v>0.70710678118654757</v>
      </c>
      <c r="U260" s="396">
        <v>0.70710678118654757</v>
      </c>
      <c r="V260" s="175">
        <v>0</v>
      </c>
      <c r="W260" s="174"/>
      <c r="X260" s="394">
        <v>1</v>
      </c>
      <c r="Y260" s="395">
        <v>1</v>
      </c>
      <c r="Z260" s="395">
        <v>0.70710678118654757</v>
      </c>
      <c r="AA260" s="395">
        <v>0.70710678118654757</v>
      </c>
      <c r="AB260" s="396">
        <v>0.70710678118654757</v>
      </c>
      <c r="AC260" s="175">
        <v>0</v>
      </c>
      <c r="AD260" s="76"/>
      <c r="AE260" s="76"/>
      <c r="AF260" s="76"/>
      <c r="AG260" s="76"/>
      <c r="AH260" s="76"/>
      <c r="AI260" s="76"/>
      <c r="AJ260" s="76"/>
      <c r="AK260" s="76"/>
      <c r="AL260" s="76"/>
      <c r="AM260" s="76"/>
      <c r="AN260" s="73"/>
      <c r="AO260" s="57"/>
      <c r="AP260" s="45"/>
      <c r="AQ260" s="45"/>
      <c r="AR260" s="45"/>
      <c r="AS260" s="439"/>
      <c r="AT260" s="439"/>
    </row>
    <row r="261" spans="1:46" hidden="1" outlineLevel="3" x14ac:dyDescent="0.25">
      <c r="A261" s="45"/>
      <c r="B261" s="54"/>
      <c r="C261" s="87">
        <f t="shared" si="57"/>
        <v>4</v>
      </c>
      <c r="D261" s="73"/>
      <c r="E261" s="70"/>
      <c r="F261" s="70">
        <f t="shared" si="58"/>
        <v>7</v>
      </c>
      <c r="G261" s="73"/>
      <c r="H261" s="76"/>
      <c r="I261" s="96">
        <v>1000</v>
      </c>
      <c r="J261" s="452">
        <v>0</v>
      </c>
      <c r="K261" s="452">
        <v>0</v>
      </c>
      <c r="L261" s="452">
        <v>0</v>
      </c>
      <c r="M261" s="452">
        <v>0</v>
      </c>
      <c r="N261" s="452">
        <v>0</v>
      </c>
      <c r="O261" s="453">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9"/>
      <c r="AT261" s="439"/>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9"/>
      <c r="AT262" s="439"/>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9"/>
      <c r="AT263" s="439"/>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9"/>
      <c r="AT264" s="439"/>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9"/>
      <c r="AT265" s="439"/>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9"/>
      <c r="AT266" s="439"/>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9"/>
      <c r="AT267" s="439"/>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9"/>
      <c r="AT268" s="439"/>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9"/>
      <c r="AT269" s="439"/>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9"/>
      <c r="AT270" s="439"/>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9"/>
      <c r="AT271" s="439"/>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9"/>
      <c r="AT272" s="439"/>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9"/>
      <c r="AT273" s="439"/>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9"/>
      <c r="AT274" s="439"/>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9"/>
      <c r="AT275" s="439"/>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9"/>
      <c r="AT276" s="439"/>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9"/>
      <c r="AT277" s="439"/>
    </row>
    <row r="278" spans="1:46" outlineLevel="3" x14ac:dyDescent="0.25">
      <c r="A278" s="45"/>
      <c r="B278" s="54"/>
      <c r="C278" s="87">
        <f>INT($C$167)+3</f>
        <v>4</v>
      </c>
      <c r="D278" s="73"/>
      <c r="E278" s="70"/>
      <c r="F278" s="70"/>
      <c r="G278" s="73"/>
      <c r="H278" s="181" t="s">
        <v>283</v>
      </c>
      <c r="I278" s="182" t="s">
        <v>276</v>
      </c>
      <c r="J278" s="332">
        <f>J280</f>
        <v>6.2347139254594897E-2</v>
      </c>
      <c r="K278" s="332">
        <f>K280</f>
        <v>2.129873245115288E-2</v>
      </c>
      <c r="L278" s="332">
        <f>L280</f>
        <v>0.10239854550778449</v>
      </c>
      <c r="M278" s="183">
        <v>0</v>
      </c>
      <c r="N278" s="183">
        <v>0</v>
      </c>
      <c r="O278" s="183">
        <v>0</v>
      </c>
      <c r="P278" s="183">
        <v>0</v>
      </c>
      <c r="Q278" s="183">
        <v>0</v>
      </c>
      <c r="R278" s="183">
        <v>0</v>
      </c>
      <c r="S278" s="183">
        <v>0</v>
      </c>
      <c r="T278" s="332">
        <f>T280</f>
        <v>6.7638189667955206E-2</v>
      </c>
      <c r="U278" s="332">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9"/>
      <c r="AT278" s="439"/>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9"/>
      <c r="AT279" s="439"/>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9"/>
      <c r="AT280" s="439"/>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9"/>
      <c r="AT281" s="439"/>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9"/>
      <c r="AT282" s="439"/>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9"/>
      <c r="AT283" s="439"/>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9"/>
      <c r="AT284" s="439"/>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9"/>
      <c r="AT285" s="439"/>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9"/>
      <c r="AT286" s="439"/>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9"/>
      <c r="AT287" s="439"/>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9"/>
      <c r="AT288" s="439"/>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9"/>
      <c r="AT289" s="439"/>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9"/>
      <c r="AT290" s="439"/>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9"/>
      <c r="AT291" s="439"/>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9"/>
      <c r="AT292" s="439"/>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9"/>
      <c r="AT293" s="439"/>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9"/>
      <c r="AT294" s="439"/>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9"/>
      <c r="AT295" s="439"/>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9"/>
      <c r="AT296" s="439"/>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9"/>
      <c r="AT297" s="439"/>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9"/>
      <c r="AT298" s="439"/>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9"/>
      <c r="AT299" s="439"/>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9"/>
      <c r="AT300" s="439"/>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9"/>
      <c r="AT301" s="439"/>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9"/>
      <c r="AT302" s="439"/>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9"/>
      <c r="AT303" s="439"/>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9"/>
      <c r="AT304" s="439"/>
    </row>
    <row r="305" spans="1:46" outlineLevel="3" x14ac:dyDescent="0.25">
      <c r="A305" s="45"/>
      <c r="B305" s="54"/>
      <c r="C305" s="87">
        <f t="shared" ref="C305:C313" si="60">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9"/>
      <c r="AT305" s="439"/>
    </row>
    <row r="306" spans="1:46" outlineLevel="3" x14ac:dyDescent="0.25">
      <c r="A306" s="45"/>
      <c r="B306" s="54"/>
      <c r="C306" s="87">
        <f t="shared" si="60"/>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9"/>
      <c r="AT306" s="439"/>
    </row>
    <row r="307" spans="1:46" outlineLevel="3" x14ac:dyDescent="0.25">
      <c r="A307" s="45"/>
      <c r="B307" s="54"/>
      <c r="C307" s="87">
        <f t="shared" si="60"/>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9"/>
      <c r="AT307" s="439"/>
    </row>
    <row r="308" spans="1:46" outlineLevel="3" x14ac:dyDescent="0.25">
      <c r="A308" s="45"/>
      <c r="B308" s="54"/>
      <c r="C308" s="87">
        <f t="shared" si="60"/>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9"/>
      <c r="AT308" s="439"/>
    </row>
    <row r="309" spans="1:46" outlineLevel="3" x14ac:dyDescent="0.25">
      <c r="A309" s="45"/>
      <c r="B309" s="54"/>
      <c r="C309" s="87">
        <f t="shared" si="60"/>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9"/>
      <c r="AT309" s="439"/>
    </row>
    <row r="310" spans="1:46" outlineLevel="3" x14ac:dyDescent="0.25">
      <c r="A310" s="45"/>
      <c r="B310" s="54"/>
      <c r="C310" s="87">
        <f t="shared" si="60"/>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9"/>
      <c r="AT310" s="439"/>
    </row>
    <row r="311" spans="1:46" outlineLevel="3" x14ac:dyDescent="0.25">
      <c r="A311" s="45"/>
      <c r="B311" s="54"/>
      <c r="C311" s="87">
        <f t="shared" si="60"/>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9"/>
      <c r="AT311" s="439"/>
    </row>
    <row r="312" spans="1:46" outlineLevel="3" x14ac:dyDescent="0.25">
      <c r="A312" s="45"/>
      <c r="B312" s="54"/>
      <c r="C312" s="87">
        <f t="shared" si="60"/>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9"/>
      <c r="AT312" s="439"/>
    </row>
    <row r="313" spans="1:46" outlineLevel="3" x14ac:dyDescent="0.25">
      <c r="A313" s="45"/>
      <c r="B313" s="54"/>
      <c r="C313" s="87">
        <f t="shared" si="60"/>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9"/>
      <c r="AT313" s="439"/>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9"/>
      <c r="AT314" s="439"/>
    </row>
    <row r="315" spans="1:46" outlineLevel="1" x14ac:dyDescent="0.25">
      <c r="A315" s="45"/>
      <c r="B315" s="54"/>
      <c r="C315" s="87">
        <f>INT($C$293)+1</f>
        <v>2</v>
      </c>
      <c r="D315" s="73"/>
      <c r="E315" s="70"/>
      <c r="F315" s="70"/>
      <c r="G315" s="73"/>
      <c r="H315" s="90" t="s">
        <v>2155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9"/>
      <c r="AT315" s="439"/>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9"/>
      <c r="AT316" s="439"/>
    </row>
    <row r="317" spans="1:46" ht="45" outlineLevel="3" x14ac:dyDescent="0.25">
      <c r="A317" s="45"/>
      <c r="B317" s="54"/>
      <c r="C317" s="87">
        <f t="shared" ref="C317:C322" si="61">INT($C$293)+3</f>
        <v>4</v>
      </c>
      <c r="D317" s="73"/>
      <c r="E317" s="70"/>
      <c r="F317" s="70"/>
      <c r="G317" s="73"/>
      <c r="H317" s="187"/>
      <c r="I317" s="76"/>
      <c r="J317" s="269" t="s">
        <v>2160</v>
      </c>
      <c r="K317" s="269" t="s">
        <v>2156</v>
      </c>
      <c r="L317" s="269" t="s">
        <v>2157</v>
      </c>
      <c r="M317" s="269" t="s">
        <v>2978</v>
      </c>
      <c r="N317" s="269" t="s">
        <v>2977</v>
      </c>
      <c r="O317" s="76" t="s">
        <v>2164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9"/>
      <c r="AT317" s="439"/>
    </row>
    <row r="318" spans="1:46" outlineLevel="3" x14ac:dyDescent="0.25">
      <c r="A318" s="45"/>
      <c r="B318" s="54"/>
      <c r="C318" s="87">
        <f t="shared" si="61"/>
        <v>4</v>
      </c>
      <c r="D318" s="73"/>
      <c r="E318" s="70"/>
      <c r="F318" s="70"/>
      <c r="G318" s="73"/>
      <c r="H318" s="76"/>
      <c r="I318" s="76"/>
      <c r="J318" s="96" t="s">
        <v>2161</v>
      </c>
      <c r="K318" s="96" t="s">
        <v>2158</v>
      </c>
      <c r="L318" s="96" t="s">
        <v>2159</v>
      </c>
      <c r="M318" s="96" t="s">
        <v>2975</v>
      </c>
      <c r="N318" s="96" t="s">
        <v>2976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9"/>
      <c r="AT318" s="439"/>
    </row>
    <row r="319" spans="1:46" outlineLevel="3" x14ac:dyDescent="0.25">
      <c r="A319" s="45"/>
      <c r="B319" s="54"/>
      <c r="C319" s="87">
        <f t="shared" si="61"/>
        <v>4</v>
      </c>
      <c r="D319" s="73"/>
      <c r="E319" s="70"/>
      <c r="F319" s="70">
        <v>0</v>
      </c>
      <c r="G319" s="73"/>
      <c r="H319" s="188" t="s">
        <v>2162</v>
      </c>
      <c r="I319" s="76"/>
      <c r="J319" s="97">
        <v>100000</v>
      </c>
      <c r="K319" s="97">
        <v>1000</v>
      </c>
      <c r="L319" s="333">
        <v>2.5000000000000001E-2</v>
      </c>
      <c r="M319" s="97">
        <f>K319/(40*1.15)/0.85</f>
        <v>25.575447570332482</v>
      </c>
      <c r="N319" s="480">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9"/>
      <c r="AT319" s="439"/>
    </row>
    <row r="320" spans="1:46" outlineLevel="3" x14ac:dyDescent="0.25">
      <c r="A320" s="45"/>
      <c r="B320" s="54"/>
      <c r="C320" s="87">
        <f t="shared" si="61"/>
        <v>4</v>
      </c>
      <c r="D320" s="73"/>
      <c r="E320" s="70"/>
      <c r="F320" s="70">
        <v>1</v>
      </c>
      <c r="G320" s="73"/>
      <c r="H320" s="188" t="s">
        <v>2154</v>
      </c>
      <c r="I320" s="76"/>
      <c r="J320" s="97">
        <v>100000</v>
      </c>
      <c r="K320" s="97">
        <v>1000</v>
      </c>
      <c r="L320" s="333">
        <v>7.4999999999999997E-2</v>
      </c>
      <c r="M320" s="97">
        <f>K320/(40*1.15)/0.85</f>
        <v>25.575447570332482</v>
      </c>
      <c r="N320" s="480">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9"/>
      <c r="AT320" s="439"/>
    </row>
    <row r="321" spans="1:46" outlineLevel="3" x14ac:dyDescent="0.25">
      <c r="A321" s="45"/>
      <c r="B321" s="54"/>
      <c r="C321" s="87">
        <f t="shared" si="61"/>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9"/>
      <c r="AT321" s="439"/>
    </row>
    <row r="322" spans="1:46" outlineLevel="3" x14ac:dyDescent="0.25">
      <c r="A322" s="45"/>
      <c r="B322" s="54"/>
      <c r="C322" s="87">
        <f t="shared" si="61"/>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9"/>
      <c r="AT322" s="439"/>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9"/>
      <c r="AT323" s="439"/>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9"/>
      <c r="AT324" s="439"/>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9"/>
      <c r="AT325" s="439"/>
    </row>
    <row r="326" spans="1:46" ht="22.5" outlineLevel="2" x14ac:dyDescent="0.25">
      <c r="A326" s="45"/>
      <c r="B326" s="54"/>
      <c r="C326" s="87">
        <f>INT($C$293)+2</f>
        <v>3</v>
      </c>
      <c r="D326" s="73"/>
      <c r="E326" s="70"/>
      <c r="F326" s="70"/>
      <c r="G326" s="73"/>
      <c r="H326" s="109"/>
      <c r="I326" s="109"/>
      <c r="J326" s="109"/>
      <c r="K326" s="109"/>
      <c r="L326" s="109" t="s">
        <v>3039</v>
      </c>
      <c r="M326" s="488">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0"/>
      <c r="AI326" s="470"/>
      <c r="AJ326" s="470"/>
      <c r="AK326" s="470"/>
      <c r="AL326" s="470"/>
      <c r="AM326" s="470"/>
      <c r="AN326" s="73"/>
      <c r="AO326" s="57"/>
      <c r="AP326" s="45"/>
      <c r="AQ326" s="45"/>
      <c r="AR326" s="45"/>
      <c r="AS326" s="439"/>
      <c r="AT326" s="439"/>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2996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1"/>
      <c r="AI327" s="471"/>
      <c r="AJ327" s="471"/>
      <c r="AK327" s="471"/>
      <c r="AL327" s="471"/>
      <c r="AM327" s="471"/>
      <c r="AN327" s="73"/>
      <c r="AO327" s="57"/>
      <c r="AP327" s="45"/>
      <c r="AQ327" s="45"/>
      <c r="AR327" s="45"/>
      <c r="AS327" s="439"/>
      <c r="AT327" s="439"/>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2997</v>
      </c>
      <c r="U328" s="191" t="s">
        <v>2995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9"/>
      <c r="AT328" s="439"/>
    </row>
    <row r="329" spans="1:46" outlineLevel="3" x14ac:dyDescent="0.25">
      <c r="A329" s="45"/>
      <c r="B329" s="54"/>
      <c r="C329" s="87">
        <f>INT($C$293)+3</f>
        <v>4</v>
      </c>
      <c r="D329" s="73"/>
      <c r="E329" s="70"/>
      <c r="F329" s="70"/>
      <c r="G329" s="73"/>
      <c r="H329" s="76" t="s">
        <v>2994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9"/>
      <c r="AT329" s="439"/>
    </row>
    <row r="330" spans="1:46" outlineLevel="3" x14ac:dyDescent="0.25">
      <c r="A330" s="45"/>
      <c r="B330" s="54"/>
      <c r="C330" s="87">
        <f t="shared" ref="C330:C336" si="62">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9"/>
      <c r="AT330" s="439"/>
    </row>
    <row r="331" spans="1:46" outlineLevel="3" x14ac:dyDescent="0.25">
      <c r="A331" s="45"/>
      <c r="B331" s="54"/>
      <c r="C331" s="87">
        <f t="shared" si="62"/>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9"/>
      <c r="AT331" s="439"/>
    </row>
    <row r="332" spans="1:46" outlineLevel="3" x14ac:dyDescent="0.25">
      <c r="A332" s="45"/>
      <c r="B332" s="54"/>
      <c r="C332" s="87">
        <f t="shared" si="62"/>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9"/>
      <c r="AT332" s="439"/>
    </row>
    <row r="333" spans="1:46" outlineLevel="3" x14ac:dyDescent="0.25">
      <c r="A333" s="45"/>
      <c r="B333" s="54"/>
      <c r="C333" s="87">
        <f t="shared" si="62"/>
        <v>4</v>
      </c>
      <c r="D333" s="73"/>
      <c r="E333" s="70"/>
      <c r="F333" s="70"/>
      <c r="G333" s="73"/>
      <c r="H333" s="76"/>
      <c r="I333" s="76"/>
      <c r="J333" s="76"/>
      <c r="K333" s="76"/>
      <c r="L333" s="76"/>
      <c r="M333" s="76"/>
      <c r="N333" s="76"/>
      <c r="O333" s="76"/>
      <c r="P333" s="76"/>
      <c r="Q333" s="76"/>
      <c r="R333" s="76"/>
      <c r="S333" s="76"/>
      <c r="T333" s="96" t="str">
        <f t="shared" ref="T333:AG333" si="63">INDEX($H$306:$H$314,T332+1,1)</f>
        <v>LW</v>
      </c>
      <c r="U333" s="96" t="str">
        <f t="shared" si="63"/>
        <v>LW</v>
      </c>
      <c r="V333" s="96" t="str">
        <f t="shared" si="63"/>
        <v>head</v>
      </c>
      <c r="W333" s="96" t="str">
        <f t="shared" si="63"/>
        <v>head</v>
      </c>
      <c r="X333" s="96" t="str">
        <f t="shared" si="63"/>
        <v>head</v>
      </c>
      <c r="Y333" s="96" t="str">
        <f t="shared" si="63"/>
        <v>head</v>
      </c>
      <c r="Z333" s="96" t="str">
        <f t="shared" si="63"/>
        <v>head</v>
      </c>
      <c r="AA333" s="96" t="str">
        <f t="shared" si="63"/>
        <v>nyatf</v>
      </c>
      <c r="AB333" s="96" t="str">
        <f t="shared" si="63"/>
        <v>nyatf</v>
      </c>
      <c r="AC333" s="96" t="str">
        <f t="shared" si="63"/>
        <v>head</v>
      </c>
      <c r="AD333" s="96" t="str">
        <f t="shared" si="63"/>
        <v>head</v>
      </c>
      <c r="AE333" s="96" t="str">
        <f t="shared" si="63"/>
        <v>head</v>
      </c>
      <c r="AF333" s="96" t="str">
        <f t="shared" si="63"/>
        <v>CFW</v>
      </c>
      <c r="AG333" s="96" t="str">
        <f t="shared" si="63"/>
        <v>mob</v>
      </c>
      <c r="AH333" s="96"/>
      <c r="AI333" s="96"/>
      <c r="AJ333" s="96"/>
      <c r="AK333" s="96"/>
      <c r="AL333" s="96"/>
      <c r="AM333" s="96"/>
      <c r="AN333" s="73"/>
      <c r="AO333" s="57"/>
      <c r="AP333" s="45"/>
      <c r="AQ333" s="45"/>
      <c r="AR333" s="45"/>
      <c r="AS333" s="439"/>
      <c r="AT333" s="439"/>
    </row>
    <row r="334" spans="1:46" outlineLevel="3" x14ac:dyDescent="0.25">
      <c r="A334" s="45"/>
      <c r="B334" s="54"/>
      <c r="C334" s="87">
        <f t="shared" si="62"/>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9"/>
      <c r="AT334" s="439"/>
    </row>
    <row r="335" spans="1:46" outlineLevel="3" x14ac:dyDescent="0.25">
      <c r="A335" s="45"/>
      <c r="B335" s="54"/>
      <c r="C335" s="87">
        <f t="shared" si="62"/>
        <v>4</v>
      </c>
      <c r="D335" s="73"/>
      <c r="E335" s="70"/>
      <c r="F335" s="70"/>
      <c r="G335" s="73"/>
      <c r="H335" s="76" t="s">
        <v>344</v>
      </c>
      <c r="I335" s="76"/>
      <c r="J335" s="76"/>
      <c r="K335" s="76"/>
      <c r="L335" s="76"/>
      <c r="M335" s="76"/>
      <c r="N335" s="76"/>
      <c r="O335" s="76"/>
      <c r="P335" s="76"/>
      <c r="Q335" s="76"/>
      <c r="R335" s="76"/>
      <c r="S335" s="76"/>
      <c r="T335" s="193">
        <f t="shared" ref="T335:AF335" si="64">T$331*T$334</f>
        <v>7.909090909090909E-3</v>
      </c>
      <c r="U335" s="193">
        <f t="shared" si="64"/>
        <v>1.0454545454545452E-2</v>
      </c>
      <c r="V335" s="193">
        <f t="shared" si="64"/>
        <v>0.4</v>
      </c>
      <c r="W335" s="193">
        <f t="shared" si="64"/>
        <v>0.4</v>
      </c>
      <c r="X335" s="193">
        <f t="shared" si="64"/>
        <v>0.68909090909090898</v>
      </c>
      <c r="Y335" s="193">
        <f t="shared" si="64"/>
        <v>2.56</v>
      </c>
      <c r="Z335" s="193">
        <f t="shared" si="64"/>
        <v>0.40454545454545454</v>
      </c>
      <c r="AA335" s="193">
        <f t="shared" si="64"/>
        <v>4.9090909090909095E-2</v>
      </c>
      <c r="AB335" s="193">
        <f t="shared" si="64"/>
        <v>1.9454545454545453</v>
      </c>
      <c r="AC335" s="193">
        <f t="shared" si="64"/>
        <v>0.97424999999999995</v>
      </c>
      <c r="AD335" s="193">
        <f t="shared" si="64"/>
        <v>0.625</v>
      </c>
      <c r="AE335" s="193">
        <f t="shared" si="64"/>
        <v>0</v>
      </c>
      <c r="AF335" s="193">
        <f t="shared" si="64"/>
        <v>5.6451612903225812E-2</v>
      </c>
      <c r="AG335" s="193">
        <f>AG331</f>
        <v>14.2</v>
      </c>
      <c r="AH335" s="193"/>
      <c r="AI335" s="193"/>
      <c r="AJ335" s="193"/>
      <c r="AK335" s="193"/>
      <c r="AL335" s="193"/>
      <c r="AM335" s="193"/>
      <c r="AN335" s="73"/>
      <c r="AO335" s="57"/>
      <c r="AP335" s="45"/>
      <c r="AQ335" s="45"/>
      <c r="AR335" s="45"/>
      <c r="AS335" s="439"/>
      <c r="AT335" s="439"/>
    </row>
    <row r="336" spans="1:46" ht="33.75" outlineLevel="3" x14ac:dyDescent="0.25">
      <c r="A336" s="45"/>
      <c r="B336" s="54"/>
      <c r="C336" s="87">
        <f t="shared" si="62"/>
        <v>4</v>
      </c>
      <c r="D336" s="73"/>
      <c r="E336" s="70"/>
      <c r="F336" s="70"/>
      <c r="G336" s="73"/>
      <c r="H336" s="162" t="s">
        <v>345</v>
      </c>
      <c r="I336" s="162"/>
      <c r="J336" s="162"/>
      <c r="K336" s="162"/>
      <c r="L336" s="162"/>
      <c r="M336" s="162"/>
      <c r="N336" s="162"/>
      <c r="O336" s="162"/>
      <c r="P336" s="162"/>
      <c r="Q336" s="162"/>
      <c r="R336" s="162"/>
      <c r="S336" s="162"/>
      <c r="T336" s="194" t="s">
        <v>2998</v>
      </c>
      <c r="U336" s="194" t="s">
        <v>2998</v>
      </c>
      <c r="V336" s="194"/>
      <c r="W336" s="194"/>
      <c r="X336" s="194" t="s">
        <v>3000</v>
      </c>
      <c r="Y336" s="194" t="s">
        <v>346</v>
      </c>
      <c r="Z336" s="194" t="s">
        <v>347</v>
      </c>
      <c r="AA336" s="194" t="s">
        <v>3000</v>
      </c>
      <c r="AB336" s="194" t="s">
        <v>2999</v>
      </c>
      <c r="AC336" s="194"/>
      <c r="AD336" s="194"/>
      <c r="AE336" s="194"/>
      <c r="AF336" s="194" t="s">
        <v>3001</v>
      </c>
      <c r="AG336" s="194"/>
      <c r="AH336" s="472"/>
      <c r="AI336" s="472"/>
      <c r="AJ336" s="472"/>
      <c r="AK336" s="472"/>
      <c r="AL336" s="472"/>
      <c r="AM336" s="472"/>
      <c r="AN336" s="73"/>
      <c r="AO336" s="57"/>
      <c r="AP336" s="45"/>
      <c r="AQ336" s="45"/>
      <c r="AR336" s="45"/>
      <c r="AS336" s="439"/>
      <c r="AT336" s="439"/>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9"/>
      <c r="AT337" s="439"/>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9"/>
      <c r="AT338" s="439"/>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9"/>
      <c r="AT339" s="439"/>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9"/>
      <c r="AT340" s="439"/>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9"/>
      <c r="AT341" s="439"/>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5">IF(T$327&lt;&gt;"",T$327,T$326)</f>
        <v>Triguard</v>
      </c>
      <c r="U342" s="196" t="str">
        <f t="shared" si="65"/>
        <v>Q Drench</v>
      </c>
      <c r="V342" s="196" t="str">
        <f t="shared" si="65"/>
        <v>Se bullet</v>
      </c>
      <c r="W342" s="196" t="str">
        <f t="shared" si="65"/>
        <v>Co bullet</v>
      </c>
      <c r="X342" s="196" t="str">
        <f t="shared" si="65"/>
        <v>Glanvac 6S</v>
      </c>
      <c r="Y342" s="196" t="str">
        <f t="shared" si="65"/>
        <v>Gudair</v>
      </c>
      <c r="Z342" s="196" t="str">
        <f t="shared" si="65"/>
        <v>Sidney SP</v>
      </c>
      <c r="AA342" s="196" t="str">
        <f t="shared" si="65"/>
        <v>Rings</v>
      </c>
      <c r="AB342" s="196" t="str">
        <f t="shared" si="65"/>
        <v>Meloxicam</v>
      </c>
      <c r="AC342" s="196" t="str">
        <f t="shared" si="65"/>
        <v>Click</v>
      </c>
      <c r="AD342" s="196" t="str">
        <f t="shared" si="65"/>
        <v>Vetrazin</v>
      </c>
      <c r="AE342" s="196" t="str">
        <f t="shared" si="65"/>
        <v>Footrot treatment</v>
      </c>
      <c r="AF342" s="196" t="str">
        <f t="shared" si="65"/>
        <v>Wool packs</v>
      </c>
      <c r="AG342" s="196" t="str">
        <f t="shared" si="65"/>
        <v>Diesel</v>
      </c>
      <c r="AH342" s="196"/>
      <c r="AI342" s="196"/>
      <c r="AJ342" s="196"/>
      <c r="AK342" s="196"/>
      <c r="AL342" s="196"/>
      <c r="AM342" s="196"/>
      <c r="AN342" s="73"/>
      <c r="AO342" s="57"/>
      <c r="AP342" s="45"/>
      <c r="AQ342" s="45"/>
      <c r="AR342" s="45"/>
      <c r="AS342" s="439"/>
      <c r="AT342" s="439"/>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2223</v>
      </c>
      <c r="R343" s="99" t="s">
        <v>368</v>
      </c>
      <c r="S343" s="198"/>
      <c r="T343" s="166" t="str">
        <f t="shared" ref="T343:AG343" si="66">T333</f>
        <v>LW</v>
      </c>
      <c r="U343" s="166" t="str">
        <f t="shared" si="66"/>
        <v>LW</v>
      </c>
      <c r="V343" s="166" t="str">
        <f t="shared" si="66"/>
        <v>head</v>
      </c>
      <c r="W343" s="166" t="str">
        <f t="shared" si="66"/>
        <v>head</v>
      </c>
      <c r="X343" s="166" t="str">
        <f t="shared" si="66"/>
        <v>head</v>
      </c>
      <c r="Y343" s="166" t="str">
        <f t="shared" si="66"/>
        <v>head</v>
      </c>
      <c r="Z343" s="166" t="str">
        <f t="shared" si="66"/>
        <v>head</v>
      </c>
      <c r="AA343" s="166" t="str">
        <f t="shared" si="66"/>
        <v>nyatf</v>
      </c>
      <c r="AB343" s="166" t="str">
        <f t="shared" si="66"/>
        <v>nyatf</v>
      </c>
      <c r="AC343" s="166" t="str">
        <f t="shared" si="66"/>
        <v>head</v>
      </c>
      <c r="AD343" s="166" t="str">
        <f t="shared" si="66"/>
        <v>head</v>
      </c>
      <c r="AE343" s="166" t="str">
        <f t="shared" si="66"/>
        <v>head</v>
      </c>
      <c r="AF343" s="166" t="str">
        <f t="shared" si="66"/>
        <v>CFW</v>
      </c>
      <c r="AG343" s="166" t="str">
        <f t="shared" si="66"/>
        <v>mob</v>
      </c>
      <c r="AH343" s="473"/>
      <c r="AI343" s="473"/>
      <c r="AJ343" s="473"/>
      <c r="AK343" s="473"/>
      <c r="AL343" s="473"/>
      <c r="AM343" s="473"/>
      <c r="AN343" s="73"/>
      <c r="AO343" s="57"/>
      <c r="AP343" s="45"/>
      <c r="AQ343" s="45"/>
      <c r="AR343" s="45"/>
      <c r="AS343" s="439"/>
      <c r="AT343" s="439"/>
    </row>
    <row r="344" spans="1:46" outlineLevel="3" x14ac:dyDescent="0.25">
      <c r="A344" s="45"/>
      <c r="B344" s="54"/>
      <c r="C344" s="87">
        <f t="shared" ref="C344:C370" si="67">INT($C$293+3)</f>
        <v>4</v>
      </c>
      <c r="D344" s="73"/>
      <c r="E344" s="70"/>
      <c r="F344" s="70"/>
      <c r="G344" s="73"/>
      <c r="H344" s="105" t="s">
        <v>369</v>
      </c>
      <c r="I344" s="99">
        <v>1</v>
      </c>
      <c r="J344" s="177" t="str">
        <f t="shared" ref="J344:J370" si="68">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9"/>
      <c r="AT344" s="439"/>
    </row>
    <row r="345" spans="1:46" outlineLevel="3" x14ac:dyDescent="0.25">
      <c r="A345" s="45"/>
      <c r="B345" s="54"/>
      <c r="C345" s="87">
        <f t="shared" si="67"/>
        <v>4</v>
      </c>
      <c r="D345" s="73"/>
      <c r="E345" s="70"/>
      <c r="F345" s="70"/>
      <c r="G345" s="73"/>
      <c r="H345" s="76" t="s">
        <v>370</v>
      </c>
      <c r="I345" s="99">
        <v>1</v>
      </c>
      <c r="J345" s="96" t="str">
        <f t="shared" si="68"/>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9"/>
      <c r="AT345" s="439"/>
    </row>
    <row r="346" spans="1:46" outlineLevel="3" x14ac:dyDescent="0.25">
      <c r="A346" s="45"/>
      <c r="B346" s="54"/>
      <c r="C346" s="87">
        <f t="shared" si="67"/>
        <v>4</v>
      </c>
      <c r="D346" s="73"/>
      <c r="E346" s="70"/>
      <c r="F346" s="70"/>
      <c r="G346" s="73"/>
      <c r="H346" s="76" t="s">
        <v>371</v>
      </c>
      <c r="I346" s="99">
        <v>0</v>
      </c>
      <c r="J346" s="96" t="str">
        <f t="shared" si="68"/>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9"/>
      <c r="AT346" s="439"/>
    </row>
    <row r="347" spans="1:46" outlineLevel="3" x14ac:dyDescent="0.25">
      <c r="A347" s="45"/>
      <c r="B347" s="54"/>
      <c r="C347" s="87">
        <f t="shared" si="67"/>
        <v>4</v>
      </c>
      <c r="D347" s="73"/>
      <c r="E347" s="70"/>
      <c r="F347" s="70"/>
      <c r="G347" s="73"/>
      <c r="H347" s="76" t="s">
        <v>372</v>
      </c>
      <c r="I347" s="99">
        <v>1</v>
      </c>
      <c r="J347" s="96" t="str">
        <f t="shared" si="68"/>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9"/>
      <c r="AT347" s="439"/>
    </row>
    <row r="348" spans="1:46" outlineLevel="3" x14ac:dyDescent="0.25">
      <c r="A348" s="45"/>
      <c r="B348" s="54"/>
      <c r="C348" s="87">
        <f t="shared" si="67"/>
        <v>4</v>
      </c>
      <c r="D348" s="73"/>
      <c r="E348" s="70"/>
      <c r="F348" s="70"/>
      <c r="G348" s="73"/>
      <c r="H348" s="76" t="s">
        <v>373</v>
      </c>
      <c r="I348" s="99">
        <v>1</v>
      </c>
      <c r="J348" s="96" t="str">
        <f t="shared" si="68"/>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9"/>
      <c r="AT348" s="439"/>
    </row>
    <row r="349" spans="1:46" outlineLevel="3" x14ac:dyDescent="0.25">
      <c r="A349" s="45"/>
      <c r="B349" s="54"/>
      <c r="C349" s="87">
        <f t="shared" si="67"/>
        <v>4</v>
      </c>
      <c r="D349" s="73"/>
      <c r="E349" s="70"/>
      <c r="F349" s="70"/>
      <c r="G349" s="73"/>
      <c r="H349" s="76" t="s">
        <v>374</v>
      </c>
      <c r="I349" s="99">
        <v>1</v>
      </c>
      <c r="J349" s="96" t="str">
        <f t="shared" si="68"/>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9"/>
      <c r="AT349" s="439"/>
    </row>
    <row r="350" spans="1:46" outlineLevel="3" x14ac:dyDescent="0.25">
      <c r="A350" s="45"/>
      <c r="B350" s="54"/>
      <c r="C350" s="87">
        <f t="shared" si="67"/>
        <v>4</v>
      </c>
      <c r="D350" s="73"/>
      <c r="E350" s="70"/>
      <c r="F350" s="70"/>
      <c r="G350" s="73"/>
      <c r="H350" s="76" t="s">
        <v>375</v>
      </c>
      <c r="I350" s="99">
        <v>0</v>
      </c>
      <c r="J350" s="96" t="str">
        <f t="shared" si="68"/>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9"/>
      <c r="AT350" s="439"/>
    </row>
    <row r="351" spans="1:46" outlineLevel="3" x14ac:dyDescent="0.25">
      <c r="A351" s="45"/>
      <c r="B351" s="54"/>
      <c r="C351" s="87">
        <f t="shared" si="67"/>
        <v>4</v>
      </c>
      <c r="D351" s="73"/>
      <c r="E351" s="70"/>
      <c r="F351" s="70"/>
      <c r="G351" s="73"/>
      <c r="H351" s="76" t="s">
        <v>376</v>
      </c>
      <c r="I351" s="99">
        <v>0</v>
      </c>
      <c r="J351" s="96" t="str">
        <f t="shared" si="68"/>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9"/>
      <c r="AT351" s="439"/>
    </row>
    <row r="352" spans="1:46" outlineLevel="3" x14ac:dyDescent="0.25">
      <c r="A352" s="45"/>
      <c r="B352" s="54"/>
      <c r="C352" s="87">
        <f t="shared" si="67"/>
        <v>4</v>
      </c>
      <c r="D352" s="73"/>
      <c r="E352" s="70"/>
      <c r="F352" s="70"/>
      <c r="G352" s="73"/>
      <c r="H352" s="76" t="s">
        <v>377</v>
      </c>
      <c r="I352" s="99">
        <v>0</v>
      </c>
      <c r="J352" s="96" t="str">
        <f t="shared" si="68"/>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9"/>
      <c r="AT352" s="439"/>
    </row>
    <row r="353" spans="1:46" outlineLevel="3" x14ac:dyDescent="0.25">
      <c r="A353" s="45"/>
      <c r="B353" s="54"/>
      <c r="C353" s="87">
        <f t="shared" si="67"/>
        <v>4</v>
      </c>
      <c r="D353" s="73"/>
      <c r="E353" s="70"/>
      <c r="F353" s="70"/>
      <c r="G353" s="73"/>
      <c r="H353" s="76" t="s">
        <v>378</v>
      </c>
      <c r="I353" s="99">
        <v>0</v>
      </c>
      <c r="J353" s="96" t="str">
        <f t="shared" si="68"/>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9"/>
      <c r="AT353" s="439"/>
    </row>
    <row r="354" spans="1:46" outlineLevel="3" x14ac:dyDescent="0.25">
      <c r="A354" s="45"/>
      <c r="B354" s="54"/>
      <c r="C354" s="87">
        <f t="shared" si="67"/>
        <v>4</v>
      </c>
      <c r="D354" s="73"/>
      <c r="E354" s="70"/>
      <c r="F354" s="70"/>
      <c r="G354" s="73"/>
      <c r="H354" s="76" t="s">
        <v>379</v>
      </c>
      <c r="I354" s="99">
        <v>0</v>
      </c>
      <c r="J354" s="96" t="str">
        <f t="shared" si="68"/>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9"/>
      <c r="AT354" s="439"/>
    </row>
    <row r="355" spans="1:46" outlineLevel="3" x14ac:dyDescent="0.25">
      <c r="A355" s="45"/>
      <c r="B355" s="54"/>
      <c r="C355" s="87">
        <f t="shared" si="67"/>
        <v>4</v>
      </c>
      <c r="D355" s="73"/>
      <c r="E355" s="70"/>
      <c r="F355" s="70"/>
      <c r="G355" s="73"/>
      <c r="H355" s="76" t="s">
        <v>380</v>
      </c>
      <c r="I355" s="99">
        <v>0</v>
      </c>
      <c r="J355" s="96" t="str">
        <f t="shared" si="68"/>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9"/>
      <c r="AT355" s="439"/>
    </row>
    <row r="356" spans="1:46" outlineLevel="3" x14ac:dyDescent="0.25">
      <c r="A356" s="45"/>
      <c r="B356" s="54"/>
      <c r="C356" s="87">
        <f t="shared" si="67"/>
        <v>4</v>
      </c>
      <c r="D356" s="73"/>
      <c r="E356" s="70"/>
      <c r="F356" s="70"/>
      <c r="G356" s="73"/>
      <c r="H356" s="76" t="s">
        <v>381</v>
      </c>
      <c r="I356" s="99">
        <v>0</v>
      </c>
      <c r="J356" s="96" t="str">
        <f t="shared" si="68"/>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9"/>
      <c r="AT356" s="439"/>
    </row>
    <row r="357" spans="1:46" outlineLevel="3" x14ac:dyDescent="0.25">
      <c r="A357" s="45"/>
      <c r="B357" s="54"/>
      <c r="C357" s="87">
        <f t="shared" si="67"/>
        <v>4</v>
      </c>
      <c r="D357" s="73"/>
      <c r="E357" s="70"/>
      <c r="F357" s="70"/>
      <c r="G357" s="73"/>
      <c r="H357" s="76" t="s">
        <v>382</v>
      </c>
      <c r="I357" s="99">
        <v>0</v>
      </c>
      <c r="J357" s="96" t="str">
        <f t="shared" si="68"/>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9"/>
      <c r="AT357" s="439"/>
    </row>
    <row r="358" spans="1:46" outlineLevel="3" x14ac:dyDescent="0.25">
      <c r="A358" s="45"/>
      <c r="B358" s="54"/>
      <c r="C358" s="87">
        <f t="shared" si="67"/>
        <v>4</v>
      </c>
      <c r="D358" s="73"/>
      <c r="E358" s="70"/>
      <c r="F358" s="70"/>
      <c r="G358" s="73"/>
      <c r="H358" s="76" t="s">
        <v>383</v>
      </c>
      <c r="I358" s="99">
        <v>5</v>
      </c>
      <c r="J358" s="96" t="str">
        <f t="shared" si="68"/>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9"/>
      <c r="AT358" s="439"/>
    </row>
    <row r="359" spans="1:46" outlineLevel="3" x14ac:dyDescent="0.25">
      <c r="A359" s="45"/>
      <c r="B359" s="54"/>
      <c r="C359" s="87">
        <f t="shared" si="67"/>
        <v>4</v>
      </c>
      <c r="D359" s="73"/>
      <c r="E359" s="70"/>
      <c r="F359" s="70"/>
      <c r="G359" s="73"/>
      <c r="H359" s="76" t="s">
        <v>384</v>
      </c>
      <c r="I359" s="99">
        <v>5</v>
      </c>
      <c r="J359" s="96" t="str">
        <f t="shared" si="68"/>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9"/>
      <c r="AT359" s="439"/>
    </row>
    <row r="360" spans="1:46" outlineLevel="3" x14ac:dyDescent="0.25">
      <c r="A360" s="45"/>
      <c r="B360" s="54"/>
      <c r="C360" s="87">
        <f t="shared" si="67"/>
        <v>4</v>
      </c>
      <c r="D360" s="73"/>
      <c r="E360" s="70"/>
      <c r="F360" s="70"/>
      <c r="G360" s="73"/>
      <c r="H360" s="76" t="s">
        <v>385</v>
      </c>
      <c r="I360" s="99">
        <v>0</v>
      </c>
      <c r="J360" s="96" t="str">
        <f t="shared" si="68"/>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9"/>
      <c r="AT360" s="439"/>
    </row>
    <row r="361" spans="1:46" outlineLevel="3" x14ac:dyDescent="0.25">
      <c r="A361" s="45"/>
      <c r="B361" s="54"/>
      <c r="C361" s="87">
        <f t="shared" si="67"/>
        <v>4</v>
      </c>
      <c r="D361" s="73"/>
      <c r="E361" s="70"/>
      <c r="F361" s="70"/>
      <c r="G361" s="73"/>
      <c r="H361" s="76" t="s">
        <v>386</v>
      </c>
      <c r="I361" s="99">
        <v>0</v>
      </c>
      <c r="J361" s="96" t="str">
        <f t="shared" si="68"/>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9"/>
      <c r="AT361" s="439"/>
    </row>
    <row r="362" spans="1:46" outlineLevel="3" x14ac:dyDescent="0.25">
      <c r="A362" s="45"/>
      <c r="B362" s="54"/>
      <c r="C362" s="87">
        <f t="shared" si="67"/>
        <v>4</v>
      </c>
      <c r="D362" s="73"/>
      <c r="E362" s="70"/>
      <c r="F362" s="70"/>
      <c r="G362" s="73"/>
      <c r="H362" s="76" t="s">
        <v>387</v>
      </c>
      <c r="I362" s="99">
        <v>0</v>
      </c>
      <c r="J362" s="96" t="str">
        <f t="shared" si="68"/>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9"/>
      <c r="AT362" s="439"/>
    </row>
    <row r="363" spans="1:46" outlineLevel="3" x14ac:dyDescent="0.25">
      <c r="A363" s="45"/>
      <c r="B363" s="54"/>
      <c r="C363" s="87">
        <f t="shared" si="67"/>
        <v>4</v>
      </c>
      <c r="D363" s="73"/>
      <c r="E363" s="70"/>
      <c r="F363" s="70"/>
      <c r="G363" s="73"/>
      <c r="H363" s="76" t="s">
        <v>388</v>
      </c>
      <c r="I363" s="99">
        <v>1</v>
      </c>
      <c r="J363" s="96" t="str">
        <f t="shared" si="68"/>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9"/>
      <c r="AT363" s="439"/>
    </row>
    <row r="364" spans="1:46" outlineLevel="3" x14ac:dyDescent="0.25">
      <c r="A364" s="45"/>
      <c r="B364" s="54"/>
      <c r="C364" s="87">
        <f t="shared" si="67"/>
        <v>4</v>
      </c>
      <c r="D364" s="73"/>
      <c r="E364" s="70"/>
      <c r="F364" s="70"/>
      <c r="G364" s="73"/>
      <c r="H364" s="76" t="s">
        <v>389</v>
      </c>
      <c r="I364" s="99">
        <v>1</v>
      </c>
      <c r="J364" s="96" t="str">
        <f t="shared" si="68"/>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9"/>
      <c r="AT364" s="439"/>
    </row>
    <row r="365" spans="1:46" outlineLevel="3" x14ac:dyDescent="0.25">
      <c r="A365" s="45"/>
      <c r="B365" s="54"/>
      <c r="C365" s="87">
        <f t="shared" si="67"/>
        <v>4</v>
      </c>
      <c r="D365" s="73"/>
      <c r="E365" s="70"/>
      <c r="F365" s="70"/>
      <c r="G365" s="73"/>
      <c r="H365" s="76" t="s">
        <v>390</v>
      </c>
      <c r="I365" s="99">
        <v>0</v>
      </c>
      <c r="J365" s="96" t="str">
        <f t="shared" si="68"/>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9"/>
      <c r="AT365" s="439"/>
    </row>
    <row r="366" spans="1:46" outlineLevel="3" x14ac:dyDescent="0.25">
      <c r="A366" s="45"/>
      <c r="B366" s="54"/>
      <c r="C366" s="87">
        <f t="shared" si="67"/>
        <v>4</v>
      </c>
      <c r="D366" s="73"/>
      <c r="E366" s="70"/>
      <c r="F366" s="70"/>
      <c r="G366" s="73"/>
      <c r="H366" s="76" t="s">
        <v>391</v>
      </c>
      <c r="I366" s="99">
        <v>1</v>
      </c>
      <c r="J366" s="96" t="str">
        <f t="shared" si="68"/>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9"/>
      <c r="AT366" s="439"/>
    </row>
    <row r="367" spans="1:46" outlineLevel="3" x14ac:dyDescent="0.25">
      <c r="A367" s="45"/>
      <c r="B367" s="54"/>
      <c r="C367" s="87">
        <f t="shared" si="67"/>
        <v>4</v>
      </c>
      <c r="D367" s="73"/>
      <c r="E367" s="70"/>
      <c r="F367" s="70"/>
      <c r="G367" s="73"/>
      <c r="H367" s="76" t="s">
        <v>392</v>
      </c>
      <c r="I367" s="99">
        <v>0</v>
      </c>
      <c r="J367" s="96" t="str">
        <f t="shared" si="68"/>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9"/>
      <c r="AT367" s="439"/>
    </row>
    <row r="368" spans="1:46" outlineLevel="3" x14ac:dyDescent="0.25">
      <c r="A368" s="45"/>
      <c r="B368" s="54"/>
      <c r="C368" s="87">
        <f t="shared" si="67"/>
        <v>4</v>
      </c>
      <c r="D368" s="73"/>
      <c r="E368" s="70"/>
      <c r="F368" s="70"/>
      <c r="G368" s="73"/>
      <c r="H368" s="76" t="s">
        <v>393</v>
      </c>
      <c r="I368" s="99">
        <v>2</v>
      </c>
      <c r="J368" s="96" t="str">
        <f t="shared" si="68"/>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9"/>
      <c r="AT368" s="439"/>
    </row>
    <row r="369" spans="1:46" outlineLevel="3" x14ac:dyDescent="0.25">
      <c r="A369" s="45"/>
      <c r="B369" s="54"/>
      <c r="C369" s="87">
        <f t="shared" si="67"/>
        <v>4</v>
      </c>
      <c r="D369" s="73"/>
      <c r="E369" s="70"/>
      <c r="F369" s="70"/>
      <c r="G369" s="73"/>
      <c r="H369" s="76" t="s">
        <v>2350</v>
      </c>
      <c r="I369" s="99">
        <v>2</v>
      </c>
      <c r="J369" s="96" t="str">
        <f t="shared" si="68"/>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9"/>
      <c r="AT369" s="439"/>
    </row>
    <row r="370" spans="1:46" outlineLevel="3" x14ac:dyDescent="0.25">
      <c r="A370" s="45"/>
      <c r="B370" s="54"/>
      <c r="C370" s="87">
        <f t="shared" si="67"/>
        <v>4</v>
      </c>
      <c r="D370" s="73"/>
      <c r="E370" s="70"/>
      <c r="F370" s="70"/>
      <c r="G370" s="73"/>
      <c r="H370" s="76" t="s">
        <v>2351</v>
      </c>
      <c r="I370" s="99">
        <v>2</v>
      </c>
      <c r="J370" s="96" t="str">
        <f t="shared" si="68"/>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9"/>
      <c r="AT370" s="439"/>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9"/>
      <c r="AT371" s="439"/>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9"/>
      <c r="AI372" s="469"/>
      <c r="AJ372" s="469"/>
      <c r="AK372" s="469"/>
      <c r="AL372" s="469"/>
      <c r="AM372" s="469"/>
      <c r="AN372" s="73"/>
      <c r="AO372" s="57"/>
      <c r="AP372" s="45"/>
      <c r="AQ372" s="45"/>
      <c r="AR372" s="45"/>
      <c r="AS372" s="439"/>
      <c r="AT372" s="439"/>
    </row>
    <row r="373" spans="1:46" outlineLevel="3" x14ac:dyDescent="0.25">
      <c r="A373" s="45"/>
      <c r="B373" s="54"/>
      <c r="C373" s="87">
        <f>INT($C$293+3)</f>
        <v>4</v>
      </c>
      <c r="D373" s="73"/>
      <c r="E373" s="70"/>
      <c r="F373" s="70"/>
      <c r="G373" s="73"/>
      <c r="H373" s="218" t="s">
        <v>351</v>
      </c>
      <c r="I373" s="268">
        <v>2</v>
      </c>
      <c r="J373" s="209" t="str">
        <f>INDEX($H$306:$H$314,I373+1,1)</f>
        <v>mob</v>
      </c>
      <c r="K373" s="218"/>
      <c r="L373" s="220">
        <v>0</v>
      </c>
      <c r="M373" s="267">
        <v>0</v>
      </c>
      <c r="N373" s="267">
        <f>4/3</f>
        <v>1.3333333333333333</v>
      </c>
      <c r="O373" s="218"/>
      <c r="P373" s="218"/>
      <c r="Q373" s="267">
        <v>1</v>
      </c>
      <c r="R373" s="267">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4"/>
      <c r="AI373" s="474"/>
      <c r="AJ373" s="474"/>
      <c r="AK373" s="474"/>
      <c r="AL373" s="474"/>
      <c r="AM373" s="474"/>
      <c r="AN373" s="73"/>
      <c r="AO373" s="57"/>
      <c r="AP373" s="45"/>
      <c r="AQ373" s="45"/>
      <c r="AR373" s="45"/>
      <c r="AS373" s="439"/>
      <c r="AT373" s="439"/>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9"/>
      <c r="AT374" s="439"/>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4"/>
      <c r="AI375" s="474"/>
      <c r="AJ375" s="474"/>
      <c r="AK375" s="474"/>
      <c r="AL375" s="474"/>
      <c r="AM375" s="474"/>
      <c r="AN375" s="73"/>
      <c r="AO375" s="57"/>
      <c r="AP375" s="45"/>
      <c r="AQ375" s="45"/>
      <c r="AR375" s="45"/>
      <c r="AS375" s="439"/>
      <c r="AT375" s="439"/>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9"/>
      <c r="AT376" s="439"/>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4"/>
      <c r="AI377" s="474"/>
      <c r="AJ377" s="474"/>
      <c r="AK377" s="474"/>
      <c r="AL377" s="474"/>
      <c r="AM377" s="474"/>
      <c r="AN377" s="73"/>
      <c r="AO377" s="57"/>
      <c r="AP377" s="45"/>
      <c r="AQ377" s="45"/>
      <c r="AR377" s="45"/>
      <c r="AS377" s="439"/>
      <c r="AT377" s="439"/>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9"/>
      <c r="AT378" s="439"/>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9"/>
      <c r="AT379" s="439"/>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9"/>
      <c r="AT380" s="439"/>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9"/>
      <c r="AT381" s="439"/>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9"/>
      <c r="AT382" s="439"/>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9"/>
      <c r="AT383" s="439"/>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9"/>
      <c r="AT384" s="439"/>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9"/>
      <c r="AT385" s="439"/>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9"/>
      <c r="AT386" s="439"/>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9"/>
      <c r="AT387" s="439"/>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9"/>
      <c r="AT388" s="439"/>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9"/>
      <c r="AT389" s="439"/>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9"/>
      <c r="AT390" s="439"/>
    </row>
    <row r="391" spans="1:46" ht="15" customHeight="1" outlineLevel="2" x14ac:dyDescent="0.25">
      <c r="A391" s="45"/>
      <c r="B391" s="54"/>
      <c r="C391" s="87">
        <f>INT($C$387)+2</f>
        <v>3</v>
      </c>
      <c r="D391" s="55"/>
      <c r="E391" s="70"/>
      <c r="F391" s="70"/>
      <c r="G391" s="55"/>
      <c r="H391" s="72"/>
      <c r="I391" s="72"/>
      <c r="J391" s="228" t="s">
        <v>2166</v>
      </c>
      <c r="K391" s="228"/>
      <c r="L391" s="228"/>
      <c r="M391" s="72" t="s">
        <v>398</v>
      </c>
      <c r="N391" s="271"/>
      <c r="O391" s="272"/>
      <c r="P391" s="271"/>
      <c r="Q391" s="272"/>
      <c r="R391" s="271"/>
      <c r="S391" s="272"/>
      <c r="T391" s="275"/>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9"/>
      <c r="AT391" s="439"/>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3" t="s">
        <v>290</v>
      </c>
      <c r="O392" s="274"/>
      <c r="P392" s="273" t="s">
        <v>291</v>
      </c>
      <c r="Q392" s="274"/>
      <c r="R392" s="273" t="s">
        <v>403</v>
      </c>
      <c r="S392" s="274"/>
      <c r="T392" s="273" t="s">
        <v>292</v>
      </c>
      <c r="U392" s="274"/>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9"/>
      <c r="AT392" s="439"/>
    </row>
    <row r="393" spans="1:46" outlineLevel="2" x14ac:dyDescent="0.25">
      <c r="A393" s="45"/>
      <c r="B393" s="54"/>
      <c r="C393" s="87">
        <f>INT($C$387)+2</f>
        <v>3</v>
      </c>
      <c r="D393" s="55"/>
      <c r="E393" s="70"/>
      <c r="F393" s="70"/>
      <c r="G393" s="55"/>
      <c r="H393" s="72" t="s">
        <v>2165</v>
      </c>
      <c r="I393" s="72"/>
      <c r="J393" s="72">
        <v>0</v>
      </c>
      <c r="K393" s="72">
        <v>1</v>
      </c>
      <c r="L393" s="72">
        <v>2</v>
      </c>
      <c r="M393" s="72" t="s">
        <v>404</v>
      </c>
      <c r="N393" s="275"/>
      <c r="O393" s="244"/>
      <c r="P393" s="275"/>
      <c r="Q393" s="244"/>
      <c r="R393" s="275"/>
      <c r="S393" s="244"/>
      <c r="T393" s="275"/>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9"/>
      <c r="AT393" s="439"/>
    </row>
    <row r="394" spans="1:46" ht="11.45" customHeight="1" outlineLevel="2" x14ac:dyDescent="0.25">
      <c r="A394" s="45"/>
      <c r="B394" s="54" t="s">
        <v>129</v>
      </c>
      <c r="C394" s="87">
        <f>INT($C$387)+2.01</f>
        <v>3.01</v>
      </c>
      <c r="D394" s="55"/>
      <c r="E394" s="55"/>
      <c r="F394" s="55"/>
      <c r="G394" s="55"/>
      <c r="H394" s="72"/>
      <c r="I394" s="72"/>
      <c r="J394" s="72"/>
      <c r="K394" s="72"/>
      <c r="L394" s="72"/>
      <c r="M394" s="72"/>
      <c r="N394" s="276"/>
      <c r="O394" s="277"/>
      <c r="P394" s="276"/>
      <c r="Q394" s="277"/>
      <c r="R394" s="276"/>
      <c r="S394" s="277"/>
      <c r="T394" s="276"/>
      <c r="U394" s="277"/>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9"/>
      <c r="AT394" s="439"/>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9"/>
      <c r="AT395" s="439"/>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9"/>
      <c r="AT396" s="439"/>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9"/>
      <c r="AT397" s="439"/>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9"/>
      <c r="AT398" s="439"/>
    </row>
    <row r="399" spans="1:46" outlineLevel="2" x14ac:dyDescent="0.25">
      <c r="A399" s="45"/>
      <c r="B399" s="54"/>
      <c r="C399" s="87">
        <f>INT($C$387)+2</f>
        <v>3</v>
      </c>
      <c r="D399" s="73"/>
      <c r="E399" s="70"/>
      <c r="F399" s="70"/>
      <c r="G399" s="73"/>
      <c r="H399" s="76" t="s">
        <v>406</v>
      </c>
      <c r="I399" s="97" t="b">
        <v>0</v>
      </c>
      <c r="J399" s="76"/>
      <c r="K399" s="76"/>
      <c r="L399" s="76"/>
      <c r="M399" s="76"/>
      <c r="N399" s="230" t="s">
        <v>2696</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9"/>
      <c r="AT399" s="439"/>
    </row>
    <row r="400" spans="1:46" outlineLevel="2" x14ac:dyDescent="0.25">
      <c r="A400" s="45"/>
      <c r="B400" s="54"/>
      <c r="C400" s="87">
        <f>INT($C$387)+2</f>
        <v>3</v>
      </c>
      <c r="D400" s="73"/>
      <c r="E400" s="70"/>
      <c r="F400" s="70"/>
      <c r="G400" s="73"/>
      <c r="H400" s="76"/>
      <c r="I400" s="231" t="s">
        <v>128</v>
      </c>
      <c r="J400" s="230" t="s">
        <v>407</v>
      </c>
      <c r="K400" s="95"/>
      <c r="L400" s="95"/>
      <c r="M400" s="96" t="s">
        <v>2837</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9"/>
      <c r="AT400" s="439"/>
    </row>
    <row r="401" spans="1:46" outlineLevel="2" x14ac:dyDescent="0.25">
      <c r="A401" s="45"/>
      <c r="B401" s="54"/>
      <c r="C401" s="87">
        <f>INT($C$387)+2</f>
        <v>3</v>
      </c>
      <c r="D401" s="73"/>
      <c r="E401" s="70"/>
      <c r="F401" s="70"/>
      <c r="G401" s="73"/>
      <c r="H401" s="283" t="s">
        <v>410</v>
      </c>
      <c r="I401" s="177">
        <v>0</v>
      </c>
      <c r="J401" s="79" t="b">
        <v>1</v>
      </c>
      <c r="K401" s="79" t="b">
        <v>1</v>
      </c>
      <c r="L401" s="79" t="b">
        <v>1</v>
      </c>
      <c r="M401" s="79">
        <v>1</v>
      </c>
      <c r="N401" s="299">
        <v>0</v>
      </c>
      <c r="O401" s="299">
        <v>0</v>
      </c>
      <c r="P401" s="99">
        <v>2</v>
      </c>
      <c r="Q401" s="99">
        <v>2</v>
      </c>
      <c r="R401" s="299">
        <v>0</v>
      </c>
      <c r="S401" s="299">
        <v>0</v>
      </c>
      <c r="T401" s="299">
        <v>0</v>
      </c>
      <c r="U401" s="299">
        <v>0</v>
      </c>
      <c r="V401" s="105"/>
      <c r="W401" s="105"/>
      <c r="X401" s="105"/>
      <c r="Y401" s="105"/>
      <c r="Z401" s="105"/>
      <c r="AA401" s="105"/>
      <c r="AB401" s="105"/>
      <c r="AC401" s="105"/>
      <c r="AD401" s="105"/>
      <c r="AE401" s="105"/>
      <c r="AF401" s="105"/>
      <c r="AG401" s="105"/>
      <c r="AH401" s="469"/>
      <c r="AI401" s="469"/>
      <c r="AJ401" s="469"/>
      <c r="AK401" s="469"/>
      <c r="AL401" s="469"/>
      <c r="AM401" s="469"/>
      <c r="AN401" s="73"/>
      <c r="AO401" s="57"/>
      <c r="AP401" s="45"/>
      <c r="AQ401" s="45"/>
      <c r="AR401" s="45"/>
      <c r="AS401" s="439"/>
      <c r="AT401" s="439"/>
    </row>
    <row r="402" spans="1:46" outlineLevel="2" x14ac:dyDescent="0.25">
      <c r="A402" s="45"/>
      <c r="B402" s="54"/>
      <c r="C402" s="87">
        <f>INT($C$387)+2</f>
        <v>3</v>
      </c>
      <c r="D402" s="73"/>
      <c r="E402" s="70"/>
      <c r="F402" s="70"/>
      <c r="G402" s="73"/>
      <c r="H402" s="283" t="s">
        <v>411</v>
      </c>
      <c r="I402" s="96">
        <v>1</v>
      </c>
      <c r="J402" s="79" t="b">
        <v>1</v>
      </c>
      <c r="K402" s="79" t="b">
        <v>1</v>
      </c>
      <c r="L402" s="79" t="b">
        <v>0</v>
      </c>
      <c r="M402" s="79">
        <v>2</v>
      </c>
      <c r="N402" s="299">
        <v>0</v>
      </c>
      <c r="O402" s="299">
        <v>0</v>
      </c>
      <c r="P402" s="299">
        <v>0</v>
      </c>
      <c r="Q402" s="299">
        <v>0</v>
      </c>
      <c r="R402" s="300">
        <v>1</v>
      </c>
      <c r="S402" s="300">
        <v>1</v>
      </c>
      <c r="T402" s="299">
        <v>0</v>
      </c>
      <c r="U402" s="299">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9"/>
      <c r="AT402" s="439"/>
    </row>
    <row r="403" spans="1:46" outlineLevel="3" x14ac:dyDescent="0.25">
      <c r="A403" s="45"/>
      <c r="B403" s="54"/>
      <c r="C403" s="87">
        <f t="shared" ref="C403:C421" si="69">INT($C$387)+3</f>
        <v>4</v>
      </c>
      <c r="D403" s="73"/>
      <c r="E403" s="70"/>
      <c r="F403" s="70"/>
      <c r="G403" s="73"/>
      <c r="H403" s="283" t="s">
        <v>412</v>
      </c>
      <c r="I403" s="177">
        <v>2</v>
      </c>
      <c r="J403" s="79" t="b">
        <v>1</v>
      </c>
      <c r="K403" s="79" t="b">
        <v>1</v>
      </c>
      <c r="L403" s="79" t="b">
        <v>0</v>
      </c>
      <c r="M403" s="79">
        <v>1</v>
      </c>
      <c r="N403" s="300">
        <v>1</v>
      </c>
      <c r="O403" s="300">
        <v>1</v>
      </c>
      <c r="P403" s="300">
        <v>1</v>
      </c>
      <c r="Q403" s="300">
        <v>1</v>
      </c>
      <c r="R403" s="299">
        <v>0</v>
      </c>
      <c r="S403" s="299">
        <v>0</v>
      </c>
      <c r="T403" s="300">
        <v>1</v>
      </c>
      <c r="U403" s="300">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9"/>
      <c r="AT403" s="439"/>
    </row>
    <row r="404" spans="1:46" outlineLevel="3" x14ac:dyDescent="0.25">
      <c r="A404" s="45"/>
      <c r="B404" s="54"/>
      <c r="C404" s="87">
        <f t="shared" si="69"/>
        <v>4</v>
      </c>
      <c r="D404" s="73"/>
      <c r="E404" s="70"/>
      <c r="F404" s="70"/>
      <c r="G404" s="73"/>
      <c r="H404" s="283" t="s">
        <v>2280</v>
      </c>
      <c r="I404" s="96">
        <v>3</v>
      </c>
      <c r="J404" s="79" t="b">
        <v>1</v>
      </c>
      <c r="K404" s="79" t="b">
        <v>1</v>
      </c>
      <c r="L404" s="79" t="b">
        <v>1</v>
      </c>
      <c r="M404" s="79">
        <v>1</v>
      </c>
      <c r="N404" s="299">
        <v>0</v>
      </c>
      <c r="O404" s="299">
        <v>0</v>
      </c>
      <c r="P404" s="300">
        <v>2</v>
      </c>
      <c r="Q404" s="300">
        <v>2</v>
      </c>
      <c r="R404" s="299">
        <v>0</v>
      </c>
      <c r="S404" s="299">
        <v>0</v>
      </c>
      <c r="T404" s="299">
        <v>0</v>
      </c>
      <c r="U404" s="299">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9"/>
      <c r="AT404" s="439"/>
    </row>
    <row r="405" spans="1:46" outlineLevel="3" x14ac:dyDescent="0.25">
      <c r="A405" s="45"/>
      <c r="B405" s="54"/>
      <c r="C405" s="87">
        <f t="shared" si="69"/>
        <v>4</v>
      </c>
      <c r="D405" s="73"/>
      <c r="E405" s="70"/>
      <c r="F405" s="70"/>
      <c r="G405" s="73"/>
      <c r="H405" s="283"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9"/>
      <c r="AT405" s="439"/>
    </row>
    <row r="406" spans="1:46" outlineLevel="3" x14ac:dyDescent="0.25">
      <c r="A406" s="45"/>
      <c r="B406" s="54"/>
      <c r="C406" s="87">
        <f t="shared" si="69"/>
        <v>4</v>
      </c>
      <c r="D406" s="73"/>
      <c r="E406" s="70"/>
      <c r="F406" s="70"/>
      <c r="G406" s="73"/>
      <c r="H406" s="283"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9"/>
      <c r="AT406" s="439"/>
    </row>
    <row r="407" spans="1:46" outlineLevel="3" x14ac:dyDescent="0.25">
      <c r="A407" s="45"/>
      <c r="B407" s="54"/>
      <c r="C407" s="87">
        <f t="shared" si="69"/>
        <v>4</v>
      </c>
      <c r="D407" s="73"/>
      <c r="E407" s="70"/>
      <c r="F407" s="70"/>
      <c r="G407" s="73"/>
      <c r="H407" s="283"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9"/>
      <c r="AT407" s="439"/>
    </row>
    <row r="408" spans="1:46" outlineLevel="3" x14ac:dyDescent="0.25">
      <c r="A408" s="45"/>
      <c r="B408" s="54"/>
      <c r="C408" s="87">
        <f t="shared" si="69"/>
        <v>4</v>
      </c>
      <c r="D408" s="73"/>
      <c r="E408" s="70"/>
      <c r="F408" s="70"/>
      <c r="G408" s="73"/>
      <c r="H408" s="283" t="s">
        <v>3277</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9"/>
      <c r="AT408" s="439"/>
    </row>
    <row r="409" spans="1:46" outlineLevel="3" x14ac:dyDescent="0.25">
      <c r="A409" s="45"/>
      <c r="B409" s="54"/>
      <c r="C409" s="87">
        <f t="shared" si="69"/>
        <v>4</v>
      </c>
      <c r="D409" s="73"/>
      <c r="E409" s="70"/>
      <c r="F409" s="70"/>
      <c r="G409" s="73"/>
      <c r="H409" s="283"/>
      <c r="I409" s="177">
        <v>8</v>
      </c>
      <c r="J409" s="79" t="b">
        <v>0</v>
      </c>
      <c r="K409" s="79" t="b">
        <v>0</v>
      </c>
      <c r="L409" s="79" t="b">
        <v>0</v>
      </c>
      <c r="M409" s="79">
        <v>1</v>
      </c>
      <c r="N409" s="299">
        <v>0</v>
      </c>
      <c r="O409" s="299">
        <v>0</v>
      </c>
      <c r="P409" s="299">
        <v>0</v>
      </c>
      <c r="Q409" s="299">
        <v>0</v>
      </c>
      <c r="R409" s="299">
        <v>0</v>
      </c>
      <c r="S409" s="299">
        <v>0</v>
      </c>
      <c r="T409" s="299">
        <v>0</v>
      </c>
      <c r="U409" s="299">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9"/>
      <c r="AT409" s="439"/>
    </row>
    <row r="410" spans="1:46" outlineLevel="3" x14ac:dyDescent="0.25">
      <c r="A410" s="45"/>
      <c r="B410" s="54"/>
      <c r="C410" s="87">
        <f t="shared" si="69"/>
        <v>4</v>
      </c>
      <c r="D410" s="73"/>
      <c r="E410" s="70"/>
      <c r="F410" s="70"/>
      <c r="G410" s="73"/>
      <c r="H410" s="283"/>
      <c r="I410" s="96">
        <v>9</v>
      </c>
      <c r="J410" s="79" t="b">
        <v>0</v>
      </c>
      <c r="K410" s="79" t="b">
        <v>0</v>
      </c>
      <c r="L410" s="79" t="b">
        <v>0</v>
      </c>
      <c r="M410" s="79">
        <v>1</v>
      </c>
      <c r="N410" s="299">
        <v>0</v>
      </c>
      <c r="O410" s="299">
        <v>0</v>
      </c>
      <c r="P410" s="299">
        <v>0</v>
      </c>
      <c r="Q410" s="299">
        <v>0</v>
      </c>
      <c r="R410" s="299">
        <v>0</v>
      </c>
      <c r="S410" s="299">
        <v>0</v>
      </c>
      <c r="T410" s="299">
        <v>0</v>
      </c>
      <c r="U410" s="299">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9"/>
      <c r="AT410" s="439"/>
    </row>
    <row r="411" spans="1:46" outlineLevel="3" x14ac:dyDescent="0.25">
      <c r="A411" s="45"/>
      <c r="B411" s="54"/>
      <c r="C411" s="87">
        <f t="shared" si="69"/>
        <v>4</v>
      </c>
      <c r="D411" s="73"/>
      <c r="E411" s="70"/>
      <c r="F411" s="70"/>
      <c r="G411" s="73"/>
      <c r="H411" s="283" t="s">
        <v>416</v>
      </c>
      <c r="I411" s="177">
        <v>10</v>
      </c>
      <c r="J411" s="79" t="b">
        <v>1</v>
      </c>
      <c r="K411" s="79" t="b">
        <v>1</v>
      </c>
      <c r="L411" s="79" t="b">
        <v>0</v>
      </c>
      <c r="M411" s="79">
        <v>1</v>
      </c>
      <c r="N411" s="299">
        <v>0</v>
      </c>
      <c r="O411" s="299">
        <v>0</v>
      </c>
      <c r="P411" s="299">
        <v>0</v>
      </c>
      <c r="Q411" s="299">
        <v>0</v>
      </c>
      <c r="R411" s="300">
        <v>1</v>
      </c>
      <c r="S411" s="300">
        <v>1</v>
      </c>
      <c r="T411" s="299">
        <v>0</v>
      </c>
      <c r="U411" s="299">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9"/>
      <c r="AT411" s="439"/>
    </row>
    <row r="412" spans="1:46" outlineLevel="3" x14ac:dyDescent="0.25">
      <c r="A412" s="45"/>
      <c r="B412" s="54"/>
      <c r="C412" s="87">
        <f t="shared" si="69"/>
        <v>4</v>
      </c>
      <c r="D412" s="73"/>
      <c r="E412" s="70"/>
      <c r="F412" s="70"/>
      <c r="G412" s="73"/>
      <c r="H412" s="283" t="s">
        <v>417</v>
      </c>
      <c r="I412" s="96">
        <v>11</v>
      </c>
      <c r="J412" s="79" t="b">
        <v>1</v>
      </c>
      <c r="K412" s="79" t="b">
        <v>1</v>
      </c>
      <c r="L412" s="79" t="b">
        <v>0</v>
      </c>
      <c r="M412" s="79">
        <v>1</v>
      </c>
      <c r="N412" s="299">
        <v>0</v>
      </c>
      <c r="O412" s="299">
        <v>0</v>
      </c>
      <c r="P412" s="299">
        <v>0</v>
      </c>
      <c r="Q412" s="299">
        <v>0</v>
      </c>
      <c r="R412" s="99">
        <v>0</v>
      </c>
      <c r="S412" s="99">
        <v>0</v>
      </c>
      <c r="T412" s="299">
        <v>0</v>
      </c>
      <c r="U412" s="299">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9"/>
      <c r="AT412" s="439"/>
    </row>
    <row r="413" spans="1:46" outlineLevel="3" x14ac:dyDescent="0.25">
      <c r="A413" s="45"/>
      <c r="B413" s="54"/>
      <c r="C413" s="87">
        <f t="shared" si="69"/>
        <v>4</v>
      </c>
      <c r="D413" s="73"/>
      <c r="E413" s="70"/>
      <c r="F413" s="70"/>
      <c r="G413" s="73"/>
      <c r="H413" s="283"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9"/>
      <c r="AT413" s="439"/>
    </row>
    <row r="414" spans="1:46" outlineLevel="3" x14ac:dyDescent="0.25">
      <c r="A414" s="45"/>
      <c r="B414" s="54"/>
      <c r="C414" s="87">
        <f t="shared" si="69"/>
        <v>4</v>
      </c>
      <c r="D414" s="73"/>
      <c r="E414" s="70"/>
      <c r="F414" s="70"/>
      <c r="G414" s="73"/>
      <c r="H414" s="283" t="s">
        <v>2901</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9"/>
      <c r="AT414" s="439"/>
    </row>
    <row r="415" spans="1:46" outlineLevel="3" x14ac:dyDescent="0.25">
      <c r="A415" s="45"/>
      <c r="B415" s="54"/>
      <c r="C415" s="87">
        <f t="shared" si="69"/>
        <v>4</v>
      </c>
      <c r="D415" s="73"/>
      <c r="E415" s="70"/>
      <c r="F415" s="70"/>
      <c r="G415" s="73"/>
      <c r="H415" s="283" t="s">
        <v>2168</v>
      </c>
      <c r="I415" s="177">
        <v>14</v>
      </c>
      <c r="J415" s="79" t="b">
        <v>0</v>
      </c>
      <c r="K415" s="79" t="b">
        <v>1</v>
      </c>
      <c r="L415" s="79" t="b">
        <v>0</v>
      </c>
      <c r="M415" s="79">
        <v>2</v>
      </c>
      <c r="N415" s="299">
        <v>0</v>
      </c>
      <c r="O415" s="299">
        <v>0</v>
      </c>
      <c r="P415" s="300">
        <v>1</v>
      </c>
      <c r="Q415" s="300">
        <v>1</v>
      </c>
      <c r="R415" s="299">
        <v>0</v>
      </c>
      <c r="S415" s="299">
        <v>0</v>
      </c>
      <c r="T415" s="299">
        <v>0</v>
      </c>
      <c r="U415" s="299">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9"/>
      <c r="AT415" s="439"/>
    </row>
    <row r="416" spans="1:46" outlineLevel="3" x14ac:dyDescent="0.25">
      <c r="A416" s="45"/>
      <c r="B416" s="54"/>
      <c r="C416" s="87">
        <f t="shared" si="69"/>
        <v>4</v>
      </c>
      <c r="D416" s="73"/>
      <c r="E416" s="70"/>
      <c r="F416" s="70"/>
      <c r="G416" s="73"/>
      <c r="H416" s="283" t="s">
        <v>2241</v>
      </c>
      <c r="I416" s="96">
        <v>15</v>
      </c>
      <c r="J416" s="79" t="b">
        <v>1</v>
      </c>
      <c r="K416" s="79" t="b">
        <v>1</v>
      </c>
      <c r="L416" s="79" t="b">
        <v>0</v>
      </c>
      <c r="M416" s="79">
        <v>1</v>
      </c>
      <c r="N416" s="300">
        <v>1</v>
      </c>
      <c r="O416" s="300">
        <v>1</v>
      </c>
      <c r="P416" s="300">
        <v>1</v>
      </c>
      <c r="Q416" s="300">
        <v>1</v>
      </c>
      <c r="R416" s="300">
        <v>1</v>
      </c>
      <c r="S416" s="300">
        <v>1</v>
      </c>
      <c r="T416" s="300">
        <v>1</v>
      </c>
      <c r="U416" s="300">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9"/>
      <c r="AT416" s="439"/>
    </row>
    <row r="417" spans="1:46" outlineLevel="3" x14ac:dyDescent="0.25">
      <c r="A417" s="45"/>
      <c r="B417" s="54"/>
      <c r="C417" s="87">
        <f t="shared" si="69"/>
        <v>4</v>
      </c>
      <c r="D417" s="73"/>
      <c r="E417" s="70"/>
      <c r="F417" s="70"/>
      <c r="G417" s="73"/>
      <c r="H417" s="283" t="s">
        <v>2281</v>
      </c>
      <c r="I417" s="177">
        <v>16</v>
      </c>
      <c r="J417" s="79" t="b">
        <v>1</v>
      </c>
      <c r="K417" s="79" t="b">
        <v>1</v>
      </c>
      <c r="L417" s="79" t="b">
        <v>0</v>
      </c>
      <c r="M417" s="79">
        <v>1</v>
      </c>
      <c r="N417" s="299">
        <v>0</v>
      </c>
      <c r="O417" s="299">
        <v>0</v>
      </c>
      <c r="P417" s="99">
        <v>1</v>
      </c>
      <c r="Q417" s="99">
        <v>1</v>
      </c>
      <c r="R417" s="299">
        <v>0</v>
      </c>
      <c r="S417" s="299">
        <v>0</v>
      </c>
      <c r="T417" s="299">
        <v>0</v>
      </c>
      <c r="U417" s="299">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9"/>
      <c r="AT417" s="439"/>
    </row>
    <row r="418" spans="1:46" outlineLevel="3" x14ac:dyDescent="0.25">
      <c r="A418" s="45"/>
      <c r="B418" s="54"/>
      <c r="C418" s="87">
        <f t="shared" si="69"/>
        <v>4</v>
      </c>
      <c r="D418" s="73"/>
      <c r="E418" s="70"/>
      <c r="F418" s="70"/>
      <c r="G418" s="73"/>
      <c r="H418" s="283"/>
      <c r="I418" s="96">
        <v>17</v>
      </c>
      <c r="J418" s="79" t="b">
        <v>0</v>
      </c>
      <c r="K418" s="79" t="b">
        <v>0</v>
      </c>
      <c r="L418" s="79" t="b">
        <v>0</v>
      </c>
      <c r="M418" s="79">
        <v>1</v>
      </c>
      <c r="N418" s="299">
        <v>0</v>
      </c>
      <c r="O418" s="299">
        <v>0</v>
      </c>
      <c r="P418" s="299">
        <v>0</v>
      </c>
      <c r="Q418" s="299">
        <v>0</v>
      </c>
      <c r="R418" s="299">
        <v>0</v>
      </c>
      <c r="S418" s="299">
        <v>0</v>
      </c>
      <c r="T418" s="299">
        <v>0</v>
      </c>
      <c r="U418" s="299">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9"/>
      <c r="AT418" s="439"/>
    </row>
    <row r="419" spans="1:46" outlineLevel="3" x14ac:dyDescent="0.25">
      <c r="A419" s="45"/>
      <c r="B419" s="54"/>
      <c r="C419" s="87">
        <f t="shared" si="69"/>
        <v>4</v>
      </c>
      <c r="D419" s="73"/>
      <c r="E419" s="70"/>
      <c r="F419" s="70"/>
      <c r="G419" s="73"/>
      <c r="H419" s="283"/>
      <c r="I419" s="96">
        <v>18</v>
      </c>
      <c r="J419" s="79" t="b">
        <v>0</v>
      </c>
      <c r="K419" s="79" t="b">
        <v>0</v>
      </c>
      <c r="L419" s="79" t="b">
        <v>0</v>
      </c>
      <c r="M419" s="79">
        <v>1</v>
      </c>
      <c r="N419" s="299">
        <v>0</v>
      </c>
      <c r="O419" s="299">
        <v>0</v>
      </c>
      <c r="P419" s="299">
        <v>0</v>
      </c>
      <c r="Q419" s="299">
        <v>0</v>
      </c>
      <c r="R419" s="299">
        <v>0</v>
      </c>
      <c r="S419" s="299">
        <v>0</v>
      </c>
      <c r="T419" s="299">
        <v>0</v>
      </c>
      <c r="U419" s="299">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9"/>
      <c r="AT419" s="439"/>
    </row>
    <row r="420" spans="1:46" outlineLevel="3" x14ac:dyDescent="0.25">
      <c r="A420" s="45"/>
      <c r="B420" s="54"/>
      <c r="C420" s="87">
        <f t="shared" si="69"/>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9"/>
      <c r="AT420" s="439"/>
    </row>
    <row r="421" spans="1:46" outlineLevel="3" x14ac:dyDescent="0.25">
      <c r="A421" s="45"/>
      <c r="B421" s="54"/>
      <c r="C421" s="87">
        <f t="shared" si="69"/>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9"/>
      <c r="AT421" s="439"/>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9"/>
      <c r="AT422" s="439"/>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9"/>
      <c r="AT423" s="439"/>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9"/>
      <c r="AT424" s="439"/>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9"/>
      <c r="AT425" s="439"/>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9"/>
      <c r="AT426" s="439"/>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5"/>
  <sheetViews>
    <sheetView topLeftCell="A71" workbookViewId="0">
      <selection activeCell="A74" sqref="A74:XFD74"/>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2905</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2902</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2906</v>
      </c>
      <c r="J10" s="18"/>
      <c r="K10" s="18" t="s">
        <v>2907</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2908</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973</v>
      </c>
      <c r="I13" s="477">
        <v>28</v>
      </c>
      <c r="J13" s="24"/>
      <c r="K13" s="475">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8"/>
      <c r="J14" s="24"/>
      <c r="K14" s="478"/>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2903</v>
      </c>
      <c r="I15" s="477">
        <v>265</v>
      </c>
      <c r="J15" s="24"/>
      <c r="K15" s="475">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8"/>
      <c r="J16" s="24"/>
      <c r="K16" s="478"/>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2904</v>
      </c>
      <c r="I17" s="477">
        <v>1</v>
      </c>
      <c r="J17" s="24"/>
      <c r="K17" s="475">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3015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1" t="s">
        <v>3016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2909</v>
      </c>
      <c r="J33" s="24"/>
      <c r="L33" s="47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2" t="s">
        <v>2910</v>
      </c>
      <c r="J34" s="24"/>
      <c r="L34" s="383">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2" t="s">
        <v>2911</v>
      </c>
      <c r="J35" s="24"/>
      <c r="L35" s="383">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3" t="s">
        <v>3005</v>
      </c>
      <c r="J36" s="24"/>
      <c r="L36" s="383">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3" t="s">
        <v>3004</v>
      </c>
      <c r="J37" s="24"/>
      <c r="L37" s="383">
        <v>2E-3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4" t="s">
        <v>3017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2" t="s">
        <v>3018</v>
      </c>
      <c r="J40" s="24"/>
      <c r="L40" s="383">
        <v>0.01</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2" t="s">
        <v>3020</v>
      </c>
      <c r="J41" s="24"/>
      <c r="L41" s="383">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2" t="s">
        <v>3019</v>
      </c>
      <c r="J42" s="24"/>
      <c r="L42" s="383">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7"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2" t="s">
        <v>3036</v>
      </c>
      <c r="J45" s="24"/>
      <c r="L45" s="383">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2" t="s">
        <v>3037</v>
      </c>
      <c r="J46" s="24"/>
      <c r="L46" s="383">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2" t="s">
        <v>3038</v>
      </c>
      <c r="J47" s="24"/>
      <c r="L47" s="383">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4" t="s">
        <v>2725</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2" t="s">
        <v>3041</v>
      </c>
      <c r="J50" s="24"/>
      <c r="L50" s="383">
        <v>5.0000000000000001E-4</v>
      </c>
      <c r="M50" s="24"/>
      <c r="N50" s="24"/>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2" t="s">
        <v>3042</v>
      </c>
      <c r="J51" s="24"/>
      <c r="L51" s="383">
        <v>0.2</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2" t="s">
        <v>3043</v>
      </c>
      <c r="J52" s="24"/>
      <c r="L52" s="383">
        <v>0.12</v>
      </c>
      <c r="M52" s="24"/>
      <c r="N52" s="24"/>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2" t="s">
        <v>3044</v>
      </c>
      <c r="J53" s="24"/>
      <c r="L53" s="383">
        <v>0.13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8"/>
      <c r="H54" s="28"/>
      <c r="I54" s="31"/>
      <c r="J54" s="32"/>
      <c r="K54" s="32"/>
      <c r="L54" s="32"/>
      <c r="M54" s="32"/>
      <c r="N54" s="32"/>
      <c r="O54" s="32"/>
      <c r="P54" s="32"/>
      <c r="Q54" s="30"/>
      <c r="R54" s="30"/>
      <c r="S54" s="30"/>
      <c r="T54" s="30"/>
      <c r="U54" s="30"/>
      <c r="V54" s="30"/>
      <c r="W54" s="30"/>
      <c r="X54" s="30"/>
      <c r="Y54" s="27"/>
      <c r="Z54" s="27"/>
      <c r="AA54" s="27"/>
      <c r="AB54" s="27"/>
      <c r="AC54" s="27"/>
      <c r="AD54" s="27"/>
      <c r="AE54" s="17"/>
      <c r="AF54" s="9"/>
      <c r="AG54" s="9"/>
      <c r="AH54" s="9"/>
    </row>
    <row r="55" spans="1:34" ht="5.0999999999999996" customHeight="1" x14ac:dyDescent="0.25">
      <c r="A55" s="7"/>
      <c r="B55" s="8"/>
      <c r="C55" s="18"/>
      <c r="D55" s="18"/>
      <c r="E55" s="18"/>
      <c r="F55" s="33"/>
      <c r="G55" s="34"/>
      <c r="H55" s="34"/>
      <c r="I55" s="34"/>
      <c r="J55" s="35"/>
      <c r="K55" s="35"/>
      <c r="L55" s="35"/>
      <c r="M55" s="35"/>
      <c r="N55" s="35"/>
      <c r="O55" s="35"/>
      <c r="P55" s="35"/>
      <c r="Q55" s="35"/>
      <c r="R55" s="35"/>
      <c r="S55" s="35"/>
      <c r="T55" s="35"/>
      <c r="U55" s="35"/>
      <c r="V55" s="35"/>
      <c r="W55" s="35"/>
      <c r="X55" s="35"/>
      <c r="Y55" s="27"/>
      <c r="Z55" s="27"/>
      <c r="AA55" s="27"/>
      <c r="AB55" s="27"/>
      <c r="AC55" s="27"/>
      <c r="AD55" s="27"/>
      <c r="AE55" s="17"/>
      <c r="AF55" s="9"/>
      <c r="AG55" s="9"/>
      <c r="AH55" s="9"/>
    </row>
    <row r="56" spans="1:34" ht="24.95" customHeight="1" x14ac:dyDescent="0.25">
      <c r="A56" s="7"/>
      <c r="B56" s="8"/>
      <c r="C56" s="36"/>
      <c r="D56" s="36"/>
      <c r="E56" s="36"/>
      <c r="F56" s="36"/>
      <c r="G56" s="37" t="str">
        <f>G26</f>
        <v>Emission Factors - National Inventory Report (NIR)</v>
      </c>
      <c r="H56" s="36"/>
      <c r="I56" s="36"/>
      <c r="J56" s="36"/>
      <c r="K56" s="36"/>
      <c r="L56" s="36"/>
      <c r="M56" s="36"/>
      <c r="N56" s="36"/>
      <c r="O56" s="36"/>
      <c r="P56" s="36"/>
      <c r="Q56" s="36"/>
      <c r="R56" s="36"/>
      <c r="S56" s="36"/>
      <c r="T56" s="36"/>
      <c r="U56" s="36"/>
      <c r="V56" s="36"/>
      <c r="W56" s="36"/>
      <c r="X56" s="36"/>
      <c r="Y56" s="36"/>
      <c r="Z56" s="36"/>
      <c r="AA56" s="36"/>
      <c r="AB56" s="36"/>
      <c r="AC56" s="36"/>
      <c r="AD56" s="36"/>
      <c r="AE56" s="38" t="s">
        <v>91</v>
      </c>
      <c r="AF56" s="9"/>
      <c r="AG56" s="9"/>
      <c r="AH56" s="9"/>
    </row>
    <row r="57" spans="1:34" ht="12" customHeight="1" x14ac:dyDescent="0.25">
      <c r="A57" s="7"/>
      <c r="B57" s="8"/>
      <c r="C57" s="8"/>
      <c r="D57" s="8"/>
      <c r="E57" s="8"/>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row>
    <row r="58" spans="1:34" ht="12" customHeight="1" x14ac:dyDescent="0.25">
      <c r="A58" s="7"/>
      <c r="B58" s="8"/>
      <c r="C58" s="8"/>
      <c r="D58" s="8"/>
      <c r="E58" s="8"/>
      <c r="F58" s="8"/>
      <c r="G58" s="8"/>
      <c r="H58" s="9"/>
      <c r="I58" s="9"/>
      <c r="J58" s="9"/>
      <c r="K58" s="9"/>
      <c r="L58" s="9"/>
      <c r="M58" s="9"/>
      <c r="N58" s="9"/>
      <c r="O58" s="9"/>
      <c r="P58" s="9"/>
      <c r="Q58" s="9"/>
      <c r="R58" s="9"/>
      <c r="S58" s="9"/>
      <c r="T58" s="9"/>
      <c r="U58" s="9"/>
      <c r="V58" s="9"/>
      <c r="W58" s="9"/>
      <c r="X58" s="9"/>
      <c r="Y58" s="9"/>
      <c r="Z58" s="9"/>
      <c r="AA58" s="9"/>
      <c r="AB58" s="9"/>
      <c r="AC58" s="9"/>
      <c r="AD58" s="9"/>
      <c r="AE58" s="9"/>
      <c r="AF58" s="8"/>
      <c r="AG58" s="8"/>
      <c r="AH58" s="8"/>
    </row>
    <row r="59" spans="1:34" ht="5.0999999999999996" customHeight="1" thickBot="1" x14ac:dyDescent="0.3">
      <c r="A59" s="7"/>
      <c r="B59" s="8"/>
      <c r="C59" s="8"/>
      <c r="D59" s="8"/>
      <c r="E59" s="8"/>
      <c r="F59" s="8"/>
      <c r="G59" s="8"/>
      <c r="H59" s="9"/>
      <c r="I59" s="9"/>
      <c r="J59" s="9"/>
      <c r="K59" s="9"/>
      <c r="L59" s="9"/>
      <c r="M59" s="9"/>
      <c r="N59" s="9"/>
      <c r="O59" s="9"/>
      <c r="P59" s="9"/>
      <c r="Q59" s="9"/>
      <c r="R59" s="9"/>
      <c r="S59" s="9"/>
      <c r="T59" s="9"/>
      <c r="U59" s="9"/>
      <c r="V59" s="9"/>
      <c r="W59" s="9"/>
      <c r="X59" s="9"/>
      <c r="Y59" s="9"/>
      <c r="Z59" s="9"/>
      <c r="AA59" s="9"/>
      <c r="AB59" s="9"/>
      <c r="AC59" s="9"/>
      <c r="AD59" s="9"/>
      <c r="AE59" s="9"/>
      <c r="AF59" s="8"/>
      <c r="AG59" s="8"/>
      <c r="AH59" s="8"/>
    </row>
    <row r="60" spans="1:34" ht="5.0999999999999996" customHeight="1" x14ac:dyDescent="0.25">
      <c r="A60" s="7"/>
      <c r="B60" s="8"/>
      <c r="C60" s="10" t="s">
        <v>86</v>
      </c>
      <c r="D60" s="10"/>
      <c r="E60" s="10"/>
      <c r="F60" s="10"/>
      <c r="G60" s="10"/>
      <c r="H60" s="10"/>
      <c r="I60" s="10"/>
      <c r="J60" s="10"/>
      <c r="K60" s="10"/>
      <c r="L60" s="11"/>
      <c r="M60" s="11"/>
      <c r="N60" s="11"/>
      <c r="O60" s="11"/>
      <c r="P60" s="11"/>
      <c r="Q60" s="11"/>
      <c r="R60" s="11"/>
      <c r="S60" s="11"/>
      <c r="T60" s="11"/>
      <c r="U60" s="11"/>
      <c r="V60" s="11"/>
      <c r="W60" s="11"/>
      <c r="X60" s="11"/>
      <c r="Y60" s="11"/>
      <c r="Z60" s="11"/>
      <c r="AA60" s="11"/>
      <c r="AB60" s="11"/>
      <c r="AC60" s="11"/>
      <c r="AD60" s="11"/>
      <c r="AE60" s="12"/>
      <c r="AF60" s="9"/>
      <c r="AG60" s="9"/>
      <c r="AH60" s="9"/>
    </row>
    <row r="61" spans="1:34" ht="12" customHeight="1" x14ac:dyDescent="0.25">
      <c r="A61" s="7"/>
      <c r="B61" s="8"/>
      <c r="C61" s="13"/>
      <c r="D61" s="13"/>
      <c r="E61" s="13" t="s">
        <v>87</v>
      </c>
      <c r="F61" s="14"/>
      <c r="G61" s="15" t="s">
        <v>3026</v>
      </c>
      <c r="H61" s="14"/>
      <c r="I61" s="14"/>
      <c r="J61" s="14"/>
      <c r="K61" s="14"/>
      <c r="L61" s="14"/>
      <c r="M61" s="14"/>
      <c r="N61" s="14"/>
      <c r="O61" s="14"/>
      <c r="P61" s="14"/>
      <c r="Q61" s="14"/>
      <c r="R61" s="14"/>
      <c r="S61" s="14"/>
      <c r="T61" s="14"/>
      <c r="U61" s="14"/>
      <c r="V61" s="16"/>
      <c r="W61" s="14"/>
      <c r="X61" s="16"/>
      <c r="Y61" s="16"/>
      <c r="Z61" s="16"/>
      <c r="AA61" s="16"/>
      <c r="AB61" s="16"/>
      <c r="AC61" s="16"/>
      <c r="AD61" s="16"/>
      <c r="AE61" s="17"/>
      <c r="AF61" s="9"/>
      <c r="AG61" s="9"/>
      <c r="AH61" s="9"/>
    </row>
    <row r="62" spans="1:34" ht="12" customHeight="1" x14ac:dyDescent="0.25">
      <c r="A62" s="7"/>
      <c r="B62" s="8"/>
      <c r="C62" s="13"/>
      <c r="D62" s="13"/>
      <c r="E62" s="18"/>
      <c r="F62" s="14"/>
      <c r="G62" s="14"/>
      <c r="H62" s="14"/>
      <c r="I62" s="14"/>
      <c r="J62" s="14"/>
      <c r="K62" s="14"/>
      <c r="L62" s="14"/>
      <c r="M62" s="14"/>
      <c r="N62" s="14"/>
      <c r="O62" s="14"/>
      <c r="P62" s="14"/>
      <c r="Q62" s="14"/>
      <c r="R62" s="14"/>
      <c r="S62" s="14"/>
      <c r="T62" s="14"/>
      <c r="U62" s="14"/>
      <c r="V62" s="16"/>
      <c r="W62" s="19"/>
      <c r="X62" s="16"/>
      <c r="Y62" s="16"/>
      <c r="Z62" s="16"/>
      <c r="AA62" s="16"/>
      <c r="AB62" s="16"/>
      <c r="AC62" s="16"/>
      <c r="AD62" s="16"/>
      <c r="AE62" s="17"/>
      <c r="AF62" s="9"/>
      <c r="AG62" s="9"/>
      <c r="AH62" s="9"/>
    </row>
    <row r="63" spans="1:34" ht="12" customHeight="1" x14ac:dyDescent="0.25">
      <c r="A63" s="7"/>
      <c r="B63" s="8"/>
      <c r="C63" s="18"/>
      <c r="D63" s="13"/>
      <c r="E63" s="18"/>
      <c r="F63" s="14"/>
      <c r="G63" s="20">
        <v>2023</v>
      </c>
      <c r="H63" s="14"/>
      <c r="I63" s="14"/>
      <c r="J63" s="14"/>
      <c r="K63" s="14"/>
      <c r="L63" s="14"/>
      <c r="M63" s="14"/>
      <c r="N63" s="14"/>
      <c r="O63" s="14"/>
      <c r="P63" s="14"/>
      <c r="Q63" s="14"/>
      <c r="R63" s="14"/>
      <c r="S63" s="14"/>
      <c r="T63" s="14"/>
      <c r="U63" s="14"/>
      <c r="V63" s="16"/>
      <c r="W63" s="19"/>
      <c r="X63" s="16"/>
      <c r="Y63" s="16"/>
      <c r="Z63" s="16"/>
      <c r="AA63" s="16"/>
      <c r="AB63" s="16"/>
      <c r="AC63" s="16"/>
      <c r="AD63" s="16"/>
      <c r="AE63" s="17"/>
      <c r="AF63" s="9"/>
      <c r="AG63" s="9"/>
      <c r="AH63" s="9"/>
    </row>
    <row r="64" spans="1:34" ht="12" customHeight="1" x14ac:dyDescent="0.25">
      <c r="A64" s="7"/>
      <c r="B64" s="8"/>
      <c r="C64" s="18"/>
      <c r="D64" s="18"/>
      <c r="E64" s="18"/>
      <c r="F64" s="18"/>
      <c r="G64" s="18"/>
      <c r="H64" s="18"/>
      <c r="I64" s="18"/>
      <c r="J64" s="21"/>
      <c r="K64" s="21"/>
      <c r="L64" s="21"/>
      <c r="M64" s="21"/>
      <c r="N64" s="21"/>
      <c r="O64" s="21"/>
      <c r="P64" s="21"/>
      <c r="Q64" s="21"/>
      <c r="R64" s="21"/>
      <c r="S64" s="21"/>
      <c r="T64" s="21"/>
      <c r="U64" s="21"/>
      <c r="V64" s="21"/>
      <c r="W64" s="21"/>
      <c r="X64" s="21"/>
      <c r="Y64" s="21"/>
      <c r="Z64" s="21"/>
      <c r="AA64" s="21"/>
      <c r="AB64" s="21"/>
      <c r="AC64" s="21"/>
      <c r="AD64" s="21"/>
      <c r="AE64" s="17"/>
      <c r="AF64" s="9"/>
      <c r="AG64" s="9"/>
      <c r="AH64" s="9"/>
    </row>
    <row r="65" spans="1:34" ht="12" customHeight="1" x14ac:dyDescent="0.25">
      <c r="A65" s="7"/>
      <c r="B65" s="8"/>
      <c r="C65" s="18"/>
      <c r="D65" s="18"/>
      <c r="E65" s="18"/>
      <c r="F65" s="18"/>
      <c r="G65" s="18"/>
      <c r="H65" s="18"/>
      <c r="I65" s="18"/>
      <c r="J65" s="18"/>
      <c r="K65" s="18"/>
      <c r="L65" s="18"/>
      <c r="M65" s="18"/>
      <c r="N65" s="18"/>
      <c r="O65" s="18"/>
      <c r="P65" s="18"/>
      <c r="Q65" s="18"/>
      <c r="R65" s="18"/>
      <c r="S65" s="18"/>
      <c r="T65" s="18"/>
      <c r="U65" s="18"/>
      <c r="V65" s="21"/>
      <c r="W65" s="18" t="s">
        <v>3031</v>
      </c>
      <c r="X65" s="21"/>
      <c r="Y65" s="18" t="s">
        <v>3031</v>
      </c>
      <c r="Z65" s="18"/>
      <c r="AA65" s="18"/>
      <c r="AB65" s="21"/>
      <c r="AC65" s="21"/>
      <c r="AD65" s="21"/>
      <c r="AE65" s="17"/>
      <c r="AF65" s="9"/>
      <c r="AG65" s="9"/>
      <c r="AH65" s="9"/>
    </row>
    <row r="66" spans="1:34" ht="12" customHeight="1" x14ac:dyDescent="0.25">
      <c r="A66" s="7"/>
      <c r="B66" s="8"/>
      <c r="C66" s="18"/>
      <c r="D66" s="18"/>
      <c r="E66" s="18"/>
      <c r="F66" s="18"/>
      <c r="G66" s="18" t="s">
        <v>3023</v>
      </c>
      <c r="H66" s="18"/>
      <c r="I66" s="18" t="s">
        <v>3025</v>
      </c>
      <c r="J66" s="18"/>
      <c r="K66" s="18"/>
      <c r="L66" s="18" t="s">
        <v>3024</v>
      </c>
      <c r="M66" s="18"/>
      <c r="N66" s="18" t="s">
        <v>3021</v>
      </c>
      <c r="O66" s="18"/>
      <c r="P66" s="18" t="s">
        <v>3022</v>
      </c>
      <c r="Q66" s="18"/>
      <c r="R66" s="18"/>
      <c r="S66" s="18"/>
      <c r="T66" s="18"/>
      <c r="U66" s="18" t="s">
        <v>3028</v>
      </c>
      <c r="V66" s="21"/>
      <c r="W66" s="18" t="s">
        <v>3029</v>
      </c>
      <c r="X66" s="21"/>
      <c r="Y66" s="18" t="s">
        <v>3030</v>
      </c>
      <c r="Z66" s="18"/>
      <c r="AA66" s="18" t="s">
        <v>3027</v>
      </c>
      <c r="AB66" s="21"/>
      <c r="AC66" s="21"/>
      <c r="AD66" s="21"/>
      <c r="AE66" s="17"/>
      <c r="AF66" s="9"/>
      <c r="AG66" s="9"/>
      <c r="AH66" s="9"/>
    </row>
    <row r="67" spans="1:34" ht="12" customHeight="1" x14ac:dyDescent="0.25">
      <c r="A67" s="7"/>
      <c r="B67" s="8"/>
      <c r="C67" s="18"/>
      <c r="D67" s="18"/>
      <c r="E67" s="18"/>
      <c r="F67" s="24"/>
      <c r="G67" s="383">
        <v>0.01</v>
      </c>
      <c r="H67" s="24"/>
      <c r="I67" s="383">
        <v>6.0000000000000001E-3</v>
      </c>
      <c r="J67" s="24"/>
      <c r="K67" s="24"/>
      <c r="L67" s="383">
        <v>0.4</v>
      </c>
      <c r="N67" s="383">
        <v>0.96</v>
      </c>
      <c r="O67" s="24"/>
      <c r="P67" s="512" t="str">
        <f>General!G37</f>
        <v>b</v>
      </c>
      <c r="Q67" s="383">
        <v>0.32</v>
      </c>
      <c r="R67" s="24"/>
      <c r="S67" s="24"/>
      <c r="T67" t="s">
        <v>3032</v>
      </c>
      <c r="U67" s="475">
        <v>0.4</v>
      </c>
      <c r="V67" s="24"/>
      <c r="W67" s="476">
        <v>1.4999999999999999E-2</v>
      </c>
      <c r="X67" s="486"/>
      <c r="Y67" s="476">
        <v>1.2E-2</v>
      </c>
      <c r="Z67" s="24"/>
      <c r="AA67" s="383">
        <v>0.1</v>
      </c>
      <c r="AB67" s="27"/>
      <c r="AC67" s="27"/>
      <c r="AD67" s="27"/>
      <c r="AE67" s="17"/>
      <c r="AF67" s="9"/>
      <c r="AG67" s="9"/>
      <c r="AH67" s="9"/>
    </row>
    <row r="68" spans="1:34" ht="12" customHeight="1" x14ac:dyDescent="0.25">
      <c r="A68" s="7"/>
      <c r="B68" s="8"/>
      <c r="C68" s="18"/>
      <c r="D68" s="18"/>
      <c r="E68" s="18"/>
      <c r="F68" s="24"/>
      <c r="G68" s="24"/>
      <c r="H68" s="24"/>
      <c r="I68" s="24"/>
      <c r="J68" s="24"/>
      <c r="K68" s="24"/>
      <c r="N68" s="24"/>
      <c r="O68" s="24"/>
      <c r="P68" s="512" t="str">
        <f>General!G38</f>
        <v>bd</v>
      </c>
      <c r="Q68" s="383">
        <v>0.32</v>
      </c>
      <c r="R68" s="24"/>
      <c r="S68" s="24"/>
      <c r="T68" t="s">
        <v>3033</v>
      </c>
      <c r="U68" s="475">
        <v>0.4</v>
      </c>
      <c r="V68" s="24"/>
      <c r="W68" s="476">
        <v>2.7E-2</v>
      </c>
      <c r="X68" s="486"/>
      <c r="Y68" s="476">
        <v>1.9E-2</v>
      </c>
      <c r="Z68" s="24"/>
      <c r="AA68" s="24"/>
      <c r="AB68" s="27"/>
      <c r="AC68" s="27"/>
      <c r="AD68" s="27"/>
      <c r="AE68" s="17"/>
      <c r="AF68" s="9"/>
      <c r="AG68" s="9"/>
      <c r="AH68" s="9"/>
    </row>
    <row r="69" spans="1:34" ht="12" customHeight="1" x14ac:dyDescent="0.25">
      <c r="A69" s="7"/>
      <c r="B69" s="8"/>
      <c r="C69" s="18"/>
      <c r="D69" s="18"/>
      <c r="E69" s="18"/>
      <c r="F69" s="24"/>
      <c r="G69" s="24"/>
      <c r="H69" s="24"/>
      <c r="I69" s="24"/>
      <c r="J69" s="24"/>
      <c r="K69" s="24"/>
      <c r="N69" s="24"/>
      <c r="O69" s="24"/>
      <c r="P69" s="512" t="str">
        <f>General!G39</f>
        <v>f</v>
      </c>
      <c r="Q69" s="383">
        <v>0.51</v>
      </c>
      <c r="R69" s="24"/>
      <c r="S69" s="24"/>
      <c r="T69" t="s">
        <v>3034</v>
      </c>
      <c r="U69" s="475">
        <v>0.8</v>
      </c>
      <c r="V69" s="24"/>
      <c r="W69" s="476">
        <v>1.4999999999999999E-2</v>
      </c>
      <c r="X69" s="486"/>
      <c r="Y69" s="476">
        <v>1.2E-2</v>
      </c>
      <c r="Z69" s="24"/>
      <c r="AA69" s="24"/>
      <c r="AB69" s="27"/>
      <c r="AC69" s="27"/>
      <c r="AD69" s="27"/>
      <c r="AE69" s="17"/>
      <c r="AF69" s="9"/>
      <c r="AG69" s="9"/>
      <c r="AH69" s="9"/>
    </row>
    <row r="70" spans="1:34" ht="12" customHeight="1" x14ac:dyDescent="0.25">
      <c r="A70" s="7"/>
      <c r="B70" s="8"/>
      <c r="C70" s="18"/>
      <c r="D70" s="18"/>
      <c r="E70" s="18"/>
      <c r="F70" s="24"/>
      <c r="G70" s="24"/>
      <c r="H70" s="24"/>
      <c r="I70" s="24"/>
      <c r="J70" s="24"/>
      <c r="K70" s="24"/>
      <c r="N70" s="24"/>
      <c r="O70" s="24"/>
      <c r="P70" s="512" t="str">
        <f>General!G40</f>
        <v>h</v>
      </c>
      <c r="Q70" s="383">
        <v>0.43</v>
      </c>
      <c r="R70" s="24"/>
      <c r="S70" s="24"/>
      <c r="T70" t="s">
        <v>3035</v>
      </c>
      <c r="U70" s="475">
        <v>0.4</v>
      </c>
      <c r="V70" s="24"/>
      <c r="W70" s="476">
        <v>1.4999999999999999E-2</v>
      </c>
      <c r="X70" s="486"/>
      <c r="Y70" s="476">
        <v>1.2E-2</v>
      </c>
      <c r="Z70" s="24"/>
      <c r="AA70" s="24"/>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2" t="str">
        <f>General!G41</f>
        <v>i</v>
      </c>
      <c r="Q71" s="383">
        <v>0.51</v>
      </c>
      <c r="R71" s="24"/>
      <c r="S71" s="24"/>
      <c r="T71" s="24"/>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2" t="str">
        <f>General!G42</f>
        <v>k</v>
      </c>
      <c r="Q72" s="383">
        <v>0.51</v>
      </c>
      <c r="R72" s="24"/>
      <c r="S72" s="24"/>
      <c r="T72" s="24"/>
      <c r="U72" s="24"/>
      <c r="V72" s="24"/>
      <c r="W72" s="24"/>
      <c r="X72" s="24"/>
      <c r="Y72" s="24"/>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2" t="str">
        <f>General!G43</f>
        <v>l</v>
      </c>
      <c r="Q73" s="383">
        <v>0.51</v>
      </c>
      <c r="R73" s="24"/>
      <c r="S73" s="24"/>
      <c r="T73" s="24"/>
      <c r="U73" s="24"/>
      <c r="V73" s="24"/>
      <c r="W73" s="24"/>
      <c r="X73" s="24"/>
      <c r="Y73" s="24"/>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2" t="str">
        <f>General!G44</f>
        <v>lf</v>
      </c>
      <c r="Q74" s="383">
        <v>0.51</v>
      </c>
      <c r="R74" s="24"/>
      <c r="S74" s="24"/>
      <c r="T74" s="24"/>
      <c r="U74" s="24"/>
      <c r="V74" s="24"/>
      <c r="W74" s="24"/>
      <c r="X74" s="24"/>
      <c r="Y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2" t="str">
        <f>General!G45</f>
        <v>ms</v>
      </c>
      <c r="Q75" s="526">
        <f>0.65*Q67+0.35*Q73</f>
        <v>0.38650000000000001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2" t="str">
        <f>General!G46</f>
        <v>o</v>
      </c>
      <c r="Q76" s="383">
        <v>0.43</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2" t="str">
        <f>General!G47</f>
        <v>od</v>
      </c>
      <c r="Q77" s="383">
        <v>0.43</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2" t="str">
        <f>General!G48</f>
        <v>of</v>
      </c>
      <c r="Q78" s="383">
        <v>0.43</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2" t="str">
        <f>General!G49</f>
        <v>r</v>
      </c>
      <c r="Q79" s="383">
        <v>0.33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2" t="str">
        <f>General!G50</f>
        <v>rd</v>
      </c>
      <c r="Q80" s="383">
        <v>0.33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2" t="str">
        <f>General!G51</f>
        <v>v</v>
      </c>
      <c r="Q81" s="383">
        <v>0.51</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2" t="str">
        <f>General!G52</f>
        <v>w</v>
      </c>
      <c r="Q82" s="383">
        <v>0.28999999999999998</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2" t="str">
        <f>General!G53</f>
        <v>wd</v>
      </c>
      <c r="Q83" s="383">
        <v>0.28999999999999998</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2" t="str">
        <f>General!G54</f>
        <v>z</v>
      </c>
      <c r="Q84" s="383">
        <v>0.33</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482"/>
      <c r="I85" s="482"/>
      <c r="J85" s="24"/>
      <c r="K85" s="482"/>
      <c r="N85" s="482"/>
      <c r="O85" s="24"/>
      <c r="P85" s="512" t="str">
        <f>General!G55</f>
        <v>zd</v>
      </c>
      <c r="Q85" s="383">
        <v>0.33</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8"/>
      <c r="H86" s="28"/>
      <c r="I86" s="485"/>
      <c r="J86" s="32"/>
      <c r="K86" s="32"/>
      <c r="L86" s="32"/>
      <c r="M86" s="32"/>
      <c r="N86" s="32"/>
      <c r="O86" s="32"/>
      <c r="P86" s="32"/>
      <c r="Q86" s="30"/>
      <c r="R86" s="30"/>
      <c r="S86" s="30"/>
      <c r="T86" s="30"/>
      <c r="U86" s="30"/>
      <c r="V86" s="30"/>
      <c r="W86" s="30"/>
      <c r="X86" s="30"/>
      <c r="Y86" s="27"/>
      <c r="Z86" s="27"/>
      <c r="AA86" s="27"/>
      <c r="AB86" s="27"/>
      <c r="AC86" s="27"/>
      <c r="AD86" s="27"/>
      <c r="AE86" s="17"/>
      <c r="AF86" s="9"/>
      <c r="AG86" s="9"/>
      <c r="AH86" s="9"/>
    </row>
    <row r="87" spans="1:34" ht="5.0999999999999996" customHeight="1" x14ac:dyDescent="0.25">
      <c r="A87" s="7"/>
      <c r="B87" s="8"/>
      <c r="C87" s="18"/>
      <c r="D87" s="18"/>
      <c r="E87" s="18"/>
      <c r="F87" s="33"/>
      <c r="G87" s="34"/>
      <c r="H87" s="34"/>
      <c r="I87" s="34"/>
      <c r="J87" s="35"/>
      <c r="K87" s="35"/>
      <c r="L87" s="35"/>
      <c r="M87" s="35"/>
      <c r="N87" s="35"/>
      <c r="O87" s="35"/>
      <c r="P87" s="35"/>
      <c r="Q87" s="35"/>
      <c r="R87" s="35"/>
      <c r="S87" s="35"/>
      <c r="T87" s="35"/>
      <c r="U87" s="35"/>
      <c r="V87" s="35"/>
      <c r="W87" s="35"/>
      <c r="X87" s="35"/>
      <c r="Y87" s="27"/>
      <c r="Z87" s="27"/>
      <c r="AA87" s="27"/>
      <c r="AB87" s="27"/>
      <c r="AC87" s="27"/>
      <c r="AD87" s="27"/>
      <c r="AE87" s="17"/>
      <c r="AF87" s="9"/>
      <c r="AG87" s="9"/>
      <c r="AH87" s="9"/>
    </row>
    <row r="88" spans="1:34" ht="24.95" customHeight="1" x14ac:dyDescent="0.25">
      <c r="A88" s="7"/>
      <c r="B88" s="8"/>
      <c r="C88" s="36"/>
      <c r="D88" s="36"/>
      <c r="E88" s="36"/>
      <c r="F88" s="36"/>
      <c r="G88" s="37" t="str">
        <f>G61</f>
        <v>Crop &amp; Pasture Residues &amp; Burning</v>
      </c>
      <c r="H88" s="36"/>
      <c r="I88" s="36"/>
      <c r="J88" s="36"/>
      <c r="K88" s="36"/>
      <c r="L88" s="36"/>
      <c r="M88" s="36"/>
      <c r="N88" s="36"/>
      <c r="O88" s="36"/>
      <c r="P88" s="36"/>
      <c r="Q88" s="36"/>
      <c r="R88" s="36"/>
      <c r="S88" s="36"/>
      <c r="T88" s="36"/>
      <c r="U88" s="36"/>
      <c r="V88" s="36"/>
      <c r="W88" s="36"/>
      <c r="X88" s="36"/>
      <c r="Y88" s="36"/>
      <c r="Z88" s="36"/>
      <c r="AA88" s="36"/>
      <c r="AB88" s="36"/>
      <c r="AC88" s="36"/>
      <c r="AD88" s="36"/>
      <c r="AE88" s="38" t="s">
        <v>91</v>
      </c>
      <c r="AF88" s="9"/>
      <c r="AG88" s="9"/>
      <c r="AH88" s="9"/>
    </row>
    <row r="89" spans="1:34" ht="12" customHeight="1" x14ac:dyDescent="0.25">
      <c r="A89" s="7"/>
      <c r="B89" s="8"/>
      <c r="C89" s="8"/>
      <c r="D89" s="8"/>
      <c r="E89" s="8"/>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row>
    <row r="90" spans="1:34" ht="12" customHeight="1" x14ac:dyDescent="0.25">
      <c r="A90" s="7"/>
      <c r="B90" s="8"/>
      <c r="C90" s="8"/>
      <c r="D90" s="8"/>
      <c r="E90" s="8"/>
      <c r="F90" s="8"/>
      <c r="G90" s="8"/>
      <c r="H90" s="9"/>
      <c r="I90" s="9"/>
      <c r="J90" s="9"/>
      <c r="K90" s="9"/>
      <c r="L90" s="9"/>
      <c r="M90" s="9"/>
      <c r="N90" s="9"/>
      <c r="O90" s="9"/>
      <c r="P90" s="9"/>
      <c r="Q90" s="9"/>
      <c r="R90" s="9"/>
      <c r="S90" s="9"/>
      <c r="T90" s="9"/>
      <c r="U90" s="9"/>
      <c r="V90" s="9"/>
      <c r="W90" s="9"/>
      <c r="X90" s="9"/>
      <c r="Y90" s="9"/>
      <c r="Z90" s="9"/>
      <c r="AA90" s="9"/>
      <c r="AB90" s="9"/>
      <c r="AC90" s="9"/>
      <c r="AD90" s="9"/>
      <c r="AE90" s="9"/>
      <c r="AF90" s="8"/>
      <c r="AG90" s="8"/>
      <c r="AH90" s="8"/>
    </row>
    <row r="91" spans="1:34" ht="5.0999999999999996" customHeight="1" thickBot="1" x14ac:dyDescent="0.3">
      <c r="A91" s="7"/>
      <c r="B91" s="8"/>
      <c r="C91" s="8"/>
      <c r="D91" s="8"/>
      <c r="E91" s="8"/>
      <c r="F91" s="8"/>
      <c r="G91" s="8"/>
      <c r="H91" s="9"/>
      <c r="I91" s="9"/>
      <c r="J91" s="9"/>
      <c r="K91" s="9"/>
      <c r="L91" s="9"/>
      <c r="M91" s="9"/>
      <c r="N91" s="9"/>
      <c r="O91" s="9"/>
      <c r="P91" s="9"/>
      <c r="Q91" s="9"/>
      <c r="R91" s="9"/>
      <c r="S91" s="9"/>
      <c r="T91" s="9"/>
      <c r="U91" s="9"/>
      <c r="V91" s="9"/>
      <c r="W91" s="9"/>
      <c r="X91" s="9"/>
      <c r="Y91" s="9"/>
      <c r="Z91" s="9"/>
      <c r="AA91" s="9"/>
      <c r="AB91" s="9"/>
      <c r="AC91" s="9"/>
      <c r="AD91" s="9"/>
      <c r="AE91" s="9"/>
      <c r="AF91" s="8"/>
      <c r="AG91" s="8"/>
      <c r="AH91" s="8"/>
    </row>
    <row r="92" spans="1:34" ht="5.0999999999999996" customHeight="1" x14ac:dyDescent="0.25">
      <c r="A92" s="7"/>
      <c r="B92" s="8"/>
      <c r="C92" s="10" t="s">
        <v>86</v>
      </c>
      <c r="D92" s="10"/>
      <c r="E92" s="10"/>
      <c r="F92" s="10"/>
      <c r="G92" s="10"/>
      <c r="H92" s="10"/>
      <c r="I92" s="10"/>
      <c r="J92" s="10"/>
      <c r="K92" s="10"/>
      <c r="L92" s="11"/>
      <c r="M92" s="11"/>
      <c r="N92" s="11"/>
      <c r="O92" s="11"/>
      <c r="P92" s="11"/>
      <c r="Q92" s="11"/>
      <c r="R92" s="11"/>
      <c r="S92" s="11"/>
      <c r="T92" s="11"/>
      <c r="U92" s="11"/>
      <c r="V92" s="11"/>
      <c r="W92" s="11"/>
      <c r="X92" s="11"/>
      <c r="Y92" s="11"/>
      <c r="Z92" s="11"/>
      <c r="AA92" s="11"/>
      <c r="AB92" s="11"/>
      <c r="AC92" s="11"/>
      <c r="AD92" s="11"/>
      <c r="AE92" s="12"/>
      <c r="AF92" s="9"/>
      <c r="AG92" s="9"/>
      <c r="AH92" s="9"/>
    </row>
    <row r="93" spans="1:34" ht="12" customHeight="1" x14ac:dyDescent="0.25">
      <c r="A93" s="7"/>
      <c r="B93" s="8"/>
      <c r="C93" s="13"/>
      <c r="D93" s="13"/>
      <c r="E93" s="13" t="s">
        <v>87</v>
      </c>
      <c r="F93" s="14"/>
      <c r="G93" s="15" t="s">
        <v>3006</v>
      </c>
      <c r="H93" s="14"/>
      <c r="I93" s="14"/>
      <c r="J93" s="14"/>
      <c r="K93" s="14"/>
      <c r="L93" s="14"/>
      <c r="M93" s="14"/>
      <c r="N93" s="14"/>
      <c r="O93" s="14"/>
      <c r="P93" s="14"/>
      <c r="Q93" s="14"/>
      <c r="R93" s="14"/>
      <c r="S93" s="14"/>
      <c r="T93" s="14"/>
      <c r="U93" s="14"/>
      <c r="V93" s="16"/>
      <c r="W93" s="14"/>
      <c r="X93" s="16"/>
      <c r="Y93" s="16"/>
      <c r="Z93" s="16"/>
      <c r="AA93" s="16"/>
      <c r="AB93" s="16"/>
      <c r="AC93" s="16"/>
      <c r="AD93" s="16"/>
      <c r="AE93" s="17"/>
      <c r="AF93" s="9"/>
      <c r="AG93" s="9"/>
      <c r="AH93" s="9"/>
    </row>
    <row r="94" spans="1:34" ht="12" customHeight="1" x14ac:dyDescent="0.25">
      <c r="A94" s="7"/>
      <c r="B94" s="8"/>
      <c r="C94" s="13"/>
      <c r="D94" s="13"/>
      <c r="E94" s="18"/>
      <c r="F94" s="14"/>
      <c r="G94" s="14"/>
      <c r="H94" s="14"/>
      <c r="I94" s="14"/>
      <c r="J94" s="14"/>
      <c r="K94" s="14"/>
      <c r="L94" s="14"/>
      <c r="M94" s="14"/>
      <c r="N94" s="14"/>
      <c r="O94" s="14"/>
      <c r="P94" s="14"/>
      <c r="Q94" s="14"/>
      <c r="R94" s="14"/>
      <c r="S94" s="14"/>
      <c r="T94" s="14"/>
      <c r="U94" s="14"/>
      <c r="V94" s="16"/>
      <c r="W94" s="19"/>
      <c r="X94" s="16"/>
      <c r="Y94" s="16"/>
      <c r="Z94" s="16"/>
      <c r="AA94" s="16"/>
      <c r="AB94" s="16"/>
      <c r="AC94" s="16"/>
      <c r="AD94" s="16"/>
      <c r="AE94" s="17"/>
      <c r="AF94" s="9"/>
      <c r="AG94" s="9"/>
      <c r="AH94" s="9"/>
    </row>
    <row r="95" spans="1:34" ht="12" customHeight="1" x14ac:dyDescent="0.25">
      <c r="A95" s="7"/>
      <c r="B95" s="8"/>
      <c r="C95" s="18"/>
      <c r="D95" s="13"/>
      <c r="E95" s="18"/>
      <c r="F95" s="14"/>
      <c r="G95" s="20">
        <v>2023</v>
      </c>
      <c r="H95" s="14"/>
      <c r="I95" s="14"/>
      <c r="J95" s="14"/>
      <c r="K95" s="14"/>
      <c r="L95" s="14"/>
      <c r="M95" s="14"/>
      <c r="N95" s="14"/>
      <c r="O95" s="14"/>
      <c r="P95" s="14"/>
      <c r="Q95" s="14"/>
      <c r="R95" s="14"/>
      <c r="S95" s="14"/>
      <c r="T95" s="14"/>
      <c r="U95" s="14"/>
      <c r="V95" s="16"/>
      <c r="W95" s="19"/>
      <c r="X95" s="16"/>
      <c r="Y95" s="16"/>
      <c r="Z95" s="16"/>
      <c r="AA95" s="16"/>
      <c r="AB95" s="16"/>
      <c r="AC95" s="16"/>
      <c r="AD95" s="16"/>
      <c r="AE95" s="17"/>
      <c r="AF95" s="9"/>
      <c r="AG95" s="9"/>
      <c r="AH95" s="9"/>
    </row>
    <row r="96" spans="1:34" ht="12" customHeight="1" x14ac:dyDescent="0.25">
      <c r="A96" s="7"/>
      <c r="B96" s="8"/>
      <c r="C96" s="18"/>
      <c r="D96" s="18"/>
      <c r="E96" s="18"/>
      <c r="F96" s="18"/>
      <c r="G96" s="18"/>
      <c r="H96" s="18"/>
      <c r="I96" s="18"/>
      <c r="J96" s="21"/>
      <c r="K96" s="21"/>
      <c r="L96" s="21"/>
      <c r="M96" s="21"/>
      <c r="N96" s="21"/>
      <c r="O96" s="21"/>
      <c r="P96" s="21"/>
      <c r="Q96" s="21"/>
      <c r="R96" s="21"/>
      <c r="S96" s="21"/>
      <c r="T96" s="21"/>
      <c r="U96" s="21"/>
      <c r="V96" s="21"/>
      <c r="W96" s="21"/>
      <c r="X96" s="21"/>
      <c r="Y96" s="21"/>
      <c r="Z96" s="21"/>
      <c r="AA96" s="21"/>
      <c r="AB96" s="21"/>
      <c r="AC96" s="21"/>
      <c r="AD96" s="21"/>
      <c r="AE96" s="17"/>
      <c r="AF96" s="9"/>
      <c r="AG96" s="9"/>
      <c r="AH96" s="9"/>
    </row>
    <row r="97" spans="1:34" ht="12" customHeight="1" x14ac:dyDescent="0.25">
      <c r="A97" s="7"/>
      <c r="B97" s="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21"/>
      <c r="AC97" s="21"/>
      <c r="AD97" s="21"/>
      <c r="AE97" s="17"/>
      <c r="AF97" s="9"/>
      <c r="AG97" s="9"/>
      <c r="AH97" s="9"/>
    </row>
    <row r="98" spans="1:34" ht="12" customHeight="1" x14ac:dyDescent="0.25">
      <c r="A98" s="7"/>
      <c r="B98" s="8"/>
      <c r="C98" s="18"/>
      <c r="D98" s="18"/>
      <c r="E98" s="18"/>
      <c r="F98" s="18"/>
      <c r="G98" s="18"/>
      <c r="H98" s="18"/>
      <c r="I98" s="18"/>
      <c r="J98" s="18"/>
      <c r="K98" s="18"/>
      <c r="L98" s="18" t="s">
        <v>3013</v>
      </c>
      <c r="M98" s="18"/>
      <c r="N98" s="18" t="s">
        <v>3012</v>
      </c>
      <c r="O98" s="18"/>
      <c r="P98" s="18" t="s">
        <v>3014</v>
      </c>
      <c r="Q98" s="18"/>
      <c r="R98" s="18"/>
      <c r="S98" s="18"/>
      <c r="T98" s="18"/>
      <c r="U98" s="18"/>
      <c r="V98" s="18"/>
      <c r="W98" s="18"/>
      <c r="X98" s="18"/>
      <c r="Y98" s="18"/>
      <c r="Z98" s="18"/>
      <c r="AA98" s="18"/>
      <c r="AB98" s="21"/>
      <c r="AC98" s="21"/>
      <c r="AD98" s="21"/>
      <c r="AE98" s="17"/>
      <c r="AF98" s="9"/>
      <c r="AG98" s="9"/>
      <c r="AH98" s="9"/>
    </row>
    <row r="99" spans="1:34" ht="12" customHeight="1" x14ac:dyDescent="0.25">
      <c r="A99" s="7"/>
      <c r="B99" s="8"/>
      <c r="C99" s="18"/>
      <c r="D99" s="18"/>
      <c r="E99" s="18"/>
      <c r="F99" s="24"/>
      <c r="G99" s="24"/>
      <c r="H99" s="481" t="s">
        <v>3008</v>
      </c>
      <c r="I99" s="482"/>
      <c r="J99" s="24"/>
      <c r="K99" s="482"/>
      <c r="L99" s="482"/>
      <c r="M99" s="24"/>
      <c r="N99" s="24"/>
      <c r="O99" s="24"/>
      <c r="P99" s="24"/>
      <c r="Q99" s="24"/>
      <c r="R99" s="24"/>
      <c r="S99" s="24"/>
      <c r="T99" s="24"/>
      <c r="U99" s="24"/>
      <c r="V99" s="24"/>
      <c r="W99" s="24"/>
      <c r="X99" s="24"/>
      <c r="Y99" s="24"/>
      <c r="Z99" s="24"/>
      <c r="AA99" s="24"/>
      <c r="AB99" s="27"/>
      <c r="AC99" s="27"/>
      <c r="AD99" s="27"/>
      <c r="AE99" s="17"/>
      <c r="AF99" s="9"/>
      <c r="AG99" s="9"/>
      <c r="AH99" s="9"/>
    </row>
    <row r="100" spans="1:34" ht="12" customHeight="1" x14ac:dyDescent="0.25">
      <c r="A100" s="7"/>
      <c r="B100" s="8"/>
      <c r="C100" s="18"/>
      <c r="D100" s="18"/>
      <c r="E100" s="18"/>
      <c r="F100" s="24"/>
      <c r="G100" s="24"/>
      <c r="H100" s="24"/>
      <c r="I100" s="482" t="s">
        <v>3009</v>
      </c>
      <c r="J100" s="24"/>
      <c r="K100" s="482"/>
      <c r="L100" s="476">
        <v>0.21</v>
      </c>
      <c r="M100" s="24"/>
      <c r="N100" s="476">
        <v>0.11</v>
      </c>
      <c r="O100" s="24"/>
      <c r="P100" s="24"/>
      <c r="Q100" s="24"/>
      <c r="R100" s="24"/>
      <c r="S100" s="24"/>
      <c r="T100" s="24"/>
      <c r="U100" s="24"/>
      <c r="V100" s="24"/>
      <c r="W100" s="24"/>
      <c r="X100" s="24"/>
      <c r="Y100" s="24"/>
      <c r="Z100" s="24"/>
      <c r="AA100" s="24"/>
      <c r="AB100" s="27"/>
      <c r="AC100" s="27"/>
      <c r="AD100" s="27"/>
      <c r="AE100" s="17"/>
      <c r="AF100" s="9"/>
      <c r="AG100" s="9"/>
      <c r="AH100" s="9"/>
    </row>
    <row r="101" spans="1:34" ht="12" customHeight="1" x14ac:dyDescent="0.25">
      <c r="A101" s="7"/>
      <c r="B101" s="8"/>
      <c r="C101" s="18"/>
      <c r="D101" s="18"/>
      <c r="E101" s="18"/>
      <c r="F101" s="24"/>
      <c r="G101" s="24"/>
      <c r="H101" s="24"/>
      <c r="I101" s="482"/>
      <c r="J101" s="24"/>
      <c r="K101" s="482"/>
      <c r="L101" s="482"/>
      <c r="M101" s="24"/>
      <c r="N101" s="24"/>
      <c r="O101" s="24"/>
      <c r="P101" s="24"/>
      <c r="Q101" s="24"/>
      <c r="R101" s="24"/>
      <c r="S101" s="24"/>
      <c r="T101" s="24"/>
      <c r="U101" s="24"/>
      <c r="V101" s="24"/>
      <c r="W101" s="24"/>
      <c r="X101" s="24"/>
      <c r="Y101" s="24"/>
      <c r="Z101" s="24"/>
      <c r="AA101" s="24"/>
      <c r="AB101" s="27"/>
      <c r="AC101" s="27"/>
      <c r="AD101" s="27"/>
      <c r="AE101" s="17"/>
      <c r="AF101" s="9"/>
      <c r="AG101" s="9"/>
      <c r="AH101" s="9"/>
    </row>
    <row r="102" spans="1:34" ht="12" customHeight="1" x14ac:dyDescent="0.25">
      <c r="A102" s="7"/>
      <c r="B102" s="8"/>
      <c r="C102" s="18"/>
      <c r="D102" s="18"/>
      <c r="E102" s="18"/>
      <c r="F102" s="24"/>
      <c r="G102" s="24"/>
      <c r="H102" s="481" t="s">
        <v>3007</v>
      </c>
      <c r="I102" s="482"/>
      <c r="J102" s="24"/>
      <c r="K102" s="482"/>
      <c r="L102" s="482"/>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482"/>
      <c r="I103" s="482" t="s">
        <v>3010</v>
      </c>
      <c r="J103" s="24"/>
      <c r="K103" s="482"/>
      <c r="L103" s="383">
        <v>1</v>
      </c>
      <c r="M103" s="24"/>
      <c r="N103" s="383">
        <v>0.223</v>
      </c>
      <c r="O103" s="24"/>
      <c r="P103" s="383">
        <v>1</v>
      </c>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482"/>
      <c r="I104" s="482" t="s">
        <v>3011</v>
      </c>
      <c r="J104" s="24"/>
      <c r="K104" s="482"/>
      <c r="L104" s="383">
        <v>0.24</v>
      </c>
      <c r="M104" s="24"/>
      <c r="N104" s="383">
        <v>0.24</v>
      </c>
      <c r="O104" s="24"/>
      <c r="P104" s="383">
        <v>0.24</v>
      </c>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c r="I105" s="483"/>
      <c r="J105" s="24"/>
      <c r="K105" s="482"/>
      <c r="L105" s="482"/>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3"/>
      <c r="J106" s="24"/>
      <c r="K106" s="482"/>
      <c r="L106" s="482"/>
      <c r="M106" s="24"/>
      <c r="N106" s="24"/>
      <c r="O106" s="24"/>
      <c r="P106" s="24"/>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2"/>
      <c r="I107" s="344" t="s">
        <v>3045</v>
      </c>
      <c r="J107" s="24"/>
      <c r="K107" s="482"/>
      <c r="L107" s="482"/>
      <c r="M107" s="24"/>
      <c r="N107" s="24"/>
      <c r="O107" s="24"/>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2"/>
      <c r="I108" s="324" t="s">
        <v>3046</v>
      </c>
      <c r="J108" s="24"/>
      <c r="K108" s="482"/>
      <c r="L108" s="482"/>
      <c r="M108" s="24"/>
      <c r="N108" s="383">
        <v>1</v>
      </c>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324" t="s">
        <v>3047</v>
      </c>
      <c r="J109" s="24"/>
      <c r="K109" s="482"/>
      <c r="L109" s="482"/>
      <c r="M109" s="24"/>
      <c r="N109" s="383">
        <v>0.9</v>
      </c>
      <c r="O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2"/>
      <c r="I110" s="324" t="s">
        <v>3048</v>
      </c>
      <c r="J110" s="24"/>
      <c r="K110" s="482"/>
      <c r="L110" s="482"/>
      <c r="M110" s="24"/>
      <c r="N110" s="383">
        <v>0.95</v>
      </c>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2"/>
      <c r="I111" s="482"/>
      <c r="J111" s="24"/>
      <c r="K111" s="482"/>
      <c r="L111" s="482"/>
      <c r="M111" s="24"/>
      <c r="N111" s="24"/>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8"/>
      <c r="H112" s="28"/>
      <c r="I112" s="485"/>
      <c r="J112" s="32"/>
      <c r="K112" s="32"/>
      <c r="L112" s="32"/>
      <c r="M112" s="32"/>
      <c r="N112" s="32"/>
      <c r="O112" s="32"/>
      <c r="P112" s="32"/>
      <c r="Q112" s="30"/>
      <c r="R112" s="30"/>
      <c r="S112" s="30"/>
      <c r="T112" s="30"/>
      <c r="U112" s="30"/>
      <c r="V112" s="30"/>
      <c r="W112" s="30"/>
      <c r="X112" s="30"/>
      <c r="Y112" s="27"/>
      <c r="Z112" s="27"/>
      <c r="AA112" s="27"/>
      <c r="AB112" s="27"/>
      <c r="AC112" s="27"/>
      <c r="AD112" s="27"/>
      <c r="AE112" s="17"/>
      <c r="AF112" s="9"/>
      <c r="AG112" s="9"/>
      <c r="AH112" s="9"/>
    </row>
    <row r="113" spans="1:34" ht="5.0999999999999996" customHeight="1" x14ac:dyDescent="0.25">
      <c r="A113" s="7"/>
      <c r="B113" s="8"/>
      <c r="C113" s="18"/>
      <c r="D113" s="18"/>
      <c r="E113" s="18"/>
      <c r="F113" s="33"/>
      <c r="G113" s="34"/>
      <c r="H113" s="34"/>
      <c r="I113" s="34"/>
      <c r="J113" s="35"/>
      <c r="K113" s="35"/>
      <c r="L113" s="35"/>
      <c r="M113" s="35"/>
      <c r="N113" s="35"/>
      <c r="O113" s="35"/>
      <c r="P113" s="35"/>
      <c r="Q113" s="35"/>
      <c r="R113" s="35"/>
      <c r="S113" s="35"/>
      <c r="T113" s="35"/>
      <c r="U113" s="35"/>
      <c r="V113" s="35"/>
      <c r="W113" s="35"/>
      <c r="X113" s="35"/>
      <c r="Y113" s="27"/>
      <c r="Z113" s="27"/>
      <c r="AA113" s="27"/>
      <c r="AB113" s="27"/>
      <c r="AC113" s="27"/>
      <c r="AD113" s="27"/>
      <c r="AE113" s="17"/>
      <c r="AF113" s="9"/>
      <c r="AG113" s="9"/>
      <c r="AH113" s="9"/>
    </row>
    <row r="114" spans="1:34" ht="24.95" customHeight="1" x14ac:dyDescent="0.25">
      <c r="A114" s="7"/>
      <c r="B114" s="8"/>
      <c r="C114" s="36"/>
      <c r="D114" s="36"/>
      <c r="E114" s="36"/>
      <c r="F114" s="36"/>
      <c r="G114" s="37" t="str">
        <f>G93</f>
        <v>Other Factors</v>
      </c>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8" t="s">
        <v>91</v>
      </c>
      <c r="AF114" s="9"/>
      <c r="AG114" s="9"/>
      <c r="AH114" s="9"/>
    </row>
    <row r="115" spans="1:34" ht="12" customHeight="1" x14ac:dyDescent="0.2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1C975-877D-4940-9802-495A8D40C2C8}">
  <sheetPr>
    <outlinePr summaryBelow="0" summaryRight="0"/>
  </sheetPr>
  <dimension ref="A1:AN1547"/>
  <sheetViews>
    <sheetView topLeftCell="A3" zoomScale="80" zoomScaleNormal="80" workbookViewId="0">
      <pane xSplit="9" ySplit="36" topLeftCell="J74" activePane="bottomRight" state="frozen"/>
      <selection activeCell="A3" sqref="A3"/>
      <selection pane="topRight" activeCell="J3" sqref="J3"/>
      <selection pane="bottomLeft" activeCell="A39" sqref="A39"/>
      <selection pane="bottomRight" activeCell="A81" sqref="A81:XFD81"/>
    </sheetView>
  </sheetViews>
  <sheetFormatPr defaultRowHeight="15" outlineLevelRow="4" outlineLevelCol="2" x14ac:dyDescent="0.25"/>
  <cols>
    <col min="1" max="1" width="4.7109375" customWidth="1"/>
    <col min="2" max="2" width="2.7109375" customWidth="1"/>
    <col min="3" max="3" width="6.28515625"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8">
        <v>45806.701020138898</v>
      </c>
      <c r="J11" s="621" t="s">
        <v>3338</v>
      </c>
      <c r="K11" s="622"/>
      <c r="L11" s="622"/>
      <c r="M11" s="622"/>
      <c r="N11" s="622"/>
      <c r="O11" s="622"/>
      <c r="P11" s="622"/>
      <c r="Q11" s="622"/>
      <c r="R11" s="622"/>
      <c r="S11" s="622"/>
      <c r="T11" s="622"/>
      <c r="U11" s="622"/>
      <c r="V11" s="622"/>
      <c r="W11" s="622"/>
      <c r="X11" s="622"/>
      <c r="Y11" s="622"/>
      <c r="Z11" s="622"/>
      <c r="AA11" s="622"/>
      <c r="AB11" s="372"/>
      <c r="AC11" s="372"/>
      <c r="AD11" s="373"/>
      <c r="AE11" s="311"/>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0">
        <v>45812.273186111102</v>
      </c>
      <c r="J12" s="632" t="s">
        <v>3342</v>
      </c>
      <c r="K12" s="633"/>
      <c r="L12" s="633"/>
      <c r="M12" s="633"/>
      <c r="N12" s="633"/>
      <c r="O12" s="633"/>
      <c r="P12" s="633"/>
      <c r="Q12" s="633"/>
      <c r="R12" s="633"/>
      <c r="S12" s="633"/>
      <c r="T12" s="633"/>
      <c r="U12" s="633"/>
      <c r="V12" s="633"/>
      <c r="W12" s="633"/>
      <c r="X12" s="633"/>
      <c r="Y12" s="633"/>
      <c r="Z12" s="633"/>
      <c r="AA12" s="633"/>
      <c r="AB12" s="374"/>
      <c r="AC12" s="374"/>
      <c r="AD12" s="375"/>
      <c r="AE12" s="311"/>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INT(MAX($C$39:$C$1536))+1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2972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2" t="s">
        <v>3337</v>
      </c>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5" t="s">
        <v>3316</v>
      </c>
      <c r="X35" s="615" t="s">
        <v>3317</v>
      </c>
      <c r="Y35" s="615" t="s">
        <v>3330</v>
      </c>
      <c r="Z35" s="615" t="s">
        <v>3329</v>
      </c>
      <c r="AA35" s="615" t="s">
        <v>3328</v>
      </c>
      <c r="AB35" s="72" t="s">
        <v>444</v>
      </c>
      <c r="AC35" s="72" t="s">
        <v>445</v>
      </c>
      <c r="AD35" s="72" t="s">
        <v>446</v>
      </c>
      <c r="AE35" s="72"/>
      <c r="AF35" s="72" t="s">
        <v>447</v>
      </c>
      <c r="AG35" s="72"/>
      <c r="AH35" s="240" t="s">
        <v>448</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8">
        <v>0</v>
      </c>
      <c r="V36" s="328">
        <v>1</v>
      </c>
      <c r="W36" s="328">
        <v>2</v>
      </c>
      <c r="X36" s="328">
        <v>3</v>
      </c>
      <c r="Y36" s="328">
        <v>4</v>
      </c>
      <c r="Z36" s="328">
        <v>5</v>
      </c>
      <c r="AA36" s="328">
        <v>6</v>
      </c>
      <c r="AB36" s="328">
        <v>7</v>
      </c>
      <c r="AC36" s="328">
        <v>8</v>
      </c>
      <c r="AD36" s="328">
        <v>9</v>
      </c>
      <c r="AE36" s="72"/>
      <c r="AF36" s="72"/>
      <c r="AG36" s="72"/>
      <c r="AH36" s="245" t="s">
        <v>449</v>
      </c>
      <c r="AI36" s="245" t="s">
        <v>450</v>
      </c>
      <c r="AJ36" s="55"/>
      <c r="AK36" s="57"/>
      <c r="AL36" s="45"/>
      <c r="AM36" s="45"/>
      <c r="AN36" s="45"/>
    </row>
    <row r="37" spans="1:40" hidden="1" outlineLevel="4" x14ac:dyDescent="0.25">
      <c r="A37" s="45"/>
      <c r="B37" s="54"/>
      <c r="C37" s="47">
        <f>INT(MAX($C$39:$C$1536))+1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INT(MAX($C$39:$C$1536))+1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451</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452</v>
      </c>
      <c r="AH41" s="76">
        <v>-2</v>
      </c>
      <c r="AI41" s="97"/>
      <c r="AJ41" s="73"/>
      <c r="AK41" s="57"/>
      <c r="AL41" s="45"/>
      <c r="AM41" s="45"/>
      <c r="AN41" s="45"/>
    </row>
    <row r="42" spans="1:40" outlineLevel="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454</v>
      </c>
      <c r="AH42" s="76">
        <f>1-SUM(AI42:AJ42)</f>
        <v>1</v>
      </c>
      <c r="AI42" s="97">
        <v>0</v>
      </c>
      <c r="AJ42" s="73"/>
      <c r="AK42" s="57"/>
      <c r="AL42" s="45"/>
      <c r="AM42" s="45"/>
      <c r="AN42" s="45"/>
    </row>
    <row r="43" spans="1:40"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3327</v>
      </c>
      <c r="G44" s="73"/>
      <c r="H44" s="129" t="s">
        <v>2992</v>
      </c>
      <c r="I44" s="96" t="s">
        <v>690</v>
      </c>
      <c r="J44" s="96"/>
      <c r="K44" s="76"/>
      <c r="L44" s="76"/>
      <c r="M44" s="76"/>
      <c r="N44" s="76"/>
      <c r="O44" s="76"/>
      <c r="P44" s="76"/>
      <c r="Q44" s="76"/>
      <c r="R44" s="76"/>
      <c r="S44" s="76"/>
      <c r="T44" s="76" t="s">
        <v>3324</v>
      </c>
      <c r="U44" s="248">
        <v>45</v>
      </c>
      <c r="V44" s="97">
        <v>60</v>
      </c>
      <c r="W44" s="97">
        <v>58.726681510880901</v>
      </c>
      <c r="X44" s="97">
        <v>60</v>
      </c>
      <c r="Y44" s="97">
        <v>45</v>
      </c>
      <c r="Z44" s="97">
        <v>58.651710042658898</v>
      </c>
      <c r="AA44" s="97">
        <v>62.082819999999998</v>
      </c>
      <c r="AB44" s="97">
        <v>70</v>
      </c>
      <c r="AC44" s="97">
        <v>70</v>
      </c>
      <c r="AD44" s="97">
        <v>80</v>
      </c>
      <c r="AE44" s="76"/>
      <c r="AF44" s="97"/>
      <c r="AG44" s="76"/>
      <c r="AH44" s="97">
        <v>1</v>
      </c>
      <c r="AI44" s="97">
        <v>1</v>
      </c>
      <c r="AJ44" s="73"/>
      <c r="AK44" s="57"/>
      <c r="AL44" s="45"/>
      <c r="AM44" s="45"/>
      <c r="AN44" s="45"/>
    </row>
    <row r="45" spans="1:40" outlineLevel="2" x14ac:dyDescent="0.25">
      <c r="A45" s="45"/>
      <c r="B45" s="54"/>
      <c r="C45" s="47">
        <f t="shared" si="0"/>
        <v>3</v>
      </c>
      <c r="D45" s="73"/>
      <c r="E45" s="70"/>
      <c r="F45" s="70"/>
      <c r="G45" s="73"/>
      <c r="H45" s="129" t="s">
        <v>2974</v>
      </c>
      <c r="I45" s="96" t="s">
        <v>690</v>
      </c>
      <c r="J45" s="96"/>
      <c r="K45" s="76"/>
      <c r="L45" s="76"/>
      <c r="M45" s="76"/>
      <c r="N45" s="76"/>
      <c r="O45" s="76"/>
      <c r="P45" s="76"/>
      <c r="Q45" s="76"/>
      <c r="R45" s="76"/>
      <c r="S45" s="76"/>
      <c r="T45" s="76"/>
      <c r="U45" s="614">
        <f t="shared" ref="U45:AD45" si="1">3.058*U44/(U$377*U$383)</f>
        <v>27.53301320528211</v>
      </c>
      <c r="V45" s="614">
        <f t="shared" si="1"/>
        <v>36.710684273709482</v>
      </c>
      <c r="W45" s="614">
        <f t="shared" si="1"/>
        <v>35.931611056477344</v>
      </c>
      <c r="X45" s="614">
        <f t="shared" si="1"/>
        <v>36.710684273709482</v>
      </c>
      <c r="Y45" s="614">
        <f t="shared" si="1"/>
        <v>27.53301320528211</v>
      </c>
      <c r="Z45" s="614">
        <f t="shared" si="1"/>
        <v>35.885740158153439</v>
      </c>
      <c r="AA45" s="614">
        <f t="shared" si="1"/>
        <v>37.985046730692275</v>
      </c>
      <c r="AB45" s="614">
        <f t="shared" si="1"/>
        <v>42.829131652661061</v>
      </c>
      <c r="AC45" s="614">
        <f t="shared" si="1"/>
        <v>42.829131652661061</v>
      </c>
      <c r="AD45" s="614">
        <f t="shared" si="1"/>
        <v>48.947579031612641</v>
      </c>
      <c r="AE45" s="76"/>
      <c r="AF45" s="97" t="s">
        <v>2991</v>
      </c>
      <c r="AG45" s="76"/>
      <c r="AH45" s="97">
        <v>1</v>
      </c>
      <c r="AI45" s="97">
        <v>1</v>
      </c>
      <c r="AJ45" s="73"/>
      <c r="AK45" s="57"/>
      <c r="AL45" s="45"/>
      <c r="AM45" s="45"/>
      <c r="AN45" s="45"/>
    </row>
    <row r="46" spans="1:40" outlineLevel="2" x14ac:dyDescent="0.25">
      <c r="A46" s="45"/>
      <c r="B46" s="54"/>
      <c r="C46" s="47">
        <f t="shared" si="0"/>
        <v>3</v>
      </c>
      <c r="D46" s="73"/>
      <c r="E46" s="70"/>
      <c r="F46" s="70"/>
      <c r="G46" s="73"/>
      <c r="H46" s="129" t="s">
        <v>456</v>
      </c>
      <c r="I46" s="96"/>
      <c r="J46" s="96"/>
      <c r="K46" s="76"/>
      <c r="L46" s="76"/>
      <c r="M46" s="76"/>
      <c r="N46" s="76"/>
      <c r="O46" s="76"/>
      <c r="P46" s="76"/>
      <c r="Q46" s="76"/>
      <c r="R46" s="76"/>
      <c r="S46" s="76"/>
      <c r="T46" s="76"/>
      <c r="U46" s="248">
        <v>1</v>
      </c>
      <c r="V46" s="97">
        <v>1</v>
      </c>
      <c r="W46" s="97">
        <v>1</v>
      </c>
      <c r="X46" s="97">
        <v>1</v>
      </c>
      <c r="Y46" s="97">
        <v>1</v>
      </c>
      <c r="Z46" s="97">
        <v>1</v>
      </c>
      <c r="AA46" s="97">
        <v>1</v>
      </c>
      <c r="AB46" s="97">
        <v>1</v>
      </c>
      <c r="AC46" s="97">
        <v>1</v>
      </c>
      <c r="AD46" s="97">
        <v>1</v>
      </c>
      <c r="AE46" s="76"/>
      <c r="AF46" s="97"/>
      <c r="AG46" s="76"/>
      <c r="AH46" s="97">
        <v>1</v>
      </c>
      <c r="AI46" s="97">
        <v>1</v>
      </c>
      <c r="AJ46" s="73"/>
      <c r="AK46" s="57"/>
      <c r="AL46" s="45"/>
      <c r="AM46" s="45"/>
      <c r="AN46" s="45"/>
    </row>
    <row r="47" spans="1:40" outlineLevel="2" x14ac:dyDescent="0.25">
      <c r="A47" s="45"/>
      <c r="B47" s="54"/>
      <c r="C47" s="47">
        <f t="shared" si="0"/>
        <v>3</v>
      </c>
      <c r="D47" s="73"/>
      <c r="E47" s="70"/>
      <c r="F47" s="70"/>
      <c r="G47" s="73"/>
      <c r="H47" s="129" t="s">
        <v>457</v>
      </c>
      <c r="I47" s="96"/>
      <c r="J47" s="96"/>
      <c r="K47" s="76"/>
      <c r="L47" s="76"/>
      <c r="M47" s="76"/>
      <c r="N47" s="76"/>
      <c r="O47" s="76"/>
      <c r="P47" s="76"/>
      <c r="Q47" s="76"/>
      <c r="R47" s="76"/>
      <c r="S47" s="76"/>
      <c r="T47" s="76"/>
      <c r="U47" s="248">
        <v>1</v>
      </c>
      <c r="V47" s="97">
        <v>1</v>
      </c>
      <c r="W47" s="97">
        <v>1</v>
      </c>
      <c r="X47" s="97">
        <v>1</v>
      </c>
      <c r="Y47" s="97">
        <v>1</v>
      </c>
      <c r="Z47" s="97">
        <v>1</v>
      </c>
      <c r="AA47" s="97">
        <v>1</v>
      </c>
      <c r="AB47" s="97">
        <v>0.75</v>
      </c>
      <c r="AC47" s="97">
        <v>0.75</v>
      </c>
      <c r="AD47" s="97">
        <v>0.5</v>
      </c>
      <c r="AE47" s="76"/>
      <c r="AF47" s="97" t="s">
        <v>458</v>
      </c>
      <c r="AG47" s="76"/>
      <c r="AH47" s="97">
        <v>1</v>
      </c>
      <c r="AI47" s="97">
        <v>1</v>
      </c>
      <c r="AJ47" s="73"/>
      <c r="AK47" s="57"/>
      <c r="AL47" s="45"/>
      <c r="AM47" s="45"/>
      <c r="AN47" s="45"/>
    </row>
    <row r="48" spans="1:40" outlineLevel="2" x14ac:dyDescent="0.25">
      <c r="A48" s="45"/>
      <c r="B48" s="54"/>
      <c r="C48" s="47">
        <f t="shared" si="0"/>
        <v>3</v>
      </c>
      <c r="D48" s="73"/>
      <c r="E48" s="70"/>
      <c r="F48" s="70"/>
      <c r="G48" s="73"/>
      <c r="H48" s="129" t="s">
        <v>459</v>
      </c>
      <c r="I48" s="96" t="s">
        <v>460</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458</v>
      </c>
      <c r="AG48" s="76"/>
      <c r="AH48" s="97">
        <v>1</v>
      </c>
      <c r="AI48" s="97">
        <v>1</v>
      </c>
      <c r="AJ48" s="73"/>
      <c r="AK48" s="57"/>
      <c r="AL48" s="45"/>
      <c r="AM48" s="45"/>
      <c r="AN48" s="45"/>
    </row>
    <row r="49" spans="1:40" outlineLevel="2" x14ac:dyDescent="0.25">
      <c r="A49" s="45"/>
      <c r="B49" s="54"/>
      <c r="C49" s="47">
        <f t="shared" si="0"/>
        <v>3</v>
      </c>
      <c r="D49" s="73"/>
      <c r="E49" s="70"/>
      <c r="F49" s="70"/>
      <c r="G49" s="73"/>
      <c r="H49" s="129" t="s">
        <v>461</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458</v>
      </c>
      <c r="AG49" s="76"/>
      <c r="AH49" s="97">
        <v>1</v>
      </c>
      <c r="AI49" s="97">
        <v>1</v>
      </c>
      <c r="AJ49" s="73"/>
      <c r="AK49" s="57"/>
      <c r="AL49" s="45"/>
      <c r="AM49" s="45"/>
      <c r="AN49" s="45"/>
    </row>
    <row r="50" spans="1:40" outlineLevel="2" x14ac:dyDescent="0.25">
      <c r="A50" s="45"/>
      <c r="B50" s="54"/>
      <c r="C50" s="47">
        <f t="shared" si="0"/>
        <v>3</v>
      </c>
      <c r="D50" s="73"/>
      <c r="E50" s="70"/>
      <c r="F50" s="70" t="s">
        <v>3326</v>
      </c>
      <c r="G50" s="73"/>
      <c r="H50" s="129" t="s">
        <v>462</v>
      </c>
      <c r="I50" s="96" t="s">
        <v>463</v>
      </c>
      <c r="J50" s="96"/>
      <c r="K50" s="76"/>
      <c r="L50" s="76"/>
      <c r="M50" s="76"/>
      <c r="N50" s="76"/>
      <c r="O50" s="76"/>
      <c r="P50" s="76"/>
      <c r="Q50" s="76"/>
      <c r="R50" s="76"/>
      <c r="S50" s="76"/>
      <c r="T50" s="76" t="s">
        <v>3324</v>
      </c>
      <c r="U50" s="97">
        <v>3.5</v>
      </c>
      <c r="V50" s="97">
        <v>3.8</v>
      </c>
      <c r="W50" s="97">
        <v>3.75080077287876</v>
      </c>
      <c r="X50" s="97">
        <v>3.6190318365119798</v>
      </c>
      <c r="Y50" s="97">
        <v>3.5</v>
      </c>
      <c r="Z50" s="97">
        <v>3.7461885071665302</v>
      </c>
      <c r="AA50" s="97">
        <v>3.9494500000000001</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3325</v>
      </c>
      <c r="G51" s="73"/>
      <c r="H51" s="129" t="s">
        <v>464</v>
      </c>
      <c r="I51" s="96" t="s">
        <v>1417</v>
      </c>
      <c r="J51" s="96"/>
      <c r="K51" s="76"/>
      <c r="L51" s="76"/>
      <c r="M51" s="76"/>
      <c r="N51" s="76"/>
      <c r="O51" s="76"/>
      <c r="P51" s="76"/>
      <c r="Q51" s="76"/>
      <c r="R51" s="76"/>
      <c r="S51" s="76"/>
      <c r="T51" s="76" t="s">
        <v>3324</v>
      </c>
      <c r="U51" s="97">
        <v>17.5</v>
      </c>
      <c r="V51" s="97">
        <v>19</v>
      </c>
      <c r="W51" s="97">
        <v>18.646519940656098</v>
      </c>
      <c r="X51" s="97">
        <v>18.507376470917599</v>
      </c>
      <c r="Y51" s="97">
        <v>17.5</v>
      </c>
      <c r="Z51" s="97">
        <v>18.641905906128098</v>
      </c>
      <c r="AA51" s="97">
        <v>18.83127</v>
      </c>
      <c r="AB51" s="97">
        <v>34.5</v>
      </c>
      <c r="AC51" s="97">
        <v>28</v>
      </c>
      <c r="AD51" s="97">
        <v>34.5</v>
      </c>
      <c r="AE51" s="76"/>
      <c r="AF51" s="97"/>
      <c r="AG51" s="76"/>
      <c r="AH51" s="97">
        <v>1</v>
      </c>
      <c r="AI51" s="97">
        <v>1</v>
      </c>
      <c r="AJ51" s="73"/>
      <c r="AK51" s="57"/>
      <c r="AL51" s="45"/>
      <c r="AM51" s="45"/>
      <c r="AN51" s="45"/>
    </row>
    <row r="52" spans="1:40" outlineLevel="2" x14ac:dyDescent="0.25">
      <c r="A52" s="45"/>
      <c r="B52" s="54"/>
      <c r="C52" s="47">
        <f t="shared" si="0"/>
        <v>3</v>
      </c>
      <c r="D52" s="73"/>
      <c r="E52" s="70"/>
      <c r="F52" s="70"/>
      <c r="G52" s="73"/>
      <c r="H52" s="76" t="s">
        <v>2982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outlineLevel="2" x14ac:dyDescent="0.25">
      <c r="A53" s="45"/>
      <c r="B53" s="54"/>
      <c r="C53" s="47">
        <f t="shared" si="0"/>
        <v>3</v>
      </c>
      <c r="D53" s="73"/>
      <c r="E53" s="70"/>
      <c r="F53" s="70"/>
      <c r="G53" s="73"/>
      <c r="H53" s="76" t="s">
        <v>2983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outlineLevel="2" x14ac:dyDescent="0.25">
      <c r="A54" s="45"/>
      <c r="B54" s="54"/>
      <c r="C54" s="47">
        <f t="shared" si="0"/>
        <v>3</v>
      </c>
      <c r="D54" s="73"/>
      <c r="E54" s="70"/>
      <c r="F54" s="70"/>
      <c r="G54" s="73"/>
      <c r="H54" s="76" t="s">
        <v>2984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outlineLevel="2" x14ac:dyDescent="0.25">
      <c r="A55" s="45"/>
      <c r="B55" s="54"/>
      <c r="C55" s="47">
        <f t="shared" si="0"/>
        <v>3</v>
      </c>
      <c r="D55" s="73"/>
      <c r="E55" s="70"/>
      <c r="F55" s="70"/>
      <c r="G55" s="73"/>
      <c r="H55" s="76" t="s">
        <v>2985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outlineLevel="2" x14ac:dyDescent="0.25">
      <c r="A56" s="45"/>
      <c r="B56" s="54"/>
      <c r="C56" s="47">
        <f t="shared" si="0"/>
        <v>3</v>
      </c>
      <c r="D56" s="73"/>
      <c r="E56" s="70"/>
      <c r="F56" s="70"/>
      <c r="G56" s="73"/>
      <c r="H56" s="76" t="s">
        <v>2986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outlineLevel="2" x14ac:dyDescent="0.25">
      <c r="A57" s="45"/>
      <c r="B57" s="54"/>
      <c r="C57" s="47">
        <f t="shared" si="0"/>
        <v>3</v>
      </c>
      <c r="D57" s="73"/>
      <c r="E57" s="70"/>
      <c r="F57" s="70"/>
      <c r="G57" s="73"/>
      <c r="H57" s="76" t="s">
        <v>2987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outlineLevel="2" x14ac:dyDescent="0.25">
      <c r="A58" s="45"/>
      <c r="B58" s="54"/>
      <c r="C58" s="47">
        <f t="shared" si="0"/>
        <v>3</v>
      </c>
      <c r="D58" s="73"/>
      <c r="E58" s="70"/>
      <c r="F58" s="70"/>
      <c r="G58" s="73"/>
      <c r="H58" s="76" t="s">
        <v>2542</v>
      </c>
      <c r="I58" s="96" t="s">
        <v>90</v>
      </c>
      <c r="J58" s="96"/>
      <c r="K58" s="76"/>
      <c r="L58" s="76"/>
      <c r="M58" s="76"/>
      <c r="N58" s="76"/>
      <c r="O58" s="76"/>
      <c r="P58" s="76"/>
      <c r="Q58" s="76"/>
      <c r="R58" s="76"/>
      <c r="S58" s="76"/>
      <c r="T58" s="76"/>
      <c r="U58" s="118">
        <v>1.1000000000000001</v>
      </c>
      <c r="V58" s="118">
        <v>1.25</v>
      </c>
      <c r="W58" s="118">
        <v>1.25</v>
      </c>
      <c r="X58" s="118">
        <v>1.25</v>
      </c>
      <c r="Y58" s="118">
        <v>1.25</v>
      </c>
      <c r="Z58" s="118">
        <v>1.25</v>
      </c>
      <c r="AA58" s="118">
        <v>1.25</v>
      </c>
      <c r="AB58" s="250">
        <v>1.35</v>
      </c>
      <c r="AC58" s="250">
        <f>AB58</f>
        <v>1.35</v>
      </c>
      <c r="AD58" s="250">
        <f>AC58</f>
        <v>1.35</v>
      </c>
      <c r="AE58" s="76"/>
      <c r="AF58" s="97" t="s">
        <v>2303</v>
      </c>
      <c r="AG58" s="76"/>
      <c r="AH58" s="97">
        <v>1</v>
      </c>
      <c r="AI58" s="97">
        <v>1</v>
      </c>
      <c r="AJ58" s="73"/>
      <c r="AK58" s="57"/>
      <c r="AL58" s="45"/>
      <c r="AM58" s="45"/>
      <c r="AN58" s="45"/>
    </row>
    <row r="59" spans="1:40" outlineLevel="2" x14ac:dyDescent="0.25">
      <c r="A59" s="45"/>
      <c r="B59" s="54"/>
      <c r="C59" s="47">
        <f t="shared" si="0"/>
        <v>3</v>
      </c>
      <c r="D59" s="73"/>
      <c r="E59" s="70"/>
      <c r="F59" s="70"/>
      <c r="G59" s="73"/>
      <c r="H59" s="76" t="s">
        <v>2568</v>
      </c>
      <c r="I59" s="96" t="s">
        <v>90</v>
      </c>
      <c r="J59" s="96"/>
      <c r="K59" s="76"/>
      <c r="L59" s="76"/>
      <c r="M59" s="76"/>
      <c r="N59" s="76"/>
      <c r="O59" s="76"/>
      <c r="P59" s="76"/>
      <c r="Q59" s="76"/>
      <c r="R59" s="76"/>
      <c r="S59" s="76"/>
      <c r="T59" s="76"/>
      <c r="U59" s="118">
        <v>0.02</v>
      </c>
      <c r="V59" s="118">
        <v>0.02</v>
      </c>
      <c r="W59" s="118">
        <v>0.02</v>
      </c>
      <c r="X59" s="118">
        <v>0.02</v>
      </c>
      <c r="Y59" s="118">
        <v>0.02</v>
      </c>
      <c r="Z59" s="118">
        <v>0.02</v>
      </c>
      <c r="AA59" s="118">
        <v>0.02</v>
      </c>
      <c r="AB59" s="118">
        <v>0.11</v>
      </c>
      <c r="AC59" s="118">
        <v>0.11</v>
      </c>
      <c r="AD59" s="118">
        <v>0.11</v>
      </c>
      <c r="AE59" s="76"/>
      <c r="AF59" s="97" t="s">
        <v>2569</v>
      </c>
      <c r="AG59" s="76"/>
      <c r="AH59" s="97">
        <v>1</v>
      </c>
      <c r="AI59" s="97">
        <v>1</v>
      </c>
      <c r="AJ59" s="73"/>
      <c r="AK59" s="57"/>
      <c r="AL59" s="45"/>
      <c r="AM59" s="45"/>
      <c r="AN59" s="45"/>
    </row>
    <row r="60" spans="1:40" outlineLevel="2" x14ac:dyDescent="0.25">
      <c r="A60" s="45"/>
      <c r="B60" s="54"/>
      <c r="C60" s="47">
        <f t="shared" si="0"/>
        <v>3</v>
      </c>
      <c r="D60" s="73"/>
      <c r="E60" s="70"/>
      <c r="F60" s="70"/>
      <c r="G60" s="73"/>
      <c r="H60" s="76" t="s">
        <v>2744</v>
      </c>
      <c r="I60" s="96" t="s">
        <v>2386</v>
      </c>
      <c r="J60" s="96"/>
      <c r="K60" s="76"/>
      <c r="L60" s="76"/>
      <c r="M60" s="76"/>
      <c r="N60" s="76"/>
      <c r="O60" s="76"/>
      <c r="P60" s="76"/>
      <c r="Q60" s="76"/>
      <c r="R60" s="76"/>
      <c r="S60" s="76"/>
      <c r="T60" s="76"/>
      <c r="U60" s="257">
        <v>40</v>
      </c>
      <c r="V60" s="257">
        <v>40</v>
      </c>
      <c r="W60" s="257">
        <v>40</v>
      </c>
      <c r="X60" s="257">
        <v>40</v>
      </c>
      <c r="Y60" s="257">
        <v>40</v>
      </c>
      <c r="Z60" s="257">
        <v>40</v>
      </c>
      <c r="AA60" s="257">
        <v>40</v>
      </c>
      <c r="AB60" s="370">
        <v>40</v>
      </c>
      <c r="AC60" s="370">
        <f t="shared" ref="AC60:AD63" si="4">AB60</f>
        <v>40</v>
      </c>
      <c r="AD60" s="370">
        <f t="shared" si="4"/>
        <v>40</v>
      </c>
      <c r="AE60" s="76"/>
      <c r="AF60" s="97" t="s">
        <v>2539</v>
      </c>
      <c r="AG60" s="76"/>
      <c r="AH60" s="97">
        <v>1</v>
      </c>
      <c r="AI60" s="97">
        <v>1</v>
      </c>
      <c r="AJ60" s="73"/>
      <c r="AK60" s="57"/>
      <c r="AL60" s="45"/>
      <c r="AM60" s="45"/>
      <c r="AN60" s="45"/>
    </row>
    <row r="61" spans="1:40" outlineLevel="2" x14ac:dyDescent="0.25">
      <c r="A61" s="45"/>
      <c r="B61" s="54"/>
      <c r="C61" s="47">
        <f t="shared" si="0"/>
        <v>3</v>
      </c>
      <c r="D61" s="73"/>
      <c r="E61" s="70"/>
      <c r="F61" s="70"/>
      <c r="G61" s="73"/>
      <c r="H61" s="76" t="s">
        <v>465</v>
      </c>
      <c r="I61" s="96" t="s">
        <v>90</v>
      </c>
      <c r="J61" s="371" t="s">
        <v>2285</v>
      </c>
      <c r="K61" s="76"/>
      <c r="L61" s="76"/>
      <c r="M61" s="76"/>
      <c r="N61" s="76"/>
      <c r="O61" s="76"/>
      <c r="P61" s="76"/>
      <c r="Q61" s="76"/>
      <c r="R61" s="76"/>
      <c r="S61" s="76"/>
      <c r="T61" s="76"/>
      <c r="U61" s="118">
        <v>0.8</v>
      </c>
      <c r="V61" s="118">
        <v>0.88</v>
      </c>
      <c r="W61" s="118">
        <v>0.88</v>
      </c>
      <c r="X61" s="118">
        <v>0.88</v>
      </c>
      <c r="Y61" s="118">
        <v>0.88</v>
      </c>
      <c r="Z61" s="118">
        <v>0.88</v>
      </c>
      <c r="AA61" s="118">
        <v>0.88</v>
      </c>
      <c r="AB61" s="250">
        <v>0.94</v>
      </c>
      <c r="AC61" s="250">
        <f t="shared" si="4"/>
        <v>0.94</v>
      </c>
      <c r="AD61" s="250">
        <f t="shared" si="4"/>
        <v>0.94</v>
      </c>
      <c r="AE61" s="76"/>
      <c r="AF61" s="76"/>
      <c r="AG61" s="76"/>
      <c r="AH61" s="97">
        <v>1</v>
      </c>
      <c r="AI61" s="97">
        <v>1</v>
      </c>
      <c r="AJ61" s="73"/>
      <c r="AK61" s="57"/>
      <c r="AL61" s="45"/>
      <c r="AM61" s="45"/>
      <c r="AN61" s="45"/>
    </row>
    <row r="62" spans="1:40" outlineLevel="2" x14ac:dyDescent="0.25">
      <c r="A62" s="45"/>
      <c r="B62" s="54"/>
      <c r="C62" s="47">
        <f t="shared" si="0"/>
        <v>3</v>
      </c>
      <c r="D62" s="73"/>
      <c r="E62" s="70"/>
      <c r="F62" s="70"/>
      <c r="G62" s="73"/>
      <c r="H62" s="76" t="s">
        <v>466</v>
      </c>
      <c r="I62" s="96" t="s">
        <v>90</v>
      </c>
      <c r="J62" s="96"/>
      <c r="K62" s="76"/>
      <c r="L62" s="76"/>
      <c r="M62" s="76"/>
      <c r="N62" s="76"/>
      <c r="O62" s="76"/>
      <c r="P62" s="76"/>
      <c r="Q62" s="76"/>
      <c r="R62" s="76"/>
      <c r="S62" s="76"/>
      <c r="T62" s="76"/>
      <c r="U62" s="118">
        <v>0.55000000000000004</v>
      </c>
      <c r="V62" s="118">
        <v>0.65</v>
      </c>
      <c r="W62" s="118">
        <v>0.65</v>
      </c>
      <c r="X62" s="118">
        <v>0.65</v>
      </c>
      <c r="Y62" s="118">
        <v>0.65</v>
      </c>
      <c r="Z62" s="118">
        <v>0.65</v>
      </c>
      <c r="AA62" s="118">
        <v>0.65</v>
      </c>
      <c r="AB62" s="250">
        <v>0.75</v>
      </c>
      <c r="AC62" s="250">
        <f t="shared" si="4"/>
        <v>0.75</v>
      </c>
      <c r="AD62" s="250">
        <f t="shared" si="4"/>
        <v>0.75</v>
      </c>
      <c r="AE62" s="76"/>
      <c r="AF62" s="76"/>
      <c r="AG62" s="76"/>
      <c r="AH62" s="97">
        <v>1</v>
      </c>
      <c r="AI62" s="97">
        <v>1</v>
      </c>
      <c r="AJ62" s="73"/>
      <c r="AK62" s="57"/>
      <c r="AL62" s="45"/>
      <c r="AM62" s="45"/>
      <c r="AN62" s="45"/>
    </row>
    <row r="63" spans="1:40" outlineLevel="2" x14ac:dyDescent="0.25">
      <c r="A63" s="45"/>
      <c r="B63" s="54"/>
      <c r="C63" s="47">
        <f t="shared" si="0"/>
        <v>3</v>
      </c>
      <c r="D63" s="73"/>
      <c r="E63" s="70"/>
      <c r="F63" s="70"/>
      <c r="G63" s="73"/>
      <c r="H63" s="76" t="s">
        <v>467</v>
      </c>
      <c r="I63" s="96" t="s">
        <v>90</v>
      </c>
      <c r="J63" s="96"/>
      <c r="K63" s="76"/>
      <c r="L63" s="76"/>
      <c r="M63" s="76"/>
      <c r="N63" s="76"/>
      <c r="O63" s="76"/>
      <c r="P63" s="76"/>
      <c r="Q63" s="76"/>
      <c r="R63" s="76"/>
      <c r="S63" s="76"/>
      <c r="T63" s="76"/>
      <c r="U63" s="118">
        <v>0.4</v>
      </c>
      <c r="V63" s="118">
        <v>0.5</v>
      </c>
      <c r="W63" s="118">
        <v>0.5</v>
      </c>
      <c r="X63" s="118">
        <v>0.5</v>
      </c>
      <c r="Y63" s="118">
        <v>0.5</v>
      </c>
      <c r="Z63" s="118">
        <v>0.5</v>
      </c>
      <c r="AA63" s="118">
        <v>0.5</v>
      </c>
      <c r="AB63" s="250">
        <v>0.55000000000000004</v>
      </c>
      <c r="AC63" s="250">
        <f t="shared" si="4"/>
        <v>0.55000000000000004</v>
      </c>
      <c r="AD63" s="250">
        <f t="shared" si="4"/>
        <v>0.55000000000000004</v>
      </c>
      <c r="AE63" s="76"/>
      <c r="AF63" s="76"/>
      <c r="AG63" s="76"/>
      <c r="AH63" s="97">
        <v>1</v>
      </c>
      <c r="AI63" s="97">
        <v>1</v>
      </c>
      <c r="AJ63" s="73"/>
      <c r="AK63" s="57"/>
      <c r="AL63" s="45"/>
      <c r="AM63" s="45"/>
      <c r="AN63" s="45"/>
    </row>
    <row r="64" spans="1:40" outlineLevel="2" x14ac:dyDescent="0.25">
      <c r="A64" s="45"/>
      <c r="B64" s="54"/>
      <c r="C64" s="47">
        <f t="shared" si="0"/>
        <v>3</v>
      </c>
      <c r="D64" s="73"/>
      <c r="E64" s="70"/>
      <c r="F64" s="70"/>
      <c r="G64" s="73"/>
      <c r="H64" s="129" t="s">
        <v>2276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2743</v>
      </c>
      <c r="AG64" s="76"/>
      <c r="AH64" s="97">
        <v>1</v>
      </c>
      <c r="AI64" s="97">
        <v>1</v>
      </c>
      <c r="AJ64" s="73"/>
      <c r="AK64" s="57"/>
      <c r="AL64" s="45"/>
      <c r="AM64" s="45"/>
      <c r="AN64" s="45"/>
    </row>
    <row r="65" spans="1:40" outlineLevel="2" x14ac:dyDescent="0.25">
      <c r="A65" s="45"/>
      <c r="B65" s="54"/>
      <c r="C65" s="47">
        <f t="shared" si="0"/>
        <v>3</v>
      </c>
      <c r="D65" s="73"/>
      <c r="E65" s="70"/>
      <c r="F65" s="70"/>
      <c r="G65" s="73"/>
      <c r="H65" s="129" t="s">
        <v>2742</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2743</v>
      </c>
      <c r="AG65" s="76"/>
      <c r="AH65" s="97">
        <v>1</v>
      </c>
      <c r="AI65" s="97">
        <v>1</v>
      </c>
      <c r="AJ65" s="73"/>
      <c r="AK65" s="57"/>
      <c r="AL65" s="45"/>
      <c r="AM65" s="45"/>
      <c r="AN65" s="45"/>
    </row>
    <row r="66" spans="1:40" outlineLevel="2" x14ac:dyDescent="0.25">
      <c r="A66" s="45"/>
      <c r="B66" s="54"/>
      <c r="C66" s="47">
        <f t="shared" si="0"/>
        <v>3</v>
      </c>
      <c r="D66" s="73"/>
      <c r="E66" s="70"/>
      <c r="F66" s="70"/>
      <c r="G66" s="73"/>
      <c r="H66" s="129" t="s">
        <v>2278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2743</v>
      </c>
      <c r="AG66" s="76"/>
      <c r="AH66" s="97">
        <v>1</v>
      </c>
      <c r="AI66" s="97">
        <v>1</v>
      </c>
      <c r="AJ66" s="73"/>
      <c r="AK66" s="57"/>
      <c r="AL66" s="45"/>
      <c r="AM66" s="45"/>
      <c r="AN66" s="45"/>
    </row>
    <row r="67" spans="1:40" outlineLevel="2" x14ac:dyDescent="0.25">
      <c r="A67" s="45"/>
      <c r="B67" s="54"/>
      <c r="C67" s="47">
        <f t="shared" si="0"/>
        <v>3</v>
      </c>
      <c r="D67" s="73"/>
      <c r="E67" s="70"/>
      <c r="F67" s="70"/>
      <c r="G67" s="73"/>
      <c r="H67" s="129" t="s">
        <v>2277</v>
      </c>
      <c r="I67" s="96" t="s">
        <v>2240</v>
      </c>
      <c r="J67" s="96"/>
      <c r="K67" s="76"/>
      <c r="L67" s="76"/>
      <c r="M67" s="76"/>
      <c r="N67" s="76"/>
      <c r="O67" s="76"/>
      <c r="P67" s="76"/>
      <c r="Q67" s="76"/>
      <c r="R67" s="76"/>
      <c r="S67" s="76"/>
      <c r="T67" s="76"/>
      <c r="U67" s="257">
        <f>0.15*U$64</f>
        <v>1.7999999999999999E-2</v>
      </c>
      <c r="V67" s="257">
        <f>0.15*V$64</f>
        <v>1.7999999999999999E-2</v>
      </c>
      <c r="W67" s="257">
        <f>0.15*W$64</f>
        <v>1.7999999999999999E-2</v>
      </c>
      <c r="X67" s="257">
        <f>0.15*X$64</f>
        <v>1.7999999999999999E-2</v>
      </c>
      <c r="Y67" s="257">
        <v>1.7999999999999999E-2</v>
      </c>
      <c r="Z67" s="257">
        <v>1.7999999999999999E-2</v>
      </c>
      <c r="AA67" s="257">
        <v>1.7999999999999999E-2</v>
      </c>
      <c r="AB67" s="257">
        <v>1.7999999999999999E-2</v>
      </c>
      <c r="AC67" s="257">
        <f>0.15*AC$64</f>
        <v>1.7999999999999999E-2</v>
      </c>
      <c r="AD67" s="257">
        <f>0.15*AD$64</f>
        <v>1.7999999999999999E-2</v>
      </c>
      <c r="AE67" s="76"/>
      <c r="AF67" s="97" t="s">
        <v>2762</v>
      </c>
      <c r="AG67" s="76"/>
      <c r="AH67" s="97">
        <v>1</v>
      </c>
      <c r="AI67" s="97">
        <v>1</v>
      </c>
      <c r="AJ67" s="73"/>
      <c r="AK67" s="57"/>
      <c r="AL67" s="45"/>
      <c r="AM67" s="45"/>
      <c r="AN67" s="45"/>
    </row>
    <row r="68" spans="1:40" outlineLevel="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outlineLevel="2" x14ac:dyDescent="0.25">
      <c r="A69" s="45"/>
      <c r="B69" s="54"/>
      <c r="C69" s="47">
        <f t="shared" si="0"/>
        <v>3</v>
      </c>
      <c r="D69" s="73"/>
      <c r="E69" s="70"/>
      <c r="F69" s="70"/>
      <c r="G69" s="73"/>
      <c r="H69" s="76" t="s">
        <v>2227</v>
      </c>
      <c r="I69" s="96" t="s">
        <v>90</v>
      </c>
      <c r="J69" s="371" t="s">
        <v>2284</v>
      </c>
      <c r="K69" s="76"/>
      <c r="L69" s="76"/>
      <c r="M69" s="76"/>
      <c r="N69" s="76"/>
      <c r="O69" s="76"/>
      <c r="P69" s="76"/>
      <c r="Q69" s="76"/>
      <c r="R69" s="76"/>
      <c r="S69" s="76"/>
      <c r="T69" s="76"/>
      <c r="U69" s="118">
        <v>0</v>
      </c>
      <c r="V69" s="118">
        <v>0</v>
      </c>
      <c r="W69" s="118">
        <v>0</v>
      </c>
      <c r="X69" s="118">
        <v>0</v>
      </c>
      <c r="Y69" s="118">
        <v>0</v>
      </c>
      <c r="Z69" s="118">
        <v>0</v>
      </c>
      <c r="AA69" s="118">
        <v>0</v>
      </c>
      <c r="AB69" s="118">
        <v>0</v>
      </c>
      <c r="AC69" s="118">
        <v>0</v>
      </c>
      <c r="AD69" s="118">
        <v>0</v>
      </c>
      <c r="AE69" s="76"/>
      <c r="AF69" s="76"/>
      <c r="AG69" s="76"/>
      <c r="AH69" s="97">
        <v>1</v>
      </c>
      <c r="AI69" s="97">
        <v>1</v>
      </c>
      <c r="AJ69" s="73"/>
      <c r="AK69" s="57"/>
      <c r="AL69" s="45"/>
      <c r="AM69" s="45"/>
      <c r="AN69" s="45"/>
    </row>
    <row r="70" spans="1:40" outlineLevel="2" x14ac:dyDescent="0.25">
      <c r="A70" s="45"/>
      <c r="B70" s="54"/>
      <c r="C70" s="47">
        <f t="shared" si="0"/>
        <v>3</v>
      </c>
      <c r="D70" s="73"/>
      <c r="E70" s="70"/>
      <c r="F70" s="70">
        <v>0</v>
      </c>
      <c r="G70" s="73"/>
      <c r="H70" s="76" t="s">
        <v>2591</v>
      </c>
      <c r="I70" s="96" t="s">
        <v>90</v>
      </c>
      <c r="J70" s="96"/>
      <c r="K70" s="76"/>
      <c r="L70" s="76"/>
      <c r="M70" s="76"/>
      <c r="N70" s="76"/>
      <c r="O70" s="76"/>
      <c r="P70" s="76"/>
      <c r="Q70" s="76"/>
      <c r="R70" s="76"/>
      <c r="S70" s="76"/>
      <c r="T70" s="76"/>
      <c r="U70" s="251">
        <f t="shared" ref="U70:AD76" si="5">0.96^$F70*(1-0.96)/(1-0.96^$T$68)*($F70&lt;$T$68)*(1-$U$69)</f>
        <v>0.16093178091915078</v>
      </c>
      <c r="V70" s="251">
        <f t="shared" si="5"/>
        <v>0.16093178091915078</v>
      </c>
      <c r="W70" s="251">
        <f t="shared" si="5"/>
        <v>0.16093178091915078</v>
      </c>
      <c r="X70" s="251">
        <f t="shared" si="5"/>
        <v>0.16093178091915078</v>
      </c>
      <c r="Y70" s="251">
        <f t="shared" si="5"/>
        <v>0.16093178091915078</v>
      </c>
      <c r="Z70" s="251">
        <f t="shared" si="5"/>
        <v>0.16093178091915078</v>
      </c>
      <c r="AA70" s="251">
        <f t="shared" si="5"/>
        <v>0.16093178091915078</v>
      </c>
      <c r="AB70" s="251">
        <f t="shared" si="5"/>
        <v>0.16093178091915078</v>
      </c>
      <c r="AC70" s="251">
        <f t="shared" si="5"/>
        <v>0.16093178091915078</v>
      </c>
      <c r="AD70" s="251">
        <f t="shared" si="5"/>
        <v>0.16093178091915078</v>
      </c>
      <c r="AE70" s="76"/>
      <c r="AF70" s="76"/>
      <c r="AG70" s="76"/>
      <c r="AH70" s="97">
        <v>1</v>
      </c>
      <c r="AI70" s="97">
        <v>1</v>
      </c>
      <c r="AJ70" s="73"/>
      <c r="AK70" s="57"/>
      <c r="AL70" s="45"/>
      <c r="AM70" s="45"/>
      <c r="AN70" s="45"/>
    </row>
    <row r="71" spans="1:40" outlineLevel="2" x14ac:dyDescent="0.25">
      <c r="A71" s="45"/>
      <c r="B71" s="54"/>
      <c r="C71" s="47">
        <f t="shared" si="0"/>
        <v>3</v>
      </c>
      <c r="D71" s="73"/>
      <c r="E71" s="70"/>
      <c r="F71" s="70">
        <v>1</v>
      </c>
      <c r="G71" s="73"/>
      <c r="H71" s="76" t="s">
        <v>468</v>
      </c>
      <c r="I71" s="96" t="s">
        <v>90</v>
      </c>
      <c r="J71" s="96"/>
      <c r="K71" s="76"/>
      <c r="L71" s="76"/>
      <c r="M71" s="76"/>
      <c r="N71" s="76"/>
      <c r="O71" s="76"/>
      <c r="P71" s="76"/>
      <c r="Q71" s="76"/>
      <c r="R71" s="76"/>
      <c r="S71" s="76"/>
      <c r="T71" s="76"/>
      <c r="U71" s="251">
        <f t="shared" si="5"/>
        <v>0.15449450968238473</v>
      </c>
      <c r="V71" s="251">
        <f t="shared" si="5"/>
        <v>0.15449450968238473</v>
      </c>
      <c r="W71" s="251">
        <f t="shared" si="5"/>
        <v>0.15449450968238473</v>
      </c>
      <c r="X71" s="251">
        <f t="shared" si="5"/>
        <v>0.15449450968238473</v>
      </c>
      <c r="Y71" s="251">
        <f t="shared" si="5"/>
        <v>0.15449450968238473</v>
      </c>
      <c r="Z71" s="251">
        <f t="shared" si="5"/>
        <v>0.15449450968238473</v>
      </c>
      <c r="AA71" s="251">
        <f t="shared" si="5"/>
        <v>0.15449450968238473</v>
      </c>
      <c r="AB71" s="251">
        <f t="shared" si="5"/>
        <v>0.15449450968238473</v>
      </c>
      <c r="AC71" s="251">
        <f t="shared" si="5"/>
        <v>0.15449450968238473</v>
      </c>
      <c r="AD71" s="251">
        <f t="shared" si="5"/>
        <v>0.15449450968238473</v>
      </c>
      <c r="AE71" s="76"/>
      <c r="AF71" s="76"/>
      <c r="AG71" s="76"/>
      <c r="AH71" s="97">
        <v>1</v>
      </c>
      <c r="AI71" s="97">
        <v>1</v>
      </c>
      <c r="AJ71" s="73"/>
      <c r="AK71" s="57"/>
      <c r="AL71" s="45"/>
      <c r="AM71" s="45"/>
      <c r="AN71" s="45"/>
    </row>
    <row r="72" spans="1:40" outlineLevel="2" x14ac:dyDescent="0.25">
      <c r="A72" s="45"/>
      <c r="B72" s="54"/>
      <c r="C72" s="47">
        <f t="shared" ref="C72:C101" si="6">INT($C$29)+2</f>
        <v>3</v>
      </c>
      <c r="D72" s="73"/>
      <c r="E72" s="70"/>
      <c r="F72" s="70">
        <v>2</v>
      </c>
      <c r="G72" s="73"/>
      <c r="H72" s="76" t="s">
        <v>469</v>
      </c>
      <c r="I72" s="96" t="s">
        <v>90</v>
      </c>
      <c r="J72" s="96"/>
      <c r="K72" s="76"/>
      <c r="L72" s="76"/>
      <c r="M72" s="76"/>
      <c r="N72" s="76"/>
      <c r="O72" s="76"/>
      <c r="P72" s="76"/>
      <c r="Q72" s="76"/>
      <c r="R72" s="76"/>
      <c r="S72" s="76"/>
      <c r="T72" s="76"/>
      <c r="U72" s="251">
        <f t="shared" si="5"/>
        <v>0.14831472929508935</v>
      </c>
      <c r="V72" s="251">
        <f t="shared" si="5"/>
        <v>0.14831472929508935</v>
      </c>
      <c r="W72" s="251">
        <f t="shared" si="5"/>
        <v>0.14831472929508935</v>
      </c>
      <c r="X72" s="251">
        <f t="shared" si="5"/>
        <v>0.14831472929508935</v>
      </c>
      <c r="Y72" s="251">
        <f t="shared" si="5"/>
        <v>0.14831472929508935</v>
      </c>
      <c r="Z72" s="251">
        <f t="shared" si="5"/>
        <v>0.14831472929508935</v>
      </c>
      <c r="AA72" s="251">
        <f t="shared" si="5"/>
        <v>0.14831472929508935</v>
      </c>
      <c r="AB72" s="251">
        <f t="shared" si="5"/>
        <v>0.14831472929508935</v>
      </c>
      <c r="AC72" s="251">
        <f t="shared" si="5"/>
        <v>0.14831472929508935</v>
      </c>
      <c r="AD72" s="251">
        <f t="shared" si="5"/>
        <v>0.14831472929508935</v>
      </c>
      <c r="AE72" s="76"/>
      <c r="AF72" s="76"/>
      <c r="AG72" s="76"/>
      <c r="AH72" s="97">
        <v>1</v>
      </c>
      <c r="AI72" s="97">
        <v>1</v>
      </c>
      <c r="AJ72" s="73"/>
      <c r="AK72" s="57"/>
      <c r="AL72" s="45"/>
      <c r="AM72" s="45"/>
      <c r="AN72" s="45"/>
    </row>
    <row r="73" spans="1:40" outlineLevel="2" x14ac:dyDescent="0.25">
      <c r="A73" s="45"/>
      <c r="B73" s="54"/>
      <c r="C73" s="47">
        <f t="shared" si="6"/>
        <v>3</v>
      </c>
      <c r="D73" s="73"/>
      <c r="E73" s="70"/>
      <c r="F73" s="70">
        <v>3</v>
      </c>
      <c r="G73" s="73"/>
      <c r="H73" s="76" t="s">
        <v>470</v>
      </c>
      <c r="I73" s="96" t="s">
        <v>90</v>
      </c>
      <c r="J73" s="96"/>
      <c r="K73" s="76"/>
      <c r="L73" s="76"/>
      <c r="M73" s="76"/>
      <c r="N73" s="76"/>
      <c r="O73" s="76"/>
      <c r="P73" s="76"/>
      <c r="Q73" s="76"/>
      <c r="R73" s="76"/>
      <c r="S73" s="76"/>
      <c r="T73" s="76"/>
      <c r="U73" s="251">
        <f t="shared" si="5"/>
        <v>0.14238214012328579</v>
      </c>
      <c r="V73" s="251">
        <f t="shared" si="5"/>
        <v>0.14238214012328579</v>
      </c>
      <c r="W73" s="251">
        <f t="shared" si="5"/>
        <v>0.14238214012328579</v>
      </c>
      <c r="X73" s="251">
        <f t="shared" si="5"/>
        <v>0.14238214012328579</v>
      </c>
      <c r="Y73" s="251">
        <f t="shared" si="5"/>
        <v>0.14238214012328579</v>
      </c>
      <c r="Z73" s="251">
        <f t="shared" si="5"/>
        <v>0.14238214012328579</v>
      </c>
      <c r="AA73" s="251">
        <f t="shared" si="5"/>
        <v>0.14238214012328579</v>
      </c>
      <c r="AB73" s="251">
        <f t="shared" si="5"/>
        <v>0.14238214012328579</v>
      </c>
      <c r="AC73" s="251">
        <f t="shared" si="5"/>
        <v>0.14238214012328579</v>
      </c>
      <c r="AD73" s="251">
        <f t="shared" si="5"/>
        <v>0.14238214012328579</v>
      </c>
      <c r="AE73" s="76"/>
      <c r="AF73" s="76"/>
      <c r="AG73" s="76"/>
      <c r="AH73" s="97">
        <v>1</v>
      </c>
      <c r="AI73" s="97">
        <v>1</v>
      </c>
      <c r="AJ73" s="73"/>
      <c r="AK73" s="57"/>
      <c r="AL73" s="45"/>
      <c r="AM73" s="45"/>
      <c r="AN73" s="45"/>
    </row>
    <row r="74" spans="1:40" outlineLevel="2" x14ac:dyDescent="0.25">
      <c r="A74" s="45"/>
      <c r="B74" s="54"/>
      <c r="C74" s="47">
        <f t="shared" si="6"/>
        <v>3</v>
      </c>
      <c r="D74" s="73"/>
      <c r="E74" s="70"/>
      <c r="F74" s="70">
        <v>4</v>
      </c>
      <c r="G74" s="73"/>
      <c r="H74" s="76" t="s">
        <v>471</v>
      </c>
      <c r="I74" s="96" t="s">
        <v>90</v>
      </c>
      <c r="J74" s="96"/>
      <c r="K74" s="76"/>
      <c r="L74" s="76"/>
      <c r="M74" s="76"/>
      <c r="N74" s="76"/>
      <c r="O74" s="76"/>
      <c r="P74" s="76"/>
      <c r="Q74" s="76"/>
      <c r="R74" s="76"/>
      <c r="S74" s="76"/>
      <c r="T74" s="76"/>
      <c r="U74" s="251">
        <f t="shared" si="5"/>
        <v>0.13668685451835433</v>
      </c>
      <c r="V74" s="251">
        <f t="shared" si="5"/>
        <v>0.13668685451835433</v>
      </c>
      <c r="W74" s="251">
        <f t="shared" si="5"/>
        <v>0.13668685451835433</v>
      </c>
      <c r="X74" s="251">
        <f t="shared" si="5"/>
        <v>0.13668685451835433</v>
      </c>
      <c r="Y74" s="251">
        <f t="shared" si="5"/>
        <v>0.13668685451835433</v>
      </c>
      <c r="Z74" s="251">
        <f t="shared" si="5"/>
        <v>0.13668685451835433</v>
      </c>
      <c r="AA74" s="251">
        <f t="shared" si="5"/>
        <v>0.13668685451835433</v>
      </c>
      <c r="AB74" s="251">
        <f t="shared" si="5"/>
        <v>0.13668685451835433</v>
      </c>
      <c r="AC74" s="251">
        <f t="shared" si="5"/>
        <v>0.13668685451835433</v>
      </c>
      <c r="AD74" s="251">
        <f t="shared" si="5"/>
        <v>0.13668685451835433</v>
      </c>
      <c r="AE74" s="76"/>
      <c r="AF74" s="76"/>
      <c r="AG74" s="76"/>
      <c r="AH74" s="97">
        <v>1</v>
      </c>
      <c r="AI74" s="97">
        <v>1</v>
      </c>
      <c r="AJ74" s="73"/>
      <c r="AK74" s="57"/>
      <c r="AL74" s="45"/>
      <c r="AM74" s="45"/>
      <c r="AN74" s="45"/>
    </row>
    <row r="75" spans="1:40" outlineLevel="2" x14ac:dyDescent="0.25">
      <c r="A75" s="45"/>
      <c r="B75" s="54"/>
      <c r="C75" s="47">
        <f t="shared" si="6"/>
        <v>3</v>
      </c>
      <c r="D75" s="73"/>
      <c r="E75" s="70"/>
      <c r="F75" s="70">
        <v>5</v>
      </c>
      <c r="G75" s="73"/>
      <c r="H75" s="76" t="s">
        <v>472</v>
      </c>
      <c r="I75" s="96" t="s">
        <v>90</v>
      </c>
      <c r="J75" s="96"/>
      <c r="K75" s="76"/>
      <c r="L75" s="76"/>
      <c r="M75" s="76"/>
      <c r="N75" s="76"/>
      <c r="O75" s="76"/>
      <c r="P75" s="76"/>
      <c r="Q75" s="76"/>
      <c r="R75" s="76"/>
      <c r="S75" s="76"/>
      <c r="T75" s="76"/>
      <c r="U75" s="251">
        <f t="shared" si="5"/>
        <v>0.13121938033762018</v>
      </c>
      <c r="V75" s="251">
        <f t="shared" si="5"/>
        <v>0.13121938033762018</v>
      </c>
      <c r="W75" s="251">
        <f t="shared" si="5"/>
        <v>0.13121938033762018</v>
      </c>
      <c r="X75" s="251">
        <f t="shared" si="5"/>
        <v>0.13121938033762018</v>
      </c>
      <c r="Y75" s="251">
        <f t="shared" si="5"/>
        <v>0.13121938033762018</v>
      </c>
      <c r="Z75" s="251">
        <f t="shared" si="5"/>
        <v>0.13121938033762018</v>
      </c>
      <c r="AA75" s="251">
        <f t="shared" si="5"/>
        <v>0.13121938033762018</v>
      </c>
      <c r="AB75" s="251">
        <f t="shared" si="5"/>
        <v>0.13121938033762018</v>
      </c>
      <c r="AC75" s="251">
        <f t="shared" si="5"/>
        <v>0.13121938033762018</v>
      </c>
      <c r="AD75" s="251">
        <f t="shared" si="5"/>
        <v>0.13121938033762018</v>
      </c>
      <c r="AE75" s="76"/>
      <c r="AF75" s="76"/>
      <c r="AG75" s="76"/>
      <c r="AH75" s="97">
        <v>1</v>
      </c>
      <c r="AI75" s="97">
        <v>1</v>
      </c>
      <c r="AJ75" s="73"/>
      <c r="AK75" s="57"/>
      <c r="AL75" s="45"/>
      <c r="AM75" s="45"/>
      <c r="AN75" s="45"/>
    </row>
    <row r="76" spans="1:40" outlineLevel="2" x14ac:dyDescent="0.25">
      <c r="A76" s="45"/>
      <c r="B76" s="54"/>
      <c r="C76" s="47">
        <f t="shared" si="6"/>
        <v>3</v>
      </c>
      <c r="D76" s="73"/>
      <c r="E76" s="70"/>
      <c r="F76" s="70">
        <v>6</v>
      </c>
      <c r="G76" s="73"/>
      <c r="H76" s="76" t="s">
        <v>473</v>
      </c>
      <c r="I76" s="96" t="s">
        <v>90</v>
      </c>
      <c r="J76" s="96"/>
      <c r="K76" s="76"/>
      <c r="L76" s="76"/>
      <c r="M76" s="76"/>
      <c r="N76" s="76"/>
      <c r="O76" s="76"/>
      <c r="P76" s="76"/>
      <c r="Q76" s="76"/>
      <c r="R76" s="76"/>
      <c r="S76" s="76"/>
      <c r="T76" s="76"/>
      <c r="U76" s="251">
        <f t="shared" si="5"/>
        <v>0.12597060512411537</v>
      </c>
      <c r="V76" s="251">
        <f t="shared" si="5"/>
        <v>0.12597060512411537</v>
      </c>
      <c r="W76" s="251">
        <f t="shared" si="5"/>
        <v>0.12597060512411537</v>
      </c>
      <c r="X76" s="251">
        <f t="shared" si="5"/>
        <v>0.12597060512411537</v>
      </c>
      <c r="Y76" s="251">
        <f t="shared" si="5"/>
        <v>0.12597060512411537</v>
      </c>
      <c r="Z76" s="251">
        <f t="shared" si="5"/>
        <v>0.12597060512411537</v>
      </c>
      <c r="AA76" s="251">
        <f t="shared" si="5"/>
        <v>0.12597060512411537</v>
      </c>
      <c r="AB76" s="251">
        <f t="shared" si="5"/>
        <v>0.12597060512411537</v>
      </c>
      <c r="AC76" s="251">
        <f t="shared" si="5"/>
        <v>0.12597060512411537</v>
      </c>
      <c r="AD76" s="251">
        <f t="shared" si="5"/>
        <v>0.12597060512411537</v>
      </c>
      <c r="AE76" s="76"/>
      <c r="AF76" s="76"/>
      <c r="AG76" s="76"/>
      <c r="AH76" s="97">
        <v>1</v>
      </c>
      <c r="AI76" s="97">
        <v>1</v>
      </c>
      <c r="AJ76" s="73"/>
      <c r="AK76" s="57"/>
      <c r="AL76" s="45"/>
      <c r="AM76" s="45"/>
      <c r="AN76" s="45"/>
    </row>
    <row r="77" spans="1:40" outlineLevel="1" x14ac:dyDescent="0.25">
      <c r="A77" s="45"/>
      <c r="B77" s="54"/>
      <c r="C77" s="47">
        <f t="shared" si="6"/>
        <v>3</v>
      </c>
      <c r="D77" s="73"/>
      <c r="E77" s="70"/>
      <c r="F77" s="70"/>
      <c r="G77" s="73"/>
      <c r="H77" s="246" t="s">
        <v>2973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outlineLevel="2" x14ac:dyDescent="0.25">
      <c r="A78" s="45"/>
      <c r="B78" s="54"/>
      <c r="C78" s="47">
        <f t="shared" si="6"/>
        <v>3</v>
      </c>
      <c r="D78" s="73"/>
      <c r="E78" s="70"/>
      <c r="F78" s="70"/>
      <c r="G78" s="73"/>
      <c r="H78" s="76" t="s">
        <v>474</v>
      </c>
      <c r="I78" s="96" t="s">
        <v>475</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outlineLevel="2" x14ac:dyDescent="0.25">
      <c r="A79" s="45"/>
      <c r="B79" s="54"/>
      <c r="C79" s="47">
        <f t="shared" si="6"/>
        <v>3</v>
      </c>
      <c r="D79" s="73"/>
      <c r="E79" s="70"/>
      <c r="F79" s="70"/>
      <c r="G79" s="73"/>
      <c r="H79" s="76" t="s">
        <v>476</v>
      </c>
      <c r="I79" s="96" t="s">
        <v>475</v>
      </c>
      <c r="J79" s="96"/>
      <c r="K79" s="76"/>
      <c r="L79" s="76"/>
      <c r="M79" s="76"/>
      <c r="N79" s="76"/>
      <c r="O79" s="76"/>
      <c r="P79" s="76"/>
      <c r="Q79" s="76"/>
      <c r="R79" s="76"/>
      <c r="S79" s="76"/>
      <c r="T79" s="76"/>
      <c r="U79" s="252">
        <f t="shared" ref="U79:AD80" si="7">U78</f>
        <v>13</v>
      </c>
      <c r="V79" s="252">
        <f t="shared" si="7"/>
        <v>13</v>
      </c>
      <c r="W79" s="252">
        <f t="shared" si="7"/>
        <v>13</v>
      </c>
      <c r="X79" s="252">
        <f t="shared" si="7"/>
        <v>13</v>
      </c>
      <c r="Y79" s="252">
        <f t="shared" si="7"/>
        <v>13</v>
      </c>
      <c r="Z79" s="252">
        <f t="shared" si="7"/>
        <v>13</v>
      </c>
      <c r="AA79" s="252">
        <f t="shared" si="7"/>
        <v>13</v>
      </c>
      <c r="AB79" s="252">
        <f t="shared" si="7"/>
        <v>13</v>
      </c>
      <c r="AC79" s="252">
        <f t="shared" si="7"/>
        <v>13</v>
      </c>
      <c r="AD79" s="252">
        <f t="shared" si="7"/>
        <v>13</v>
      </c>
      <c r="AE79" s="76"/>
      <c r="AF79" s="76"/>
      <c r="AG79" s="76"/>
      <c r="AH79" s="97">
        <v>1</v>
      </c>
      <c r="AI79" s="97">
        <v>1</v>
      </c>
      <c r="AJ79" s="73"/>
      <c r="AK79" s="57"/>
      <c r="AL79" s="45"/>
      <c r="AM79" s="45"/>
      <c r="AN79" s="45"/>
    </row>
    <row r="80" spans="1:40" outlineLevel="2" x14ac:dyDescent="0.25">
      <c r="A80" s="45"/>
      <c r="B80" s="54"/>
      <c r="C80" s="47">
        <f t="shared" si="6"/>
        <v>3</v>
      </c>
      <c r="D80" s="73"/>
      <c r="E80" s="70"/>
      <c r="F80" s="70"/>
      <c r="G80" s="73"/>
      <c r="H80" s="76" t="s">
        <v>477</v>
      </c>
      <c r="I80" s="96" t="s">
        <v>475</v>
      </c>
      <c r="J80" s="96"/>
      <c r="K80" s="76"/>
      <c r="L80" s="76"/>
      <c r="M80" s="76"/>
      <c r="N80" s="76"/>
      <c r="O80" s="76"/>
      <c r="P80" s="76"/>
      <c r="Q80" s="76"/>
      <c r="R80" s="76"/>
      <c r="S80" s="76"/>
      <c r="T80" s="76"/>
      <c r="U80" s="252">
        <f t="shared" si="7"/>
        <v>13</v>
      </c>
      <c r="V80" s="252">
        <f t="shared" si="7"/>
        <v>13</v>
      </c>
      <c r="W80" s="252">
        <f t="shared" si="7"/>
        <v>13</v>
      </c>
      <c r="X80" s="252">
        <f t="shared" si="7"/>
        <v>13</v>
      </c>
      <c r="Y80" s="252">
        <f t="shared" si="7"/>
        <v>13</v>
      </c>
      <c r="Z80" s="252">
        <f t="shared" si="7"/>
        <v>13</v>
      </c>
      <c r="AA80" s="252">
        <f t="shared" si="7"/>
        <v>13</v>
      </c>
      <c r="AB80" s="252">
        <f t="shared" si="7"/>
        <v>13</v>
      </c>
      <c r="AC80" s="252">
        <f t="shared" si="7"/>
        <v>13</v>
      </c>
      <c r="AD80" s="252">
        <f t="shared" si="7"/>
        <v>13</v>
      </c>
      <c r="AE80" s="76"/>
      <c r="AF80" s="76"/>
      <c r="AG80" s="76"/>
      <c r="AH80" s="97">
        <v>1</v>
      </c>
      <c r="AI80" s="97">
        <v>1</v>
      </c>
      <c r="AJ80" s="73"/>
      <c r="AK80" s="57"/>
      <c r="AL80" s="45"/>
      <c r="AM80" s="45"/>
      <c r="AN80" s="45"/>
    </row>
    <row r="81" spans="1:40" outlineLevel="2" x14ac:dyDescent="0.25">
      <c r="A81" s="45"/>
      <c r="B81" s="54"/>
      <c r="C81" s="47">
        <f t="shared" si="6"/>
        <v>3</v>
      </c>
      <c r="D81" s="73"/>
      <c r="E81" s="70"/>
      <c r="F81" s="70"/>
      <c r="G81" s="73"/>
      <c r="H81" s="76" t="s">
        <v>478</v>
      </c>
      <c r="I81" s="96" t="s">
        <v>475</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outlineLevel="2" x14ac:dyDescent="0.25">
      <c r="A82" s="45"/>
      <c r="B82" s="54"/>
      <c r="C82" s="47">
        <f t="shared" si="6"/>
        <v>3</v>
      </c>
      <c r="D82" s="73"/>
      <c r="E82" s="70"/>
      <c r="F82" s="70"/>
      <c r="G82" s="73"/>
      <c r="H82" s="76" t="s">
        <v>479</v>
      </c>
      <c r="I82" s="96" t="s">
        <v>475</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outlineLevel="2" x14ac:dyDescent="0.25">
      <c r="A83" s="45"/>
      <c r="B83" s="54"/>
      <c r="C83" s="47">
        <f t="shared" si="6"/>
        <v>3</v>
      </c>
      <c r="D83" s="73"/>
      <c r="E83" s="70"/>
      <c r="F83" s="70"/>
      <c r="G83" s="73"/>
      <c r="H83" s="76" t="s">
        <v>480</v>
      </c>
      <c r="I83" s="96" t="s">
        <v>475</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outlineLevel="2" x14ac:dyDescent="0.25">
      <c r="A84" s="45"/>
      <c r="B84" s="54"/>
      <c r="C84" s="47">
        <f t="shared" si="6"/>
        <v>3</v>
      </c>
      <c r="D84" s="73"/>
      <c r="E84" s="70"/>
      <c r="F84" s="70"/>
      <c r="G84" s="73"/>
      <c r="H84" s="76" t="s">
        <v>481</v>
      </c>
      <c r="I84" s="96" t="s">
        <v>475</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outlineLevel="2" x14ac:dyDescent="0.25">
      <c r="A85" s="45"/>
      <c r="B85" s="54"/>
      <c r="C85" s="47">
        <f t="shared" si="6"/>
        <v>3</v>
      </c>
      <c r="D85" s="73"/>
      <c r="E85" s="70"/>
      <c r="F85" s="70"/>
      <c r="G85" s="73"/>
      <c r="H85" s="76" t="s">
        <v>2297</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outlineLevel="2" x14ac:dyDescent="0.25">
      <c r="A86" s="45"/>
      <c r="B86" s="54"/>
      <c r="C86" s="47">
        <f t="shared" si="6"/>
        <v>3</v>
      </c>
      <c r="D86" s="73"/>
      <c r="E86" s="70"/>
      <c r="F86" s="70"/>
      <c r="G86" s="73"/>
      <c r="H86" s="76" t="s">
        <v>2309</v>
      </c>
      <c r="I86" s="96" t="s">
        <v>475</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outlineLevel="2" x14ac:dyDescent="0.25">
      <c r="A87" s="45"/>
      <c r="B87" s="54"/>
      <c r="C87" s="47">
        <f t="shared" si="6"/>
        <v>3</v>
      </c>
      <c r="D87" s="73"/>
      <c r="E87" s="70"/>
      <c r="F87" s="70"/>
      <c r="G87" s="73"/>
      <c r="H87" s="76" t="s">
        <v>476</v>
      </c>
      <c r="I87" s="96" t="s">
        <v>475</v>
      </c>
      <c r="J87" s="96"/>
      <c r="K87" s="76"/>
      <c r="L87" s="76"/>
      <c r="M87" s="76"/>
      <c r="N87" s="76"/>
      <c r="O87" s="76"/>
      <c r="P87" s="76"/>
      <c r="Q87" s="76"/>
      <c r="R87" s="76"/>
      <c r="S87" s="76"/>
      <c r="T87" s="76"/>
      <c r="U87" s="252">
        <f t="shared" ref="U87:AD88" si="8">U86</f>
        <v>0</v>
      </c>
      <c r="V87" s="252">
        <f t="shared" si="8"/>
        <v>0</v>
      </c>
      <c r="W87" s="252">
        <f t="shared" si="8"/>
        <v>0</v>
      </c>
      <c r="X87" s="252">
        <f t="shared" si="8"/>
        <v>0</v>
      </c>
      <c r="Y87" s="252">
        <f t="shared" si="8"/>
        <v>0</v>
      </c>
      <c r="Z87" s="252">
        <f t="shared" si="8"/>
        <v>0</v>
      </c>
      <c r="AA87" s="252">
        <f t="shared" si="8"/>
        <v>0</v>
      </c>
      <c r="AB87" s="252">
        <f t="shared" si="8"/>
        <v>0</v>
      </c>
      <c r="AC87" s="252">
        <f t="shared" si="8"/>
        <v>0</v>
      </c>
      <c r="AD87" s="252">
        <f t="shared" si="8"/>
        <v>0</v>
      </c>
      <c r="AE87" s="76"/>
      <c r="AF87" s="76"/>
      <c r="AG87" s="76"/>
      <c r="AH87" s="97">
        <v>1</v>
      </c>
      <c r="AI87" s="97">
        <v>1</v>
      </c>
      <c r="AJ87" s="73"/>
      <c r="AK87" s="57"/>
      <c r="AL87" s="45"/>
      <c r="AM87" s="45"/>
      <c r="AN87" s="45"/>
    </row>
    <row r="88" spans="1:40" outlineLevel="2" x14ac:dyDescent="0.25">
      <c r="A88" s="45"/>
      <c r="B88" s="54"/>
      <c r="C88" s="47">
        <f t="shared" si="6"/>
        <v>3</v>
      </c>
      <c r="D88" s="73"/>
      <c r="E88" s="70"/>
      <c r="F88" s="70"/>
      <c r="G88" s="73"/>
      <c r="H88" s="76" t="s">
        <v>477</v>
      </c>
      <c r="I88" s="96" t="s">
        <v>475</v>
      </c>
      <c r="J88" s="96"/>
      <c r="K88" s="76"/>
      <c r="L88" s="76"/>
      <c r="M88" s="76"/>
      <c r="N88" s="76"/>
      <c r="O88" s="76"/>
      <c r="P88" s="76"/>
      <c r="Q88" s="76"/>
      <c r="R88" s="76"/>
      <c r="S88" s="76"/>
      <c r="T88" s="76"/>
      <c r="U88" s="252">
        <f t="shared" si="8"/>
        <v>0</v>
      </c>
      <c r="V88" s="252">
        <f t="shared" si="8"/>
        <v>0</v>
      </c>
      <c r="W88" s="252">
        <f t="shared" si="8"/>
        <v>0</v>
      </c>
      <c r="X88" s="252">
        <f t="shared" si="8"/>
        <v>0</v>
      </c>
      <c r="Y88" s="252">
        <f t="shared" si="8"/>
        <v>0</v>
      </c>
      <c r="Z88" s="252">
        <f t="shared" si="8"/>
        <v>0</v>
      </c>
      <c r="AA88" s="252">
        <f t="shared" si="8"/>
        <v>0</v>
      </c>
      <c r="AB88" s="252">
        <f t="shared" si="8"/>
        <v>0</v>
      </c>
      <c r="AC88" s="252">
        <f t="shared" si="8"/>
        <v>0</v>
      </c>
      <c r="AD88" s="252">
        <f t="shared" si="8"/>
        <v>0</v>
      </c>
      <c r="AE88" s="76"/>
      <c r="AF88" s="76"/>
      <c r="AG88" s="76"/>
      <c r="AH88" s="97">
        <v>1</v>
      </c>
      <c r="AI88" s="97">
        <v>1</v>
      </c>
      <c r="AJ88" s="73"/>
      <c r="AK88" s="57"/>
      <c r="AL88" s="45"/>
      <c r="AM88" s="45"/>
      <c r="AN88" s="45"/>
    </row>
    <row r="89" spans="1:40" outlineLevel="2" x14ac:dyDescent="0.25">
      <c r="A89" s="45"/>
      <c r="B89" s="54"/>
      <c r="C89" s="47">
        <f t="shared" si="6"/>
        <v>3</v>
      </c>
      <c r="D89" s="73"/>
      <c r="E89" s="70"/>
      <c r="F89" s="70"/>
      <c r="G89" s="73"/>
      <c r="H89" s="76" t="s">
        <v>478</v>
      </c>
      <c r="I89" s="96" t="s">
        <v>475</v>
      </c>
      <c r="J89" s="96"/>
      <c r="K89" s="76"/>
      <c r="L89" s="76"/>
      <c r="M89" s="76"/>
      <c r="N89" s="76"/>
      <c r="O89" s="76"/>
      <c r="P89" s="76"/>
      <c r="Q89" s="76"/>
      <c r="R89" s="76"/>
      <c r="S89" s="76"/>
      <c r="T89" s="76"/>
      <c r="U89" s="252">
        <f t="shared" ref="U89:AD89" si="9">U78</f>
        <v>13</v>
      </c>
      <c r="V89" s="252">
        <f t="shared" si="9"/>
        <v>13</v>
      </c>
      <c r="W89" s="252">
        <f t="shared" si="9"/>
        <v>13</v>
      </c>
      <c r="X89" s="252">
        <f t="shared" si="9"/>
        <v>13</v>
      </c>
      <c r="Y89" s="252">
        <f t="shared" si="9"/>
        <v>13</v>
      </c>
      <c r="Z89" s="252">
        <f t="shared" si="9"/>
        <v>13</v>
      </c>
      <c r="AA89" s="252">
        <f t="shared" si="9"/>
        <v>13</v>
      </c>
      <c r="AB89" s="252">
        <f t="shared" si="9"/>
        <v>13</v>
      </c>
      <c r="AC89" s="252">
        <f t="shared" si="9"/>
        <v>13</v>
      </c>
      <c r="AD89" s="252">
        <f t="shared" si="9"/>
        <v>13</v>
      </c>
      <c r="AE89" s="76"/>
      <c r="AF89" s="76"/>
      <c r="AG89" s="76"/>
      <c r="AH89" s="97">
        <v>1</v>
      </c>
      <c r="AI89" s="97">
        <v>1</v>
      </c>
      <c r="AJ89" s="73"/>
      <c r="AK89" s="57"/>
      <c r="AL89" s="45"/>
      <c r="AM89" s="45"/>
      <c r="AN89" s="45"/>
    </row>
    <row r="90" spans="1:40" outlineLevel="2" x14ac:dyDescent="0.25">
      <c r="A90" s="45"/>
      <c r="B90" s="54"/>
      <c r="C90" s="47">
        <f t="shared" si="6"/>
        <v>3</v>
      </c>
      <c r="D90" s="73"/>
      <c r="E90" s="70"/>
      <c r="F90" s="70"/>
      <c r="G90" s="73"/>
      <c r="H90" s="76" t="s">
        <v>479</v>
      </c>
      <c r="I90" s="96" t="s">
        <v>475</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outlineLevel="2" x14ac:dyDescent="0.25">
      <c r="A91" s="45"/>
      <c r="B91" s="54"/>
      <c r="C91" s="47">
        <f t="shared" si="6"/>
        <v>3</v>
      </c>
      <c r="D91" s="73"/>
      <c r="E91" s="70"/>
      <c r="F91" s="70"/>
      <c r="G91" s="73"/>
      <c r="H91" s="76" t="s">
        <v>480</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outlineLevel="2" x14ac:dyDescent="0.25">
      <c r="A92" s="45"/>
      <c r="B92" s="54"/>
      <c r="C92" s="47">
        <f t="shared" si="6"/>
        <v>3</v>
      </c>
      <c r="D92" s="73"/>
      <c r="E92" s="70"/>
      <c r="F92" s="70"/>
      <c r="G92" s="73"/>
      <c r="H92" s="76" t="s">
        <v>481</v>
      </c>
      <c r="I92" s="96" t="s">
        <v>475</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outlineLevel="2" x14ac:dyDescent="0.25">
      <c r="A93" s="45"/>
      <c r="B93" s="54"/>
      <c r="C93" s="47">
        <f t="shared" si="6"/>
        <v>3</v>
      </c>
      <c r="D93" s="73"/>
      <c r="E93" s="70"/>
      <c r="F93" s="70"/>
      <c r="G93" s="73"/>
      <c r="H93" s="76" t="s">
        <v>2297</v>
      </c>
      <c r="I93" s="96" t="s">
        <v>475</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outlineLevel="2" x14ac:dyDescent="0.25">
      <c r="A94" s="45"/>
      <c r="B94" s="54"/>
      <c r="C94" s="47">
        <f t="shared" si="6"/>
        <v>3</v>
      </c>
      <c r="D94" s="73"/>
      <c r="E94" s="70"/>
      <c r="F94" s="70"/>
      <c r="G94" s="73"/>
      <c r="H94" s="76" t="s">
        <v>482</v>
      </c>
      <c r="I94" s="96" t="s">
        <v>90</v>
      </c>
      <c r="J94" s="96"/>
      <c r="K94" s="76"/>
      <c r="L94" s="76"/>
      <c r="M94" s="76"/>
      <c r="N94" s="76"/>
      <c r="O94" s="76"/>
      <c r="P94" s="76"/>
      <c r="Q94" s="76"/>
      <c r="R94" s="76"/>
      <c r="S94" s="76"/>
      <c r="T94" s="76"/>
      <c r="U94" s="253">
        <v>-2.5000000000000001E-2</v>
      </c>
      <c r="V94" s="253">
        <v>-2.5000000000000001E-2</v>
      </c>
      <c r="W94" s="253">
        <v>-2.5000000000000001E-2</v>
      </c>
      <c r="X94" s="253">
        <v>-2.5000000000000001E-2</v>
      </c>
      <c r="Y94" s="253">
        <v>-2.5000000000000001E-2</v>
      </c>
      <c r="Z94" s="253">
        <v>-2.5000000000000001E-2</v>
      </c>
      <c r="AA94" s="253">
        <v>-2.5000000000000001E-2</v>
      </c>
      <c r="AB94" s="253">
        <v>0</v>
      </c>
      <c r="AC94" s="253">
        <v>-5.0000000000000001E-3</v>
      </c>
      <c r="AD94" s="253">
        <v>1.4999999999999999E-2</v>
      </c>
      <c r="AE94" s="76"/>
      <c r="AF94" s="97" t="s">
        <v>483</v>
      </c>
      <c r="AG94" s="76"/>
      <c r="AH94" s="97">
        <v>1</v>
      </c>
      <c r="AI94" s="97">
        <v>1</v>
      </c>
      <c r="AJ94" s="73"/>
      <c r="AK94" s="57"/>
      <c r="AL94" s="45"/>
      <c r="AM94" s="45"/>
      <c r="AN94" s="45"/>
    </row>
    <row r="95" spans="1:40" outlineLevel="2" x14ac:dyDescent="0.25">
      <c r="A95" s="45"/>
      <c r="B95" s="54"/>
      <c r="C95" s="47">
        <f t="shared" si="6"/>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6"/>
        <v>3</v>
      </c>
      <c r="D96" s="73"/>
      <c r="E96" s="70"/>
      <c r="F96" s="70"/>
      <c r="G96" s="73"/>
      <c r="H96" s="246" t="s">
        <v>484</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6"/>
        <v>3</v>
      </c>
      <c r="D97" s="73"/>
      <c r="E97" s="70"/>
      <c r="F97" s="70"/>
      <c r="G97" s="73"/>
      <c r="H97" s="129" t="s">
        <v>485</v>
      </c>
      <c r="I97" s="96" t="s">
        <v>2243</v>
      </c>
      <c r="J97" s="96"/>
      <c r="K97" s="76"/>
      <c r="L97" s="76"/>
      <c r="M97" s="76"/>
      <c r="N97" s="76"/>
      <c r="O97" s="76"/>
      <c r="P97" s="76"/>
      <c r="Q97" s="76"/>
      <c r="R97" s="76"/>
      <c r="S97" s="76"/>
      <c r="T97" s="76"/>
      <c r="U97" s="115">
        <v>0.45</v>
      </c>
      <c r="V97" s="115">
        <v>0.45</v>
      </c>
      <c r="W97" s="115">
        <v>0.45</v>
      </c>
      <c r="X97" s="115">
        <v>0.45</v>
      </c>
      <c r="Y97" s="115">
        <v>0.45</v>
      </c>
      <c r="Z97" s="115">
        <v>0.45</v>
      </c>
      <c r="AA97" s="115">
        <v>0.45</v>
      </c>
      <c r="AB97" s="115">
        <v>0.45</v>
      </c>
      <c r="AC97" s="301">
        <f t="shared" ref="AC97:AD100" si="10">AB97</f>
        <v>0.45</v>
      </c>
      <c r="AD97" s="301">
        <f t="shared" si="10"/>
        <v>0.45</v>
      </c>
      <c r="AE97" s="76"/>
      <c r="AF97" s="76"/>
      <c r="AG97" s="76"/>
      <c r="AH97" s="97">
        <v>1</v>
      </c>
      <c r="AI97" s="97">
        <v>1</v>
      </c>
      <c r="AJ97" s="73"/>
      <c r="AK97" s="57"/>
      <c r="AL97" s="45"/>
      <c r="AM97" s="45"/>
      <c r="AN97" s="45"/>
    </row>
    <row r="98" spans="1:40" hidden="1" outlineLevel="2" x14ac:dyDescent="0.25">
      <c r="A98" s="45"/>
      <c r="B98" s="54"/>
      <c r="C98" s="47">
        <f t="shared" si="6"/>
        <v>3</v>
      </c>
      <c r="D98" s="73"/>
      <c r="E98" s="70"/>
      <c r="F98" s="70"/>
      <c r="G98" s="73"/>
      <c r="H98" s="129" t="s">
        <v>486</v>
      </c>
      <c r="I98" s="96" t="s">
        <v>2244</v>
      </c>
      <c r="J98" s="96"/>
      <c r="K98" s="76"/>
      <c r="L98" s="76"/>
      <c r="M98" s="76"/>
      <c r="N98" s="76"/>
      <c r="O98" s="76"/>
      <c r="P98" s="76"/>
      <c r="Q98" s="76"/>
      <c r="R98" s="76"/>
      <c r="S98" s="76"/>
      <c r="T98" s="76"/>
      <c r="U98" s="115">
        <v>0.15</v>
      </c>
      <c r="V98" s="115">
        <v>0.15</v>
      </c>
      <c r="W98" s="115">
        <v>0.15</v>
      </c>
      <c r="X98" s="115">
        <v>0.15</v>
      </c>
      <c r="Y98" s="115">
        <v>0.15</v>
      </c>
      <c r="Z98" s="115">
        <v>0.15</v>
      </c>
      <c r="AA98" s="115">
        <v>0.15</v>
      </c>
      <c r="AB98" s="115">
        <v>0.15</v>
      </c>
      <c r="AC98" s="301">
        <f t="shared" si="10"/>
        <v>0.15</v>
      </c>
      <c r="AD98" s="301">
        <f t="shared" si="10"/>
        <v>0.15</v>
      </c>
      <c r="AE98" s="76"/>
      <c r="AF98" s="76"/>
      <c r="AG98" s="76"/>
      <c r="AH98" s="97">
        <v>1</v>
      </c>
      <c r="AI98" s="97">
        <v>1</v>
      </c>
      <c r="AJ98" s="73"/>
      <c r="AK98" s="57"/>
      <c r="AL98" s="45"/>
      <c r="AM98" s="45"/>
      <c r="AN98" s="45"/>
    </row>
    <row r="99" spans="1:40" hidden="1" outlineLevel="2" x14ac:dyDescent="0.25">
      <c r="A99" s="45"/>
      <c r="B99" s="54"/>
      <c r="C99" s="47">
        <f t="shared" si="6"/>
        <v>3</v>
      </c>
      <c r="D99" s="73"/>
      <c r="E99" s="70"/>
      <c r="F99" s="70"/>
      <c r="G99" s="73"/>
      <c r="H99" s="129" t="s">
        <v>487</v>
      </c>
      <c r="I99" s="96"/>
      <c r="J99" s="96"/>
      <c r="K99" s="76"/>
      <c r="L99" s="76"/>
      <c r="M99" s="76"/>
      <c r="N99" s="76"/>
      <c r="O99" s="76"/>
      <c r="P99" s="76"/>
      <c r="Q99" s="76"/>
      <c r="R99" s="76"/>
      <c r="S99" s="76"/>
      <c r="T99" s="76"/>
      <c r="U99" s="97">
        <v>17</v>
      </c>
      <c r="V99" s="97">
        <v>19</v>
      </c>
      <c r="W99" s="97">
        <v>19</v>
      </c>
      <c r="X99" s="97">
        <v>19</v>
      </c>
      <c r="Y99" s="97">
        <v>19</v>
      </c>
      <c r="Z99" s="97">
        <v>19</v>
      </c>
      <c r="AA99" s="97">
        <v>19</v>
      </c>
      <c r="AB99" s="97">
        <v>19</v>
      </c>
      <c r="AC99" s="254">
        <f t="shared" si="10"/>
        <v>19</v>
      </c>
      <c r="AD99" s="254">
        <f t="shared" si="10"/>
        <v>19</v>
      </c>
      <c r="AE99" s="76"/>
      <c r="AF99" s="76"/>
      <c r="AG99" s="76"/>
      <c r="AH99" s="97">
        <v>1</v>
      </c>
      <c r="AI99" s="97">
        <v>1</v>
      </c>
      <c r="AJ99" s="73"/>
      <c r="AK99" s="57"/>
      <c r="AL99" s="45"/>
      <c r="AM99" s="45"/>
      <c r="AN99" s="45"/>
    </row>
    <row r="100" spans="1:40" hidden="1" outlineLevel="2" x14ac:dyDescent="0.25">
      <c r="A100" s="45"/>
      <c r="B100" s="54"/>
      <c r="C100" s="47">
        <f t="shared" si="6"/>
        <v>3</v>
      </c>
      <c r="D100" s="73"/>
      <c r="E100" s="70"/>
      <c r="F100" s="70"/>
      <c r="G100" s="73"/>
      <c r="H100" s="129" t="s">
        <v>488</v>
      </c>
      <c r="I100" s="96" t="s">
        <v>460</v>
      </c>
      <c r="J100" s="96"/>
      <c r="K100" s="76"/>
      <c r="L100" s="76"/>
      <c r="M100" s="76"/>
      <c r="N100" s="76"/>
      <c r="O100" s="76"/>
      <c r="P100" s="76"/>
      <c r="Q100" s="76"/>
      <c r="R100" s="76"/>
      <c r="S100" s="76"/>
      <c r="T100" s="76"/>
      <c r="U100" s="97">
        <v>2.5</v>
      </c>
      <c r="V100" s="97">
        <v>2.5</v>
      </c>
      <c r="W100" s="97">
        <v>2.5</v>
      </c>
      <c r="X100" s="97">
        <v>2.5</v>
      </c>
      <c r="Y100" s="97">
        <v>2.5</v>
      </c>
      <c r="Z100" s="97">
        <v>2.5</v>
      </c>
      <c r="AA100" s="97">
        <v>2.5</v>
      </c>
      <c r="AB100" s="97">
        <v>2.5</v>
      </c>
      <c r="AC100" s="254">
        <f t="shared" si="10"/>
        <v>2.5</v>
      </c>
      <c r="AD100" s="254">
        <f t="shared" si="10"/>
        <v>2.5</v>
      </c>
      <c r="AE100" s="76"/>
      <c r="AF100" s="76"/>
      <c r="AG100" s="76"/>
      <c r="AH100" s="97">
        <v>1</v>
      </c>
      <c r="AI100" s="97">
        <v>1</v>
      </c>
      <c r="AJ100" s="73"/>
      <c r="AK100" s="57"/>
      <c r="AL100" s="45"/>
      <c r="AM100" s="45"/>
      <c r="AN100" s="45"/>
    </row>
    <row r="101" spans="1:40" hidden="1" outlineLevel="2" x14ac:dyDescent="0.25">
      <c r="A101" s="45"/>
      <c r="B101" s="54"/>
      <c r="C101" s="47">
        <f t="shared" si="6"/>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5" t="s">
        <v>489</v>
      </c>
      <c r="G102" s="73"/>
      <c r="H102" s="246" t="s">
        <v>490</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491</v>
      </c>
      <c r="F103" s="70" t="s">
        <v>492</v>
      </c>
      <c r="G103" s="73"/>
      <c r="H103" s="76" t="s">
        <v>493</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494</v>
      </c>
      <c r="G104" s="73"/>
      <c r="H104" s="76" t="s">
        <v>495</v>
      </c>
      <c r="I104" s="96" t="s">
        <v>496</v>
      </c>
      <c r="J104" s="96"/>
      <c r="K104" s="97">
        <v>1.5699999999999999E-2</v>
      </c>
      <c r="L104" s="97">
        <v>1.5699999999999999E-2</v>
      </c>
      <c r="M104" s="97">
        <v>1.15E-2</v>
      </c>
      <c r="N104" s="97">
        <v>1.15E-2</v>
      </c>
      <c r="O104" s="97">
        <v>1.15E-2</v>
      </c>
      <c r="P104" s="97">
        <v>1.15E-2</v>
      </c>
      <c r="Q104" s="76"/>
      <c r="R104" s="76" t="s">
        <v>497</v>
      </c>
      <c r="S104" s="76" t="s">
        <v>497</v>
      </c>
      <c r="T104" s="76" t="s">
        <v>3324</v>
      </c>
      <c r="U104" s="252">
        <f t="shared" ref="U104:AD107" si="11">INDEX($K104:$Q104,1,U$43)</f>
        <v>1.5699999999999999E-2</v>
      </c>
      <c r="V104" s="252">
        <f t="shared" si="11"/>
        <v>1.5699999999999999E-2</v>
      </c>
      <c r="W104" s="97">
        <v>1.2500000000000001E-2</v>
      </c>
      <c r="X104" s="97">
        <v>1.2500000000000001E-2</v>
      </c>
      <c r="Y104" s="252">
        <f t="shared" si="11"/>
        <v>1.5699999999999999E-2</v>
      </c>
      <c r="Z104" s="97">
        <v>1.2654905551316899E-2</v>
      </c>
      <c r="AA104" s="252">
        <f t="shared" si="11"/>
        <v>1.5699999999999999E-2</v>
      </c>
      <c r="AB104" s="252">
        <f t="shared" si="11"/>
        <v>1.5699999999999999E-2</v>
      </c>
      <c r="AC104" s="252">
        <f t="shared" si="11"/>
        <v>1.5699999999999999E-2</v>
      </c>
      <c r="AD104" s="252">
        <f t="shared" si="11"/>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498</v>
      </c>
      <c r="G105" s="73"/>
      <c r="H105" s="76" t="s">
        <v>499</v>
      </c>
      <c r="I105" s="96" t="s">
        <v>500</v>
      </c>
      <c r="J105" s="96"/>
      <c r="K105" s="97">
        <v>0.27</v>
      </c>
      <c r="L105" s="97">
        <v>0.27</v>
      </c>
      <c r="M105" s="97">
        <v>0.27</v>
      </c>
      <c r="N105" s="97">
        <v>0.27</v>
      </c>
      <c r="O105" s="97">
        <v>0.27</v>
      </c>
      <c r="P105" s="97">
        <v>0.27</v>
      </c>
      <c r="Q105" s="76"/>
      <c r="R105" s="76" t="s">
        <v>501</v>
      </c>
      <c r="S105" s="76" t="s">
        <v>501</v>
      </c>
      <c r="T105" s="76"/>
      <c r="U105" s="252">
        <f t="shared" si="11"/>
        <v>0.27</v>
      </c>
      <c r="V105" s="252">
        <f t="shared" si="11"/>
        <v>0.27</v>
      </c>
      <c r="W105" s="252">
        <f t="shared" si="11"/>
        <v>0.27</v>
      </c>
      <c r="X105" s="252">
        <f t="shared" si="11"/>
        <v>0.27</v>
      </c>
      <c r="Y105" s="252">
        <f t="shared" si="11"/>
        <v>0.27</v>
      </c>
      <c r="Z105" s="252">
        <f t="shared" si="11"/>
        <v>0.27</v>
      </c>
      <c r="AA105" s="252">
        <f t="shared" si="11"/>
        <v>0.27</v>
      </c>
      <c r="AB105" s="252">
        <f t="shared" si="11"/>
        <v>0.27</v>
      </c>
      <c r="AC105" s="252">
        <f t="shared" si="11"/>
        <v>0.27</v>
      </c>
      <c r="AD105" s="252">
        <f t="shared" si="11"/>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502</v>
      </c>
      <c r="G106" s="73"/>
      <c r="H106" s="256" t="s">
        <v>503</v>
      </c>
      <c r="I106" s="96" t="s">
        <v>500</v>
      </c>
      <c r="J106" s="96"/>
      <c r="K106" s="97">
        <v>0.4</v>
      </c>
      <c r="L106" s="97">
        <v>0.4</v>
      </c>
      <c r="M106" s="97">
        <v>0.4</v>
      </c>
      <c r="N106" s="97">
        <v>0.4</v>
      </c>
      <c r="O106" s="97">
        <v>0.4</v>
      </c>
      <c r="P106" s="97">
        <v>0.4</v>
      </c>
      <c r="Q106" s="76"/>
      <c r="R106" s="76" t="s">
        <v>504</v>
      </c>
      <c r="S106" s="76" t="s">
        <v>504</v>
      </c>
      <c r="T106" s="76"/>
      <c r="U106" s="252">
        <f t="shared" si="11"/>
        <v>0.4</v>
      </c>
      <c r="V106" s="252">
        <f t="shared" si="11"/>
        <v>0.4</v>
      </c>
      <c r="W106" s="252">
        <f t="shared" si="11"/>
        <v>0.4</v>
      </c>
      <c r="X106" s="252">
        <f t="shared" si="11"/>
        <v>0.4</v>
      </c>
      <c r="Y106" s="252">
        <f t="shared" si="11"/>
        <v>0.4</v>
      </c>
      <c r="Z106" s="252">
        <f t="shared" si="11"/>
        <v>0.4</v>
      </c>
      <c r="AA106" s="252">
        <f t="shared" si="11"/>
        <v>0.4</v>
      </c>
      <c r="AB106" s="252">
        <f t="shared" si="11"/>
        <v>0.4</v>
      </c>
      <c r="AC106" s="252">
        <f t="shared" si="11"/>
        <v>0.4</v>
      </c>
      <c r="AD106" s="252">
        <f t="shared" si="11"/>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505</v>
      </c>
      <c r="G107" s="73"/>
      <c r="H107" s="256" t="s">
        <v>506</v>
      </c>
      <c r="I107" s="96" t="s">
        <v>500</v>
      </c>
      <c r="J107" s="96"/>
      <c r="K107" s="97">
        <v>0.6</v>
      </c>
      <c r="L107" s="97">
        <v>0.6</v>
      </c>
      <c r="M107" s="97">
        <v>1</v>
      </c>
      <c r="N107" s="97">
        <v>1</v>
      </c>
      <c r="O107" s="97">
        <v>1</v>
      </c>
      <c r="P107" s="97">
        <v>1</v>
      </c>
      <c r="Q107" s="76"/>
      <c r="R107" s="76" t="s">
        <v>507</v>
      </c>
      <c r="S107" s="76" t="s">
        <v>508</v>
      </c>
      <c r="T107" s="76"/>
      <c r="U107" s="252">
        <f t="shared" si="11"/>
        <v>0.6</v>
      </c>
      <c r="V107" s="252">
        <f t="shared" si="11"/>
        <v>0.6</v>
      </c>
      <c r="W107" s="252">
        <f t="shared" si="11"/>
        <v>0.6</v>
      </c>
      <c r="X107" s="252">
        <f t="shared" si="11"/>
        <v>0.6</v>
      </c>
      <c r="Y107" s="252">
        <f t="shared" si="11"/>
        <v>0.6</v>
      </c>
      <c r="Z107" s="252">
        <f t="shared" si="11"/>
        <v>0.6</v>
      </c>
      <c r="AA107" s="252">
        <f t="shared" si="11"/>
        <v>0.6</v>
      </c>
      <c r="AB107" s="252">
        <f t="shared" si="11"/>
        <v>0.6</v>
      </c>
      <c r="AC107" s="252">
        <f t="shared" si="11"/>
        <v>0.6</v>
      </c>
      <c r="AD107" s="252">
        <f t="shared" si="11"/>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509</v>
      </c>
      <c r="G108" s="73"/>
      <c r="H108" s="76" t="s">
        <v>2785</v>
      </c>
      <c r="I108" s="96" t="s">
        <v>1723</v>
      </c>
      <c r="J108" s="96"/>
      <c r="K108" s="331">
        <v>0.15</v>
      </c>
      <c r="L108" s="331">
        <v>0.15</v>
      </c>
      <c r="M108" s="331">
        <v>0.15</v>
      </c>
      <c r="N108" s="331">
        <v>0.15</v>
      </c>
      <c r="O108" s="331">
        <v>0.15</v>
      </c>
      <c r="P108" s="331">
        <v>0.15</v>
      </c>
      <c r="Q108" s="76"/>
      <c r="R108" s="76" t="s">
        <v>510</v>
      </c>
      <c r="S108" s="76" t="s">
        <v>510</v>
      </c>
      <c r="T108" s="76"/>
      <c r="U108" s="265">
        <v>0.19</v>
      </c>
      <c r="V108" s="265">
        <v>0.19</v>
      </c>
      <c r="W108" s="265">
        <v>0.19</v>
      </c>
      <c r="X108" s="265">
        <v>0.19</v>
      </c>
      <c r="Y108" s="265">
        <v>0.19</v>
      </c>
      <c r="Z108" s="265">
        <v>0.19</v>
      </c>
      <c r="AA108" s="265">
        <v>0.19</v>
      </c>
      <c r="AB108" s="265">
        <v>0.25</v>
      </c>
      <c r="AC108" s="265">
        <v>0.25</v>
      </c>
      <c r="AD108" s="265">
        <v>0.25</v>
      </c>
      <c r="AE108" s="76"/>
      <c r="AF108" s="97" t="s">
        <v>2279</v>
      </c>
      <c r="AG108" s="76"/>
      <c r="AH108" s="97">
        <v>1</v>
      </c>
      <c r="AI108" s="97">
        <v>1</v>
      </c>
      <c r="AJ108" s="73"/>
      <c r="AK108" s="57"/>
      <c r="AL108" s="45"/>
      <c r="AM108" s="45"/>
      <c r="AN108" s="45"/>
    </row>
    <row r="109" spans="1:40" hidden="1" outlineLevel="3" x14ac:dyDescent="0.25">
      <c r="A109" s="45"/>
      <c r="B109" s="54"/>
      <c r="C109" s="47">
        <f t="shared" ref="C109:C125" si="12">INT($C$29)+3</f>
        <v>4</v>
      </c>
      <c r="D109" s="73"/>
      <c r="E109" s="70"/>
      <c r="F109" s="70" t="s">
        <v>511</v>
      </c>
      <c r="G109" s="73"/>
      <c r="H109" s="76" t="s">
        <v>512</v>
      </c>
      <c r="I109" s="96" t="s">
        <v>500</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2"/>
        <v>4</v>
      </c>
      <c r="D110" s="73"/>
      <c r="E110" s="70"/>
      <c r="F110" s="70" t="s">
        <v>513</v>
      </c>
      <c r="G110" s="73"/>
      <c r="H110" s="76" t="s">
        <v>514</v>
      </c>
      <c r="I110" s="96" t="s">
        <v>2240</v>
      </c>
      <c r="J110" s="96"/>
      <c r="K110" s="76"/>
      <c r="L110" s="76"/>
      <c r="M110" s="76"/>
      <c r="N110" s="76"/>
      <c r="O110" s="76"/>
      <c r="P110" s="76"/>
      <c r="Q110" s="76"/>
      <c r="R110" s="76"/>
      <c r="S110" s="76"/>
      <c r="T110" s="76"/>
      <c r="U110" s="97">
        <v>0.2</v>
      </c>
      <c r="V110" s="97">
        <v>0.25</v>
      </c>
      <c r="W110" s="97">
        <v>0.25</v>
      </c>
      <c r="X110" s="97">
        <v>0.25</v>
      </c>
      <c r="Y110" s="97">
        <v>0.25</v>
      </c>
      <c r="Z110" s="97">
        <v>0.25</v>
      </c>
      <c r="AA110" s="97">
        <v>0.25</v>
      </c>
      <c r="AB110" s="97">
        <v>0.3</v>
      </c>
      <c r="AC110" s="97">
        <v>0.3</v>
      </c>
      <c r="AD110" s="97">
        <v>0.3</v>
      </c>
      <c r="AE110" s="76"/>
      <c r="AF110" s="97" t="s">
        <v>458</v>
      </c>
      <c r="AG110" s="76"/>
      <c r="AH110" s="97">
        <v>1</v>
      </c>
      <c r="AI110" s="97">
        <v>1</v>
      </c>
      <c r="AJ110" s="73"/>
      <c r="AK110" s="57"/>
      <c r="AL110" s="45"/>
      <c r="AM110" s="45"/>
      <c r="AN110" s="45"/>
    </row>
    <row r="111" spans="1:40" hidden="1" outlineLevel="2" x14ac:dyDescent="0.25">
      <c r="A111" s="45"/>
      <c r="B111" s="54"/>
      <c r="C111" s="47">
        <f t="shared" si="12"/>
        <v>4</v>
      </c>
      <c r="D111" s="73"/>
      <c r="E111" s="70"/>
      <c r="F111" s="70" t="s">
        <v>2936</v>
      </c>
      <c r="G111" s="73"/>
      <c r="H111" s="76" t="s">
        <v>2937</v>
      </c>
      <c r="I111" s="96" t="s">
        <v>500</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2938</v>
      </c>
      <c r="AG111" s="76"/>
      <c r="AH111" s="97">
        <v>1</v>
      </c>
      <c r="AI111" s="97">
        <v>1</v>
      </c>
      <c r="AJ111" s="73"/>
      <c r="AK111" s="57"/>
      <c r="AL111" s="45"/>
      <c r="AM111" s="45"/>
      <c r="AN111" s="45"/>
    </row>
    <row r="112" spans="1:40" hidden="1" outlineLevel="2" x14ac:dyDescent="0.25">
      <c r="A112" s="45"/>
      <c r="B112" s="54"/>
      <c r="C112" s="47">
        <f t="shared" si="12"/>
        <v>4</v>
      </c>
      <c r="D112" s="73"/>
      <c r="E112" s="70"/>
      <c r="F112" s="70" t="s">
        <v>2939</v>
      </c>
      <c r="G112" s="73" t="s">
        <v>131</v>
      </c>
      <c r="H112" s="76" t="s">
        <v>2940</v>
      </c>
      <c r="I112" s="96" t="s">
        <v>500</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2938</v>
      </c>
      <c r="AG112" s="76"/>
      <c r="AH112" s="97">
        <v>1</v>
      </c>
      <c r="AI112" s="97">
        <v>1</v>
      </c>
      <c r="AJ112" s="73"/>
      <c r="AK112" s="57"/>
      <c r="AL112" s="45"/>
      <c r="AM112" s="45"/>
      <c r="AN112" s="45"/>
    </row>
    <row r="113" spans="1:40" hidden="1" outlineLevel="2" x14ac:dyDescent="0.25">
      <c r="A113" s="45"/>
      <c r="B113" s="54"/>
      <c r="C113" s="47">
        <f t="shared" si="12"/>
        <v>4</v>
      </c>
      <c r="D113" s="73"/>
      <c r="E113" s="70"/>
      <c r="F113" s="70" t="s">
        <v>2941</v>
      </c>
      <c r="G113" s="73" t="s">
        <v>131</v>
      </c>
      <c r="H113" s="76" t="s">
        <v>2942</v>
      </c>
      <c r="I113" s="96" t="s">
        <v>500</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2943</v>
      </c>
      <c r="AG113" s="76"/>
      <c r="AH113" s="97">
        <v>1</v>
      </c>
      <c r="AI113" s="97">
        <v>1</v>
      </c>
      <c r="AJ113" s="73"/>
      <c r="AK113" s="57"/>
      <c r="AL113" s="45"/>
      <c r="AM113" s="45"/>
      <c r="AN113" s="45"/>
    </row>
    <row r="114" spans="1:40" hidden="1" outlineLevel="2" x14ac:dyDescent="0.25">
      <c r="A114" s="45"/>
      <c r="B114" s="54"/>
      <c r="C114" s="47">
        <f t="shared" si="12"/>
        <v>4</v>
      </c>
      <c r="D114" s="73"/>
      <c r="E114" s="70"/>
      <c r="F114" s="70" t="s">
        <v>2944</v>
      </c>
      <c r="G114" s="73" t="s">
        <v>131</v>
      </c>
      <c r="H114" s="76" t="s">
        <v>2945</v>
      </c>
      <c r="I114" s="96" t="s">
        <v>500</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2"/>
        <v>4</v>
      </c>
      <c r="D115" s="73"/>
      <c r="E115" s="70"/>
      <c r="F115" s="70" t="s">
        <v>2946</v>
      </c>
      <c r="G115" s="73" t="s">
        <v>131</v>
      </c>
      <c r="H115" s="76" t="s">
        <v>2947</v>
      </c>
      <c r="I115" s="96" t="s">
        <v>500</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2"/>
        <v>4</v>
      </c>
      <c r="D116" s="73"/>
      <c r="E116" s="70"/>
      <c r="F116" s="70" t="s">
        <v>2948</v>
      </c>
      <c r="G116" s="73" t="s">
        <v>131</v>
      </c>
      <c r="H116" s="76" t="s">
        <v>2949</v>
      </c>
      <c r="I116" s="96" t="s">
        <v>500</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2"/>
        <v>4</v>
      </c>
      <c r="D117" s="73"/>
      <c r="E117" s="70"/>
      <c r="F117" s="70" t="s">
        <v>2950</v>
      </c>
      <c r="G117" s="73" t="s">
        <v>131</v>
      </c>
      <c r="H117" s="76" t="s">
        <v>2951</v>
      </c>
      <c r="I117" s="96" t="s">
        <v>500</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2"/>
        <v>4</v>
      </c>
      <c r="D118" s="73"/>
      <c r="E118" s="70"/>
      <c r="F118" s="70" t="s">
        <v>2952</v>
      </c>
      <c r="G118" s="73" t="s">
        <v>131</v>
      </c>
      <c r="H118" s="76" t="s">
        <v>2953</v>
      </c>
      <c r="I118" s="96" t="s">
        <v>500</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2"/>
        <v>4</v>
      </c>
      <c r="D119" s="73"/>
      <c r="E119" s="70"/>
      <c r="F119" s="70" t="s">
        <v>2954</v>
      </c>
      <c r="G119" s="73" t="s">
        <v>131</v>
      </c>
      <c r="H119" s="76" t="s">
        <v>2955</v>
      </c>
      <c r="I119" s="96" t="s">
        <v>500</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2"/>
        <v>4</v>
      </c>
      <c r="D120" s="73"/>
      <c r="E120" s="70"/>
      <c r="F120" s="70" t="s">
        <v>2956</v>
      </c>
      <c r="G120" s="73" t="s">
        <v>131</v>
      </c>
      <c r="H120" s="76" t="s">
        <v>2957</v>
      </c>
      <c r="I120" s="96" t="s">
        <v>500</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2"/>
        <v>4</v>
      </c>
      <c r="D121" s="73"/>
      <c r="E121" s="70"/>
      <c r="F121" s="70" t="s">
        <v>2958</v>
      </c>
      <c r="G121" s="73" t="s">
        <v>131</v>
      </c>
      <c r="H121" s="76" t="s">
        <v>2959</v>
      </c>
      <c r="I121" s="96" t="s">
        <v>500</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2"/>
        <v>4</v>
      </c>
      <c r="D122" s="73"/>
      <c r="E122" s="70"/>
      <c r="F122" s="70" t="s">
        <v>2960</v>
      </c>
      <c r="G122" s="73" t="s">
        <v>131</v>
      </c>
      <c r="H122" s="76" t="s">
        <v>2961</v>
      </c>
      <c r="I122" s="96" t="s">
        <v>500</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2"/>
        <v>4</v>
      </c>
      <c r="D123" s="73"/>
      <c r="E123" s="70"/>
      <c r="F123" s="70" t="s">
        <v>2962</v>
      </c>
      <c r="G123" s="73" t="s">
        <v>131</v>
      </c>
      <c r="H123" s="76" t="s">
        <v>2963</v>
      </c>
      <c r="I123" s="96" t="s">
        <v>500</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2"/>
        <v>4</v>
      </c>
      <c r="D124" s="73"/>
      <c r="E124" s="70"/>
      <c r="F124" s="70" t="s">
        <v>2964</v>
      </c>
      <c r="G124" s="73" t="s">
        <v>131</v>
      </c>
      <c r="H124" s="76" t="s">
        <v>2965</v>
      </c>
      <c r="I124" s="96" t="s">
        <v>500</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2"/>
        <v>4</v>
      </c>
      <c r="D125" s="73"/>
      <c r="E125" s="70"/>
      <c r="F125" s="70" t="s">
        <v>2966</v>
      </c>
      <c r="G125" s="73" t="s">
        <v>131</v>
      </c>
      <c r="H125" s="76" t="s">
        <v>2967</v>
      </c>
      <c r="I125" s="96" t="s">
        <v>500</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5" t="s">
        <v>515</v>
      </c>
      <c r="G126" s="73"/>
      <c r="H126" s="246" t="s">
        <v>516</v>
      </c>
      <c r="I126" s="96"/>
      <c r="J126" s="96" t="s">
        <v>517</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518</v>
      </c>
      <c r="F127" s="70" t="s">
        <v>519</v>
      </c>
      <c r="G127" s="73"/>
      <c r="H127" s="76" t="s">
        <v>493</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3">INT($C$29)+2</f>
        <v>3</v>
      </c>
      <c r="D128" s="73"/>
      <c r="E128" s="70"/>
      <c r="F128" s="70" t="s">
        <v>520</v>
      </c>
      <c r="G128" s="73"/>
      <c r="H128" s="76" t="s">
        <v>521</v>
      </c>
      <c r="I128" s="96" t="s">
        <v>522</v>
      </c>
      <c r="J128" s="96"/>
      <c r="K128" s="97">
        <v>0.04</v>
      </c>
      <c r="L128" s="97">
        <v>0.05</v>
      </c>
      <c r="M128" s="97">
        <v>2.5000000000000001E-2</v>
      </c>
      <c r="N128" s="97">
        <v>2.5000000000000001E-2</v>
      </c>
      <c r="O128" s="97">
        <v>2.5000000000000001E-2</v>
      </c>
      <c r="P128" s="97">
        <v>2.5000000000000001E-2</v>
      </c>
      <c r="Q128" s="76"/>
      <c r="R128" s="76" t="s">
        <v>2304</v>
      </c>
      <c r="S128" s="76" t="s">
        <v>510</v>
      </c>
      <c r="T128" s="76" t="s">
        <v>3324</v>
      </c>
      <c r="U128" s="252">
        <f t="shared" ref="U128:V142" si="14">INDEX($K128:$Q128,1,U$43)</f>
        <v>0.04</v>
      </c>
      <c r="V128" s="252">
        <f t="shared" si="14"/>
        <v>0.04</v>
      </c>
      <c r="W128" s="97">
        <v>4.3999999999999997E-2</v>
      </c>
      <c r="X128" s="97">
        <v>4.2287965046094597E-2</v>
      </c>
      <c r="Y128" s="97">
        <v>0.04</v>
      </c>
      <c r="Z128" s="97">
        <v>4.3999999999999997E-2</v>
      </c>
      <c r="AA128" s="97">
        <v>0.04</v>
      </c>
      <c r="AB128" s="252">
        <v>0.05</v>
      </c>
      <c r="AC128" s="252">
        <f t="shared" ref="AC128:AD142" si="15">INDEX($K128:$Q128,1,AC$43)</f>
        <v>0.05</v>
      </c>
      <c r="AD128" s="252">
        <f t="shared" si="15"/>
        <v>0.05</v>
      </c>
      <c r="AE128" s="76"/>
      <c r="AF128" s="76"/>
      <c r="AG128" s="76"/>
      <c r="AH128" s="97">
        <v>1</v>
      </c>
      <c r="AI128" s="97">
        <v>1</v>
      </c>
      <c r="AJ128" s="73"/>
      <c r="AK128" s="57"/>
      <c r="AL128" s="45"/>
      <c r="AM128" s="45"/>
      <c r="AN128" s="45"/>
    </row>
    <row r="129" spans="1:40" hidden="1" outlineLevel="2" x14ac:dyDescent="0.25">
      <c r="A129" s="45"/>
      <c r="B129" s="54"/>
      <c r="C129" s="47">
        <f t="shared" si="13"/>
        <v>3</v>
      </c>
      <c r="D129" s="73"/>
      <c r="E129" s="70"/>
      <c r="F129" s="70" t="s">
        <v>523</v>
      </c>
      <c r="G129" s="73"/>
      <c r="H129" s="76" t="s">
        <v>524</v>
      </c>
      <c r="I129" s="96" t="s">
        <v>500</v>
      </c>
      <c r="J129" s="96"/>
      <c r="K129" s="97">
        <v>1.7</v>
      </c>
      <c r="L129" s="97">
        <v>1.7</v>
      </c>
      <c r="M129" s="97">
        <v>1.7</v>
      </c>
      <c r="N129" s="97">
        <v>1.7</v>
      </c>
      <c r="O129" s="97">
        <v>1.7</v>
      </c>
      <c r="P129" s="97">
        <v>1.7</v>
      </c>
      <c r="Q129" s="76"/>
      <c r="R129" s="76" t="s">
        <v>510</v>
      </c>
      <c r="S129" s="76" t="s">
        <v>510</v>
      </c>
      <c r="T129" s="76"/>
      <c r="U129" s="252">
        <f t="shared" si="14"/>
        <v>1.7</v>
      </c>
      <c r="V129" s="252">
        <f t="shared" si="14"/>
        <v>1.7</v>
      </c>
      <c r="W129" s="252">
        <f t="shared" ref="W129:AB142" si="16">INDEX($K129:$Q129,1,W$43)</f>
        <v>1.7</v>
      </c>
      <c r="X129" s="252">
        <f t="shared" si="16"/>
        <v>1.7</v>
      </c>
      <c r="Y129" s="252">
        <f t="shared" si="16"/>
        <v>1.7</v>
      </c>
      <c r="Z129" s="252">
        <f t="shared" si="16"/>
        <v>1.7</v>
      </c>
      <c r="AA129" s="252">
        <f t="shared" si="16"/>
        <v>1.7</v>
      </c>
      <c r="AB129" s="252">
        <f t="shared" si="16"/>
        <v>1.7</v>
      </c>
      <c r="AC129" s="252">
        <f t="shared" si="15"/>
        <v>1.7</v>
      </c>
      <c r="AD129" s="252">
        <f t="shared" si="15"/>
        <v>1.7</v>
      </c>
      <c r="AE129" s="76"/>
      <c r="AF129" s="76"/>
      <c r="AG129" s="76"/>
      <c r="AH129" s="97">
        <v>1</v>
      </c>
      <c r="AI129" s="97">
        <v>1</v>
      </c>
      <c r="AJ129" s="73"/>
      <c r="AK129" s="57"/>
      <c r="AL129" s="45"/>
      <c r="AM129" s="45"/>
      <c r="AN129" s="45"/>
    </row>
    <row r="130" spans="1:40" hidden="1" outlineLevel="2" x14ac:dyDescent="0.25">
      <c r="A130" s="45"/>
      <c r="B130" s="54"/>
      <c r="C130" s="47">
        <f t="shared" si="13"/>
        <v>3</v>
      </c>
      <c r="D130" s="73"/>
      <c r="E130" s="70"/>
      <c r="F130" s="70" t="s">
        <v>525</v>
      </c>
      <c r="G130" s="73"/>
      <c r="H130" s="76" t="s">
        <v>526</v>
      </c>
      <c r="I130" s="96" t="s">
        <v>527</v>
      </c>
      <c r="J130" s="96"/>
      <c r="K130" s="97">
        <v>0.5</v>
      </c>
      <c r="L130" s="97">
        <v>0.5</v>
      </c>
      <c r="M130" s="97">
        <v>0.22</v>
      </c>
      <c r="N130" s="97">
        <v>0.22</v>
      </c>
      <c r="O130" s="97">
        <v>0.22</v>
      </c>
      <c r="P130" s="97">
        <v>0.22</v>
      </c>
      <c r="Q130" s="76"/>
      <c r="R130" s="76" t="s">
        <v>510</v>
      </c>
      <c r="S130" s="76" t="s">
        <v>510</v>
      </c>
      <c r="T130" s="76"/>
      <c r="U130" s="252">
        <f t="shared" si="14"/>
        <v>0.5</v>
      </c>
      <c r="V130" s="252">
        <f t="shared" si="14"/>
        <v>0.5</v>
      </c>
      <c r="W130" s="252">
        <f t="shared" si="16"/>
        <v>0.5</v>
      </c>
      <c r="X130" s="252">
        <f t="shared" si="16"/>
        <v>0.5</v>
      </c>
      <c r="Y130" s="252">
        <f t="shared" si="16"/>
        <v>0.5</v>
      </c>
      <c r="Z130" s="252">
        <f t="shared" si="16"/>
        <v>0.5</v>
      </c>
      <c r="AA130" s="252">
        <f t="shared" si="16"/>
        <v>0.5</v>
      </c>
      <c r="AB130" s="252">
        <f t="shared" si="16"/>
        <v>0.5</v>
      </c>
      <c r="AC130" s="252">
        <f t="shared" si="15"/>
        <v>0.5</v>
      </c>
      <c r="AD130" s="252">
        <f t="shared" si="15"/>
        <v>0.5</v>
      </c>
      <c r="AE130" s="76"/>
      <c r="AF130" s="76"/>
      <c r="AG130" s="76"/>
      <c r="AH130" s="97">
        <v>1</v>
      </c>
      <c r="AI130" s="97">
        <v>1</v>
      </c>
      <c r="AJ130" s="73"/>
      <c r="AK130" s="57"/>
      <c r="AL130" s="45"/>
      <c r="AM130" s="45"/>
      <c r="AN130" s="45"/>
    </row>
    <row r="131" spans="1:40" hidden="1" outlineLevel="2" x14ac:dyDescent="0.25">
      <c r="A131" s="45"/>
      <c r="B131" s="54"/>
      <c r="C131" s="47">
        <f t="shared" si="13"/>
        <v>3</v>
      </c>
      <c r="D131" s="73"/>
      <c r="E131" s="70"/>
      <c r="F131" s="70" t="s">
        <v>528</v>
      </c>
      <c r="G131" s="73"/>
      <c r="H131" s="76" t="s">
        <v>526</v>
      </c>
      <c r="I131" s="96" t="s">
        <v>529</v>
      </c>
      <c r="J131" s="96"/>
      <c r="K131" s="97">
        <v>25</v>
      </c>
      <c r="L131" s="97">
        <v>25</v>
      </c>
      <c r="M131" s="97">
        <v>60</v>
      </c>
      <c r="N131" s="97">
        <v>60</v>
      </c>
      <c r="O131" s="97">
        <v>60</v>
      </c>
      <c r="P131" s="97">
        <v>60</v>
      </c>
      <c r="Q131" s="76"/>
      <c r="R131" s="76" t="s">
        <v>510</v>
      </c>
      <c r="S131" s="76" t="s">
        <v>510</v>
      </c>
      <c r="T131" s="76"/>
      <c r="U131" s="252">
        <f t="shared" si="14"/>
        <v>25</v>
      </c>
      <c r="V131" s="252">
        <f t="shared" si="14"/>
        <v>25</v>
      </c>
      <c r="W131" s="252">
        <f t="shared" si="16"/>
        <v>25</v>
      </c>
      <c r="X131" s="252">
        <f t="shared" si="16"/>
        <v>25</v>
      </c>
      <c r="Y131" s="252">
        <f t="shared" si="16"/>
        <v>25</v>
      </c>
      <c r="Z131" s="252">
        <f t="shared" si="16"/>
        <v>25</v>
      </c>
      <c r="AA131" s="252">
        <f t="shared" si="16"/>
        <v>25</v>
      </c>
      <c r="AB131" s="252">
        <f t="shared" si="16"/>
        <v>25</v>
      </c>
      <c r="AC131" s="252">
        <f t="shared" si="15"/>
        <v>25</v>
      </c>
      <c r="AD131" s="252">
        <f t="shared" si="15"/>
        <v>25</v>
      </c>
      <c r="AE131" s="76"/>
      <c r="AF131" s="76"/>
      <c r="AG131" s="76"/>
      <c r="AH131" s="97">
        <v>1</v>
      </c>
      <c r="AI131" s="97">
        <v>1</v>
      </c>
      <c r="AJ131" s="73"/>
      <c r="AK131" s="57"/>
      <c r="AL131" s="45"/>
      <c r="AM131" s="45"/>
      <c r="AN131" s="45"/>
    </row>
    <row r="132" spans="1:40" hidden="1" outlineLevel="2" x14ac:dyDescent="0.25">
      <c r="A132" s="45"/>
      <c r="B132" s="54"/>
      <c r="C132" s="47">
        <f t="shared" si="13"/>
        <v>3</v>
      </c>
      <c r="D132" s="73"/>
      <c r="E132" s="70"/>
      <c r="F132" s="70" t="s">
        <v>530</v>
      </c>
      <c r="G132" s="73"/>
      <c r="H132" s="76" t="s">
        <v>531</v>
      </c>
      <c r="I132" s="96" t="s">
        <v>500</v>
      </c>
      <c r="J132" s="96"/>
      <c r="K132" s="97">
        <v>0.01</v>
      </c>
      <c r="L132" s="97">
        <v>0.01</v>
      </c>
      <c r="M132" s="97">
        <v>0.02</v>
      </c>
      <c r="N132" s="97">
        <v>0.01</v>
      </c>
      <c r="O132" s="97">
        <v>0.02</v>
      </c>
      <c r="P132" s="97">
        <v>0.02</v>
      </c>
      <c r="Q132" s="76"/>
      <c r="R132" s="76" t="s">
        <v>532</v>
      </c>
      <c r="S132" s="76" t="s">
        <v>532</v>
      </c>
      <c r="T132" s="76"/>
      <c r="U132" s="252">
        <f t="shared" si="14"/>
        <v>0.01</v>
      </c>
      <c r="V132" s="252">
        <f t="shared" si="14"/>
        <v>0.01</v>
      </c>
      <c r="W132" s="252">
        <f t="shared" si="16"/>
        <v>0.01</v>
      </c>
      <c r="X132" s="252">
        <f t="shared" si="16"/>
        <v>0.01</v>
      </c>
      <c r="Y132" s="252">
        <f t="shared" si="16"/>
        <v>0.01</v>
      </c>
      <c r="Z132" s="252">
        <f t="shared" si="16"/>
        <v>0.01</v>
      </c>
      <c r="AA132" s="252">
        <f t="shared" si="16"/>
        <v>0.01</v>
      </c>
      <c r="AB132" s="252">
        <f t="shared" si="16"/>
        <v>0.01</v>
      </c>
      <c r="AC132" s="252">
        <f t="shared" si="15"/>
        <v>0.01</v>
      </c>
      <c r="AD132" s="252">
        <f t="shared" si="15"/>
        <v>0.01</v>
      </c>
      <c r="AE132" s="76"/>
      <c r="AF132" s="76"/>
      <c r="AG132" s="76"/>
      <c r="AH132" s="97">
        <v>1</v>
      </c>
      <c r="AI132" s="97">
        <v>1</v>
      </c>
      <c r="AJ132" s="73"/>
      <c r="AK132" s="57"/>
      <c r="AL132" s="45"/>
      <c r="AM132" s="45"/>
      <c r="AN132" s="45"/>
    </row>
    <row r="133" spans="1:40" hidden="1" outlineLevel="2" x14ac:dyDescent="0.25">
      <c r="A133" s="45"/>
      <c r="B133" s="54"/>
      <c r="C133" s="47">
        <f t="shared" si="13"/>
        <v>3</v>
      </c>
      <c r="D133" s="73"/>
      <c r="E133" s="70"/>
      <c r="F133" s="70" t="s">
        <v>533</v>
      </c>
      <c r="G133" s="73"/>
      <c r="H133" s="76" t="s">
        <v>534</v>
      </c>
      <c r="I133" s="96" t="s">
        <v>535</v>
      </c>
      <c r="J133" s="96"/>
      <c r="K133" s="97">
        <v>25</v>
      </c>
      <c r="L133" s="97">
        <v>25</v>
      </c>
      <c r="M133" s="97">
        <v>25</v>
      </c>
      <c r="N133" s="97">
        <v>25</v>
      </c>
      <c r="O133" s="97">
        <v>25</v>
      </c>
      <c r="P133" s="97">
        <v>25</v>
      </c>
      <c r="Q133" s="76"/>
      <c r="R133" s="76" t="s">
        <v>532</v>
      </c>
      <c r="S133" s="76" t="s">
        <v>532</v>
      </c>
      <c r="T133" s="76"/>
      <c r="U133" s="252">
        <f t="shared" si="14"/>
        <v>25</v>
      </c>
      <c r="V133" s="252">
        <f t="shared" si="14"/>
        <v>25</v>
      </c>
      <c r="W133" s="252">
        <f t="shared" si="16"/>
        <v>25</v>
      </c>
      <c r="X133" s="252">
        <f t="shared" si="16"/>
        <v>25</v>
      </c>
      <c r="Y133" s="252">
        <f t="shared" si="16"/>
        <v>25</v>
      </c>
      <c r="Z133" s="252">
        <f t="shared" si="16"/>
        <v>25</v>
      </c>
      <c r="AA133" s="252">
        <f t="shared" si="16"/>
        <v>25</v>
      </c>
      <c r="AB133" s="252">
        <f t="shared" si="16"/>
        <v>25</v>
      </c>
      <c r="AC133" s="252">
        <f t="shared" si="15"/>
        <v>25</v>
      </c>
      <c r="AD133" s="252">
        <f t="shared" si="15"/>
        <v>25</v>
      </c>
      <c r="AE133" s="76"/>
      <c r="AF133" s="76"/>
      <c r="AG133" s="76"/>
      <c r="AH133" s="97">
        <v>1</v>
      </c>
      <c r="AI133" s="97">
        <v>1</v>
      </c>
      <c r="AJ133" s="73"/>
      <c r="AK133" s="57"/>
      <c r="AL133" s="45"/>
      <c r="AM133" s="45"/>
      <c r="AN133" s="45"/>
    </row>
    <row r="134" spans="1:40" hidden="1" outlineLevel="2" x14ac:dyDescent="0.25">
      <c r="A134" s="45"/>
      <c r="B134" s="54"/>
      <c r="C134" s="47">
        <f t="shared" si="13"/>
        <v>3</v>
      </c>
      <c r="D134" s="73"/>
      <c r="E134" s="70"/>
      <c r="F134" s="70" t="s">
        <v>536</v>
      </c>
      <c r="G134" s="73"/>
      <c r="H134" s="76" t="s">
        <v>537</v>
      </c>
      <c r="I134" s="96" t="s">
        <v>535</v>
      </c>
      <c r="J134" s="96"/>
      <c r="K134" s="97">
        <v>22</v>
      </c>
      <c r="L134" s="97">
        <v>22</v>
      </c>
      <c r="M134" s="97">
        <v>22</v>
      </c>
      <c r="N134" s="97">
        <v>22</v>
      </c>
      <c r="O134" s="97">
        <v>22</v>
      </c>
      <c r="P134" s="97">
        <v>22</v>
      </c>
      <c r="Q134" s="76"/>
      <c r="R134" s="76" t="s">
        <v>532</v>
      </c>
      <c r="S134" s="76" t="s">
        <v>532</v>
      </c>
      <c r="T134" s="76"/>
      <c r="U134" s="252">
        <f t="shared" si="14"/>
        <v>22</v>
      </c>
      <c r="V134" s="252">
        <f t="shared" si="14"/>
        <v>22</v>
      </c>
      <c r="W134" s="252">
        <f t="shared" si="16"/>
        <v>22</v>
      </c>
      <c r="X134" s="252">
        <f t="shared" si="16"/>
        <v>22</v>
      </c>
      <c r="Y134" s="252">
        <f t="shared" si="16"/>
        <v>22</v>
      </c>
      <c r="Z134" s="252">
        <f t="shared" si="16"/>
        <v>22</v>
      </c>
      <c r="AA134" s="252">
        <f t="shared" si="16"/>
        <v>22</v>
      </c>
      <c r="AB134" s="252">
        <f t="shared" si="16"/>
        <v>22</v>
      </c>
      <c r="AC134" s="252">
        <f t="shared" si="15"/>
        <v>22</v>
      </c>
      <c r="AD134" s="252">
        <f t="shared" si="15"/>
        <v>22</v>
      </c>
      <c r="AE134" s="76"/>
      <c r="AF134" s="76"/>
      <c r="AG134" s="76"/>
      <c r="AH134" s="97">
        <v>1</v>
      </c>
      <c r="AI134" s="97">
        <v>1</v>
      </c>
      <c r="AJ134" s="73"/>
      <c r="AK134" s="57"/>
      <c r="AL134" s="45"/>
      <c r="AM134" s="45"/>
      <c r="AN134" s="45"/>
    </row>
    <row r="135" spans="1:40" hidden="1" outlineLevel="2" x14ac:dyDescent="0.25">
      <c r="A135" s="45"/>
      <c r="B135" s="54"/>
      <c r="C135" s="47">
        <f t="shared" si="13"/>
        <v>3</v>
      </c>
      <c r="D135" s="73"/>
      <c r="E135" s="70"/>
      <c r="F135" s="70" t="s">
        <v>538</v>
      </c>
      <c r="G135" s="73"/>
      <c r="H135" s="76" t="s">
        <v>539</v>
      </c>
      <c r="I135" s="96" t="s">
        <v>529</v>
      </c>
      <c r="J135" s="96"/>
      <c r="K135" s="97">
        <v>28</v>
      </c>
      <c r="L135" s="97">
        <v>28</v>
      </c>
      <c r="M135" s="97">
        <v>62</v>
      </c>
      <c r="N135" s="97">
        <v>62</v>
      </c>
      <c r="O135" s="97">
        <v>62</v>
      </c>
      <c r="P135" s="97">
        <v>81</v>
      </c>
      <c r="Q135" s="76"/>
      <c r="R135" s="76" t="s">
        <v>510</v>
      </c>
      <c r="S135" s="76" t="s">
        <v>510</v>
      </c>
      <c r="T135" s="76"/>
      <c r="U135" s="252">
        <f t="shared" si="14"/>
        <v>28</v>
      </c>
      <c r="V135" s="252">
        <f t="shared" si="14"/>
        <v>28</v>
      </c>
      <c r="W135" s="252">
        <f t="shared" si="16"/>
        <v>28</v>
      </c>
      <c r="X135" s="252">
        <f t="shared" si="16"/>
        <v>28</v>
      </c>
      <c r="Y135" s="252">
        <f t="shared" si="16"/>
        <v>28</v>
      </c>
      <c r="Z135" s="252">
        <f t="shared" si="16"/>
        <v>28</v>
      </c>
      <c r="AA135" s="252">
        <f t="shared" si="16"/>
        <v>28</v>
      </c>
      <c r="AB135" s="252">
        <f t="shared" si="16"/>
        <v>28</v>
      </c>
      <c r="AC135" s="252">
        <f t="shared" si="15"/>
        <v>28</v>
      </c>
      <c r="AD135" s="252">
        <f t="shared" si="15"/>
        <v>28</v>
      </c>
      <c r="AE135" s="76"/>
      <c r="AF135" s="76"/>
      <c r="AG135" s="76"/>
      <c r="AH135" s="97">
        <v>1</v>
      </c>
      <c r="AI135" s="97">
        <v>1</v>
      </c>
      <c r="AJ135" s="73"/>
      <c r="AK135" s="57"/>
      <c r="AL135" s="45"/>
      <c r="AM135" s="45"/>
      <c r="AN135" s="45"/>
    </row>
    <row r="136" spans="1:40" hidden="1" outlineLevel="2" x14ac:dyDescent="0.25">
      <c r="A136" s="45"/>
      <c r="B136" s="54"/>
      <c r="C136" s="47">
        <f t="shared" si="13"/>
        <v>3</v>
      </c>
      <c r="D136" s="73"/>
      <c r="E136" s="70"/>
      <c r="F136" s="70" t="s">
        <v>540</v>
      </c>
      <c r="G136" s="73"/>
      <c r="H136" s="76" t="s">
        <v>541</v>
      </c>
      <c r="I136" s="96" t="s">
        <v>500</v>
      </c>
      <c r="J136" s="96"/>
      <c r="K136" s="97">
        <v>1.4</v>
      </c>
      <c r="L136" s="97">
        <v>1.4</v>
      </c>
      <c r="M136" s="97">
        <v>1.7</v>
      </c>
      <c r="N136" s="97">
        <v>1.7</v>
      </c>
      <c r="O136" s="97">
        <v>1.7</v>
      </c>
      <c r="P136" s="97">
        <v>0.7</v>
      </c>
      <c r="Q136" s="76"/>
      <c r="R136" s="76" t="s">
        <v>510</v>
      </c>
      <c r="S136" s="76" t="s">
        <v>510</v>
      </c>
      <c r="T136" s="76"/>
      <c r="U136" s="252">
        <f t="shared" si="14"/>
        <v>1.4</v>
      </c>
      <c r="V136" s="252">
        <f t="shared" si="14"/>
        <v>1.4</v>
      </c>
      <c r="W136" s="252">
        <f t="shared" si="16"/>
        <v>1.4</v>
      </c>
      <c r="X136" s="252">
        <f t="shared" si="16"/>
        <v>1.4</v>
      </c>
      <c r="Y136" s="252">
        <f t="shared" si="16"/>
        <v>1.4</v>
      </c>
      <c r="Z136" s="252">
        <f t="shared" si="16"/>
        <v>1.4</v>
      </c>
      <c r="AA136" s="252">
        <f t="shared" si="16"/>
        <v>1.4</v>
      </c>
      <c r="AB136" s="252">
        <f t="shared" si="16"/>
        <v>1.4</v>
      </c>
      <c r="AC136" s="252">
        <f t="shared" si="15"/>
        <v>1.4</v>
      </c>
      <c r="AD136" s="252">
        <f t="shared" si="15"/>
        <v>1.4</v>
      </c>
      <c r="AE136" s="76"/>
      <c r="AF136" s="76"/>
      <c r="AG136" s="76"/>
      <c r="AH136" s="97">
        <v>1</v>
      </c>
      <c r="AI136" s="97">
        <v>1</v>
      </c>
      <c r="AJ136" s="73"/>
      <c r="AK136" s="57"/>
      <c r="AL136" s="45"/>
      <c r="AM136" s="45"/>
      <c r="AN136" s="45"/>
    </row>
    <row r="137" spans="1:40" hidden="1" outlineLevel="2" x14ac:dyDescent="0.25">
      <c r="A137" s="45"/>
      <c r="B137" s="54"/>
      <c r="C137" s="47">
        <f t="shared" si="13"/>
        <v>3</v>
      </c>
      <c r="D137" s="73"/>
      <c r="E137" s="70"/>
      <c r="F137" s="70" t="s">
        <v>542</v>
      </c>
      <c r="G137" s="73"/>
      <c r="H137" s="76" t="s">
        <v>543</v>
      </c>
      <c r="I137" s="96" t="s">
        <v>544</v>
      </c>
      <c r="J137" s="96"/>
      <c r="K137" s="76"/>
      <c r="L137" s="76"/>
      <c r="M137" s="97">
        <v>0.6</v>
      </c>
      <c r="N137" s="97">
        <v>0.6</v>
      </c>
      <c r="O137" s="97">
        <v>0.6</v>
      </c>
      <c r="P137" s="97">
        <v>0.6</v>
      </c>
      <c r="Q137" s="76"/>
      <c r="R137" s="76"/>
      <c r="S137" s="76"/>
      <c r="T137" s="76"/>
      <c r="U137" s="252">
        <f t="shared" si="14"/>
        <v>0</v>
      </c>
      <c r="V137" s="252">
        <f t="shared" si="14"/>
        <v>0</v>
      </c>
      <c r="W137" s="252">
        <f t="shared" si="16"/>
        <v>0</v>
      </c>
      <c r="X137" s="252">
        <f t="shared" si="16"/>
        <v>0</v>
      </c>
      <c r="Y137" s="252">
        <f t="shared" si="16"/>
        <v>0</v>
      </c>
      <c r="Z137" s="252">
        <f t="shared" si="16"/>
        <v>0</v>
      </c>
      <c r="AA137" s="252">
        <f t="shared" si="16"/>
        <v>0</v>
      </c>
      <c r="AB137" s="252">
        <f t="shared" si="16"/>
        <v>0</v>
      </c>
      <c r="AC137" s="252">
        <f t="shared" si="15"/>
        <v>0</v>
      </c>
      <c r="AD137" s="252">
        <f t="shared" si="15"/>
        <v>0</v>
      </c>
      <c r="AE137" s="76"/>
      <c r="AF137" s="76"/>
      <c r="AG137" s="76"/>
      <c r="AH137" s="97">
        <v>1</v>
      </c>
      <c r="AI137" s="97">
        <v>1</v>
      </c>
      <c r="AJ137" s="73"/>
      <c r="AK137" s="57"/>
      <c r="AL137" s="45"/>
      <c r="AM137" s="45"/>
      <c r="AN137" s="45"/>
    </row>
    <row r="138" spans="1:40" hidden="1" outlineLevel="2" x14ac:dyDescent="0.25">
      <c r="A138" s="45"/>
      <c r="B138" s="54"/>
      <c r="C138" s="47">
        <f t="shared" si="13"/>
        <v>3</v>
      </c>
      <c r="D138" s="73"/>
      <c r="E138" s="70"/>
      <c r="F138" s="70" t="s">
        <v>545</v>
      </c>
      <c r="G138" s="73"/>
      <c r="H138" s="76" t="s">
        <v>543</v>
      </c>
      <c r="I138" s="96" t="s">
        <v>500</v>
      </c>
      <c r="J138" s="96"/>
      <c r="K138" s="76"/>
      <c r="L138" s="76"/>
      <c r="M138" s="97">
        <v>0.05</v>
      </c>
      <c r="N138" s="97">
        <v>0.05</v>
      </c>
      <c r="O138" s="97">
        <v>0.05</v>
      </c>
      <c r="P138" s="97">
        <v>0.05</v>
      </c>
      <c r="Q138" s="76"/>
      <c r="R138" s="76"/>
      <c r="S138" s="76"/>
      <c r="T138" s="76"/>
      <c r="U138" s="252">
        <f t="shared" si="14"/>
        <v>0</v>
      </c>
      <c r="V138" s="252">
        <f t="shared" si="14"/>
        <v>0</v>
      </c>
      <c r="W138" s="252">
        <f t="shared" si="16"/>
        <v>0</v>
      </c>
      <c r="X138" s="252">
        <f t="shared" si="16"/>
        <v>0</v>
      </c>
      <c r="Y138" s="252">
        <f t="shared" si="16"/>
        <v>0</v>
      </c>
      <c r="Z138" s="252">
        <f t="shared" si="16"/>
        <v>0</v>
      </c>
      <c r="AA138" s="252">
        <f t="shared" si="16"/>
        <v>0</v>
      </c>
      <c r="AB138" s="252">
        <f t="shared" si="16"/>
        <v>0</v>
      </c>
      <c r="AC138" s="252">
        <f t="shared" si="15"/>
        <v>0</v>
      </c>
      <c r="AD138" s="252">
        <f t="shared" si="15"/>
        <v>0</v>
      </c>
      <c r="AE138" s="76"/>
      <c r="AF138" s="76"/>
      <c r="AG138" s="76"/>
      <c r="AH138" s="97">
        <v>1</v>
      </c>
      <c r="AI138" s="97">
        <v>1</v>
      </c>
      <c r="AJ138" s="73"/>
      <c r="AK138" s="57"/>
      <c r="AL138" s="45"/>
      <c r="AM138" s="45"/>
      <c r="AN138" s="45"/>
    </row>
    <row r="139" spans="1:40" hidden="1" outlineLevel="2" x14ac:dyDescent="0.25">
      <c r="A139" s="45"/>
      <c r="B139" s="54"/>
      <c r="C139" s="47">
        <f t="shared" si="13"/>
        <v>3</v>
      </c>
      <c r="D139" s="73"/>
      <c r="E139" s="70"/>
      <c r="F139" s="70" t="s">
        <v>546</v>
      </c>
      <c r="G139" s="73"/>
      <c r="H139" s="76" t="s">
        <v>547</v>
      </c>
      <c r="I139" s="96" t="s">
        <v>500</v>
      </c>
      <c r="J139" s="96"/>
      <c r="K139" s="97">
        <v>0.15</v>
      </c>
      <c r="L139" s="97">
        <v>0.15</v>
      </c>
      <c r="M139" s="97">
        <v>0.15</v>
      </c>
      <c r="N139" s="97">
        <v>0.15</v>
      </c>
      <c r="O139" s="97">
        <v>0.15</v>
      </c>
      <c r="P139" s="97">
        <v>0.15</v>
      </c>
      <c r="Q139" s="76"/>
      <c r="R139" s="76" t="s">
        <v>548</v>
      </c>
      <c r="S139" s="76" t="s">
        <v>548</v>
      </c>
      <c r="T139" s="76"/>
      <c r="U139" s="252">
        <f t="shared" si="14"/>
        <v>0.15</v>
      </c>
      <c r="V139" s="252">
        <f t="shared" si="14"/>
        <v>0.15</v>
      </c>
      <c r="W139" s="252">
        <f t="shared" si="16"/>
        <v>0.15</v>
      </c>
      <c r="X139" s="252">
        <f t="shared" si="16"/>
        <v>0.15</v>
      </c>
      <c r="Y139" s="252">
        <f t="shared" si="16"/>
        <v>0.15</v>
      </c>
      <c r="Z139" s="252">
        <f t="shared" si="16"/>
        <v>0.15</v>
      </c>
      <c r="AA139" s="252">
        <f t="shared" si="16"/>
        <v>0.15</v>
      </c>
      <c r="AB139" s="252">
        <f t="shared" si="16"/>
        <v>0.15</v>
      </c>
      <c r="AC139" s="252">
        <f t="shared" si="15"/>
        <v>0.15</v>
      </c>
      <c r="AD139" s="252">
        <f t="shared" si="15"/>
        <v>0.15</v>
      </c>
      <c r="AE139" s="76"/>
      <c r="AF139" s="76"/>
      <c r="AG139" s="76"/>
      <c r="AH139" s="97">
        <v>1</v>
      </c>
      <c r="AI139" s="97">
        <v>1</v>
      </c>
      <c r="AJ139" s="73"/>
      <c r="AK139" s="57"/>
      <c r="AL139" s="45"/>
      <c r="AM139" s="45"/>
      <c r="AN139" s="45"/>
    </row>
    <row r="140" spans="1:40" hidden="1" outlineLevel="2" x14ac:dyDescent="0.25">
      <c r="A140" s="45"/>
      <c r="B140" s="54"/>
      <c r="C140" s="47">
        <f t="shared" si="13"/>
        <v>3</v>
      </c>
      <c r="D140" s="73"/>
      <c r="E140" s="70"/>
      <c r="F140" s="70" t="s">
        <v>549</v>
      </c>
      <c r="G140" s="73"/>
      <c r="H140" s="76" t="s">
        <v>547</v>
      </c>
      <c r="I140" s="96" t="s">
        <v>527</v>
      </c>
      <c r="J140" s="96"/>
      <c r="K140" s="97">
        <v>0.02</v>
      </c>
      <c r="L140" s="97">
        <v>0.02</v>
      </c>
      <c r="M140" s="97">
        <v>5.0000000000000001E-3</v>
      </c>
      <c r="N140" s="97">
        <v>5.0000000000000001E-3</v>
      </c>
      <c r="O140" s="97">
        <v>5.0000000000000001E-3</v>
      </c>
      <c r="P140" s="97">
        <v>5.0000000000000001E-3</v>
      </c>
      <c r="Q140" s="76"/>
      <c r="R140" s="76" t="s">
        <v>548</v>
      </c>
      <c r="S140" s="76" t="s">
        <v>548</v>
      </c>
      <c r="T140" s="76"/>
      <c r="U140" s="252">
        <f t="shared" si="14"/>
        <v>0.02</v>
      </c>
      <c r="V140" s="252">
        <f t="shared" si="14"/>
        <v>0.02</v>
      </c>
      <c r="W140" s="252">
        <f t="shared" si="16"/>
        <v>0.02</v>
      </c>
      <c r="X140" s="252">
        <f t="shared" si="16"/>
        <v>0.02</v>
      </c>
      <c r="Y140" s="252">
        <f t="shared" si="16"/>
        <v>0.02</v>
      </c>
      <c r="Z140" s="252">
        <f t="shared" si="16"/>
        <v>0.02</v>
      </c>
      <c r="AA140" s="252">
        <f t="shared" si="16"/>
        <v>0.02</v>
      </c>
      <c r="AB140" s="252">
        <f t="shared" si="16"/>
        <v>0.02</v>
      </c>
      <c r="AC140" s="252">
        <f t="shared" si="15"/>
        <v>0.02</v>
      </c>
      <c r="AD140" s="252">
        <f t="shared" si="15"/>
        <v>0.02</v>
      </c>
      <c r="AE140" s="76"/>
      <c r="AF140" s="76"/>
      <c r="AG140" s="76"/>
      <c r="AH140" s="97">
        <v>1</v>
      </c>
      <c r="AI140" s="97">
        <v>1</v>
      </c>
      <c r="AJ140" s="73"/>
      <c r="AK140" s="57"/>
      <c r="AL140" s="45"/>
      <c r="AM140" s="45"/>
      <c r="AN140" s="45"/>
    </row>
    <row r="141" spans="1:40" hidden="1" outlineLevel="2" x14ac:dyDescent="0.25">
      <c r="A141" s="45"/>
      <c r="B141" s="54"/>
      <c r="C141" s="47">
        <f t="shared" si="13"/>
        <v>3</v>
      </c>
      <c r="D141" s="73"/>
      <c r="E141" s="70"/>
      <c r="F141" s="70" t="s">
        <v>550</v>
      </c>
      <c r="G141" s="73"/>
      <c r="H141" s="76" t="s">
        <v>547</v>
      </c>
      <c r="I141" s="96" t="s">
        <v>527</v>
      </c>
      <c r="J141" s="96"/>
      <c r="K141" s="97">
        <v>2E-3</v>
      </c>
      <c r="L141" s="97">
        <v>2E-3</v>
      </c>
      <c r="M141" s="97">
        <v>2E-3</v>
      </c>
      <c r="N141" s="97">
        <v>2E-3</v>
      </c>
      <c r="O141" s="97">
        <v>2E-3</v>
      </c>
      <c r="P141" s="97">
        <v>2E-3</v>
      </c>
      <c r="Q141" s="76"/>
      <c r="R141" s="76" t="s">
        <v>548</v>
      </c>
      <c r="S141" s="76" t="s">
        <v>548</v>
      </c>
      <c r="T141" s="76"/>
      <c r="U141" s="252">
        <f t="shared" si="14"/>
        <v>2E-3</v>
      </c>
      <c r="V141" s="252">
        <f t="shared" si="14"/>
        <v>2E-3</v>
      </c>
      <c r="W141" s="252">
        <f t="shared" si="16"/>
        <v>2E-3</v>
      </c>
      <c r="X141" s="252">
        <f t="shared" si="16"/>
        <v>2E-3</v>
      </c>
      <c r="Y141" s="252">
        <f t="shared" si="16"/>
        <v>2E-3</v>
      </c>
      <c r="Z141" s="252">
        <f t="shared" si="16"/>
        <v>2E-3</v>
      </c>
      <c r="AA141" s="252">
        <f t="shared" si="16"/>
        <v>2E-3</v>
      </c>
      <c r="AB141" s="252">
        <f t="shared" si="16"/>
        <v>2E-3</v>
      </c>
      <c r="AC141" s="252">
        <f t="shared" si="15"/>
        <v>2E-3</v>
      </c>
      <c r="AD141" s="252">
        <f t="shared" si="15"/>
        <v>2E-3</v>
      </c>
      <c r="AE141" s="76"/>
      <c r="AF141" s="76"/>
      <c r="AG141" s="76"/>
      <c r="AH141" s="97">
        <v>1</v>
      </c>
      <c r="AI141" s="97">
        <v>1</v>
      </c>
      <c r="AJ141" s="73"/>
      <c r="AK141" s="57"/>
      <c r="AL141" s="45"/>
      <c r="AM141" s="45"/>
      <c r="AN141" s="45"/>
    </row>
    <row r="142" spans="1:40" hidden="1" outlineLevel="2" collapsed="1" x14ac:dyDescent="0.25">
      <c r="A142" s="45"/>
      <c r="B142" s="54"/>
      <c r="C142" s="47">
        <f t="shared" si="13"/>
        <v>3</v>
      </c>
      <c r="D142" s="73"/>
      <c r="E142" s="70"/>
      <c r="F142" s="70" t="s">
        <v>551</v>
      </c>
      <c r="G142" s="73"/>
      <c r="H142" s="76" t="s">
        <v>552</v>
      </c>
      <c r="I142" s="96" t="s">
        <v>500</v>
      </c>
      <c r="J142" s="96"/>
      <c r="K142" s="97">
        <v>0.5</v>
      </c>
      <c r="L142" s="97">
        <v>0.5</v>
      </c>
      <c r="M142" s="97">
        <v>0.5</v>
      </c>
      <c r="N142" s="97">
        <v>0.5</v>
      </c>
      <c r="O142" s="97">
        <v>0.5</v>
      </c>
      <c r="P142" s="97">
        <v>0.5</v>
      </c>
      <c r="Q142" s="76"/>
      <c r="R142" s="76" t="s">
        <v>548</v>
      </c>
      <c r="S142" s="76" t="s">
        <v>548</v>
      </c>
      <c r="T142" s="76"/>
      <c r="U142" s="252">
        <f t="shared" si="14"/>
        <v>0.5</v>
      </c>
      <c r="V142" s="252">
        <f t="shared" si="14"/>
        <v>0.5</v>
      </c>
      <c r="W142" s="252">
        <f t="shared" si="16"/>
        <v>0.5</v>
      </c>
      <c r="X142" s="252">
        <f t="shared" si="16"/>
        <v>0.5</v>
      </c>
      <c r="Y142" s="252">
        <f t="shared" si="16"/>
        <v>0.5</v>
      </c>
      <c r="Z142" s="252">
        <f t="shared" si="16"/>
        <v>0.5</v>
      </c>
      <c r="AA142" s="252">
        <f t="shared" si="16"/>
        <v>0.5</v>
      </c>
      <c r="AB142" s="252">
        <f t="shared" si="16"/>
        <v>0.5</v>
      </c>
      <c r="AC142" s="252">
        <f t="shared" si="15"/>
        <v>0.5</v>
      </c>
      <c r="AD142" s="252">
        <f t="shared" si="15"/>
        <v>0.5</v>
      </c>
      <c r="AE142" s="76"/>
      <c r="AF142" s="76"/>
      <c r="AG142" s="76"/>
      <c r="AH142" s="97">
        <v>1</v>
      </c>
      <c r="AI142" s="97">
        <v>1</v>
      </c>
      <c r="AJ142" s="73"/>
      <c r="AK142" s="57"/>
      <c r="AL142" s="45"/>
      <c r="AM142" s="45"/>
      <c r="AN142" s="45"/>
    </row>
    <row r="143" spans="1:40" hidden="1" outlineLevel="3" x14ac:dyDescent="0.25">
      <c r="A143" s="45"/>
      <c r="B143" s="54"/>
      <c r="C143" s="47">
        <f t="shared" si="13"/>
        <v>3</v>
      </c>
      <c r="D143" s="73"/>
      <c r="E143" s="70"/>
      <c r="F143" s="70" t="s">
        <v>553</v>
      </c>
      <c r="G143" s="73"/>
      <c r="H143" s="76" t="s">
        <v>554</v>
      </c>
      <c r="I143" s="96" t="s">
        <v>500</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3"/>
        <v>3</v>
      </c>
      <c r="D144" s="73"/>
      <c r="E144" s="70"/>
      <c r="F144" s="70" t="s">
        <v>555</v>
      </c>
      <c r="G144" s="73"/>
      <c r="H144" s="76" t="s">
        <v>556</v>
      </c>
      <c r="I144" s="96" t="s">
        <v>500</v>
      </c>
      <c r="J144" s="96"/>
      <c r="K144" s="97">
        <v>0.01</v>
      </c>
      <c r="L144" s="97">
        <v>0.01</v>
      </c>
      <c r="M144" s="97">
        <v>0.01</v>
      </c>
      <c r="N144" s="97">
        <v>0.01</v>
      </c>
      <c r="O144" s="97">
        <v>0.01</v>
      </c>
      <c r="P144" s="97">
        <v>0.01</v>
      </c>
      <c r="Q144" s="76"/>
      <c r="R144" s="76" t="s">
        <v>557</v>
      </c>
      <c r="S144" s="76" t="s">
        <v>557</v>
      </c>
      <c r="T144" s="76"/>
      <c r="U144" s="252">
        <f t="shared" ref="U144:AD145" si="17">INDEX($K144:$Q144,1,U$43)</f>
        <v>0.01</v>
      </c>
      <c r="V144" s="252">
        <f t="shared" si="17"/>
        <v>0.01</v>
      </c>
      <c r="W144" s="252">
        <f t="shared" si="17"/>
        <v>0.01</v>
      </c>
      <c r="X144" s="252">
        <f t="shared" si="17"/>
        <v>0.01</v>
      </c>
      <c r="Y144" s="252">
        <f t="shared" si="17"/>
        <v>0.01</v>
      </c>
      <c r="Z144" s="252">
        <f t="shared" si="17"/>
        <v>0.01</v>
      </c>
      <c r="AA144" s="252">
        <f t="shared" si="17"/>
        <v>0.01</v>
      </c>
      <c r="AB144" s="252">
        <f t="shared" si="17"/>
        <v>0.01</v>
      </c>
      <c r="AC144" s="252">
        <f t="shared" si="17"/>
        <v>0.01</v>
      </c>
      <c r="AD144" s="252">
        <f t="shared" si="17"/>
        <v>0.01</v>
      </c>
      <c r="AE144" s="76"/>
      <c r="AF144" s="76"/>
      <c r="AG144" s="76"/>
      <c r="AH144" s="97">
        <v>1</v>
      </c>
      <c r="AI144" s="97">
        <v>1</v>
      </c>
      <c r="AJ144" s="73"/>
      <c r="AK144" s="57"/>
      <c r="AL144" s="45"/>
      <c r="AM144" s="45"/>
      <c r="AN144" s="45"/>
    </row>
    <row r="145" spans="1:40" hidden="1" outlineLevel="2" collapsed="1" x14ac:dyDescent="0.25">
      <c r="A145" s="45"/>
      <c r="B145" s="54"/>
      <c r="C145" s="47">
        <f t="shared" si="13"/>
        <v>3</v>
      </c>
      <c r="D145" s="73"/>
      <c r="E145" s="70"/>
      <c r="F145" s="70" t="s">
        <v>558</v>
      </c>
      <c r="G145" s="73"/>
      <c r="H145" s="76" t="s">
        <v>559</v>
      </c>
      <c r="I145" s="96" t="s">
        <v>500</v>
      </c>
      <c r="J145" s="96"/>
      <c r="K145" s="97">
        <v>20</v>
      </c>
      <c r="L145" s="97">
        <v>20</v>
      </c>
      <c r="M145" s="97">
        <v>20</v>
      </c>
      <c r="N145" s="97">
        <v>20</v>
      </c>
      <c r="O145" s="97">
        <v>20</v>
      </c>
      <c r="P145" s="97">
        <v>20</v>
      </c>
      <c r="Q145" s="76"/>
      <c r="R145" s="76" t="s">
        <v>557</v>
      </c>
      <c r="S145" s="76" t="s">
        <v>557</v>
      </c>
      <c r="T145" s="76"/>
      <c r="U145" s="252">
        <f t="shared" si="17"/>
        <v>20</v>
      </c>
      <c r="V145" s="252">
        <f t="shared" si="17"/>
        <v>20</v>
      </c>
      <c r="W145" s="252">
        <f t="shared" si="17"/>
        <v>20</v>
      </c>
      <c r="X145" s="252">
        <f t="shared" si="17"/>
        <v>20</v>
      </c>
      <c r="Y145" s="252">
        <f t="shared" si="17"/>
        <v>20</v>
      </c>
      <c r="Z145" s="252">
        <f t="shared" si="17"/>
        <v>20</v>
      </c>
      <c r="AA145" s="252">
        <f t="shared" si="17"/>
        <v>20</v>
      </c>
      <c r="AB145" s="252">
        <f t="shared" si="17"/>
        <v>20</v>
      </c>
      <c r="AC145" s="252">
        <f t="shared" si="17"/>
        <v>20</v>
      </c>
      <c r="AD145" s="252">
        <f t="shared" si="17"/>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560</v>
      </c>
      <c r="G146" s="73"/>
      <c r="H146" s="76" t="s">
        <v>561</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562</v>
      </c>
      <c r="G147" s="73"/>
      <c r="H147" s="76" t="s">
        <v>563</v>
      </c>
      <c r="I147" s="96" t="s">
        <v>500</v>
      </c>
      <c r="J147" s="96"/>
      <c r="K147" s="97">
        <v>1.5</v>
      </c>
      <c r="L147" s="97">
        <v>1.7</v>
      </c>
      <c r="M147" s="97">
        <v>1.5</v>
      </c>
      <c r="N147" s="97">
        <v>1.5</v>
      </c>
      <c r="O147" s="97">
        <v>1.5</v>
      </c>
      <c r="P147" s="97">
        <v>1.5</v>
      </c>
      <c r="Q147" s="76"/>
      <c r="R147" s="76" t="s">
        <v>2305</v>
      </c>
      <c r="S147" s="76" t="s">
        <v>548</v>
      </c>
      <c r="T147" s="76"/>
      <c r="U147" s="252">
        <f t="shared" ref="U147:AD148" si="18">INDEX($K147:$Q147,1,U$43)</f>
        <v>1.5</v>
      </c>
      <c r="V147" s="252">
        <f t="shared" si="18"/>
        <v>1.5</v>
      </c>
      <c r="W147" s="252">
        <f t="shared" si="18"/>
        <v>1.5</v>
      </c>
      <c r="X147" s="252">
        <f t="shared" si="18"/>
        <v>1.5</v>
      </c>
      <c r="Y147" s="252">
        <f t="shared" si="18"/>
        <v>1.5</v>
      </c>
      <c r="Z147" s="252">
        <f t="shared" si="18"/>
        <v>1.5</v>
      </c>
      <c r="AA147" s="252">
        <f t="shared" si="18"/>
        <v>1.5</v>
      </c>
      <c r="AB147" s="252">
        <f t="shared" si="18"/>
        <v>1.7</v>
      </c>
      <c r="AC147" s="252">
        <f t="shared" si="18"/>
        <v>1.7</v>
      </c>
      <c r="AD147" s="252">
        <f t="shared" si="18"/>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564</v>
      </c>
      <c r="G148" s="73"/>
      <c r="H148" s="76" t="s">
        <v>565</v>
      </c>
      <c r="I148" s="96" t="s">
        <v>500</v>
      </c>
      <c r="J148" s="96"/>
      <c r="K148" s="97">
        <v>3</v>
      </c>
      <c r="L148" s="97">
        <v>3</v>
      </c>
      <c r="M148" s="97">
        <v>3</v>
      </c>
      <c r="N148" s="97">
        <v>3</v>
      </c>
      <c r="O148" s="97">
        <v>3</v>
      </c>
      <c r="P148" s="97">
        <v>3</v>
      </c>
      <c r="Q148" s="76"/>
      <c r="R148" s="76"/>
      <c r="S148" s="76" t="s">
        <v>504</v>
      </c>
      <c r="T148" s="76"/>
      <c r="U148" s="252">
        <f t="shared" si="18"/>
        <v>3</v>
      </c>
      <c r="V148" s="252">
        <f t="shared" si="18"/>
        <v>3</v>
      </c>
      <c r="W148" s="252">
        <f t="shared" si="18"/>
        <v>3</v>
      </c>
      <c r="X148" s="252">
        <f t="shared" si="18"/>
        <v>3</v>
      </c>
      <c r="Y148" s="252">
        <f t="shared" si="18"/>
        <v>3</v>
      </c>
      <c r="Z148" s="252">
        <f t="shared" si="18"/>
        <v>3</v>
      </c>
      <c r="AA148" s="252">
        <f t="shared" si="18"/>
        <v>3</v>
      </c>
      <c r="AB148" s="252">
        <f t="shared" si="18"/>
        <v>3</v>
      </c>
      <c r="AC148" s="252">
        <f t="shared" si="18"/>
        <v>3</v>
      </c>
      <c r="AD148" s="252">
        <f t="shared" si="18"/>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5" t="s">
        <v>566</v>
      </c>
      <c r="G149" s="73"/>
      <c r="H149" s="246" t="s">
        <v>567</v>
      </c>
      <c r="I149" s="96"/>
      <c r="J149" s="96" t="s">
        <v>517</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568</v>
      </c>
      <c r="F150" s="70" t="s">
        <v>569</v>
      </c>
      <c r="G150" s="73"/>
      <c r="H150" s="76" t="s">
        <v>493</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19">INT($C$29)+2</f>
        <v>3</v>
      </c>
      <c r="D151" s="73"/>
      <c r="E151" s="70"/>
      <c r="F151" s="70" t="s">
        <v>570</v>
      </c>
      <c r="G151" s="73"/>
      <c r="H151" s="76" t="s">
        <v>571</v>
      </c>
      <c r="I151" s="96" t="s">
        <v>572</v>
      </c>
      <c r="J151" s="96"/>
      <c r="K151" s="97">
        <v>0.8</v>
      </c>
      <c r="L151" s="97">
        <v>0.8</v>
      </c>
      <c r="M151" s="97">
        <v>0.8</v>
      </c>
      <c r="N151" s="97">
        <v>0.8</v>
      </c>
      <c r="O151" s="97">
        <v>0.8</v>
      </c>
      <c r="P151" s="97">
        <v>0.8</v>
      </c>
      <c r="Q151" s="76"/>
      <c r="R151" s="76" t="s">
        <v>510</v>
      </c>
      <c r="S151" s="76" t="s">
        <v>510</v>
      </c>
      <c r="T151" s="76"/>
      <c r="U151" s="252">
        <f t="shared" ref="U151:AD164" si="20">INDEX($K151:$Q151,1,U$43)</f>
        <v>0.8</v>
      </c>
      <c r="V151" s="252">
        <f t="shared" si="20"/>
        <v>0.8</v>
      </c>
      <c r="W151" s="252">
        <f t="shared" si="20"/>
        <v>0.8</v>
      </c>
      <c r="X151" s="252">
        <f t="shared" si="20"/>
        <v>0.8</v>
      </c>
      <c r="Y151" s="252">
        <f t="shared" si="20"/>
        <v>0.8</v>
      </c>
      <c r="Z151" s="252">
        <f t="shared" si="20"/>
        <v>0.8</v>
      </c>
      <c r="AA151" s="252">
        <f t="shared" si="20"/>
        <v>0.8</v>
      </c>
      <c r="AB151" s="252">
        <f t="shared" si="20"/>
        <v>0.8</v>
      </c>
      <c r="AC151" s="252">
        <f t="shared" si="20"/>
        <v>0.8</v>
      </c>
      <c r="AD151" s="252">
        <f t="shared" si="20"/>
        <v>0.8</v>
      </c>
      <c r="AE151" s="76"/>
      <c r="AF151" s="76"/>
      <c r="AG151" s="76"/>
      <c r="AH151" s="97">
        <v>1</v>
      </c>
      <c r="AI151" s="97">
        <v>1</v>
      </c>
      <c r="AJ151" s="73"/>
      <c r="AK151" s="57"/>
      <c r="AL151" s="45"/>
      <c r="AM151" s="45"/>
      <c r="AN151" s="45"/>
    </row>
    <row r="152" spans="1:40" hidden="1" outlineLevel="2" x14ac:dyDescent="0.25">
      <c r="A152" s="45"/>
      <c r="B152" s="54"/>
      <c r="C152" s="47">
        <f t="shared" si="19"/>
        <v>3</v>
      </c>
      <c r="D152" s="73"/>
      <c r="E152" s="70"/>
      <c r="F152" s="70" t="s">
        <v>573</v>
      </c>
      <c r="G152" s="73"/>
      <c r="H152" s="76" t="s">
        <v>574</v>
      </c>
      <c r="I152" s="96" t="s">
        <v>500</v>
      </c>
      <c r="J152" s="96"/>
      <c r="K152" s="97">
        <v>0.17</v>
      </c>
      <c r="L152" s="97">
        <v>0.17</v>
      </c>
      <c r="M152" s="97">
        <v>0.17</v>
      </c>
      <c r="N152" s="97">
        <v>0.17</v>
      </c>
      <c r="O152" s="97">
        <v>0.17</v>
      </c>
      <c r="P152" s="97">
        <v>0.17</v>
      </c>
      <c r="Q152" s="76"/>
      <c r="R152" s="76" t="s">
        <v>510</v>
      </c>
      <c r="S152" s="76" t="s">
        <v>510</v>
      </c>
      <c r="T152" s="76"/>
      <c r="U152" s="252">
        <f t="shared" si="20"/>
        <v>0.17</v>
      </c>
      <c r="V152" s="252">
        <f t="shared" si="20"/>
        <v>0.17</v>
      </c>
      <c r="W152" s="252">
        <f t="shared" si="20"/>
        <v>0.17</v>
      </c>
      <c r="X152" s="252">
        <f t="shared" si="20"/>
        <v>0.17</v>
      </c>
      <c r="Y152" s="252">
        <f t="shared" si="20"/>
        <v>0.17</v>
      </c>
      <c r="Z152" s="252">
        <f t="shared" si="20"/>
        <v>0.17</v>
      </c>
      <c r="AA152" s="252">
        <f t="shared" si="20"/>
        <v>0.17</v>
      </c>
      <c r="AB152" s="252">
        <f t="shared" si="20"/>
        <v>0.17</v>
      </c>
      <c r="AC152" s="252">
        <f t="shared" si="20"/>
        <v>0.17</v>
      </c>
      <c r="AD152" s="252">
        <f t="shared" si="20"/>
        <v>0.17</v>
      </c>
      <c r="AE152" s="76"/>
      <c r="AF152" s="76"/>
      <c r="AG152" s="76"/>
      <c r="AH152" s="97">
        <v>1</v>
      </c>
      <c r="AI152" s="97">
        <v>1</v>
      </c>
      <c r="AJ152" s="73"/>
      <c r="AK152" s="57"/>
      <c r="AL152" s="45"/>
      <c r="AM152" s="45"/>
      <c r="AN152" s="45"/>
    </row>
    <row r="153" spans="1:40" hidden="1" outlineLevel="2" x14ac:dyDescent="0.25">
      <c r="A153" s="45"/>
      <c r="B153" s="54"/>
      <c r="C153" s="47">
        <f t="shared" si="19"/>
        <v>3</v>
      </c>
      <c r="D153" s="73"/>
      <c r="E153" s="70"/>
      <c r="F153" s="70" t="s">
        <v>575</v>
      </c>
      <c r="G153" s="73"/>
      <c r="H153" s="76" t="s">
        <v>576</v>
      </c>
      <c r="I153" s="96" t="s">
        <v>500</v>
      </c>
      <c r="J153" s="96"/>
      <c r="K153" s="97">
        <v>1.7</v>
      </c>
      <c r="L153" s="97">
        <v>1.7</v>
      </c>
      <c r="M153" s="97">
        <v>1.7</v>
      </c>
      <c r="N153" s="97">
        <v>1.7</v>
      </c>
      <c r="O153" s="97">
        <v>1.7</v>
      </c>
      <c r="P153" s="97">
        <v>1.7</v>
      </c>
      <c r="Q153" s="76"/>
      <c r="R153" s="76" t="s">
        <v>510</v>
      </c>
      <c r="S153" s="76" t="s">
        <v>510</v>
      </c>
      <c r="T153" s="76"/>
      <c r="U153" s="252">
        <f t="shared" si="20"/>
        <v>1.7</v>
      </c>
      <c r="V153" s="252">
        <f t="shared" si="20"/>
        <v>1.7</v>
      </c>
      <c r="W153" s="252">
        <f t="shared" si="20"/>
        <v>1.7</v>
      </c>
      <c r="X153" s="252">
        <f t="shared" si="20"/>
        <v>1.7</v>
      </c>
      <c r="Y153" s="252">
        <f t="shared" si="20"/>
        <v>1.7</v>
      </c>
      <c r="Z153" s="252">
        <f t="shared" si="20"/>
        <v>1.7</v>
      </c>
      <c r="AA153" s="252">
        <f t="shared" si="20"/>
        <v>1.7</v>
      </c>
      <c r="AB153" s="252">
        <f t="shared" si="20"/>
        <v>1.7</v>
      </c>
      <c r="AC153" s="252">
        <f t="shared" si="20"/>
        <v>1.7</v>
      </c>
      <c r="AD153" s="252">
        <f t="shared" si="20"/>
        <v>1.7</v>
      </c>
      <c r="AE153" s="76"/>
      <c r="AF153" s="76"/>
      <c r="AG153" s="76"/>
      <c r="AH153" s="97">
        <v>1</v>
      </c>
      <c r="AI153" s="97">
        <v>1</v>
      </c>
      <c r="AJ153" s="73"/>
      <c r="AK153" s="57"/>
      <c r="AL153" s="45"/>
      <c r="AM153" s="45"/>
      <c r="AN153" s="45"/>
    </row>
    <row r="154" spans="1:40" hidden="1" outlineLevel="2" x14ac:dyDescent="0.25">
      <c r="A154" s="45"/>
      <c r="B154" s="54"/>
      <c r="C154" s="47">
        <f t="shared" si="19"/>
        <v>3</v>
      </c>
      <c r="D154" s="73"/>
      <c r="E154" s="70"/>
      <c r="F154" s="70" t="s">
        <v>577</v>
      </c>
      <c r="G154" s="73"/>
      <c r="H154" s="76" t="s">
        <v>578</v>
      </c>
      <c r="I154" s="96" t="s">
        <v>544</v>
      </c>
      <c r="J154" s="96"/>
      <c r="K154" s="97">
        <v>1.1199999999999999E-3</v>
      </c>
      <c r="L154" s="97">
        <v>1.1199999999999999E-3</v>
      </c>
      <c r="M154" s="97">
        <v>7.7999999999999999E-4</v>
      </c>
      <c r="N154" s="97">
        <v>7.7999999999999999E-4</v>
      </c>
      <c r="O154" s="97">
        <v>7.7999999999999999E-4</v>
      </c>
      <c r="P154" s="97">
        <v>7.7999999999999999E-4</v>
      </c>
      <c r="Q154" s="76"/>
      <c r="R154" s="76" t="s">
        <v>510</v>
      </c>
      <c r="S154" s="76" t="s">
        <v>510</v>
      </c>
      <c r="T154" s="76"/>
      <c r="U154" s="252">
        <f t="shared" si="20"/>
        <v>1.1199999999999999E-3</v>
      </c>
      <c r="V154" s="252">
        <f t="shared" si="20"/>
        <v>1.1199999999999999E-3</v>
      </c>
      <c r="W154" s="252">
        <f t="shared" si="20"/>
        <v>1.1199999999999999E-3</v>
      </c>
      <c r="X154" s="252">
        <f t="shared" si="20"/>
        <v>1.1199999999999999E-3</v>
      </c>
      <c r="Y154" s="252">
        <f t="shared" si="20"/>
        <v>1.1199999999999999E-3</v>
      </c>
      <c r="Z154" s="252">
        <f t="shared" si="20"/>
        <v>1.1199999999999999E-3</v>
      </c>
      <c r="AA154" s="252">
        <f t="shared" si="20"/>
        <v>1.1199999999999999E-3</v>
      </c>
      <c r="AB154" s="252">
        <f t="shared" si="20"/>
        <v>1.1199999999999999E-3</v>
      </c>
      <c r="AC154" s="252">
        <f t="shared" si="20"/>
        <v>1.1199999999999999E-3</v>
      </c>
      <c r="AD154" s="252">
        <f t="shared" si="20"/>
        <v>1.1199999999999999E-3</v>
      </c>
      <c r="AE154" s="76"/>
      <c r="AF154" s="76"/>
      <c r="AG154" s="76"/>
      <c r="AH154" s="97">
        <v>1</v>
      </c>
      <c r="AI154" s="97">
        <v>1</v>
      </c>
      <c r="AJ154" s="73"/>
      <c r="AK154" s="57"/>
      <c r="AL154" s="45"/>
      <c r="AM154" s="45"/>
      <c r="AN154" s="45"/>
    </row>
    <row r="155" spans="1:40" hidden="1" outlineLevel="2" x14ac:dyDescent="0.25">
      <c r="A155" s="45"/>
      <c r="B155" s="54"/>
      <c r="C155" s="47">
        <f t="shared" si="19"/>
        <v>3</v>
      </c>
      <c r="D155" s="73"/>
      <c r="E155" s="70"/>
      <c r="F155" s="70" t="s">
        <v>579</v>
      </c>
      <c r="G155" s="73"/>
      <c r="H155" s="76" t="s">
        <v>580</v>
      </c>
      <c r="I155" s="96" t="s">
        <v>500</v>
      </c>
      <c r="J155" s="96"/>
      <c r="K155" s="97">
        <v>0.6</v>
      </c>
      <c r="L155" s="97">
        <v>0.6</v>
      </c>
      <c r="M155" s="97">
        <v>0.6</v>
      </c>
      <c r="N155" s="97">
        <v>0.6</v>
      </c>
      <c r="O155" s="97">
        <v>0.6</v>
      </c>
      <c r="P155" s="97">
        <v>0.6</v>
      </c>
      <c r="Q155" s="76"/>
      <c r="R155" s="76" t="s">
        <v>510</v>
      </c>
      <c r="S155" s="76" t="s">
        <v>510</v>
      </c>
      <c r="T155" s="76"/>
      <c r="U155" s="252">
        <f t="shared" si="20"/>
        <v>0.6</v>
      </c>
      <c r="V155" s="252">
        <f t="shared" si="20"/>
        <v>0.6</v>
      </c>
      <c r="W155" s="252">
        <f t="shared" si="20"/>
        <v>0.6</v>
      </c>
      <c r="X155" s="252">
        <f t="shared" si="20"/>
        <v>0.6</v>
      </c>
      <c r="Y155" s="252">
        <f t="shared" si="20"/>
        <v>0.6</v>
      </c>
      <c r="Z155" s="252">
        <f t="shared" si="20"/>
        <v>0.6</v>
      </c>
      <c r="AA155" s="252">
        <f t="shared" si="20"/>
        <v>0.6</v>
      </c>
      <c r="AB155" s="252">
        <f t="shared" si="20"/>
        <v>0.6</v>
      </c>
      <c r="AC155" s="252">
        <f t="shared" si="20"/>
        <v>0.6</v>
      </c>
      <c r="AD155" s="252">
        <f t="shared" si="20"/>
        <v>0.6</v>
      </c>
      <c r="AE155" s="76"/>
      <c r="AF155" s="76"/>
      <c r="AG155" s="76"/>
      <c r="AH155" s="97">
        <v>1</v>
      </c>
      <c r="AI155" s="97">
        <v>1</v>
      </c>
      <c r="AJ155" s="73"/>
      <c r="AK155" s="57"/>
      <c r="AL155" s="45"/>
      <c r="AM155" s="45"/>
      <c r="AN155" s="45"/>
    </row>
    <row r="156" spans="1:40" hidden="1" outlineLevel="2" x14ac:dyDescent="0.25">
      <c r="A156" s="45"/>
      <c r="B156" s="54"/>
      <c r="C156" s="47">
        <f t="shared" si="19"/>
        <v>3</v>
      </c>
      <c r="D156" s="73"/>
      <c r="E156" s="70"/>
      <c r="F156" s="70" t="s">
        <v>581</v>
      </c>
      <c r="G156" s="73"/>
      <c r="H156" s="76" t="s">
        <v>582</v>
      </c>
      <c r="I156" s="96" t="s">
        <v>544</v>
      </c>
      <c r="J156" s="96"/>
      <c r="K156" s="97">
        <v>1.1199999999999999E-3</v>
      </c>
      <c r="L156" s="97">
        <v>1.1199999999999999E-3</v>
      </c>
      <c r="M156" s="97">
        <v>7.3999999999999999E-4</v>
      </c>
      <c r="N156" s="97">
        <v>7.3999999999999999E-4</v>
      </c>
      <c r="O156" s="97">
        <v>7.3999999999999999E-4</v>
      </c>
      <c r="P156" s="97">
        <v>7.3999999999999999E-4</v>
      </c>
      <c r="Q156" s="76"/>
      <c r="R156" s="76" t="s">
        <v>510</v>
      </c>
      <c r="S156" s="76" t="s">
        <v>510</v>
      </c>
      <c r="T156" s="76"/>
      <c r="U156" s="252">
        <f t="shared" si="20"/>
        <v>1.1199999999999999E-3</v>
      </c>
      <c r="V156" s="252">
        <f t="shared" si="20"/>
        <v>1.1199999999999999E-3</v>
      </c>
      <c r="W156" s="252">
        <f t="shared" si="20"/>
        <v>1.1199999999999999E-3</v>
      </c>
      <c r="X156" s="252">
        <f t="shared" si="20"/>
        <v>1.1199999999999999E-3</v>
      </c>
      <c r="Y156" s="252">
        <f t="shared" si="20"/>
        <v>1.1199999999999999E-3</v>
      </c>
      <c r="Z156" s="252">
        <f t="shared" si="20"/>
        <v>1.1199999999999999E-3</v>
      </c>
      <c r="AA156" s="252">
        <f t="shared" si="20"/>
        <v>1.1199999999999999E-3</v>
      </c>
      <c r="AB156" s="252">
        <f t="shared" si="20"/>
        <v>1.1199999999999999E-3</v>
      </c>
      <c r="AC156" s="252">
        <f t="shared" si="20"/>
        <v>1.1199999999999999E-3</v>
      </c>
      <c r="AD156" s="252">
        <f t="shared" si="20"/>
        <v>1.1199999999999999E-3</v>
      </c>
      <c r="AE156" s="76"/>
      <c r="AF156" s="76"/>
      <c r="AG156" s="76"/>
      <c r="AH156" s="97">
        <v>1</v>
      </c>
      <c r="AI156" s="97">
        <v>1</v>
      </c>
      <c r="AJ156" s="73"/>
      <c r="AK156" s="57"/>
      <c r="AL156" s="45"/>
      <c r="AM156" s="45"/>
      <c r="AN156" s="45"/>
    </row>
    <row r="157" spans="1:40" hidden="1" outlineLevel="2" x14ac:dyDescent="0.25">
      <c r="A157" s="45"/>
      <c r="B157" s="54"/>
      <c r="C157" s="47">
        <f t="shared" si="19"/>
        <v>3</v>
      </c>
      <c r="D157" s="73"/>
      <c r="E157" s="70"/>
      <c r="F157" s="70" t="s">
        <v>583</v>
      </c>
      <c r="G157" s="73"/>
      <c r="H157" s="76" t="s">
        <v>584</v>
      </c>
      <c r="I157" s="96" t="s">
        <v>500</v>
      </c>
      <c r="J157" s="96"/>
      <c r="K157" s="97">
        <v>0</v>
      </c>
      <c r="L157" s="97">
        <v>0</v>
      </c>
      <c r="M157" s="97">
        <v>0.5</v>
      </c>
      <c r="N157" s="97">
        <v>0.5</v>
      </c>
      <c r="O157" s="97">
        <v>0.5</v>
      </c>
      <c r="P157" s="97">
        <v>0.5</v>
      </c>
      <c r="Q157" s="76"/>
      <c r="R157" s="76"/>
      <c r="S157" s="76" t="s">
        <v>585</v>
      </c>
      <c r="T157" s="76"/>
      <c r="U157" s="252">
        <f t="shared" si="20"/>
        <v>0</v>
      </c>
      <c r="V157" s="252">
        <f t="shared" si="20"/>
        <v>0</v>
      </c>
      <c r="W157" s="252">
        <f t="shared" si="20"/>
        <v>0</v>
      </c>
      <c r="X157" s="252">
        <f t="shared" si="20"/>
        <v>0</v>
      </c>
      <c r="Y157" s="252">
        <f t="shared" si="20"/>
        <v>0</v>
      </c>
      <c r="Z157" s="252">
        <f t="shared" si="20"/>
        <v>0</v>
      </c>
      <c r="AA157" s="252">
        <f t="shared" si="20"/>
        <v>0</v>
      </c>
      <c r="AB157" s="252">
        <f t="shared" si="20"/>
        <v>0</v>
      </c>
      <c r="AC157" s="252">
        <f t="shared" si="20"/>
        <v>0</v>
      </c>
      <c r="AD157" s="252">
        <f t="shared" si="20"/>
        <v>0</v>
      </c>
      <c r="AE157" s="76"/>
      <c r="AF157" s="76"/>
      <c r="AG157" s="76"/>
      <c r="AH157" s="97">
        <v>1</v>
      </c>
      <c r="AI157" s="97">
        <v>1</v>
      </c>
      <c r="AJ157" s="73"/>
      <c r="AK157" s="57"/>
      <c r="AL157" s="45"/>
      <c r="AM157" s="45"/>
      <c r="AN157" s="45"/>
    </row>
    <row r="158" spans="1:40" hidden="1" outlineLevel="2" x14ac:dyDescent="0.25">
      <c r="A158" s="45"/>
      <c r="B158" s="54"/>
      <c r="C158" s="47">
        <f t="shared" si="19"/>
        <v>3</v>
      </c>
      <c r="D158" s="73"/>
      <c r="E158" s="70"/>
      <c r="F158" s="70" t="s">
        <v>586</v>
      </c>
      <c r="G158" s="73"/>
      <c r="H158" s="76" t="s">
        <v>587</v>
      </c>
      <c r="I158" s="96" t="s">
        <v>529</v>
      </c>
      <c r="J158" s="96"/>
      <c r="K158" s="76"/>
      <c r="L158" s="76"/>
      <c r="M158" s="97">
        <v>64</v>
      </c>
      <c r="N158" s="97">
        <v>64</v>
      </c>
      <c r="O158" s="97">
        <v>64</v>
      </c>
      <c r="P158" s="97">
        <v>150</v>
      </c>
      <c r="Q158" s="76"/>
      <c r="R158" s="76"/>
      <c r="S158" s="76" t="s">
        <v>585</v>
      </c>
      <c r="T158" s="76"/>
      <c r="U158" s="252">
        <f t="shared" si="20"/>
        <v>0</v>
      </c>
      <c r="V158" s="252">
        <f t="shared" si="20"/>
        <v>0</v>
      </c>
      <c r="W158" s="252">
        <f t="shared" si="20"/>
        <v>0</v>
      </c>
      <c r="X158" s="252">
        <f t="shared" si="20"/>
        <v>0</v>
      </c>
      <c r="Y158" s="252">
        <f t="shared" si="20"/>
        <v>0</v>
      </c>
      <c r="Z158" s="252">
        <f t="shared" si="20"/>
        <v>0</v>
      </c>
      <c r="AA158" s="252">
        <f t="shared" si="20"/>
        <v>0</v>
      </c>
      <c r="AB158" s="252">
        <f t="shared" si="20"/>
        <v>0</v>
      </c>
      <c r="AC158" s="252">
        <f t="shared" si="20"/>
        <v>0</v>
      </c>
      <c r="AD158" s="252">
        <f t="shared" si="20"/>
        <v>0</v>
      </c>
      <c r="AE158" s="76"/>
      <c r="AF158" s="76"/>
      <c r="AG158" s="76"/>
      <c r="AH158" s="97">
        <v>1</v>
      </c>
      <c r="AI158" s="97">
        <v>1</v>
      </c>
      <c r="AJ158" s="73"/>
      <c r="AK158" s="57"/>
      <c r="AL158" s="45"/>
      <c r="AM158" s="45"/>
      <c r="AN158" s="45"/>
    </row>
    <row r="159" spans="1:40" hidden="1" outlineLevel="2" x14ac:dyDescent="0.25">
      <c r="A159" s="45"/>
      <c r="B159" s="54"/>
      <c r="C159" s="47">
        <f t="shared" si="19"/>
        <v>3</v>
      </c>
      <c r="D159" s="73"/>
      <c r="E159" s="70"/>
      <c r="F159" s="70" t="s">
        <v>588</v>
      </c>
      <c r="G159" s="73"/>
      <c r="H159" s="76" t="s">
        <v>589</v>
      </c>
      <c r="I159" s="96" t="s">
        <v>500</v>
      </c>
      <c r="J159" s="96"/>
      <c r="K159" s="76"/>
      <c r="L159" s="76"/>
      <c r="M159" s="97">
        <v>1.7</v>
      </c>
      <c r="N159" s="97">
        <v>1.7</v>
      </c>
      <c r="O159" s="97">
        <v>1.7</v>
      </c>
      <c r="P159" s="97">
        <v>1.7</v>
      </c>
      <c r="Q159" s="76"/>
      <c r="R159" s="76"/>
      <c r="S159" s="76" t="s">
        <v>585</v>
      </c>
      <c r="T159" s="76"/>
      <c r="U159" s="252">
        <f t="shared" si="20"/>
        <v>0</v>
      </c>
      <c r="V159" s="252">
        <f t="shared" si="20"/>
        <v>0</v>
      </c>
      <c r="W159" s="252">
        <f t="shared" si="20"/>
        <v>0</v>
      </c>
      <c r="X159" s="252">
        <f t="shared" si="20"/>
        <v>0</v>
      </c>
      <c r="Y159" s="252">
        <f t="shared" si="20"/>
        <v>0</v>
      </c>
      <c r="Z159" s="252">
        <f t="shared" si="20"/>
        <v>0</v>
      </c>
      <c r="AA159" s="252">
        <f t="shared" si="20"/>
        <v>0</v>
      </c>
      <c r="AB159" s="252">
        <f t="shared" si="20"/>
        <v>0</v>
      </c>
      <c r="AC159" s="252">
        <f t="shared" si="20"/>
        <v>0</v>
      </c>
      <c r="AD159" s="252">
        <f t="shared" si="20"/>
        <v>0</v>
      </c>
      <c r="AE159" s="76"/>
      <c r="AF159" s="76"/>
      <c r="AG159" s="76"/>
      <c r="AH159" s="97">
        <v>1</v>
      </c>
      <c r="AI159" s="97">
        <v>1</v>
      </c>
      <c r="AJ159" s="73"/>
      <c r="AK159" s="57"/>
      <c r="AL159" s="45"/>
      <c r="AM159" s="45"/>
      <c r="AN159" s="45"/>
    </row>
    <row r="160" spans="1:40" hidden="1" outlineLevel="2" x14ac:dyDescent="0.25">
      <c r="A160" s="45"/>
      <c r="B160" s="54"/>
      <c r="C160" s="47">
        <f t="shared" si="19"/>
        <v>3</v>
      </c>
      <c r="D160" s="73"/>
      <c r="E160" s="70"/>
      <c r="F160" s="70" t="s">
        <v>590</v>
      </c>
      <c r="G160" s="73"/>
      <c r="H160" s="76" t="s">
        <v>589</v>
      </c>
      <c r="I160" s="96" t="s">
        <v>500</v>
      </c>
      <c r="J160" s="96"/>
      <c r="K160" s="76"/>
      <c r="L160" s="76"/>
      <c r="M160" s="97">
        <v>0.1</v>
      </c>
      <c r="N160" s="97">
        <v>0.1</v>
      </c>
      <c r="O160" s="97">
        <v>0.1</v>
      </c>
      <c r="P160" s="97">
        <v>0.1</v>
      </c>
      <c r="Q160" s="76"/>
      <c r="R160" s="76"/>
      <c r="S160" s="76" t="s">
        <v>585</v>
      </c>
      <c r="T160" s="76"/>
      <c r="U160" s="252">
        <f t="shared" si="20"/>
        <v>0</v>
      </c>
      <c r="V160" s="252">
        <f t="shared" si="20"/>
        <v>0</v>
      </c>
      <c r="W160" s="252">
        <f t="shared" si="20"/>
        <v>0</v>
      </c>
      <c r="X160" s="252">
        <f t="shared" si="20"/>
        <v>0</v>
      </c>
      <c r="Y160" s="252">
        <f t="shared" si="20"/>
        <v>0</v>
      </c>
      <c r="Z160" s="252">
        <f t="shared" si="20"/>
        <v>0</v>
      </c>
      <c r="AA160" s="252">
        <f t="shared" si="20"/>
        <v>0</v>
      </c>
      <c r="AB160" s="252">
        <f t="shared" si="20"/>
        <v>0</v>
      </c>
      <c r="AC160" s="252">
        <f t="shared" si="20"/>
        <v>0</v>
      </c>
      <c r="AD160" s="252">
        <f t="shared" si="20"/>
        <v>0</v>
      </c>
      <c r="AE160" s="76"/>
      <c r="AF160" s="76"/>
      <c r="AG160" s="76"/>
      <c r="AH160" s="97">
        <v>1</v>
      </c>
      <c r="AI160" s="97">
        <v>1</v>
      </c>
      <c r="AJ160" s="73"/>
      <c r="AK160" s="57"/>
      <c r="AL160" s="45"/>
      <c r="AM160" s="45"/>
      <c r="AN160" s="45"/>
    </row>
    <row r="161" spans="1:40" hidden="1" outlineLevel="2" x14ac:dyDescent="0.25">
      <c r="A161" s="45"/>
      <c r="B161" s="54"/>
      <c r="C161" s="47">
        <f t="shared" si="19"/>
        <v>3</v>
      </c>
      <c r="D161" s="73"/>
      <c r="E161" s="70"/>
      <c r="F161" s="70" t="s">
        <v>591</v>
      </c>
      <c r="G161" s="73"/>
      <c r="H161" s="76" t="s">
        <v>592</v>
      </c>
      <c r="I161" s="96" t="s">
        <v>593</v>
      </c>
      <c r="J161" s="96"/>
      <c r="K161" s="97">
        <v>10.5</v>
      </c>
      <c r="L161" s="97">
        <v>10.5</v>
      </c>
      <c r="M161" s="97">
        <v>10.5</v>
      </c>
      <c r="N161" s="97">
        <v>10.5</v>
      </c>
      <c r="O161" s="97">
        <v>10.5</v>
      </c>
      <c r="P161" s="97">
        <v>10.5</v>
      </c>
      <c r="Q161" s="76"/>
      <c r="R161" s="76" t="s">
        <v>594</v>
      </c>
      <c r="S161" s="76" t="s">
        <v>585</v>
      </c>
      <c r="T161" s="76"/>
      <c r="U161" s="252">
        <f t="shared" si="20"/>
        <v>10.5</v>
      </c>
      <c r="V161" s="252">
        <f t="shared" si="20"/>
        <v>10.5</v>
      </c>
      <c r="W161" s="252">
        <f t="shared" si="20"/>
        <v>10.5</v>
      </c>
      <c r="X161" s="252">
        <f t="shared" si="20"/>
        <v>10.5</v>
      </c>
      <c r="Y161" s="252">
        <f t="shared" si="20"/>
        <v>10.5</v>
      </c>
      <c r="Z161" s="252">
        <f t="shared" si="20"/>
        <v>10.5</v>
      </c>
      <c r="AA161" s="252">
        <f t="shared" si="20"/>
        <v>10.5</v>
      </c>
      <c r="AB161" s="252">
        <f t="shared" si="20"/>
        <v>10.5</v>
      </c>
      <c r="AC161" s="252">
        <f t="shared" si="20"/>
        <v>10.5</v>
      </c>
      <c r="AD161" s="252">
        <f t="shared" si="20"/>
        <v>10.5</v>
      </c>
      <c r="AE161" s="76"/>
      <c r="AF161" s="76"/>
      <c r="AG161" s="76"/>
      <c r="AH161" s="97">
        <v>1</v>
      </c>
      <c r="AI161" s="97">
        <v>1</v>
      </c>
      <c r="AJ161" s="73"/>
      <c r="AK161" s="57"/>
      <c r="AL161" s="45"/>
      <c r="AM161" s="45"/>
      <c r="AN161" s="45"/>
    </row>
    <row r="162" spans="1:40" hidden="1" outlineLevel="2" x14ac:dyDescent="0.25">
      <c r="A162" s="45"/>
      <c r="B162" s="54"/>
      <c r="C162" s="47">
        <f t="shared" si="19"/>
        <v>3</v>
      </c>
      <c r="D162" s="73"/>
      <c r="E162" s="70"/>
      <c r="F162" s="70" t="s">
        <v>595</v>
      </c>
      <c r="G162" s="73"/>
      <c r="H162" s="76" t="s">
        <v>596</v>
      </c>
      <c r="I162" s="96" t="s">
        <v>500</v>
      </c>
      <c r="J162" s="96"/>
      <c r="K162" s="97">
        <v>1</v>
      </c>
      <c r="L162" s="97">
        <v>1</v>
      </c>
      <c r="M162" s="97">
        <v>1</v>
      </c>
      <c r="N162" s="97">
        <v>1</v>
      </c>
      <c r="O162" s="97">
        <v>1</v>
      </c>
      <c r="P162" s="97">
        <v>1</v>
      </c>
      <c r="Q162" s="76"/>
      <c r="R162" s="76" t="s">
        <v>585</v>
      </c>
      <c r="S162" s="76" t="s">
        <v>585</v>
      </c>
      <c r="T162" s="76"/>
      <c r="U162" s="252">
        <f t="shared" si="20"/>
        <v>1</v>
      </c>
      <c r="V162" s="252">
        <f t="shared" si="20"/>
        <v>1</v>
      </c>
      <c r="W162" s="252">
        <f t="shared" si="20"/>
        <v>1</v>
      </c>
      <c r="X162" s="252">
        <f t="shared" si="20"/>
        <v>1</v>
      </c>
      <c r="Y162" s="252">
        <f t="shared" si="20"/>
        <v>1</v>
      </c>
      <c r="Z162" s="252">
        <f t="shared" si="20"/>
        <v>1</v>
      </c>
      <c r="AA162" s="252">
        <f t="shared" si="20"/>
        <v>1</v>
      </c>
      <c r="AB162" s="252">
        <f t="shared" si="20"/>
        <v>1</v>
      </c>
      <c r="AC162" s="252">
        <f t="shared" si="20"/>
        <v>1</v>
      </c>
      <c r="AD162" s="252">
        <f t="shared" si="20"/>
        <v>1</v>
      </c>
      <c r="AE162" s="76"/>
      <c r="AF162" s="76"/>
      <c r="AG162" s="76"/>
      <c r="AH162" s="97">
        <v>1</v>
      </c>
      <c r="AI162" s="97">
        <v>1</v>
      </c>
      <c r="AJ162" s="73"/>
      <c r="AK162" s="57"/>
      <c r="AL162" s="45"/>
      <c r="AM162" s="45"/>
      <c r="AN162" s="45"/>
    </row>
    <row r="163" spans="1:40" hidden="1" outlineLevel="2" x14ac:dyDescent="0.25">
      <c r="A163" s="45"/>
      <c r="B163" s="54"/>
      <c r="C163" s="47">
        <f t="shared" si="19"/>
        <v>3</v>
      </c>
      <c r="D163" s="73"/>
      <c r="E163" s="70"/>
      <c r="F163" s="70" t="s">
        <v>597</v>
      </c>
      <c r="G163" s="73"/>
      <c r="H163" s="76" t="s">
        <v>598</v>
      </c>
      <c r="I163" s="96" t="s">
        <v>500</v>
      </c>
      <c r="J163" s="96"/>
      <c r="K163" s="97">
        <v>0.35</v>
      </c>
      <c r="L163" s="97">
        <v>0.35</v>
      </c>
      <c r="M163" s="97">
        <v>0.35</v>
      </c>
      <c r="N163" s="97">
        <v>0.35</v>
      </c>
      <c r="O163" s="97">
        <v>0.35</v>
      </c>
      <c r="P163" s="97">
        <v>0.35</v>
      </c>
      <c r="Q163" s="76"/>
      <c r="R163" s="76" t="s">
        <v>585</v>
      </c>
      <c r="S163" s="76" t="s">
        <v>585</v>
      </c>
      <c r="T163" s="76"/>
      <c r="U163" s="252">
        <f t="shared" si="20"/>
        <v>0.35</v>
      </c>
      <c r="V163" s="252">
        <f t="shared" si="20"/>
        <v>0.35</v>
      </c>
      <c r="W163" s="252">
        <f t="shared" si="20"/>
        <v>0.35</v>
      </c>
      <c r="X163" s="252">
        <f t="shared" si="20"/>
        <v>0.35</v>
      </c>
      <c r="Y163" s="252">
        <f t="shared" si="20"/>
        <v>0.35</v>
      </c>
      <c r="Z163" s="252">
        <f t="shared" si="20"/>
        <v>0.35</v>
      </c>
      <c r="AA163" s="252">
        <f t="shared" si="20"/>
        <v>0.35</v>
      </c>
      <c r="AB163" s="252">
        <f t="shared" si="20"/>
        <v>0.35</v>
      </c>
      <c r="AC163" s="252">
        <f t="shared" si="20"/>
        <v>0.35</v>
      </c>
      <c r="AD163" s="252">
        <f t="shared" si="20"/>
        <v>0.35</v>
      </c>
      <c r="AE163" s="76"/>
      <c r="AF163" s="76"/>
      <c r="AG163" s="76"/>
      <c r="AH163" s="97">
        <v>1</v>
      </c>
      <c r="AI163" s="97">
        <v>1</v>
      </c>
      <c r="AJ163" s="73"/>
      <c r="AK163" s="57"/>
      <c r="AL163" s="45"/>
      <c r="AM163" s="45"/>
      <c r="AN163" s="45"/>
    </row>
    <row r="164" spans="1:40" hidden="1" outlineLevel="2" collapsed="1" x14ac:dyDescent="0.25">
      <c r="A164" s="45"/>
      <c r="B164" s="54"/>
      <c r="C164" s="47">
        <f t="shared" si="19"/>
        <v>3</v>
      </c>
      <c r="D164" s="73"/>
      <c r="E164" s="70"/>
      <c r="F164" s="70" t="s">
        <v>599</v>
      </c>
      <c r="G164" s="73"/>
      <c r="H164" s="76" t="s">
        <v>600</v>
      </c>
      <c r="I164" s="96" t="s">
        <v>500</v>
      </c>
      <c r="J164" s="96"/>
      <c r="K164" s="97">
        <v>1</v>
      </c>
      <c r="L164" s="97">
        <v>1</v>
      </c>
      <c r="M164" s="97">
        <v>1</v>
      </c>
      <c r="N164" s="97">
        <v>1</v>
      </c>
      <c r="O164" s="97">
        <v>1</v>
      </c>
      <c r="P164" s="97">
        <v>1</v>
      </c>
      <c r="Q164" s="76"/>
      <c r="R164" s="76" t="s">
        <v>585</v>
      </c>
      <c r="S164" s="76" t="s">
        <v>585</v>
      </c>
      <c r="T164" s="76"/>
      <c r="U164" s="252">
        <f t="shared" si="20"/>
        <v>1</v>
      </c>
      <c r="V164" s="252">
        <f t="shared" si="20"/>
        <v>1</v>
      </c>
      <c r="W164" s="252">
        <f t="shared" si="20"/>
        <v>1</v>
      </c>
      <c r="X164" s="252">
        <f t="shared" si="20"/>
        <v>1</v>
      </c>
      <c r="Y164" s="252">
        <f t="shared" si="20"/>
        <v>1</v>
      </c>
      <c r="Z164" s="252">
        <f t="shared" si="20"/>
        <v>1</v>
      </c>
      <c r="AA164" s="252">
        <f t="shared" si="20"/>
        <v>1</v>
      </c>
      <c r="AB164" s="252">
        <f t="shared" si="20"/>
        <v>1</v>
      </c>
      <c r="AC164" s="252">
        <f t="shared" si="20"/>
        <v>1</v>
      </c>
      <c r="AD164" s="252">
        <f t="shared" si="20"/>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601</v>
      </c>
      <c r="G165" s="73"/>
      <c r="H165" s="76" t="s">
        <v>602</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603</v>
      </c>
      <c r="G166" s="73"/>
      <c r="H166" s="76" t="s">
        <v>602</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604</v>
      </c>
      <c r="G167" s="73"/>
      <c r="H167" s="76" t="s">
        <v>602</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605</v>
      </c>
      <c r="G168" s="73"/>
      <c r="H168" s="76" t="s">
        <v>602</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606</v>
      </c>
      <c r="G169" s="73"/>
      <c r="H169" s="76" t="s">
        <v>602</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607</v>
      </c>
      <c r="G170" s="73"/>
      <c r="H170" s="76" t="s">
        <v>608</v>
      </c>
      <c r="I170" s="96" t="s">
        <v>593</v>
      </c>
      <c r="J170" s="96"/>
      <c r="K170" s="97">
        <v>11.5</v>
      </c>
      <c r="L170" s="97">
        <v>11.5</v>
      </c>
      <c r="M170" s="97">
        <v>11.5</v>
      </c>
      <c r="N170" s="97">
        <v>11.5</v>
      </c>
      <c r="O170" s="97">
        <v>11.5</v>
      </c>
      <c r="P170" s="97">
        <v>11.5</v>
      </c>
      <c r="Q170" s="76"/>
      <c r="R170" s="76" t="s">
        <v>609</v>
      </c>
      <c r="S170" s="76"/>
      <c r="T170" s="76"/>
      <c r="U170" s="252">
        <f t="shared" ref="U170:AD172" si="21">INDEX($K170:$Q170,1,U$43)</f>
        <v>11.5</v>
      </c>
      <c r="V170" s="252">
        <f t="shared" si="21"/>
        <v>11.5</v>
      </c>
      <c r="W170" s="252">
        <f t="shared" si="21"/>
        <v>11.5</v>
      </c>
      <c r="X170" s="252">
        <f t="shared" si="21"/>
        <v>11.5</v>
      </c>
      <c r="Y170" s="252">
        <f t="shared" si="21"/>
        <v>11.5</v>
      </c>
      <c r="Z170" s="252">
        <f t="shared" si="21"/>
        <v>11.5</v>
      </c>
      <c r="AA170" s="252">
        <f t="shared" si="21"/>
        <v>11.5</v>
      </c>
      <c r="AB170" s="252">
        <f t="shared" si="21"/>
        <v>11.5</v>
      </c>
      <c r="AC170" s="252">
        <f t="shared" si="21"/>
        <v>11.5</v>
      </c>
      <c r="AD170" s="252">
        <f t="shared" si="21"/>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610</v>
      </c>
      <c r="G171" s="73"/>
      <c r="H171" s="76" t="s">
        <v>611</v>
      </c>
      <c r="I171" s="96" t="s">
        <v>593</v>
      </c>
      <c r="J171" s="96"/>
      <c r="K171" s="97">
        <v>0</v>
      </c>
      <c r="L171" s="97">
        <v>0</v>
      </c>
      <c r="M171" s="97">
        <v>0</v>
      </c>
      <c r="N171" s="97">
        <v>0</v>
      </c>
      <c r="O171" s="97">
        <v>0</v>
      </c>
      <c r="P171" s="97">
        <v>0</v>
      </c>
      <c r="Q171" s="76"/>
      <c r="R171" s="76" t="s">
        <v>612</v>
      </c>
      <c r="S171" s="76" t="s">
        <v>612</v>
      </c>
      <c r="T171" s="76"/>
      <c r="U171" s="252">
        <f t="shared" si="21"/>
        <v>0</v>
      </c>
      <c r="V171" s="252">
        <f t="shared" si="21"/>
        <v>0</v>
      </c>
      <c r="W171" s="252">
        <f t="shared" si="21"/>
        <v>0</v>
      </c>
      <c r="X171" s="252">
        <f t="shared" si="21"/>
        <v>0</v>
      </c>
      <c r="Y171" s="252">
        <f t="shared" si="21"/>
        <v>0</v>
      </c>
      <c r="Z171" s="252">
        <f t="shared" si="21"/>
        <v>0</v>
      </c>
      <c r="AA171" s="252">
        <f t="shared" si="21"/>
        <v>0</v>
      </c>
      <c r="AB171" s="252">
        <f t="shared" si="21"/>
        <v>0</v>
      </c>
      <c r="AC171" s="252">
        <f t="shared" si="21"/>
        <v>0</v>
      </c>
      <c r="AD171" s="252">
        <f t="shared" si="21"/>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613</v>
      </c>
      <c r="G172" s="73"/>
      <c r="H172" s="76" t="s">
        <v>614</v>
      </c>
      <c r="I172" s="96" t="s">
        <v>593</v>
      </c>
      <c r="J172" s="96"/>
      <c r="K172" s="97">
        <f t="shared" ref="K172:P172" si="22">K$151-(1/K$153)</f>
        <v>0.21176470588235297</v>
      </c>
      <c r="L172" s="97">
        <f t="shared" si="22"/>
        <v>0.21176470588235297</v>
      </c>
      <c r="M172" s="97">
        <f t="shared" si="22"/>
        <v>0.21176470588235297</v>
      </c>
      <c r="N172" s="97">
        <f t="shared" si="22"/>
        <v>0.21176470588235297</v>
      </c>
      <c r="O172" s="97">
        <f t="shared" si="22"/>
        <v>0.21176470588235297</v>
      </c>
      <c r="P172" s="97">
        <f t="shared" si="22"/>
        <v>0.21176470588235297</v>
      </c>
      <c r="Q172" s="76"/>
      <c r="R172" s="76" t="s">
        <v>615</v>
      </c>
      <c r="S172" s="76" t="s">
        <v>615</v>
      </c>
      <c r="T172" s="76"/>
      <c r="U172" s="252">
        <f t="shared" si="21"/>
        <v>0.21176470588235297</v>
      </c>
      <c r="V172" s="252">
        <f t="shared" si="21"/>
        <v>0.21176470588235297</v>
      </c>
      <c r="W172" s="252">
        <f t="shared" si="21"/>
        <v>0.21176470588235297</v>
      </c>
      <c r="X172" s="252">
        <f t="shared" si="21"/>
        <v>0.21176470588235297</v>
      </c>
      <c r="Y172" s="252">
        <f t="shared" si="21"/>
        <v>0.21176470588235297</v>
      </c>
      <c r="Z172" s="252">
        <f t="shared" si="21"/>
        <v>0.21176470588235297</v>
      </c>
      <c r="AA172" s="252">
        <f t="shared" si="21"/>
        <v>0.21176470588235297</v>
      </c>
      <c r="AB172" s="252">
        <f t="shared" si="21"/>
        <v>0.21176470588235297</v>
      </c>
      <c r="AC172" s="252">
        <f t="shared" si="21"/>
        <v>0.21176470588235297</v>
      </c>
      <c r="AD172" s="252">
        <f t="shared" si="21"/>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5" t="s">
        <v>616</v>
      </c>
      <c r="G173" s="73"/>
      <c r="H173" s="246" t="s">
        <v>617</v>
      </c>
      <c r="I173" s="96"/>
      <c r="J173" s="96" t="s">
        <v>517</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618</v>
      </c>
      <c r="F174" s="70" t="s">
        <v>619</v>
      </c>
      <c r="G174" s="73"/>
      <c r="H174" s="76" t="s">
        <v>493</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3">INT($C$29)+2</f>
        <v>3</v>
      </c>
      <c r="D175" s="73"/>
      <c r="E175" s="70"/>
      <c r="F175" s="70" t="s">
        <v>620</v>
      </c>
      <c r="G175" s="73"/>
      <c r="H175" s="76" t="s">
        <v>621</v>
      </c>
      <c r="I175" s="96" t="s">
        <v>500</v>
      </c>
      <c r="J175" s="96"/>
      <c r="K175" s="97">
        <v>0.5</v>
      </c>
      <c r="L175" s="97">
        <v>0.5</v>
      </c>
      <c r="M175" s="97">
        <v>0.5</v>
      </c>
      <c r="N175" s="97">
        <v>0.5</v>
      </c>
      <c r="O175" s="97">
        <v>0.5</v>
      </c>
      <c r="P175" s="97">
        <v>0.5</v>
      </c>
      <c r="Q175" s="76"/>
      <c r="R175" s="76" t="s">
        <v>2856</v>
      </c>
      <c r="S175" s="76" t="s">
        <v>2856</v>
      </c>
      <c r="T175" s="76"/>
      <c r="U175" s="252">
        <f t="shared" ref="U175:AD184" si="24">INDEX($K175:$Q175,1,U$43)</f>
        <v>0.5</v>
      </c>
      <c r="V175" s="252">
        <f t="shared" si="24"/>
        <v>0.5</v>
      </c>
      <c r="W175" s="252">
        <f t="shared" si="24"/>
        <v>0.5</v>
      </c>
      <c r="X175" s="252">
        <f t="shared" si="24"/>
        <v>0.5</v>
      </c>
      <c r="Y175" s="252">
        <f t="shared" si="24"/>
        <v>0.5</v>
      </c>
      <c r="Z175" s="252">
        <f t="shared" si="24"/>
        <v>0.5</v>
      </c>
      <c r="AA175" s="252">
        <f t="shared" si="24"/>
        <v>0.5</v>
      </c>
      <c r="AB175" s="252">
        <f t="shared" si="24"/>
        <v>0.5</v>
      </c>
      <c r="AC175" s="252">
        <f t="shared" si="24"/>
        <v>0.5</v>
      </c>
      <c r="AD175" s="252">
        <f t="shared" si="24"/>
        <v>0.5</v>
      </c>
      <c r="AE175" s="76"/>
      <c r="AF175" s="76"/>
      <c r="AG175" s="76"/>
      <c r="AH175" s="97">
        <v>1</v>
      </c>
      <c r="AI175" s="97">
        <v>1</v>
      </c>
      <c r="AJ175" s="73"/>
      <c r="AK175" s="57"/>
      <c r="AL175" s="45"/>
      <c r="AM175" s="45"/>
      <c r="AN175" s="45"/>
    </row>
    <row r="176" spans="1:40" hidden="1" outlineLevel="2" x14ac:dyDescent="0.25">
      <c r="A176" s="45"/>
      <c r="B176" s="54"/>
      <c r="C176" s="47">
        <f t="shared" si="23"/>
        <v>3</v>
      </c>
      <c r="D176" s="73"/>
      <c r="E176" s="70"/>
      <c r="F176" s="70" t="s">
        <v>622</v>
      </c>
      <c r="G176" s="73"/>
      <c r="H176" s="76" t="s">
        <v>623</v>
      </c>
      <c r="I176" s="96" t="s">
        <v>624</v>
      </c>
      <c r="J176" s="96"/>
      <c r="K176" s="97">
        <v>0.02</v>
      </c>
      <c r="L176" s="97">
        <v>0.02</v>
      </c>
      <c r="M176" s="97">
        <v>0.02</v>
      </c>
      <c r="N176" s="97">
        <v>0.02</v>
      </c>
      <c r="O176" s="97">
        <v>0.02</v>
      </c>
      <c r="P176" s="97">
        <v>0.02</v>
      </c>
      <c r="Q176" s="76"/>
      <c r="R176" s="76" t="s">
        <v>2856</v>
      </c>
      <c r="S176" s="76" t="s">
        <v>2856</v>
      </c>
      <c r="T176" s="76"/>
      <c r="U176" s="252">
        <f t="shared" si="24"/>
        <v>0.02</v>
      </c>
      <c r="V176" s="252">
        <f t="shared" si="24"/>
        <v>0.02</v>
      </c>
      <c r="W176" s="252">
        <f t="shared" si="24"/>
        <v>0.02</v>
      </c>
      <c r="X176" s="252">
        <f t="shared" si="24"/>
        <v>0.02</v>
      </c>
      <c r="Y176" s="252">
        <f t="shared" si="24"/>
        <v>0.02</v>
      </c>
      <c r="Z176" s="252">
        <f t="shared" si="24"/>
        <v>0.02</v>
      </c>
      <c r="AA176" s="252">
        <f t="shared" si="24"/>
        <v>0.02</v>
      </c>
      <c r="AB176" s="252">
        <f t="shared" si="24"/>
        <v>0.02</v>
      </c>
      <c r="AC176" s="252">
        <f t="shared" si="24"/>
        <v>0.02</v>
      </c>
      <c r="AD176" s="252">
        <f t="shared" si="24"/>
        <v>0.02</v>
      </c>
      <c r="AE176" s="76"/>
      <c r="AF176" s="76"/>
      <c r="AG176" s="76"/>
      <c r="AH176" s="97">
        <v>1</v>
      </c>
      <c r="AI176" s="97">
        <v>1</v>
      </c>
      <c r="AJ176" s="73"/>
      <c r="AK176" s="57"/>
      <c r="AL176" s="45"/>
      <c r="AM176" s="45"/>
      <c r="AN176" s="45"/>
    </row>
    <row r="177" spans="1:40" hidden="1" outlineLevel="2" x14ac:dyDescent="0.25">
      <c r="A177" s="45"/>
      <c r="B177" s="54"/>
      <c r="C177" s="47">
        <f t="shared" si="23"/>
        <v>3</v>
      </c>
      <c r="D177" s="73"/>
      <c r="E177" s="70"/>
      <c r="F177" s="70" t="s">
        <v>626</v>
      </c>
      <c r="G177" s="73"/>
      <c r="H177" s="76" t="s">
        <v>2855</v>
      </c>
      <c r="I177" s="96" t="s">
        <v>500</v>
      </c>
      <c r="J177" s="96"/>
      <c r="K177" s="97">
        <v>0.85</v>
      </c>
      <c r="L177" s="97">
        <v>0.85</v>
      </c>
      <c r="M177" s="97">
        <v>0.85</v>
      </c>
      <c r="N177" s="97">
        <v>0.85</v>
      </c>
      <c r="O177" s="97">
        <v>0.85</v>
      </c>
      <c r="P177" s="97">
        <v>0.85</v>
      </c>
      <c r="Q177" s="76"/>
      <c r="R177" s="76" t="s">
        <v>2856</v>
      </c>
      <c r="S177" s="76" t="s">
        <v>2856</v>
      </c>
      <c r="T177" s="76"/>
      <c r="U177" s="252">
        <f t="shared" si="24"/>
        <v>0.85</v>
      </c>
      <c r="V177" s="252">
        <f t="shared" si="24"/>
        <v>0.85</v>
      </c>
      <c r="W177" s="252">
        <f t="shared" si="24"/>
        <v>0.85</v>
      </c>
      <c r="X177" s="252">
        <f t="shared" si="24"/>
        <v>0.85</v>
      </c>
      <c r="Y177" s="252">
        <f t="shared" si="24"/>
        <v>0.85</v>
      </c>
      <c r="Z177" s="252">
        <f t="shared" si="24"/>
        <v>0.85</v>
      </c>
      <c r="AA177" s="252">
        <f t="shared" si="24"/>
        <v>0.85</v>
      </c>
      <c r="AB177" s="252">
        <f t="shared" si="24"/>
        <v>0.85</v>
      </c>
      <c r="AC177" s="252">
        <f t="shared" si="24"/>
        <v>0.85</v>
      </c>
      <c r="AD177" s="252">
        <f t="shared" si="24"/>
        <v>0.85</v>
      </c>
      <c r="AE177" s="76"/>
      <c r="AF177" s="76"/>
      <c r="AG177" s="76"/>
      <c r="AH177" s="97">
        <v>1</v>
      </c>
      <c r="AI177" s="97">
        <v>1</v>
      </c>
      <c r="AJ177" s="73"/>
      <c r="AK177" s="57"/>
      <c r="AL177" s="45"/>
      <c r="AM177" s="45"/>
      <c r="AN177" s="45"/>
    </row>
    <row r="178" spans="1:40" hidden="1" outlineLevel="2" x14ac:dyDescent="0.25">
      <c r="A178" s="45"/>
      <c r="B178" s="54"/>
      <c r="C178" s="47">
        <f t="shared" si="23"/>
        <v>3</v>
      </c>
      <c r="D178" s="73"/>
      <c r="E178" s="70"/>
      <c r="F178" s="70" t="s">
        <v>627</v>
      </c>
      <c r="G178" s="73"/>
      <c r="H178" s="76" t="s">
        <v>628</v>
      </c>
      <c r="I178" s="96" t="s">
        <v>572</v>
      </c>
      <c r="J178" s="96"/>
      <c r="K178" s="97">
        <v>0.7</v>
      </c>
      <c r="L178" s="97">
        <v>0.7</v>
      </c>
      <c r="M178" s="97">
        <v>0.7</v>
      </c>
      <c r="N178" s="97">
        <v>0.7</v>
      </c>
      <c r="O178" s="97">
        <v>0.7</v>
      </c>
      <c r="P178" s="97">
        <v>0.7</v>
      </c>
      <c r="Q178" s="76"/>
      <c r="R178" s="76" t="s">
        <v>2858</v>
      </c>
      <c r="S178" s="76" t="s">
        <v>2858</v>
      </c>
      <c r="T178" s="76"/>
      <c r="U178" s="252">
        <f t="shared" si="24"/>
        <v>0.7</v>
      </c>
      <c r="V178" s="252">
        <f t="shared" si="24"/>
        <v>0.7</v>
      </c>
      <c r="W178" s="252">
        <f t="shared" si="24"/>
        <v>0.7</v>
      </c>
      <c r="X178" s="252">
        <f t="shared" si="24"/>
        <v>0.7</v>
      </c>
      <c r="Y178" s="252">
        <f t="shared" si="24"/>
        <v>0.7</v>
      </c>
      <c r="Z178" s="252">
        <f t="shared" si="24"/>
        <v>0.7</v>
      </c>
      <c r="AA178" s="252">
        <f t="shared" si="24"/>
        <v>0.7</v>
      </c>
      <c r="AB178" s="252">
        <f t="shared" si="24"/>
        <v>0.7</v>
      </c>
      <c r="AC178" s="252">
        <f t="shared" si="24"/>
        <v>0.7</v>
      </c>
      <c r="AD178" s="252">
        <f t="shared" si="24"/>
        <v>0.7</v>
      </c>
      <c r="AE178" s="76"/>
      <c r="AF178" s="76"/>
      <c r="AG178" s="76"/>
      <c r="AH178" s="97">
        <v>1</v>
      </c>
      <c r="AI178" s="97">
        <v>1</v>
      </c>
      <c r="AJ178" s="73"/>
      <c r="AK178" s="57"/>
      <c r="AL178" s="45"/>
      <c r="AM178" s="45"/>
      <c r="AN178" s="45"/>
    </row>
    <row r="179" spans="1:40" hidden="1" outlineLevel="2" x14ac:dyDescent="0.25">
      <c r="A179" s="45"/>
      <c r="B179" s="54"/>
      <c r="C179" s="47">
        <f t="shared" si="23"/>
        <v>3</v>
      </c>
      <c r="D179" s="73"/>
      <c r="E179" s="70"/>
      <c r="F179" s="70" t="s">
        <v>629</v>
      </c>
      <c r="G179" s="73"/>
      <c r="H179" s="76" t="s">
        <v>630</v>
      </c>
      <c r="I179" s="96" t="s">
        <v>500</v>
      </c>
      <c r="J179" s="96"/>
      <c r="K179" s="97">
        <v>0.4</v>
      </c>
      <c r="L179" s="97">
        <v>0.4</v>
      </c>
      <c r="M179" s="97">
        <v>0.4</v>
      </c>
      <c r="N179" s="97">
        <v>0.4</v>
      </c>
      <c r="O179" s="97">
        <v>0.4</v>
      </c>
      <c r="P179" s="97">
        <v>0.4</v>
      </c>
      <c r="Q179" s="76"/>
      <c r="R179" s="76" t="s">
        <v>2856</v>
      </c>
      <c r="S179" s="76" t="s">
        <v>2856</v>
      </c>
      <c r="T179" s="76"/>
      <c r="U179" s="252">
        <f t="shared" si="24"/>
        <v>0.4</v>
      </c>
      <c r="V179" s="252">
        <f t="shared" si="24"/>
        <v>0.4</v>
      </c>
      <c r="W179" s="252">
        <f t="shared" si="24"/>
        <v>0.4</v>
      </c>
      <c r="X179" s="252">
        <f t="shared" si="24"/>
        <v>0.4</v>
      </c>
      <c r="Y179" s="252">
        <f t="shared" si="24"/>
        <v>0.4</v>
      </c>
      <c r="Z179" s="252">
        <f t="shared" si="24"/>
        <v>0.4</v>
      </c>
      <c r="AA179" s="252">
        <f t="shared" si="24"/>
        <v>0.4</v>
      </c>
      <c r="AB179" s="252">
        <f t="shared" si="24"/>
        <v>0.4</v>
      </c>
      <c r="AC179" s="252">
        <f t="shared" si="24"/>
        <v>0.4</v>
      </c>
      <c r="AD179" s="252">
        <f t="shared" si="24"/>
        <v>0.4</v>
      </c>
      <c r="AE179" s="76"/>
      <c r="AF179" s="76"/>
      <c r="AG179" s="76"/>
      <c r="AH179" s="97">
        <v>1</v>
      </c>
      <c r="AI179" s="97">
        <v>1</v>
      </c>
      <c r="AJ179" s="73"/>
      <c r="AK179" s="57"/>
      <c r="AL179" s="45"/>
      <c r="AM179" s="45"/>
      <c r="AN179" s="45"/>
    </row>
    <row r="180" spans="1:40" hidden="1" outlineLevel="2" x14ac:dyDescent="0.25">
      <c r="A180" s="45"/>
      <c r="B180" s="54"/>
      <c r="C180" s="47">
        <f t="shared" si="23"/>
        <v>3</v>
      </c>
      <c r="D180" s="73"/>
      <c r="E180" s="70"/>
      <c r="F180" s="70" t="s">
        <v>631</v>
      </c>
      <c r="G180" s="73"/>
      <c r="H180" s="76" t="s">
        <v>632</v>
      </c>
      <c r="I180" s="96" t="s">
        <v>624</v>
      </c>
      <c r="J180" s="96"/>
      <c r="K180" s="97">
        <v>0.02</v>
      </c>
      <c r="L180" s="97">
        <v>0.02</v>
      </c>
      <c r="M180" s="97">
        <v>0.02</v>
      </c>
      <c r="N180" s="97">
        <v>0.02</v>
      </c>
      <c r="O180" s="97">
        <v>0.02</v>
      </c>
      <c r="P180" s="97">
        <v>0.02</v>
      </c>
      <c r="Q180" s="76"/>
      <c r="R180" s="76" t="s">
        <v>2856</v>
      </c>
      <c r="S180" s="76" t="s">
        <v>2856</v>
      </c>
      <c r="T180" s="76"/>
      <c r="U180" s="252">
        <f t="shared" si="24"/>
        <v>0.02</v>
      </c>
      <c r="V180" s="252">
        <f t="shared" si="24"/>
        <v>0.02</v>
      </c>
      <c r="W180" s="252">
        <f t="shared" si="24"/>
        <v>0.02</v>
      </c>
      <c r="X180" s="252">
        <f t="shared" si="24"/>
        <v>0.02</v>
      </c>
      <c r="Y180" s="252">
        <f t="shared" si="24"/>
        <v>0.02</v>
      </c>
      <c r="Z180" s="252">
        <f t="shared" si="24"/>
        <v>0.02</v>
      </c>
      <c r="AA180" s="252">
        <f t="shared" si="24"/>
        <v>0.02</v>
      </c>
      <c r="AB180" s="252">
        <f t="shared" si="24"/>
        <v>0.02</v>
      </c>
      <c r="AC180" s="252">
        <f t="shared" si="24"/>
        <v>0.02</v>
      </c>
      <c r="AD180" s="252">
        <f t="shared" si="24"/>
        <v>0.02</v>
      </c>
      <c r="AE180" s="76"/>
      <c r="AF180" s="76"/>
      <c r="AG180" s="76"/>
      <c r="AH180" s="97">
        <v>1</v>
      </c>
      <c r="AI180" s="97">
        <v>1</v>
      </c>
      <c r="AJ180" s="73"/>
      <c r="AK180" s="57"/>
      <c r="AL180" s="45"/>
      <c r="AM180" s="45"/>
      <c r="AN180" s="45"/>
    </row>
    <row r="181" spans="1:40" hidden="1" outlineLevel="2" x14ac:dyDescent="0.25">
      <c r="A181" s="45"/>
      <c r="B181" s="54"/>
      <c r="C181" s="47">
        <f t="shared" si="23"/>
        <v>3</v>
      </c>
      <c r="D181" s="73"/>
      <c r="E181" s="70"/>
      <c r="F181" s="70" t="s">
        <v>633</v>
      </c>
      <c r="G181" s="73"/>
      <c r="H181" s="76" t="s">
        <v>634</v>
      </c>
      <c r="I181" s="96" t="s">
        <v>572</v>
      </c>
      <c r="J181" s="96"/>
      <c r="K181" s="97">
        <v>0.6</v>
      </c>
      <c r="L181" s="97">
        <v>0.6</v>
      </c>
      <c r="M181" s="97">
        <v>0.6</v>
      </c>
      <c r="N181" s="97">
        <v>0.6</v>
      </c>
      <c r="O181" s="97">
        <v>0.6</v>
      </c>
      <c r="P181" s="97">
        <v>0.6</v>
      </c>
      <c r="Q181" s="76"/>
      <c r="R181" s="76" t="s">
        <v>2859</v>
      </c>
      <c r="S181" s="76" t="s">
        <v>2859</v>
      </c>
      <c r="T181" s="76"/>
      <c r="U181" s="252">
        <f t="shared" si="24"/>
        <v>0.6</v>
      </c>
      <c r="V181" s="252">
        <f t="shared" si="24"/>
        <v>0.6</v>
      </c>
      <c r="W181" s="252">
        <f t="shared" si="24"/>
        <v>0.6</v>
      </c>
      <c r="X181" s="252">
        <f t="shared" si="24"/>
        <v>0.6</v>
      </c>
      <c r="Y181" s="252">
        <f t="shared" si="24"/>
        <v>0.6</v>
      </c>
      <c r="Z181" s="252">
        <f t="shared" si="24"/>
        <v>0.6</v>
      </c>
      <c r="AA181" s="252">
        <f t="shared" si="24"/>
        <v>0.6</v>
      </c>
      <c r="AB181" s="252">
        <f t="shared" si="24"/>
        <v>0.6</v>
      </c>
      <c r="AC181" s="252">
        <f t="shared" si="24"/>
        <v>0.6</v>
      </c>
      <c r="AD181" s="252">
        <f t="shared" si="24"/>
        <v>0.6</v>
      </c>
      <c r="AE181" s="76"/>
      <c r="AF181" s="76"/>
      <c r="AG181" s="76"/>
      <c r="AH181" s="97">
        <v>1</v>
      </c>
      <c r="AI181" s="97">
        <v>1</v>
      </c>
      <c r="AJ181" s="73"/>
      <c r="AK181" s="57"/>
      <c r="AL181" s="45"/>
      <c r="AM181" s="45"/>
      <c r="AN181" s="45"/>
    </row>
    <row r="182" spans="1:40" hidden="1" outlineLevel="2" x14ac:dyDescent="0.25">
      <c r="A182" s="45"/>
      <c r="B182" s="54"/>
      <c r="C182" s="47">
        <f t="shared" si="23"/>
        <v>3</v>
      </c>
      <c r="D182" s="73"/>
      <c r="E182" s="70"/>
      <c r="F182" s="70" t="s">
        <v>635</v>
      </c>
      <c r="G182" s="73"/>
      <c r="H182" s="76" t="s">
        <v>636</v>
      </c>
      <c r="I182" s="96" t="s">
        <v>572</v>
      </c>
      <c r="J182" s="96"/>
      <c r="K182" s="97">
        <v>0.13300000000000001</v>
      </c>
      <c r="L182" s="97">
        <v>0.13300000000000001</v>
      </c>
      <c r="M182" s="97">
        <v>0.13300000000000001</v>
      </c>
      <c r="N182" s="97">
        <v>0.13300000000000001</v>
      </c>
      <c r="O182" s="97">
        <v>0.13300000000000001</v>
      </c>
      <c r="P182" s="97">
        <v>0.13300000000000001</v>
      </c>
      <c r="Q182" s="76"/>
      <c r="R182" s="76" t="s">
        <v>2856</v>
      </c>
      <c r="S182" s="76" t="s">
        <v>2856</v>
      </c>
      <c r="T182" s="76"/>
      <c r="U182" s="252">
        <f t="shared" si="24"/>
        <v>0.13300000000000001</v>
      </c>
      <c r="V182" s="252">
        <f t="shared" si="24"/>
        <v>0.13300000000000001</v>
      </c>
      <c r="W182" s="252">
        <f t="shared" si="24"/>
        <v>0.13300000000000001</v>
      </c>
      <c r="X182" s="252">
        <f t="shared" si="24"/>
        <v>0.13300000000000001</v>
      </c>
      <c r="Y182" s="252">
        <f t="shared" si="24"/>
        <v>0.13300000000000001</v>
      </c>
      <c r="Z182" s="252">
        <f t="shared" si="24"/>
        <v>0.13300000000000001</v>
      </c>
      <c r="AA182" s="252">
        <f t="shared" si="24"/>
        <v>0.13300000000000001</v>
      </c>
      <c r="AB182" s="252">
        <f t="shared" si="24"/>
        <v>0.13300000000000001</v>
      </c>
      <c r="AC182" s="252">
        <f t="shared" si="24"/>
        <v>0.13300000000000001</v>
      </c>
      <c r="AD182" s="252">
        <f t="shared" si="24"/>
        <v>0.13300000000000001</v>
      </c>
      <c r="AE182" s="76"/>
      <c r="AF182" s="76"/>
      <c r="AG182" s="76"/>
      <c r="AH182" s="97">
        <v>1</v>
      </c>
      <c r="AI182" s="97">
        <v>1</v>
      </c>
      <c r="AJ182" s="73"/>
      <c r="AK182" s="57"/>
      <c r="AL182" s="45"/>
      <c r="AM182" s="45"/>
      <c r="AN182" s="45"/>
    </row>
    <row r="183" spans="1:40" hidden="1" outlineLevel="2" x14ac:dyDescent="0.25">
      <c r="A183" s="45"/>
      <c r="B183" s="54"/>
      <c r="C183" s="47">
        <f t="shared" si="23"/>
        <v>3</v>
      </c>
      <c r="D183" s="73"/>
      <c r="E183" s="70"/>
      <c r="F183" s="70" t="s">
        <v>637</v>
      </c>
      <c r="G183" s="73"/>
      <c r="H183" s="76" t="s">
        <v>638</v>
      </c>
      <c r="I183" s="96" t="s">
        <v>500</v>
      </c>
      <c r="J183" s="96"/>
      <c r="K183" s="97">
        <v>0.95</v>
      </c>
      <c r="L183" s="97">
        <v>0.95</v>
      </c>
      <c r="M183" s="97">
        <v>0.95</v>
      </c>
      <c r="N183" s="97">
        <v>0.95</v>
      </c>
      <c r="O183" s="97">
        <v>0.95</v>
      </c>
      <c r="P183" s="97">
        <v>0.95</v>
      </c>
      <c r="Q183" s="76"/>
      <c r="R183" s="76" t="s">
        <v>2856</v>
      </c>
      <c r="S183" s="76" t="s">
        <v>2856</v>
      </c>
      <c r="T183" s="76"/>
      <c r="U183" s="252">
        <f t="shared" si="24"/>
        <v>0.95</v>
      </c>
      <c r="V183" s="252">
        <f t="shared" si="24"/>
        <v>0.95</v>
      </c>
      <c r="W183" s="252">
        <f t="shared" si="24"/>
        <v>0.95</v>
      </c>
      <c r="X183" s="252">
        <f t="shared" si="24"/>
        <v>0.95</v>
      </c>
      <c r="Y183" s="252">
        <f t="shared" si="24"/>
        <v>0.95</v>
      </c>
      <c r="Z183" s="252">
        <f t="shared" si="24"/>
        <v>0.95</v>
      </c>
      <c r="AA183" s="252">
        <f t="shared" si="24"/>
        <v>0.95</v>
      </c>
      <c r="AB183" s="252">
        <f t="shared" si="24"/>
        <v>0.95</v>
      </c>
      <c r="AC183" s="252">
        <f t="shared" si="24"/>
        <v>0.95</v>
      </c>
      <c r="AD183" s="252">
        <f t="shared" si="24"/>
        <v>0.95</v>
      </c>
      <c r="AE183" s="76"/>
      <c r="AF183" s="76"/>
      <c r="AG183" s="76"/>
      <c r="AH183" s="97">
        <v>1</v>
      </c>
      <c r="AI183" s="97">
        <v>1</v>
      </c>
      <c r="AJ183" s="73"/>
      <c r="AK183" s="57"/>
      <c r="AL183" s="45"/>
      <c r="AM183" s="45"/>
      <c r="AN183" s="45"/>
    </row>
    <row r="184" spans="1:40" hidden="1" outlineLevel="2" x14ac:dyDescent="0.25">
      <c r="A184" s="45"/>
      <c r="B184" s="54"/>
      <c r="C184" s="47">
        <f t="shared" si="23"/>
        <v>3</v>
      </c>
      <c r="D184" s="73"/>
      <c r="E184" s="70"/>
      <c r="F184" s="70" t="s">
        <v>639</v>
      </c>
      <c r="G184" s="73"/>
      <c r="H184" s="76" t="s">
        <v>640</v>
      </c>
      <c r="I184" s="96" t="s">
        <v>572</v>
      </c>
      <c r="J184" s="96"/>
      <c r="K184" s="97">
        <v>0.84</v>
      </c>
      <c r="L184" s="97">
        <v>0.84</v>
      </c>
      <c r="M184" s="97">
        <v>0.84</v>
      </c>
      <c r="N184" s="97">
        <v>0.84</v>
      </c>
      <c r="O184" s="97">
        <v>0.84</v>
      </c>
      <c r="P184" s="97">
        <v>0.84</v>
      </c>
      <c r="Q184" s="76"/>
      <c r="R184" s="76" t="s">
        <v>2856</v>
      </c>
      <c r="S184" s="76" t="s">
        <v>2856</v>
      </c>
      <c r="T184" s="76"/>
      <c r="U184" s="252">
        <f t="shared" si="24"/>
        <v>0.84</v>
      </c>
      <c r="V184" s="252">
        <f t="shared" si="24"/>
        <v>0.84</v>
      </c>
      <c r="W184" s="252">
        <f t="shared" si="24"/>
        <v>0.84</v>
      </c>
      <c r="X184" s="252">
        <f t="shared" si="24"/>
        <v>0.84</v>
      </c>
      <c r="Y184" s="252">
        <f t="shared" si="24"/>
        <v>0.84</v>
      </c>
      <c r="Z184" s="252">
        <f t="shared" si="24"/>
        <v>0.84</v>
      </c>
      <c r="AA184" s="252">
        <f t="shared" si="24"/>
        <v>0.84</v>
      </c>
      <c r="AB184" s="252">
        <f t="shared" si="24"/>
        <v>0.84</v>
      </c>
      <c r="AC184" s="252">
        <f t="shared" si="24"/>
        <v>0.84</v>
      </c>
      <c r="AD184" s="252">
        <f t="shared" si="24"/>
        <v>0.84</v>
      </c>
      <c r="AE184" s="76"/>
      <c r="AF184" s="76"/>
      <c r="AG184" s="76"/>
      <c r="AH184" s="97">
        <v>1</v>
      </c>
      <c r="AI184" s="97">
        <v>1</v>
      </c>
      <c r="AJ184" s="73"/>
      <c r="AK184" s="57"/>
      <c r="AL184" s="45"/>
      <c r="AM184" s="45"/>
      <c r="AN184" s="45"/>
    </row>
    <row r="185" spans="1:40" hidden="1" outlineLevel="2" x14ac:dyDescent="0.25">
      <c r="A185" s="45"/>
      <c r="B185" s="54"/>
      <c r="C185" s="47">
        <f t="shared" si="23"/>
        <v>3</v>
      </c>
      <c r="D185" s="73"/>
      <c r="E185" s="70"/>
      <c r="F185" s="70" t="s">
        <v>641</v>
      </c>
      <c r="G185" s="73"/>
      <c r="H185" s="76" t="s">
        <v>642</v>
      </c>
      <c r="I185" s="96" t="s">
        <v>572</v>
      </c>
      <c r="J185" s="96"/>
      <c r="K185" s="97">
        <v>0.8</v>
      </c>
      <c r="L185" s="97">
        <v>0.8</v>
      </c>
      <c r="M185" s="97">
        <v>0.8</v>
      </c>
      <c r="N185" s="97">
        <v>0.8</v>
      </c>
      <c r="O185" s="97">
        <v>0.8</v>
      </c>
      <c r="P185" s="97">
        <v>0.8</v>
      </c>
      <c r="Q185" s="76"/>
      <c r="R185" s="76" t="s">
        <v>2856</v>
      </c>
      <c r="S185" s="76" t="s">
        <v>2856</v>
      </c>
      <c r="T185" s="76"/>
      <c r="U185" s="252">
        <f t="shared" ref="U185:AD194" si="25">INDEX($K185:$Q185,1,U$43)</f>
        <v>0.8</v>
      </c>
      <c r="V185" s="252">
        <f t="shared" si="25"/>
        <v>0.8</v>
      </c>
      <c r="W185" s="252">
        <f t="shared" si="25"/>
        <v>0.8</v>
      </c>
      <c r="X185" s="252">
        <f t="shared" si="25"/>
        <v>0.8</v>
      </c>
      <c r="Y185" s="252">
        <f t="shared" si="25"/>
        <v>0.8</v>
      </c>
      <c r="Z185" s="252">
        <f t="shared" si="25"/>
        <v>0.8</v>
      </c>
      <c r="AA185" s="252">
        <f t="shared" si="25"/>
        <v>0.8</v>
      </c>
      <c r="AB185" s="252">
        <f t="shared" si="25"/>
        <v>0.8</v>
      </c>
      <c r="AC185" s="252">
        <f t="shared" si="25"/>
        <v>0.8</v>
      </c>
      <c r="AD185" s="252">
        <f t="shared" si="25"/>
        <v>0.8</v>
      </c>
      <c r="AE185" s="76"/>
      <c r="AF185" s="76"/>
      <c r="AG185" s="76"/>
      <c r="AH185" s="97">
        <v>1</v>
      </c>
      <c r="AI185" s="97">
        <v>1</v>
      </c>
      <c r="AJ185" s="73"/>
      <c r="AK185" s="57"/>
      <c r="AL185" s="45"/>
      <c r="AM185" s="45"/>
      <c r="AN185" s="45"/>
    </row>
    <row r="186" spans="1:40" hidden="1" outlineLevel="2" x14ac:dyDescent="0.25">
      <c r="A186" s="45"/>
      <c r="B186" s="54"/>
      <c r="C186" s="47">
        <f t="shared" si="23"/>
        <v>3</v>
      </c>
      <c r="D186" s="73"/>
      <c r="E186" s="70"/>
      <c r="F186" s="70" t="s">
        <v>643</v>
      </c>
      <c r="G186" s="73"/>
      <c r="H186" s="76" t="s">
        <v>2857</v>
      </c>
      <c r="I186" s="96" t="s">
        <v>500</v>
      </c>
      <c r="J186" s="96"/>
      <c r="K186" s="97">
        <v>0.7</v>
      </c>
      <c r="L186" s="97">
        <v>0.7</v>
      </c>
      <c r="M186" s="97">
        <v>0.7</v>
      </c>
      <c r="N186" s="97">
        <v>0.7</v>
      </c>
      <c r="O186" s="97">
        <v>0.7</v>
      </c>
      <c r="P186" s="97">
        <v>0.7</v>
      </c>
      <c r="Q186" s="76"/>
      <c r="R186" s="76" t="s">
        <v>2856</v>
      </c>
      <c r="S186" s="76" t="s">
        <v>2856</v>
      </c>
      <c r="T186" s="76"/>
      <c r="U186" s="252">
        <f t="shared" si="25"/>
        <v>0.7</v>
      </c>
      <c r="V186" s="252">
        <f t="shared" si="25"/>
        <v>0.7</v>
      </c>
      <c r="W186" s="252">
        <f t="shared" si="25"/>
        <v>0.7</v>
      </c>
      <c r="X186" s="252">
        <f t="shared" si="25"/>
        <v>0.7</v>
      </c>
      <c r="Y186" s="252">
        <f t="shared" si="25"/>
        <v>0.7</v>
      </c>
      <c r="Z186" s="252">
        <f t="shared" si="25"/>
        <v>0.7</v>
      </c>
      <c r="AA186" s="252">
        <f t="shared" si="25"/>
        <v>0.7</v>
      </c>
      <c r="AB186" s="252">
        <f t="shared" si="25"/>
        <v>0.7</v>
      </c>
      <c r="AC186" s="252">
        <f t="shared" si="25"/>
        <v>0.7</v>
      </c>
      <c r="AD186" s="252">
        <f t="shared" si="25"/>
        <v>0.7</v>
      </c>
      <c r="AE186" s="76"/>
      <c r="AF186" s="76"/>
      <c r="AG186" s="76"/>
      <c r="AH186" s="97">
        <v>1</v>
      </c>
      <c r="AI186" s="97">
        <v>1</v>
      </c>
      <c r="AJ186" s="73"/>
      <c r="AK186" s="57"/>
      <c r="AL186" s="45"/>
      <c r="AM186" s="45"/>
      <c r="AN186" s="45"/>
    </row>
    <row r="187" spans="1:40" hidden="1" outlineLevel="2" x14ac:dyDescent="0.25">
      <c r="A187" s="45"/>
      <c r="B187" s="54"/>
      <c r="C187" s="47">
        <f t="shared" si="23"/>
        <v>3</v>
      </c>
      <c r="D187" s="73"/>
      <c r="E187" s="70"/>
      <c r="F187" s="70" t="s">
        <v>644</v>
      </c>
      <c r="G187" s="73"/>
      <c r="H187" s="76" t="s">
        <v>645</v>
      </c>
      <c r="I187" s="96" t="s">
        <v>624</v>
      </c>
      <c r="J187" s="96"/>
      <c r="K187" s="97">
        <v>3.5000000000000003E-2</v>
      </c>
      <c r="L187" s="97">
        <v>3.5000000000000003E-2</v>
      </c>
      <c r="M187" s="97">
        <v>3.5000000000000003E-2</v>
      </c>
      <c r="N187" s="97">
        <v>3.5000000000000003E-2</v>
      </c>
      <c r="O187" s="97">
        <v>3.5000000000000003E-2</v>
      </c>
      <c r="P187" s="97">
        <v>3.5000000000000003E-2</v>
      </c>
      <c r="Q187" s="76"/>
      <c r="R187" s="76" t="s">
        <v>2856</v>
      </c>
      <c r="S187" s="76" t="s">
        <v>2856</v>
      </c>
      <c r="T187" s="76"/>
      <c r="U187" s="252">
        <f t="shared" si="25"/>
        <v>3.5000000000000003E-2</v>
      </c>
      <c r="V187" s="252">
        <f t="shared" si="25"/>
        <v>3.5000000000000003E-2</v>
      </c>
      <c r="W187" s="252">
        <f t="shared" si="25"/>
        <v>3.5000000000000003E-2</v>
      </c>
      <c r="X187" s="252">
        <f t="shared" si="25"/>
        <v>3.5000000000000003E-2</v>
      </c>
      <c r="Y187" s="252">
        <f t="shared" si="25"/>
        <v>3.5000000000000003E-2</v>
      </c>
      <c r="Z187" s="252">
        <f t="shared" si="25"/>
        <v>3.5000000000000003E-2</v>
      </c>
      <c r="AA187" s="252">
        <f t="shared" si="25"/>
        <v>3.5000000000000003E-2</v>
      </c>
      <c r="AB187" s="252">
        <f t="shared" si="25"/>
        <v>3.5000000000000003E-2</v>
      </c>
      <c r="AC187" s="252">
        <f t="shared" si="25"/>
        <v>3.5000000000000003E-2</v>
      </c>
      <c r="AD187" s="252">
        <f t="shared" si="25"/>
        <v>3.5000000000000003E-2</v>
      </c>
      <c r="AE187" s="76"/>
      <c r="AF187" s="76"/>
      <c r="AG187" s="76"/>
      <c r="AH187" s="97">
        <v>1</v>
      </c>
      <c r="AI187" s="97">
        <v>1</v>
      </c>
      <c r="AJ187" s="73"/>
      <c r="AK187" s="57"/>
      <c r="AL187" s="45"/>
      <c r="AM187" s="45"/>
      <c r="AN187" s="45"/>
    </row>
    <row r="188" spans="1:40" hidden="1" outlineLevel="2" x14ac:dyDescent="0.25">
      <c r="A188" s="45"/>
      <c r="B188" s="54"/>
      <c r="C188" s="47">
        <f t="shared" si="23"/>
        <v>3</v>
      </c>
      <c r="D188" s="73"/>
      <c r="E188" s="70"/>
      <c r="F188" s="70" t="s">
        <v>646</v>
      </c>
      <c r="G188" s="73"/>
      <c r="H188" s="76" t="s">
        <v>645</v>
      </c>
      <c r="I188" s="96" t="s">
        <v>624</v>
      </c>
      <c r="J188" s="96"/>
      <c r="K188" s="97">
        <v>0.33</v>
      </c>
      <c r="L188" s="97">
        <v>0.33</v>
      </c>
      <c r="M188" s="97">
        <v>0.33</v>
      </c>
      <c r="N188" s="97">
        <v>0.33</v>
      </c>
      <c r="O188" s="97">
        <v>0.33</v>
      </c>
      <c r="P188" s="97">
        <v>0.33</v>
      </c>
      <c r="Q188" s="76"/>
      <c r="R188" s="76" t="s">
        <v>2856</v>
      </c>
      <c r="S188" s="76" t="s">
        <v>2856</v>
      </c>
      <c r="T188" s="76"/>
      <c r="U188" s="252">
        <f t="shared" si="25"/>
        <v>0.33</v>
      </c>
      <c r="V188" s="252">
        <f t="shared" si="25"/>
        <v>0.33</v>
      </c>
      <c r="W188" s="252">
        <f t="shared" si="25"/>
        <v>0.33</v>
      </c>
      <c r="X188" s="252">
        <f t="shared" si="25"/>
        <v>0.33</v>
      </c>
      <c r="Y188" s="252">
        <f t="shared" si="25"/>
        <v>0.33</v>
      </c>
      <c r="Z188" s="252">
        <f t="shared" si="25"/>
        <v>0.33</v>
      </c>
      <c r="AA188" s="252">
        <f t="shared" si="25"/>
        <v>0.33</v>
      </c>
      <c r="AB188" s="252">
        <f t="shared" si="25"/>
        <v>0.33</v>
      </c>
      <c r="AC188" s="252">
        <f t="shared" si="25"/>
        <v>0.33</v>
      </c>
      <c r="AD188" s="252">
        <f t="shared" si="25"/>
        <v>0.33</v>
      </c>
      <c r="AE188" s="76"/>
      <c r="AF188" s="76"/>
      <c r="AG188" s="76"/>
      <c r="AH188" s="97">
        <v>1</v>
      </c>
      <c r="AI188" s="97">
        <v>1</v>
      </c>
      <c r="AJ188" s="73"/>
      <c r="AK188" s="57"/>
      <c r="AL188" s="45"/>
      <c r="AM188" s="45"/>
      <c r="AN188" s="45"/>
    </row>
    <row r="189" spans="1:40" hidden="1" outlineLevel="2" x14ac:dyDescent="0.25">
      <c r="A189" s="45"/>
      <c r="B189" s="54"/>
      <c r="C189" s="47">
        <f t="shared" si="23"/>
        <v>3</v>
      </c>
      <c r="D189" s="73"/>
      <c r="E189" s="70"/>
      <c r="F189" s="70" t="s">
        <v>647</v>
      </c>
      <c r="G189" s="73"/>
      <c r="H189" s="76" t="s">
        <v>648</v>
      </c>
      <c r="I189" s="96" t="s">
        <v>624</v>
      </c>
      <c r="J189" s="96"/>
      <c r="K189" s="97">
        <v>0.12</v>
      </c>
      <c r="L189" s="97">
        <v>0.12</v>
      </c>
      <c r="M189" s="97">
        <v>0.12</v>
      </c>
      <c r="N189" s="97">
        <v>0.12</v>
      </c>
      <c r="O189" s="97">
        <v>0.12</v>
      </c>
      <c r="P189" s="97">
        <v>0.12</v>
      </c>
      <c r="Q189" s="76"/>
      <c r="R189" s="76" t="s">
        <v>2856</v>
      </c>
      <c r="S189" s="76" t="s">
        <v>2856</v>
      </c>
      <c r="T189" s="76"/>
      <c r="U189" s="252">
        <f t="shared" si="25"/>
        <v>0.12</v>
      </c>
      <c r="V189" s="252">
        <f t="shared" si="25"/>
        <v>0.12</v>
      </c>
      <c r="W189" s="252">
        <f t="shared" si="25"/>
        <v>0.12</v>
      </c>
      <c r="X189" s="252">
        <f t="shared" si="25"/>
        <v>0.12</v>
      </c>
      <c r="Y189" s="252">
        <f t="shared" si="25"/>
        <v>0.12</v>
      </c>
      <c r="Z189" s="252">
        <f t="shared" si="25"/>
        <v>0.12</v>
      </c>
      <c r="AA189" s="252">
        <f t="shared" si="25"/>
        <v>0.12</v>
      </c>
      <c r="AB189" s="252">
        <f t="shared" si="25"/>
        <v>0.12</v>
      </c>
      <c r="AC189" s="252">
        <f t="shared" si="25"/>
        <v>0.12</v>
      </c>
      <c r="AD189" s="252">
        <f t="shared" si="25"/>
        <v>0.12</v>
      </c>
      <c r="AE189" s="76"/>
      <c r="AF189" s="76"/>
      <c r="AG189" s="76"/>
      <c r="AH189" s="97">
        <v>1</v>
      </c>
      <c r="AI189" s="97">
        <v>1</v>
      </c>
      <c r="AJ189" s="73"/>
      <c r="AK189" s="57"/>
      <c r="AL189" s="45"/>
      <c r="AM189" s="45"/>
      <c r="AN189" s="45"/>
    </row>
    <row r="190" spans="1:40" hidden="1" outlineLevel="2" x14ac:dyDescent="0.25">
      <c r="A190" s="45"/>
      <c r="B190" s="54"/>
      <c r="C190" s="47">
        <f t="shared" si="23"/>
        <v>3</v>
      </c>
      <c r="D190" s="73"/>
      <c r="E190" s="70"/>
      <c r="F190" s="70" t="s">
        <v>649</v>
      </c>
      <c r="G190" s="73"/>
      <c r="H190" s="76" t="s">
        <v>650</v>
      </c>
      <c r="I190" s="96" t="s">
        <v>624</v>
      </c>
      <c r="J190" s="96"/>
      <c r="K190" s="97">
        <v>4.2999999999999997E-2</v>
      </c>
      <c r="L190" s="97">
        <v>4.2999999999999997E-2</v>
      </c>
      <c r="M190" s="97">
        <v>4.2999999999999997E-2</v>
      </c>
      <c r="N190" s="97">
        <v>4.2999999999999997E-2</v>
      </c>
      <c r="O190" s="97">
        <v>4.2999999999999997E-2</v>
      </c>
      <c r="P190" s="97">
        <v>4.2999999999999997E-2</v>
      </c>
      <c r="Q190" s="76"/>
      <c r="R190" s="76" t="s">
        <v>2856</v>
      </c>
      <c r="S190" s="76" t="s">
        <v>2856</v>
      </c>
      <c r="T190" s="76"/>
      <c r="U190" s="252">
        <f t="shared" si="25"/>
        <v>4.2999999999999997E-2</v>
      </c>
      <c r="V190" s="252">
        <f t="shared" si="25"/>
        <v>4.2999999999999997E-2</v>
      </c>
      <c r="W190" s="252">
        <f t="shared" si="25"/>
        <v>4.2999999999999997E-2</v>
      </c>
      <c r="X190" s="252">
        <f t="shared" si="25"/>
        <v>4.2999999999999997E-2</v>
      </c>
      <c r="Y190" s="252">
        <f t="shared" si="25"/>
        <v>4.2999999999999997E-2</v>
      </c>
      <c r="Z190" s="252">
        <f t="shared" si="25"/>
        <v>4.2999999999999997E-2</v>
      </c>
      <c r="AA190" s="252">
        <f t="shared" si="25"/>
        <v>4.2999999999999997E-2</v>
      </c>
      <c r="AB190" s="252">
        <f t="shared" si="25"/>
        <v>4.2999999999999997E-2</v>
      </c>
      <c r="AC190" s="252">
        <f t="shared" si="25"/>
        <v>4.2999999999999997E-2</v>
      </c>
      <c r="AD190" s="252">
        <f t="shared" si="25"/>
        <v>4.2999999999999997E-2</v>
      </c>
      <c r="AE190" s="76"/>
      <c r="AF190" s="76"/>
      <c r="AG190" s="76"/>
      <c r="AH190" s="97">
        <v>1</v>
      </c>
      <c r="AI190" s="97">
        <v>1</v>
      </c>
      <c r="AJ190" s="73"/>
      <c r="AK190" s="57"/>
      <c r="AL190" s="45"/>
      <c r="AM190" s="45"/>
      <c r="AN190" s="45"/>
    </row>
    <row r="191" spans="1:40" hidden="1" outlineLevel="2" x14ac:dyDescent="0.25">
      <c r="A191" s="45"/>
      <c r="B191" s="54"/>
      <c r="C191" s="47">
        <f t="shared" si="23"/>
        <v>3</v>
      </c>
      <c r="D191" s="73"/>
      <c r="E191" s="70"/>
      <c r="F191" s="70" t="s">
        <v>651</v>
      </c>
      <c r="G191" s="73"/>
      <c r="H191" s="76" t="s">
        <v>3278</v>
      </c>
      <c r="I191" s="96" t="s">
        <v>624</v>
      </c>
      <c r="J191" s="96"/>
      <c r="K191" s="97">
        <v>0.43</v>
      </c>
      <c r="L191" s="97">
        <v>0.43</v>
      </c>
      <c r="M191" s="76"/>
      <c r="N191" s="76"/>
      <c r="O191" s="76"/>
      <c r="P191" s="76"/>
      <c r="Q191" s="76"/>
      <c r="R191" s="76" t="s">
        <v>2856</v>
      </c>
      <c r="S191" s="76"/>
      <c r="T191" s="76"/>
      <c r="U191" s="252">
        <f t="shared" si="25"/>
        <v>0.43</v>
      </c>
      <c r="V191" s="252">
        <f t="shared" si="25"/>
        <v>0.43</v>
      </c>
      <c r="W191" s="252">
        <f t="shared" si="25"/>
        <v>0.43</v>
      </c>
      <c r="X191" s="252">
        <f t="shared" si="25"/>
        <v>0.43</v>
      </c>
      <c r="Y191" s="252">
        <f t="shared" si="25"/>
        <v>0.43</v>
      </c>
      <c r="Z191" s="252">
        <f t="shared" si="25"/>
        <v>0.43</v>
      </c>
      <c r="AA191" s="252">
        <f t="shared" si="25"/>
        <v>0.43</v>
      </c>
      <c r="AB191" s="252">
        <f t="shared" si="25"/>
        <v>0.43</v>
      </c>
      <c r="AC191" s="252">
        <f t="shared" si="25"/>
        <v>0.43</v>
      </c>
      <c r="AD191" s="252">
        <f t="shared" si="25"/>
        <v>0.43</v>
      </c>
      <c r="AE191" s="76"/>
      <c r="AF191" s="76"/>
      <c r="AG191" s="76"/>
      <c r="AH191" s="97">
        <v>1</v>
      </c>
      <c r="AI191" s="97">
        <v>1</v>
      </c>
      <c r="AJ191" s="73"/>
      <c r="AK191" s="57"/>
      <c r="AL191" s="45"/>
      <c r="AM191" s="45"/>
      <c r="AN191" s="45"/>
    </row>
    <row r="192" spans="1:40" hidden="1" outlineLevel="2" x14ac:dyDescent="0.25">
      <c r="A192" s="45"/>
      <c r="B192" s="54"/>
      <c r="C192" s="47">
        <f t="shared" si="23"/>
        <v>3</v>
      </c>
      <c r="D192" s="73"/>
      <c r="E192" s="70"/>
      <c r="F192" s="70" t="s">
        <v>2842</v>
      </c>
      <c r="G192" s="73"/>
      <c r="H192" s="76" t="s">
        <v>3226</v>
      </c>
      <c r="I192" s="96" t="s">
        <v>2854</v>
      </c>
      <c r="J192" s="96"/>
      <c r="K192" s="97">
        <v>8.9999999999999993E-3</v>
      </c>
      <c r="L192" s="97">
        <v>8.9999999999999993E-3</v>
      </c>
      <c r="M192" s="97">
        <v>8.9999999999999993E-3</v>
      </c>
      <c r="N192" s="97">
        <v>8.9999999999999993E-3</v>
      </c>
      <c r="O192" s="97">
        <v>8.9999999999999993E-3</v>
      </c>
      <c r="P192" s="97">
        <v>8.9999999999999993E-3</v>
      </c>
      <c r="Q192" s="76"/>
      <c r="R192" s="76" t="s">
        <v>3223</v>
      </c>
      <c r="S192" s="76" t="s">
        <v>3223</v>
      </c>
      <c r="T192" s="76"/>
      <c r="U192" s="252">
        <f t="shared" si="25"/>
        <v>8.9999999999999993E-3</v>
      </c>
      <c r="V192" s="252">
        <f t="shared" si="25"/>
        <v>8.9999999999999993E-3</v>
      </c>
      <c r="W192" s="252">
        <f t="shared" si="25"/>
        <v>8.9999999999999993E-3</v>
      </c>
      <c r="X192" s="252">
        <f t="shared" si="25"/>
        <v>8.9999999999999993E-3</v>
      </c>
      <c r="Y192" s="252">
        <f t="shared" si="25"/>
        <v>8.9999999999999993E-3</v>
      </c>
      <c r="Z192" s="252">
        <f t="shared" si="25"/>
        <v>8.9999999999999993E-3</v>
      </c>
      <c r="AA192" s="252">
        <f t="shared" si="25"/>
        <v>8.9999999999999993E-3</v>
      </c>
      <c r="AB192" s="252">
        <f t="shared" si="25"/>
        <v>8.9999999999999993E-3</v>
      </c>
      <c r="AC192" s="252">
        <f t="shared" si="25"/>
        <v>8.9999999999999993E-3</v>
      </c>
      <c r="AD192" s="252">
        <f t="shared" si="25"/>
        <v>8.9999999999999993E-3</v>
      </c>
      <c r="AE192" s="76"/>
      <c r="AF192" s="76"/>
      <c r="AG192" s="76"/>
      <c r="AH192" s="97">
        <v>1</v>
      </c>
      <c r="AI192" s="97">
        <v>1</v>
      </c>
      <c r="AJ192" s="73"/>
      <c r="AK192" s="57"/>
      <c r="AL192" s="45"/>
      <c r="AM192" s="45"/>
      <c r="AN192" s="45"/>
    </row>
    <row r="193" spans="1:40" hidden="1" outlineLevel="2" x14ac:dyDescent="0.25">
      <c r="A193" s="45"/>
      <c r="B193" s="54"/>
      <c r="C193" s="47">
        <f t="shared" si="23"/>
        <v>3</v>
      </c>
      <c r="D193" s="73"/>
      <c r="E193" s="70"/>
      <c r="F193" s="70" t="s">
        <v>2843</v>
      </c>
      <c r="G193" s="73"/>
      <c r="H193" s="76" t="s">
        <v>3227</v>
      </c>
      <c r="I193" s="96" t="s">
        <v>2854</v>
      </c>
      <c r="J193" s="96"/>
      <c r="K193" s="97">
        <v>7.6536</v>
      </c>
      <c r="L193" s="97">
        <v>7.6536</v>
      </c>
      <c r="M193" s="97">
        <v>7.6536</v>
      </c>
      <c r="N193" s="97">
        <v>7.6536</v>
      </c>
      <c r="O193" s="97">
        <v>7.6536</v>
      </c>
      <c r="P193" s="97">
        <v>7.6536</v>
      </c>
      <c r="Q193" s="76"/>
      <c r="R193" s="76" t="s">
        <v>3223</v>
      </c>
      <c r="S193" s="76" t="s">
        <v>3223</v>
      </c>
      <c r="T193" s="76"/>
      <c r="U193" s="252">
        <f t="shared" si="25"/>
        <v>7.6536</v>
      </c>
      <c r="V193" s="252">
        <f t="shared" si="25"/>
        <v>7.6536</v>
      </c>
      <c r="W193" s="252">
        <f t="shared" si="25"/>
        <v>7.6536</v>
      </c>
      <c r="X193" s="252">
        <f t="shared" si="25"/>
        <v>7.6536</v>
      </c>
      <c r="Y193" s="252">
        <f t="shared" si="25"/>
        <v>7.6536</v>
      </c>
      <c r="Z193" s="252">
        <f t="shared" si="25"/>
        <v>7.6536</v>
      </c>
      <c r="AA193" s="252">
        <f t="shared" si="25"/>
        <v>7.6536</v>
      </c>
      <c r="AB193" s="252">
        <f t="shared" si="25"/>
        <v>7.6536</v>
      </c>
      <c r="AC193" s="252">
        <f t="shared" si="25"/>
        <v>7.6536</v>
      </c>
      <c r="AD193" s="252">
        <f t="shared" si="25"/>
        <v>7.6536</v>
      </c>
      <c r="AE193" s="76"/>
      <c r="AF193" s="76"/>
      <c r="AG193" s="76"/>
      <c r="AH193" s="97">
        <v>1</v>
      </c>
      <c r="AI193" s="97">
        <v>1</v>
      </c>
      <c r="AJ193" s="73"/>
      <c r="AK193" s="57"/>
      <c r="AL193" s="45"/>
      <c r="AM193" s="45"/>
      <c r="AN193" s="45"/>
    </row>
    <row r="194" spans="1:40" hidden="1" outlineLevel="2" x14ac:dyDescent="0.25">
      <c r="A194" s="45"/>
      <c r="B194" s="54"/>
      <c r="C194" s="47">
        <f t="shared" si="23"/>
        <v>3</v>
      </c>
      <c r="D194" s="73"/>
      <c r="E194" s="70"/>
      <c r="F194" s="70" t="s">
        <v>2847</v>
      </c>
      <c r="G194" s="73"/>
      <c r="H194" s="76" t="s">
        <v>2894</v>
      </c>
      <c r="I194" s="96" t="s">
        <v>2854</v>
      </c>
      <c r="J194" s="96"/>
      <c r="K194" s="97">
        <v>0.43</v>
      </c>
      <c r="L194" s="97">
        <v>0.43</v>
      </c>
      <c r="M194" s="97">
        <v>0.43</v>
      </c>
      <c r="N194" s="97">
        <v>0.43</v>
      </c>
      <c r="O194" s="97">
        <v>0.43</v>
      </c>
      <c r="P194" s="97">
        <v>0.43</v>
      </c>
      <c r="Q194" s="76"/>
      <c r="R194" s="76" t="s">
        <v>2853</v>
      </c>
      <c r="S194" s="76" t="s">
        <v>2853</v>
      </c>
      <c r="T194" s="76"/>
      <c r="U194" s="252">
        <f t="shared" si="25"/>
        <v>0.43</v>
      </c>
      <c r="V194" s="252">
        <f t="shared" si="25"/>
        <v>0.43</v>
      </c>
      <c r="W194" s="252">
        <f t="shared" si="25"/>
        <v>0.43</v>
      </c>
      <c r="X194" s="252">
        <f t="shared" si="25"/>
        <v>0.43</v>
      </c>
      <c r="Y194" s="252">
        <f t="shared" si="25"/>
        <v>0.43</v>
      </c>
      <c r="Z194" s="252">
        <f t="shared" si="25"/>
        <v>0.43</v>
      </c>
      <c r="AA194" s="252">
        <f t="shared" si="25"/>
        <v>0.43</v>
      </c>
      <c r="AB194" s="252">
        <f t="shared" si="25"/>
        <v>0.43</v>
      </c>
      <c r="AC194" s="252">
        <f t="shared" si="25"/>
        <v>0.43</v>
      </c>
      <c r="AD194" s="252">
        <f t="shared" si="25"/>
        <v>0.43</v>
      </c>
      <c r="AE194" s="76"/>
      <c r="AF194" s="76"/>
      <c r="AG194" s="76"/>
      <c r="AH194" s="97">
        <v>1</v>
      </c>
      <c r="AI194" s="97">
        <v>1</v>
      </c>
      <c r="AJ194" s="73"/>
      <c r="AK194" s="57"/>
      <c r="AL194" s="45"/>
      <c r="AM194" s="45"/>
      <c r="AN194" s="45"/>
    </row>
    <row r="195" spans="1:40" hidden="1" outlineLevel="2" x14ac:dyDescent="0.25">
      <c r="A195" s="45"/>
      <c r="B195" s="54"/>
      <c r="C195" s="47">
        <f t="shared" si="23"/>
        <v>3</v>
      </c>
      <c r="D195" s="73"/>
      <c r="E195" s="70"/>
      <c r="F195" s="70" t="s">
        <v>2848</v>
      </c>
      <c r="G195" s="73"/>
      <c r="H195" s="76" t="s">
        <v>2895</v>
      </c>
      <c r="I195" s="96" t="s">
        <v>2854</v>
      </c>
      <c r="J195" s="96"/>
      <c r="K195" s="97">
        <f>1/0.4-1</f>
        <v>1.5</v>
      </c>
      <c r="L195" s="97">
        <f t="shared" ref="L195:P196" si="26">K195</f>
        <v>1.5</v>
      </c>
      <c r="M195" s="97">
        <f t="shared" si="26"/>
        <v>1.5</v>
      </c>
      <c r="N195" s="97">
        <f t="shared" si="26"/>
        <v>1.5</v>
      </c>
      <c r="O195" s="97">
        <f t="shared" si="26"/>
        <v>1.5</v>
      </c>
      <c r="P195" s="97">
        <f t="shared" si="26"/>
        <v>1.5</v>
      </c>
      <c r="Q195" s="76"/>
      <c r="R195" s="76" t="s">
        <v>2853</v>
      </c>
      <c r="S195" s="76" t="s">
        <v>2853</v>
      </c>
      <c r="T195" s="76"/>
      <c r="U195" s="252">
        <f t="shared" ref="U195:AD204" si="27">INDEX($K195:$Q195,1,U$43)</f>
        <v>1.5</v>
      </c>
      <c r="V195" s="252">
        <f t="shared" si="27"/>
        <v>1.5</v>
      </c>
      <c r="W195" s="252">
        <f t="shared" si="27"/>
        <v>1.5</v>
      </c>
      <c r="X195" s="252">
        <f t="shared" si="27"/>
        <v>1.5</v>
      </c>
      <c r="Y195" s="252">
        <f t="shared" si="27"/>
        <v>1.5</v>
      </c>
      <c r="Z195" s="252">
        <f t="shared" si="27"/>
        <v>1.5</v>
      </c>
      <c r="AA195" s="252">
        <f t="shared" si="27"/>
        <v>1.5</v>
      </c>
      <c r="AB195" s="252">
        <f t="shared" si="27"/>
        <v>1.5</v>
      </c>
      <c r="AC195" s="252">
        <f t="shared" si="27"/>
        <v>1.5</v>
      </c>
      <c r="AD195" s="252">
        <f t="shared" si="27"/>
        <v>1.5</v>
      </c>
      <c r="AE195" s="76"/>
      <c r="AF195" s="76"/>
      <c r="AG195" s="76"/>
      <c r="AH195" s="97">
        <v>1</v>
      </c>
      <c r="AI195" s="97">
        <v>1</v>
      </c>
      <c r="AJ195" s="73"/>
      <c r="AK195" s="57"/>
      <c r="AL195" s="45"/>
      <c r="AM195" s="45"/>
      <c r="AN195" s="45"/>
    </row>
    <row r="196" spans="1:40" hidden="1" outlineLevel="2" x14ac:dyDescent="0.25">
      <c r="A196" s="45"/>
      <c r="B196" s="54"/>
      <c r="C196" s="47">
        <f t="shared" si="23"/>
        <v>3</v>
      </c>
      <c r="D196" s="73"/>
      <c r="E196" s="70"/>
      <c r="F196" s="70" t="s">
        <v>2844</v>
      </c>
      <c r="G196" s="73"/>
      <c r="H196" s="76" t="s">
        <v>2896</v>
      </c>
      <c r="I196" s="96" t="s">
        <v>2854</v>
      </c>
      <c r="J196" s="96"/>
      <c r="K196" s="97">
        <f>1/0.4-1</f>
        <v>1.5</v>
      </c>
      <c r="L196" s="97">
        <f t="shared" si="26"/>
        <v>1.5</v>
      </c>
      <c r="M196" s="97">
        <f t="shared" si="26"/>
        <v>1.5</v>
      </c>
      <c r="N196" s="97">
        <f t="shared" si="26"/>
        <v>1.5</v>
      </c>
      <c r="O196" s="97">
        <f t="shared" si="26"/>
        <v>1.5</v>
      </c>
      <c r="P196" s="97">
        <f t="shared" si="26"/>
        <v>1.5</v>
      </c>
      <c r="Q196" s="76"/>
      <c r="R196" s="76" t="s">
        <v>2853</v>
      </c>
      <c r="S196" s="76" t="s">
        <v>2853</v>
      </c>
      <c r="T196" s="76"/>
      <c r="U196" s="252">
        <f t="shared" si="27"/>
        <v>1.5</v>
      </c>
      <c r="V196" s="252">
        <f t="shared" si="27"/>
        <v>1.5</v>
      </c>
      <c r="W196" s="252">
        <f t="shared" si="27"/>
        <v>1.5</v>
      </c>
      <c r="X196" s="252">
        <f t="shared" si="27"/>
        <v>1.5</v>
      </c>
      <c r="Y196" s="252">
        <f t="shared" si="27"/>
        <v>1.5</v>
      </c>
      <c r="Z196" s="252">
        <f t="shared" si="27"/>
        <v>1.5</v>
      </c>
      <c r="AA196" s="252">
        <f t="shared" si="27"/>
        <v>1.5</v>
      </c>
      <c r="AB196" s="252">
        <f t="shared" si="27"/>
        <v>1.5</v>
      </c>
      <c r="AC196" s="252">
        <f t="shared" si="27"/>
        <v>1.5</v>
      </c>
      <c r="AD196" s="252">
        <f t="shared" si="27"/>
        <v>1.5</v>
      </c>
      <c r="AE196" s="76"/>
      <c r="AF196" s="76"/>
      <c r="AG196" s="76"/>
      <c r="AH196" s="97">
        <v>1</v>
      </c>
      <c r="AI196" s="97">
        <v>1</v>
      </c>
      <c r="AJ196" s="73"/>
      <c r="AK196" s="57"/>
      <c r="AL196" s="45"/>
      <c r="AM196" s="45"/>
      <c r="AN196" s="45"/>
    </row>
    <row r="197" spans="1:40" hidden="1" outlineLevel="2" x14ac:dyDescent="0.25">
      <c r="A197" s="45"/>
      <c r="B197" s="54"/>
      <c r="C197" s="47">
        <f t="shared" si="23"/>
        <v>3</v>
      </c>
      <c r="D197" s="73"/>
      <c r="E197" s="70"/>
      <c r="F197" s="70" t="s">
        <v>2845</v>
      </c>
      <c r="G197" s="73"/>
      <c r="H197" s="76" t="s">
        <v>2897</v>
      </c>
      <c r="I197" s="96" t="s">
        <v>2854</v>
      </c>
      <c r="J197" s="96"/>
      <c r="K197" s="97">
        <f>1/0.4-1</f>
        <v>1.5</v>
      </c>
      <c r="L197" s="333">
        <f>K197</f>
        <v>1.5</v>
      </c>
      <c r="M197" s="76"/>
      <c r="N197" s="76"/>
      <c r="O197" s="76"/>
      <c r="P197" s="76"/>
      <c r="Q197" s="76"/>
      <c r="R197" s="76" t="s">
        <v>2853</v>
      </c>
      <c r="S197" s="76"/>
      <c r="T197" s="76"/>
      <c r="U197" s="252">
        <f t="shared" si="27"/>
        <v>1.5</v>
      </c>
      <c r="V197" s="252">
        <f t="shared" si="27"/>
        <v>1.5</v>
      </c>
      <c r="W197" s="252">
        <f t="shared" si="27"/>
        <v>1.5</v>
      </c>
      <c r="X197" s="252">
        <f t="shared" si="27"/>
        <v>1.5</v>
      </c>
      <c r="Y197" s="252">
        <f t="shared" si="27"/>
        <v>1.5</v>
      </c>
      <c r="Z197" s="252">
        <f t="shared" si="27"/>
        <v>1.5</v>
      </c>
      <c r="AA197" s="252">
        <f t="shared" si="27"/>
        <v>1.5</v>
      </c>
      <c r="AB197" s="252">
        <f t="shared" si="27"/>
        <v>1.5</v>
      </c>
      <c r="AC197" s="252">
        <f t="shared" si="27"/>
        <v>1.5</v>
      </c>
      <c r="AD197" s="252">
        <f t="shared" si="27"/>
        <v>1.5</v>
      </c>
      <c r="AE197" s="76"/>
      <c r="AF197" s="76"/>
      <c r="AG197" s="76"/>
      <c r="AH197" s="97">
        <v>1</v>
      </c>
      <c r="AI197" s="97">
        <v>1</v>
      </c>
      <c r="AJ197" s="73"/>
      <c r="AK197" s="57"/>
      <c r="AL197" s="45"/>
      <c r="AM197" s="45"/>
      <c r="AN197" s="45"/>
    </row>
    <row r="198" spans="1:40" hidden="1" outlineLevel="2" x14ac:dyDescent="0.25">
      <c r="A198" s="45"/>
      <c r="B198" s="54"/>
      <c r="C198" s="47">
        <f t="shared" si="23"/>
        <v>3</v>
      </c>
      <c r="D198" s="73"/>
      <c r="E198" s="70"/>
      <c r="F198" s="70" t="s">
        <v>2846</v>
      </c>
      <c r="G198" s="73"/>
      <c r="H198" s="76" t="s">
        <v>3224</v>
      </c>
      <c r="I198" s="96" t="s">
        <v>2854</v>
      </c>
      <c r="J198" s="96"/>
      <c r="K198" s="97">
        <f t="shared" ref="K198:P198" si="28">1/0.2-1</f>
        <v>4</v>
      </c>
      <c r="L198" s="97">
        <f t="shared" si="28"/>
        <v>4</v>
      </c>
      <c r="M198" s="97">
        <f t="shared" si="28"/>
        <v>4</v>
      </c>
      <c r="N198" s="97">
        <f t="shared" si="28"/>
        <v>4</v>
      </c>
      <c r="O198" s="97">
        <f t="shared" si="28"/>
        <v>4</v>
      </c>
      <c r="P198" s="97">
        <f t="shared" si="28"/>
        <v>4</v>
      </c>
      <c r="Q198" s="76"/>
      <c r="R198" s="76" t="s">
        <v>3223</v>
      </c>
      <c r="S198" s="76" t="s">
        <v>3223</v>
      </c>
      <c r="T198" s="76"/>
      <c r="U198" s="252">
        <f t="shared" si="27"/>
        <v>4</v>
      </c>
      <c r="V198" s="252">
        <f t="shared" si="27"/>
        <v>4</v>
      </c>
      <c r="W198" s="252">
        <f t="shared" si="27"/>
        <v>4</v>
      </c>
      <c r="X198" s="252">
        <f t="shared" si="27"/>
        <v>4</v>
      </c>
      <c r="Y198" s="252">
        <f t="shared" si="27"/>
        <v>4</v>
      </c>
      <c r="Z198" s="252">
        <f t="shared" si="27"/>
        <v>4</v>
      </c>
      <c r="AA198" s="252">
        <f t="shared" si="27"/>
        <v>4</v>
      </c>
      <c r="AB198" s="252">
        <f t="shared" si="27"/>
        <v>4</v>
      </c>
      <c r="AC198" s="252">
        <f t="shared" si="27"/>
        <v>4</v>
      </c>
      <c r="AD198" s="252">
        <f t="shared" si="27"/>
        <v>4</v>
      </c>
      <c r="AE198" s="76"/>
      <c r="AF198" s="76"/>
      <c r="AG198" s="76"/>
      <c r="AH198" s="97">
        <v>1</v>
      </c>
      <c r="AI198" s="97">
        <v>1</v>
      </c>
      <c r="AJ198" s="73"/>
      <c r="AK198" s="57"/>
      <c r="AL198" s="45"/>
      <c r="AM198" s="45"/>
      <c r="AN198" s="45"/>
    </row>
    <row r="199" spans="1:40" hidden="1" outlineLevel="2" x14ac:dyDescent="0.25">
      <c r="A199" s="45"/>
      <c r="B199" s="54"/>
      <c r="C199" s="47">
        <f t="shared" si="23"/>
        <v>3</v>
      </c>
      <c r="D199" s="73"/>
      <c r="E199" s="70"/>
      <c r="F199" s="70" t="s">
        <v>2849</v>
      </c>
      <c r="G199" s="73"/>
      <c r="H199" s="76" t="s">
        <v>3225</v>
      </c>
      <c r="I199" s="96" t="s">
        <v>2854</v>
      </c>
      <c r="J199" s="96"/>
      <c r="K199" s="97">
        <f t="shared" ref="K199:P199" si="29">1/0.9-1</f>
        <v>0.11111111111111116</v>
      </c>
      <c r="L199" s="97">
        <f t="shared" si="29"/>
        <v>0.11111111111111116</v>
      </c>
      <c r="M199" s="97">
        <f t="shared" si="29"/>
        <v>0.11111111111111116</v>
      </c>
      <c r="N199" s="97">
        <f t="shared" si="29"/>
        <v>0.11111111111111116</v>
      </c>
      <c r="O199" s="97">
        <f t="shared" si="29"/>
        <v>0.11111111111111116</v>
      </c>
      <c r="P199" s="97">
        <f t="shared" si="29"/>
        <v>0.11111111111111116</v>
      </c>
      <c r="Q199" s="76"/>
      <c r="R199" s="76" t="s">
        <v>3223</v>
      </c>
      <c r="S199" s="76" t="s">
        <v>3223</v>
      </c>
      <c r="T199" s="76"/>
      <c r="U199" s="252">
        <f t="shared" si="27"/>
        <v>0.11111111111111116</v>
      </c>
      <c r="V199" s="252">
        <f t="shared" si="27"/>
        <v>0.11111111111111116</v>
      </c>
      <c r="W199" s="252">
        <f t="shared" si="27"/>
        <v>0.11111111111111116</v>
      </c>
      <c r="X199" s="252">
        <f t="shared" si="27"/>
        <v>0.11111111111111116</v>
      </c>
      <c r="Y199" s="252">
        <f t="shared" si="27"/>
        <v>0.11111111111111116</v>
      </c>
      <c r="Z199" s="252">
        <f t="shared" si="27"/>
        <v>0.11111111111111116</v>
      </c>
      <c r="AA199" s="252">
        <f t="shared" si="27"/>
        <v>0.11111111111111116</v>
      </c>
      <c r="AB199" s="252">
        <f t="shared" si="27"/>
        <v>0.11111111111111116</v>
      </c>
      <c r="AC199" s="252">
        <f t="shared" si="27"/>
        <v>0.11111111111111116</v>
      </c>
      <c r="AD199" s="252">
        <f t="shared" si="27"/>
        <v>0.11111111111111116</v>
      </c>
      <c r="AE199" s="76"/>
      <c r="AF199" s="76"/>
      <c r="AG199" s="76"/>
      <c r="AH199" s="97">
        <v>1</v>
      </c>
      <c r="AI199" s="97">
        <v>1</v>
      </c>
      <c r="AJ199" s="73"/>
      <c r="AK199" s="57"/>
      <c r="AL199" s="45"/>
      <c r="AM199" s="45"/>
      <c r="AN199" s="45"/>
    </row>
    <row r="200" spans="1:40" hidden="1" outlineLevel="2" x14ac:dyDescent="0.25">
      <c r="A200" s="45"/>
      <c r="B200" s="54"/>
      <c r="C200" s="47">
        <f t="shared" si="23"/>
        <v>3</v>
      </c>
      <c r="D200" s="73"/>
      <c r="E200" s="70"/>
      <c r="F200" s="70" t="s">
        <v>2850</v>
      </c>
      <c r="G200" s="73"/>
      <c r="H200" s="76" t="s">
        <v>2898</v>
      </c>
      <c r="I200" s="96" t="s">
        <v>2854</v>
      </c>
      <c r="J200" s="96"/>
      <c r="K200" s="97">
        <v>0</v>
      </c>
      <c r="L200" s="97">
        <v>0</v>
      </c>
      <c r="M200" s="97">
        <v>0</v>
      </c>
      <c r="N200" s="97">
        <v>0</v>
      </c>
      <c r="O200" s="97">
        <v>0</v>
      </c>
      <c r="P200" s="97">
        <v>0</v>
      </c>
      <c r="Q200" s="76"/>
      <c r="R200" s="76" t="s">
        <v>2853</v>
      </c>
      <c r="S200" s="76" t="s">
        <v>2853</v>
      </c>
      <c r="T200" s="76"/>
      <c r="U200" s="252">
        <f t="shared" si="27"/>
        <v>0</v>
      </c>
      <c r="V200" s="252">
        <f t="shared" si="27"/>
        <v>0</v>
      </c>
      <c r="W200" s="252">
        <f t="shared" si="27"/>
        <v>0</v>
      </c>
      <c r="X200" s="252">
        <f t="shared" si="27"/>
        <v>0</v>
      </c>
      <c r="Y200" s="252">
        <f t="shared" si="27"/>
        <v>0</v>
      </c>
      <c r="Z200" s="252">
        <f t="shared" si="27"/>
        <v>0</v>
      </c>
      <c r="AA200" s="252">
        <f t="shared" si="27"/>
        <v>0</v>
      </c>
      <c r="AB200" s="252">
        <f t="shared" si="27"/>
        <v>0</v>
      </c>
      <c r="AC200" s="252">
        <f t="shared" si="27"/>
        <v>0</v>
      </c>
      <c r="AD200" s="252">
        <f t="shared" si="27"/>
        <v>0</v>
      </c>
      <c r="AE200" s="76"/>
      <c r="AF200" s="76"/>
      <c r="AG200" s="76"/>
      <c r="AH200" s="97">
        <v>1</v>
      </c>
      <c r="AI200" s="97">
        <v>1</v>
      </c>
      <c r="AJ200" s="73"/>
      <c r="AK200" s="57"/>
      <c r="AL200" s="45"/>
      <c r="AM200" s="45"/>
      <c r="AN200" s="45"/>
    </row>
    <row r="201" spans="1:40" hidden="1" outlineLevel="2" x14ac:dyDescent="0.25">
      <c r="A201" s="45"/>
      <c r="B201" s="54"/>
      <c r="C201" s="47">
        <f t="shared" si="23"/>
        <v>3</v>
      </c>
      <c r="D201" s="73"/>
      <c r="E201" s="70"/>
      <c r="F201" s="70" t="s">
        <v>2851</v>
      </c>
      <c r="G201" s="73"/>
      <c r="H201" s="76" t="s">
        <v>2899</v>
      </c>
      <c r="I201" s="96" t="s">
        <v>2854</v>
      </c>
      <c r="J201" s="96"/>
      <c r="K201" s="97">
        <v>0</v>
      </c>
      <c r="L201" s="97">
        <v>0</v>
      </c>
      <c r="M201" s="97">
        <v>0</v>
      </c>
      <c r="N201" s="97">
        <v>0</v>
      </c>
      <c r="O201" s="97">
        <v>0</v>
      </c>
      <c r="P201" s="97">
        <v>0</v>
      </c>
      <c r="Q201" s="76"/>
      <c r="R201" s="76" t="s">
        <v>2853</v>
      </c>
      <c r="S201" s="76" t="s">
        <v>2853</v>
      </c>
      <c r="T201" s="76"/>
      <c r="U201" s="252">
        <f t="shared" si="27"/>
        <v>0</v>
      </c>
      <c r="V201" s="252">
        <f t="shared" si="27"/>
        <v>0</v>
      </c>
      <c r="W201" s="252">
        <f t="shared" si="27"/>
        <v>0</v>
      </c>
      <c r="X201" s="252">
        <f t="shared" si="27"/>
        <v>0</v>
      </c>
      <c r="Y201" s="252">
        <f t="shared" si="27"/>
        <v>0</v>
      </c>
      <c r="Z201" s="252">
        <f t="shared" si="27"/>
        <v>0</v>
      </c>
      <c r="AA201" s="252">
        <f t="shared" si="27"/>
        <v>0</v>
      </c>
      <c r="AB201" s="252">
        <f t="shared" si="27"/>
        <v>0</v>
      </c>
      <c r="AC201" s="252">
        <f t="shared" si="27"/>
        <v>0</v>
      </c>
      <c r="AD201" s="252">
        <f t="shared" si="27"/>
        <v>0</v>
      </c>
      <c r="AE201" s="76"/>
      <c r="AF201" s="76"/>
      <c r="AG201" s="76"/>
      <c r="AH201" s="97">
        <v>1</v>
      </c>
      <c r="AI201" s="97">
        <v>1</v>
      </c>
      <c r="AJ201" s="73"/>
      <c r="AK201" s="57"/>
      <c r="AL201" s="45"/>
      <c r="AM201" s="45"/>
      <c r="AN201" s="45"/>
    </row>
    <row r="202" spans="1:40" hidden="1" outlineLevel="2" x14ac:dyDescent="0.25">
      <c r="A202" s="45"/>
      <c r="B202" s="54"/>
      <c r="C202" s="47">
        <f t="shared" si="23"/>
        <v>3</v>
      </c>
      <c r="D202" s="73"/>
      <c r="E202" s="70"/>
      <c r="F202" s="70" t="s">
        <v>2852</v>
      </c>
      <c r="G202" s="73"/>
      <c r="H202" s="76" t="s">
        <v>2900</v>
      </c>
      <c r="I202" s="96" t="s">
        <v>2854</v>
      </c>
      <c r="J202" s="96"/>
      <c r="K202" s="97">
        <v>0</v>
      </c>
      <c r="L202" s="97">
        <v>0</v>
      </c>
      <c r="M202" s="97">
        <v>0</v>
      </c>
      <c r="N202" s="97">
        <v>0</v>
      </c>
      <c r="O202" s="97">
        <v>0</v>
      </c>
      <c r="P202" s="97">
        <v>0</v>
      </c>
      <c r="Q202" s="76"/>
      <c r="R202" s="76" t="s">
        <v>2853</v>
      </c>
      <c r="S202" s="76" t="s">
        <v>2853</v>
      </c>
      <c r="T202" s="76"/>
      <c r="U202" s="252">
        <f t="shared" si="27"/>
        <v>0</v>
      </c>
      <c r="V202" s="252">
        <f t="shared" si="27"/>
        <v>0</v>
      </c>
      <c r="W202" s="252">
        <f t="shared" si="27"/>
        <v>0</v>
      </c>
      <c r="X202" s="252">
        <f t="shared" si="27"/>
        <v>0</v>
      </c>
      <c r="Y202" s="252">
        <f t="shared" si="27"/>
        <v>0</v>
      </c>
      <c r="Z202" s="252">
        <f t="shared" si="27"/>
        <v>0</v>
      </c>
      <c r="AA202" s="252">
        <f t="shared" si="27"/>
        <v>0</v>
      </c>
      <c r="AB202" s="252">
        <f t="shared" si="27"/>
        <v>0</v>
      </c>
      <c r="AC202" s="252">
        <f t="shared" si="27"/>
        <v>0</v>
      </c>
      <c r="AD202" s="252">
        <f t="shared" si="27"/>
        <v>0</v>
      </c>
      <c r="AE202" s="76"/>
      <c r="AF202" s="76"/>
      <c r="AG202" s="76"/>
      <c r="AH202" s="97">
        <v>1</v>
      </c>
      <c r="AI202" s="97">
        <v>1</v>
      </c>
      <c r="AJ202" s="73"/>
      <c r="AK202" s="57"/>
      <c r="AL202" s="45"/>
      <c r="AM202" s="45"/>
      <c r="AN202" s="45"/>
    </row>
    <row r="203" spans="1:40" hidden="1" outlineLevel="2" x14ac:dyDescent="0.25">
      <c r="A203" s="45"/>
      <c r="B203" s="54"/>
      <c r="C203" s="47">
        <f t="shared" si="23"/>
        <v>3</v>
      </c>
      <c r="D203" s="73"/>
      <c r="E203" s="70"/>
      <c r="F203" s="70" t="s">
        <v>3279</v>
      </c>
      <c r="G203" s="73"/>
      <c r="H203" s="76" t="s">
        <v>3287</v>
      </c>
      <c r="I203" s="96" t="s">
        <v>624</v>
      </c>
      <c r="J203" s="96"/>
      <c r="K203" s="280">
        <f>K$179 / 0.7</f>
        <v>0.57142857142857151</v>
      </c>
      <c r="L203" s="280">
        <f t="shared" ref="L203:L209" si="30">K203</f>
        <v>0.57142857142857151</v>
      </c>
      <c r="M203" s="76"/>
      <c r="N203" s="76"/>
      <c r="O203" s="76"/>
      <c r="P203" s="76"/>
      <c r="Q203" s="76"/>
      <c r="R203" s="76" t="s">
        <v>2856</v>
      </c>
      <c r="S203" s="76"/>
      <c r="T203" s="76"/>
      <c r="U203" s="252">
        <f t="shared" si="27"/>
        <v>0.57142857142857151</v>
      </c>
      <c r="V203" s="252">
        <f t="shared" si="27"/>
        <v>0.57142857142857151</v>
      </c>
      <c r="W203" s="252">
        <f t="shared" si="27"/>
        <v>0.57142857142857151</v>
      </c>
      <c r="X203" s="252">
        <f t="shared" si="27"/>
        <v>0.57142857142857151</v>
      </c>
      <c r="Y203" s="252">
        <f t="shared" si="27"/>
        <v>0.57142857142857151</v>
      </c>
      <c r="Z203" s="252">
        <f t="shared" si="27"/>
        <v>0.57142857142857151</v>
      </c>
      <c r="AA203" s="252">
        <f t="shared" si="27"/>
        <v>0.57142857142857151</v>
      </c>
      <c r="AB203" s="252">
        <f t="shared" si="27"/>
        <v>0.57142857142857151</v>
      </c>
      <c r="AC203" s="252">
        <f t="shared" si="27"/>
        <v>0.57142857142857151</v>
      </c>
      <c r="AD203" s="252">
        <f t="shared" si="27"/>
        <v>0.57142857142857151</v>
      </c>
      <c r="AE203" s="76"/>
      <c r="AF203" s="76"/>
      <c r="AG203" s="76"/>
      <c r="AH203" s="97">
        <v>1</v>
      </c>
      <c r="AI203" s="97">
        <v>1</v>
      </c>
      <c r="AJ203" s="73"/>
      <c r="AK203" s="57"/>
      <c r="AL203" s="45"/>
      <c r="AM203" s="45"/>
      <c r="AN203" s="45"/>
    </row>
    <row r="204" spans="1:40" hidden="1" outlineLevel="2" x14ac:dyDescent="0.25">
      <c r="A204" s="45"/>
      <c r="B204" s="54"/>
      <c r="C204" s="47">
        <f t="shared" si="23"/>
        <v>3</v>
      </c>
      <c r="D204" s="73"/>
      <c r="E204" s="70"/>
      <c r="F204" s="70" t="s">
        <v>3280</v>
      </c>
      <c r="G204" s="73"/>
      <c r="H204" s="76" t="s">
        <v>3288</v>
      </c>
      <c r="I204" s="96" t="s">
        <v>624</v>
      </c>
      <c r="J204" s="96"/>
      <c r="K204" s="280">
        <f>K$180 / 0.7</f>
        <v>2.8571428571428574E-2</v>
      </c>
      <c r="L204" s="280">
        <f t="shared" si="30"/>
        <v>2.8571428571428574E-2</v>
      </c>
      <c r="M204" s="76"/>
      <c r="N204" s="76"/>
      <c r="O204" s="76"/>
      <c r="P204" s="76"/>
      <c r="Q204" s="76"/>
      <c r="R204" s="76" t="s">
        <v>2856</v>
      </c>
      <c r="S204" s="76"/>
      <c r="T204" s="76"/>
      <c r="U204" s="252">
        <f t="shared" si="27"/>
        <v>2.8571428571428574E-2</v>
      </c>
      <c r="V204" s="252">
        <f t="shared" si="27"/>
        <v>2.8571428571428574E-2</v>
      </c>
      <c r="W204" s="252">
        <f t="shared" si="27"/>
        <v>2.8571428571428574E-2</v>
      </c>
      <c r="X204" s="252">
        <f t="shared" si="27"/>
        <v>2.8571428571428574E-2</v>
      </c>
      <c r="Y204" s="252">
        <f t="shared" si="27"/>
        <v>2.8571428571428574E-2</v>
      </c>
      <c r="Z204" s="252">
        <f t="shared" si="27"/>
        <v>2.8571428571428574E-2</v>
      </c>
      <c r="AA204" s="252">
        <f t="shared" si="27"/>
        <v>2.8571428571428574E-2</v>
      </c>
      <c r="AB204" s="252">
        <f t="shared" si="27"/>
        <v>2.8571428571428574E-2</v>
      </c>
      <c r="AC204" s="252">
        <f t="shared" si="27"/>
        <v>2.8571428571428574E-2</v>
      </c>
      <c r="AD204" s="252">
        <f t="shared" si="27"/>
        <v>2.8571428571428574E-2</v>
      </c>
      <c r="AE204" s="76"/>
      <c r="AF204" s="76"/>
      <c r="AG204" s="76"/>
      <c r="AH204" s="97">
        <v>1</v>
      </c>
      <c r="AI204" s="97">
        <v>1</v>
      </c>
      <c r="AJ204" s="73"/>
      <c r="AK204" s="57"/>
      <c r="AL204" s="45"/>
      <c r="AM204" s="45"/>
      <c r="AN204" s="45"/>
    </row>
    <row r="205" spans="1:40" hidden="1" outlineLevel="2" x14ac:dyDescent="0.25">
      <c r="A205" s="45"/>
      <c r="B205" s="54"/>
      <c r="C205" s="47">
        <f t="shared" si="23"/>
        <v>3</v>
      </c>
      <c r="D205" s="73"/>
      <c r="E205" s="70"/>
      <c r="F205" s="70" t="s">
        <v>3281</v>
      </c>
      <c r="G205" s="73"/>
      <c r="H205" s="76" t="s">
        <v>3289</v>
      </c>
      <c r="I205" s="96" t="s">
        <v>624</v>
      </c>
      <c r="J205" s="96"/>
      <c r="K205" s="280">
        <f>K$182 / 0.7</f>
        <v>0.19000000000000003</v>
      </c>
      <c r="L205" s="280">
        <f t="shared" si="30"/>
        <v>0.19000000000000003</v>
      </c>
      <c r="M205" s="76"/>
      <c r="N205" s="76"/>
      <c r="O205" s="76"/>
      <c r="P205" s="76"/>
      <c r="Q205" s="76"/>
      <c r="R205" s="76" t="s">
        <v>2856</v>
      </c>
      <c r="S205" s="76"/>
      <c r="T205" s="76"/>
      <c r="U205" s="252">
        <f t="shared" ref="U205:AD212" si="31">INDEX($K205:$Q205,1,U$43)</f>
        <v>0.19000000000000003</v>
      </c>
      <c r="V205" s="252">
        <f t="shared" si="31"/>
        <v>0.19000000000000003</v>
      </c>
      <c r="W205" s="252">
        <f t="shared" si="31"/>
        <v>0.19000000000000003</v>
      </c>
      <c r="X205" s="252">
        <f t="shared" si="31"/>
        <v>0.19000000000000003</v>
      </c>
      <c r="Y205" s="252">
        <f t="shared" si="31"/>
        <v>0.19000000000000003</v>
      </c>
      <c r="Z205" s="252">
        <f t="shared" si="31"/>
        <v>0.19000000000000003</v>
      </c>
      <c r="AA205" s="252">
        <f t="shared" si="31"/>
        <v>0.19000000000000003</v>
      </c>
      <c r="AB205" s="252">
        <f t="shared" si="31"/>
        <v>0.19000000000000003</v>
      </c>
      <c r="AC205" s="252">
        <f t="shared" si="31"/>
        <v>0.19000000000000003</v>
      </c>
      <c r="AD205" s="252">
        <f t="shared" si="31"/>
        <v>0.19000000000000003</v>
      </c>
      <c r="AE205" s="76"/>
      <c r="AF205" s="76"/>
      <c r="AG205" s="76"/>
      <c r="AH205" s="97">
        <v>1</v>
      </c>
      <c r="AI205" s="97">
        <v>1</v>
      </c>
      <c r="AJ205" s="73"/>
      <c r="AK205" s="57"/>
      <c r="AL205" s="45"/>
      <c r="AM205" s="45"/>
      <c r="AN205" s="45"/>
    </row>
    <row r="206" spans="1:40" hidden="1" outlineLevel="2" x14ac:dyDescent="0.25">
      <c r="A206" s="45"/>
      <c r="B206" s="54"/>
      <c r="C206" s="47">
        <f t="shared" si="23"/>
        <v>3</v>
      </c>
      <c r="D206" s="73"/>
      <c r="E206" s="70"/>
      <c r="F206" s="70" t="s">
        <v>3282</v>
      </c>
      <c r="G206" s="73"/>
      <c r="H206" s="76" t="s">
        <v>3290</v>
      </c>
      <c r="I206" s="96" t="s">
        <v>624</v>
      </c>
      <c r="J206" s="96"/>
      <c r="K206" s="280">
        <f>1/(1+K$194)</f>
        <v>0.69930069930069938</v>
      </c>
      <c r="L206" s="280">
        <f t="shared" si="30"/>
        <v>0.69930069930069938</v>
      </c>
      <c r="M206" s="76"/>
      <c r="N206" s="76"/>
      <c r="O206" s="76"/>
      <c r="P206" s="76"/>
      <c r="Q206" s="76"/>
      <c r="R206" s="76" t="s">
        <v>3294</v>
      </c>
      <c r="S206" s="76"/>
      <c r="T206" s="76"/>
      <c r="U206" s="252">
        <f t="shared" si="31"/>
        <v>0.69930069930069938</v>
      </c>
      <c r="V206" s="252">
        <f t="shared" si="31"/>
        <v>0.69930069930069938</v>
      </c>
      <c r="W206" s="252">
        <f t="shared" si="31"/>
        <v>0.69930069930069938</v>
      </c>
      <c r="X206" s="252">
        <f t="shared" si="31"/>
        <v>0.69930069930069938</v>
      </c>
      <c r="Y206" s="252">
        <f t="shared" si="31"/>
        <v>0.69930069930069938</v>
      </c>
      <c r="Z206" s="252">
        <f t="shared" si="31"/>
        <v>0.69930069930069938</v>
      </c>
      <c r="AA206" s="252">
        <f t="shared" si="31"/>
        <v>0.69930069930069938</v>
      </c>
      <c r="AB206" s="252">
        <f t="shared" si="31"/>
        <v>0.69930069930069938</v>
      </c>
      <c r="AC206" s="252">
        <f t="shared" si="31"/>
        <v>0.69930069930069938</v>
      </c>
      <c r="AD206" s="252">
        <f t="shared" si="31"/>
        <v>0.69930069930069938</v>
      </c>
      <c r="AE206" s="76"/>
      <c r="AF206" s="76"/>
      <c r="AG206" s="76"/>
      <c r="AH206" s="97">
        <v>1</v>
      </c>
      <c r="AI206" s="97">
        <v>1</v>
      </c>
      <c r="AJ206" s="73"/>
      <c r="AK206" s="57"/>
      <c r="AL206" s="45"/>
      <c r="AM206" s="45"/>
      <c r="AN206" s="45"/>
    </row>
    <row r="207" spans="1:40" hidden="1" outlineLevel="2" x14ac:dyDescent="0.25">
      <c r="A207" s="45"/>
      <c r="B207" s="54"/>
      <c r="C207" s="47">
        <f t="shared" si="23"/>
        <v>3</v>
      </c>
      <c r="D207" s="73"/>
      <c r="E207" s="70"/>
      <c r="F207" s="70" t="s">
        <v>3284</v>
      </c>
      <c r="G207" s="73"/>
      <c r="H207" s="76" t="s">
        <v>3291</v>
      </c>
      <c r="I207" s="96" t="s">
        <v>624</v>
      </c>
      <c r="J207" s="96"/>
      <c r="K207" s="257">
        <v>1</v>
      </c>
      <c r="L207" s="257">
        <f t="shared" si="30"/>
        <v>1</v>
      </c>
      <c r="M207" s="76"/>
      <c r="N207" s="76"/>
      <c r="O207" s="76"/>
      <c r="P207" s="76"/>
      <c r="Q207" s="76"/>
      <c r="R207" s="76" t="s">
        <v>3294</v>
      </c>
      <c r="S207" s="76"/>
      <c r="T207" s="76"/>
      <c r="U207" s="252">
        <f t="shared" si="31"/>
        <v>1</v>
      </c>
      <c r="V207" s="252">
        <f t="shared" si="31"/>
        <v>1</v>
      </c>
      <c r="W207" s="252">
        <f t="shared" si="31"/>
        <v>1</v>
      </c>
      <c r="X207" s="252">
        <f t="shared" si="31"/>
        <v>1</v>
      </c>
      <c r="Y207" s="252">
        <f t="shared" si="31"/>
        <v>1</v>
      </c>
      <c r="Z207" s="252">
        <f t="shared" si="31"/>
        <v>1</v>
      </c>
      <c r="AA207" s="252">
        <f t="shared" si="31"/>
        <v>1</v>
      </c>
      <c r="AB207" s="252">
        <f t="shared" si="31"/>
        <v>1</v>
      </c>
      <c r="AC207" s="252">
        <f t="shared" si="31"/>
        <v>1</v>
      </c>
      <c r="AD207" s="252">
        <f t="shared" si="31"/>
        <v>1</v>
      </c>
      <c r="AE207" s="76"/>
      <c r="AF207" s="76"/>
      <c r="AG207" s="76"/>
      <c r="AH207" s="97">
        <v>1</v>
      </c>
      <c r="AI207" s="97">
        <v>1</v>
      </c>
      <c r="AJ207" s="73"/>
      <c r="AK207" s="57"/>
      <c r="AL207" s="45"/>
      <c r="AM207" s="45"/>
      <c r="AN207" s="45"/>
    </row>
    <row r="208" spans="1:40" hidden="1" outlineLevel="2" x14ac:dyDescent="0.25">
      <c r="A208" s="45"/>
      <c r="B208" s="54"/>
      <c r="C208" s="47">
        <f t="shared" si="23"/>
        <v>3</v>
      </c>
      <c r="D208" s="73"/>
      <c r="E208" s="70"/>
      <c r="F208" s="70" t="s">
        <v>3283</v>
      </c>
      <c r="G208" s="73"/>
      <c r="H208" s="76" t="s">
        <v>3292</v>
      </c>
      <c r="I208" s="96" t="s">
        <v>624</v>
      </c>
      <c r="J208" s="96"/>
      <c r="K208" s="280">
        <f>1/(1+K$195)</f>
        <v>0.4</v>
      </c>
      <c r="L208" s="280">
        <f t="shared" si="30"/>
        <v>0.4</v>
      </c>
      <c r="M208" s="76"/>
      <c r="N208" s="76"/>
      <c r="O208" s="76"/>
      <c r="P208" s="76"/>
      <c r="Q208" s="76"/>
      <c r="R208" s="76" t="s">
        <v>3294</v>
      </c>
      <c r="S208" s="76"/>
      <c r="T208" s="76"/>
      <c r="U208" s="252">
        <f t="shared" si="31"/>
        <v>0.4</v>
      </c>
      <c r="V208" s="252">
        <f t="shared" si="31"/>
        <v>0.4</v>
      </c>
      <c r="W208" s="252">
        <f t="shared" si="31"/>
        <v>0.4</v>
      </c>
      <c r="X208" s="252">
        <f t="shared" si="31"/>
        <v>0.4</v>
      </c>
      <c r="Y208" s="252">
        <f t="shared" si="31"/>
        <v>0.4</v>
      </c>
      <c r="Z208" s="252">
        <f t="shared" si="31"/>
        <v>0.4</v>
      </c>
      <c r="AA208" s="252">
        <f t="shared" si="31"/>
        <v>0.4</v>
      </c>
      <c r="AB208" s="252">
        <f t="shared" si="31"/>
        <v>0.4</v>
      </c>
      <c r="AC208" s="252">
        <f t="shared" si="31"/>
        <v>0.4</v>
      </c>
      <c r="AD208" s="252">
        <f t="shared" si="31"/>
        <v>0.4</v>
      </c>
      <c r="AE208" s="76"/>
      <c r="AF208" s="76"/>
      <c r="AG208" s="76"/>
      <c r="AH208" s="97">
        <v>1</v>
      </c>
      <c r="AI208" s="97">
        <v>1</v>
      </c>
      <c r="AJ208" s="73"/>
      <c r="AK208" s="57"/>
      <c r="AL208" s="45"/>
      <c r="AM208" s="45"/>
      <c r="AN208" s="45"/>
    </row>
    <row r="209" spans="1:40" hidden="1" outlineLevel="2" x14ac:dyDescent="0.25">
      <c r="A209" s="45"/>
      <c r="B209" s="54"/>
      <c r="C209" s="47">
        <f t="shared" si="23"/>
        <v>3</v>
      </c>
      <c r="D209" s="73"/>
      <c r="E209" s="70"/>
      <c r="F209" s="70" t="s">
        <v>3285</v>
      </c>
      <c r="G209" s="73"/>
      <c r="H209" s="76" t="s">
        <v>3293</v>
      </c>
      <c r="I209" s="96" t="s">
        <v>624</v>
      </c>
      <c r="J209" s="96"/>
      <c r="K209" s="257">
        <v>1</v>
      </c>
      <c r="L209" s="257">
        <f t="shared" si="30"/>
        <v>1</v>
      </c>
      <c r="M209" s="76"/>
      <c r="N209" s="76"/>
      <c r="O209" s="76"/>
      <c r="P209" s="76"/>
      <c r="Q209" s="76"/>
      <c r="R209" s="76" t="s">
        <v>3294</v>
      </c>
      <c r="S209" s="76"/>
      <c r="T209" s="76"/>
      <c r="U209" s="252">
        <f t="shared" si="31"/>
        <v>1</v>
      </c>
      <c r="V209" s="252">
        <f t="shared" si="31"/>
        <v>1</v>
      </c>
      <c r="W209" s="252">
        <f t="shared" si="31"/>
        <v>1</v>
      </c>
      <c r="X209" s="252">
        <f t="shared" si="31"/>
        <v>1</v>
      </c>
      <c r="Y209" s="252">
        <f t="shared" si="31"/>
        <v>1</v>
      </c>
      <c r="Z209" s="252">
        <f t="shared" si="31"/>
        <v>1</v>
      </c>
      <c r="AA209" s="252">
        <f t="shared" si="31"/>
        <v>1</v>
      </c>
      <c r="AB209" s="252">
        <f t="shared" si="31"/>
        <v>1</v>
      </c>
      <c r="AC209" s="252">
        <f t="shared" si="31"/>
        <v>1</v>
      </c>
      <c r="AD209" s="252">
        <f t="shared" si="31"/>
        <v>1</v>
      </c>
      <c r="AE209" s="76"/>
      <c r="AF209" s="76"/>
      <c r="AG209" s="76"/>
      <c r="AH209" s="97">
        <v>1</v>
      </c>
      <c r="AI209" s="97">
        <v>1</v>
      </c>
      <c r="AJ209" s="73"/>
      <c r="AK209" s="57"/>
      <c r="AL209" s="45"/>
      <c r="AM209" s="45"/>
      <c r="AN209" s="45"/>
    </row>
    <row r="210" spans="1:40" hidden="1" outlineLevel="2" x14ac:dyDescent="0.25">
      <c r="A210" s="45"/>
      <c r="B210" s="54"/>
      <c r="C210" s="47">
        <f t="shared" si="23"/>
        <v>3</v>
      </c>
      <c r="D210" s="73"/>
      <c r="E210" s="70"/>
      <c r="F210" s="70" t="s">
        <v>3286</v>
      </c>
      <c r="G210" s="73"/>
      <c r="H210" s="76" t="s">
        <v>3296</v>
      </c>
      <c r="I210" s="96" t="s">
        <v>500</v>
      </c>
      <c r="J210" s="96"/>
      <c r="K210" s="97">
        <v>0.7</v>
      </c>
      <c r="L210" s="97">
        <v>0.7</v>
      </c>
      <c r="M210" s="97">
        <v>0.7</v>
      </c>
      <c r="N210" s="97">
        <v>0.7</v>
      </c>
      <c r="O210" s="97">
        <v>0.7</v>
      </c>
      <c r="P210" s="97">
        <v>0.7</v>
      </c>
      <c r="Q210" s="76"/>
      <c r="R210" s="76" t="s">
        <v>2856</v>
      </c>
      <c r="S210" s="76" t="s">
        <v>2856</v>
      </c>
      <c r="T210" s="76"/>
      <c r="U210" s="252">
        <f t="shared" si="31"/>
        <v>0.7</v>
      </c>
      <c r="V210" s="252">
        <f t="shared" si="31"/>
        <v>0.7</v>
      </c>
      <c r="W210" s="252">
        <f t="shared" si="31"/>
        <v>0.7</v>
      </c>
      <c r="X210" s="252">
        <f t="shared" si="31"/>
        <v>0.7</v>
      </c>
      <c r="Y210" s="252">
        <f t="shared" si="31"/>
        <v>0.7</v>
      </c>
      <c r="Z210" s="252">
        <f t="shared" si="31"/>
        <v>0.7</v>
      </c>
      <c r="AA210" s="252">
        <f t="shared" si="31"/>
        <v>0.7</v>
      </c>
      <c r="AB210" s="252">
        <f t="shared" si="31"/>
        <v>0.7</v>
      </c>
      <c r="AC210" s="252">
        <f t="shared" si="31"/>
        <v>0.7</v>
      </c>
      <c r="AD210" s="252">
        <f t="shared" si="31"/>
        <v>0.7</v>
      </c>
      <c r="AE210" s="76"/>
      <c r="AF210" s="76"/>
      <c r="AG210" s="76"/>
      <c r="AH210" s="97">
        <v>1</v>
      </c>
      <c r="AI210" s="97">
        <v>1</v>
      </c>
      <c r="AJ210" s="73"/>
      <c r="AK210" s="57"/>
      <c r="AL210" s="45"/>
      <c r="AM210" s="45"/>
      <c r="AN210" s="45"/>
    </row>
    <row r="211" spans="1:40" hidden="1" outlineLevel="2" x14ac:dyDescent="0.25">
      <c r="A211" s="45"/>
      <c r="B211" s="54"/>
      <c r="C211" s="47">
        <f t="shared" si="23"/>
        <v>3</v>
      </c>
      <c r="D211" s="73"/>
      <c r="E211" s="70"/>
      <c r="F211" s="70" t="s">
        <v>3295</v>
      </c>
      <c r="G211" s="73"/>
      <c r="H211" s="76" t="s">
        <v>3313</v>
      </c>
      <c r="I211" s="96" t="s">
        <v>624</v>
      </c>
      <c r="J211" s="96"/>
      <c r="K211" s="280">
        <f>0.448*K$175</f>
        <v>0.224</v>
      </c>
      <c r="L211" s="280">
        <f>K211</f>
        <v>0.224</v>
      </c>
      <c r="M211" s="76"/>
      <c r="N211" s="76"/>
      <c r="O211" s="76"/>
      <c r="P211" s="76"/>
      <c r="Q211" s="76"/>
      <c r="R211" s="76" t="s">
        <v>3315</v>
      </c>
      <c r="S211" s="76"/>
      <c r="T211" s="76"/>
      <c r="U211" s="252">
        <f t="shared" si="31"/>
        <v>0.224</v>
      </c>
      <c r="V211" s="252">
        <f t="shared" si="31"/>
        <v>0.224</v>
      </c>
      <c r="W211" s="252">
        <f t="shared" si="31"/>
        <v>0.224</v>
      </c>
      <c r="X211" s="252">
        <f t="shared" si="31"/>
        <v>0.224</v>
      </c>
      <c r="Y211" s="252">
        <f t="shared" si="31"/>
        <v>0.224</v>
      </c>
      <c r="Z211" s="252">
        <f t="shared" si="31"/>
        <v>0.224</v>
      </c>
      <c r="AA211" s="252">
        <f t="shared" si="31"/>
        <v>0.224</v>
      </c>
      <c r="AB211" s="252">
        <f t="shared" si="31"/>
        <v>0.224</v>
      </c>
      <c r="AC211" s="252">
        <f t="shared" si="31"/>
        <v>0.224</v>
      </c>
      <c r="AD211" s="252">
        <f t="shared" si="31"/>
        <v>0.224</v>
      </c>
      <c r="AE211" s="76"/>
      <c r="AF211" s="76"/>
      <c r="AG211" s="76"/>
      <c r="AH211" s="97">
        <v>1</v>
      </c>
      <c r="AI211" s="97">
        <v>1</v>
      </c>
      <c r="AJ211" s="73"/>
      <c r="AK211" s="57"/>
      <c r="AL211" s="45"/>
      <c r="AM211" s="45"/>
      <c r="AN211" s="45"/>
    </row>
    <row r="212" spans="1:40" hidden="1" outlineLevel="2" x14ac:dyDescent="0.25">
      <c r="A212" s="45"/>
      <c r="B212" s="54"/>
      <c r="C212" s="47">
        <f t="shared" si="23"/>
        <v>3</v>
      </c>
      <c r="D212" s="73"/>
      <c r="E212" s="70"/>
      <c r="F212" s="70" t="s">
        <v>3312</v>
      </c>
      <c r="G212" s="73"/>
      <c r="H212" s="76" t="s">
        <v>3314</v>
      </c>
      <c r="I212" s="96" t="s">
        <v>624</v>
      </c>
      <c r="J212" s="96"/>
      <c r="K212" s="280">
        <f>0.448*K$176</f>
        <v>8.9600000000000009E-3</v>
      </c>
      <c r="L212" s="280">
        <f>K212</f>
        <v>8.9600000000000009E-3</v>
      </c>
      <c r="M212" s="76"/>
      <c r="N212" s="76"/>
      <c r="O212" s="76"/>
      <c r="P212" s="76"/>
      <c r="Q212" s="76"/>
      <c r="R212" s="76" t="s">
        <v>3315</v>
      </c>
      <c r="S212" s="76"/>
      <c r="T212" s="76"/>
      <c r="U212" s="252">
        <f t="shared" si="31"/>
        <v>8.9600000000000009E-3</v>
      </c>
      <c r="V212" s="252">
        <f t="shared" si="31"/>
        <v>8.9600000000000009E-3</v>
      </c>
      <c r="W212" s="252">
        <f t="shared" si="31"/>
        <v>8.9600000000000009E-3</v>
      </c>
      <c r="X212" s="252">
        <f t="shared" si="31"/>
        <v>8.9600000000000009E-3</v>
      </c>
      <c r="Y212" s="252">
        <f t="shared" si="31"/>
        <v>8.9600000000000009E-3</v>
      </c>
      <c r="Z212" s="252">
        <f t="shared" si="31"/>
        <v>8.9600000000000009E-3</v>
      </c>
      <c r="AA212" s="252">
        <f t="shared" si="31"/>
        <v>8.9600000000000009E-3</v>
      </c>
      <c r="AB212" s="252">
        <f t="shared" si="31"/>
        <v>8.9600000000000009E-3</v>
      </c>
      <c r="AC212" s="252">
        <f t="shared" si="31"/>
        <v>8.9600000000000009E-3</v>
      </c>
      <c r="AD212" s="252">
        <f t="shared" si="31"/>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5" t="s">
        <v>652</v>
      </c>
      <c r="G213" s="73"/>
      <c r="H213" s="246" t="s">
        <v>653</v>
      </c>
      <c r="I213" s="96"/>
      <c r="J213" s="96" t="s">
        <v>517</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2">INT($C$29)+2</f>
        <v>3</v>
      </c>
      <c r="D214" s="73"/>
      <c r="E214" s="70" t="s">
        <v>654</v>
      </c>
      <c r="F214" s="70" t="s">
        <v>655</v>
      </c>
      <c r="G214" s="73"/>
      <c r="H214" s="76" t="s">
        <v>656</v>
      </c>
      <c r="I214" s="96" t="s">
        <v>657</v>
      </c>
      <c r="J214" s="96"/>
      <c r="K214" s="97">
        <v>25</v>
      </c>
      <c r="L214" s="97">
        <v>25</v>
      </c>
      <c r="M214" s="97">
        <v>25</v>
      </c>
      <c r="N214" s="97">
        <v>25</v>
      </c>
      <c r="O214" s="97">
        <v>25</v>
      </c>
      <c r="P214" s="97">
        <v>25</v>
      </c>
      <c r="Q214" s="76"/>
      <c r="R214" s="76" t="s">
        <v>658</v>
      </c>
      <c r="S214" s="76"/>
      <c r="T214" s="76"/>
      <c r="U214" s="252">
        <f t="shared" ref="U214:AD228" si="33">INDEX($K214:$Q214,1,U$43)</f>
        <v>25</v>
      </c>
      <c r="V214" s="252">
        <f t="shared" si="33"/>
        <v>25</v>
      </c>
      <c r="W214" s="252">
        <f t="shared" si="33"/>
        <v>25</v>
      </c>
      <c r="X214" s="252">
        <f t="shared" si="33"/>
        <v>25</v>
      </c>
      <c r="Y214" s="252">
        <f t="shared" si="33"/>
        <v>25</v>
      </c>
      <c r="Z214" s="252">
        <f t="shared" si="33"/>
        <v>25</v>
      </c>
      <c r="AA214" s="252">
        <f t="shared" si="33"/>
        <v>25</v>
      </c>
      <c r="AB214" s="252">
        <f t="shared" si="33"/>
        <v>25</v>
      </c>
      <c r="AC214" s="252">
        <f t="shared" si="33"/>
        <v>25</v>
      </c>
      <c r="AD214" s="252">
        <f t="shared" si="33"/>
        <v>25</v>
      </c>
      <c r="AE214" s="76"/>
      <c r="AF214" s="76"/>
      <c r="AG214" s="76"/>
      <c r="AH214" s="97">
        <v>1</v>
      </c>
      <c r="AI214" s="97">
        <v>1</v>
      </c>
      <c r="AJ214" s="73"/>
      <c r="AK214" s="57"/>
      <c r="AL214" s="45"/>
      <c r="AM214" s="45"/>
      <c r="AN214" s="45"/>
    </row>
    <row r="215" spans="1:40" hidden="1" outlineLevel="2" x14ac:dyDescent="0.25">
      <c r="A215" s="45"/>
      <c r="B215" s="54"/>
      <c r="C215" s="47">
        <f t="shared" si="32"/>
        <v>3</v>
      </c>
      <c r="D215" s="73"/>
      <c r="E215" s="70"/>
      <c r="F215" s="70" t="s">
        <v>659</v>
      </c>
      <c r="G215" s="73"/>
      <c r="H215" s="76" t="s">
        <v>660</v>
      </c>
      <c r="I215" s="96" t="s">
        <v>500</v>
      </c>
      <c r="J215" s="96"/>
      <c r="K215" s="97">
        <v>0.09</v>
      </c>
      <c r="L215" s="97">
        <v>0.09</v>
      </c>
      <c r="M215" s="97">
        <v>0.09</v>
      </c>
      <c r="N215" s="97">
        <v>0.09</v>
      </c>
      <c r="O215" s="97">
        <v>0.09</v>
      </c>
      <c r="P215" s="97">
        <v>0.09</v>
      </c>
      <c r="Q215" s="76"/>
      <c r="R215" s="76" t="s">
        <v>510</v>
      </c>
      <c r="S215" s="76" t="s">
        <v>510</v>
      </c>
      <c r="T215" s="76"/>
      <c r="U215" s="252">
        <f t="shared" si="33"/>
        <v>0.09</v>
      </c>
      <c r="V215" s="252">
        <f t="shared" si="33"/>
        <v>0.09</v>
      </c>
      <c r="W215" s="252">
        <f t="shared" si="33"/>
        <v>0.09</v>
      </c>
      <c r="X215" s="252">
        <f t="shared" si="33"/>
        <v>0.09</v>
      </c>
      <c r="Y215" s="252">
        <f t="shared" si="33"/>
        <v>0.09</v>
      </c>
      <c r="Z215" s="252">
        <f t="shared" si="33"/>
        <v>0.09</v>
      </c>
      <c r="AA215" s="252">
        <f t="shared" si="33"/>
        <v>0.09</v>
      </c>
      <c r="AB215" s="252">
        <f t="shared" si="33"/>
        <v>0.09</v>
      </c>
      <c r="AC215" s="252">
        <f t="shared" si="33"/>
        <v>0.09</v>
      </c>
      <c r="AD215" s="252">
        <f t="shared" si="33"/>
        <v>0.09</v>
      </c>
      <c r="AE215" s="76"/>
      <c r="AF215" s="76"/>
      <c r="AG215" s="76"/>
      <c r="AH215" s="97">
        <v>1</v>
      </c>
      <c r="AI215" s="97">
        <v>1</v>
      </c>
      <c r="AJ215" s="73"/>
      <c r="AK215" s="57"/>
      <c r="AL215" s="45"/>
      <c r="AM215" s="45"/>
      <c r="AN215" s="45"/>
    </row>
    <row r="216" spans="1:40" hidden="1" outlineLevel="2" x14ac:dyDescent="0.25">
      <c r="A216" s="45"/>
      <c r="B216" s="54"/>
      <c r="C216" s="47">
        <f t="shared" si="32"/>
        <v>3</v>
      </c>
      <c r="D216" s="73"/>
      <c r="E216" s="70"/>
      <c r="F216" s="70" t="s">
        <v>661</v>
      </c>
      <c r="G216" s="73"/>
      <c r="H216" s="76" t="s">
        <v>662</v>
      </c>
      <c r="I216" s="96" t="s">
        <v>663</v>
      </c>
      <c r="J216" s="96"/>
      <c r="K216" s="97">
        <v>0.26</v>
      </c>
      <c r="L216" s="97">
        <v>0.26</v>
      </c>
      <c r="M216" s="97">
        <v>0.36</v>
      </c>
      <c r="N216" s="97">
        <v>0.31</v>
      </c>
      <c r="O216" s="97">
        <v>0.36</v>
      </c>
      <c r="P216" s="97">
        <v>0.36</v>
      </c>
      <c r="Q216" s="76"/>
      <c r="R216" s="76" t="s">
        <v>510</v>
      </c>
      <c r="S216" s="76" t="s">
        <v>510</v>
      </c>
      <c r="T216" s="76"/>
      <c r="U216" s="252">
        <f t="shared" si="33"/>
        <v>0.26</v>
      </c>
      <c r="V216" s="252">
        <f t="shared" si="33"/>
        <v>0.26</v>
      </c>
      <c r="W216" s="252">
        <f t="shared" si="33"/>
        <v>0.26</v>
      </c>
      <c r="X216" s="252">
        <f t="shared" si="33"/>
        <v>0.26</v>
      </c>
      <c r="Y216" s="252">
        <f t="shared" si="33"/>
        <v>0.26</v>
      </c>
      <c r="Z216" s="252">
        <f t="shared" si="33"/>
        <v>0.26</v>
      </c>
      <c r="AA216" s="252">
        <f t="shared" si="33"/>
        <v>0.26</v>
      </c>
      <c r="AB216" s="252">
        <f t="shared" si="33"/>
        <v>0.26</v>
      </c>
      <c r="AC216" s="252">
        <f t="shared" si="33"/>
        <v>0.26</v>
      </c>
      <c r="AD216" s="252">
        <f t="shared" si="33"/>
        <v>0.26</v>
      </c>
      <c r="AE216" s="76"/>
      <c r="AF216" s="76"/>
      <c r="AG216" s="76"/>
      <c r="AH216" s="97">
        <v>1</v>
      </c>
      <c r="AI216" s="97">
        <v>1</v>
      </c>
      <c r="AJ216" s="73"/>
      <c r="AK216" s="57"/>
      <c r="AL216" s="45"/>
      <c r="AM216" s="45"/>
      <c r="AN216" s="45"/>
    </row>
    <row r="217" spans="1:40" hidden="1" outlineLevel="2" x14ac:dyDescent="0.25">
      <c r="A217" s="45"/>
      <c r="B217" s="54"/>
      <c r="C217" s="47">
        <f t="shared" si="32"/>
        <v>3</v>
      </c>
      <c r="D217" s="73"/>
      <c r="E217" s="70"/>
      <c r="F217" s="70" t="s">
        <v>664</v>
      </c>
      <c r="G217" s="73"/>
      <c r="H217" s="76" t="s">
        <v>665</v>
      </c>
      <c r="I217" s="96" t="s">
        <v>527</v>
      </c>
      <c r="J217" s="96"/>
      <c r="K217" s="97">
        <v>8.0000000000000007E-5</v>
      </c>
      <c r="L217" s="97">
        <v>8.0000000000000007E-5</v>
      </c>
      <c r="M217" s="97">
        <v>8.0000000000000007E-5</v>
      </c>
      <c r="N217" s="97">
        <v>8.0000000000000007E-5</v>
      </c>
      <c r="O217" s="97">
        <v>8.0000000000000007E-5</v>
      </c>
      <c r="P217" s="97">
        <v>8.0000000000000007E-5</v>
      </c>
      <c r="Q217" s="76"/>
      <c r="R217" s="76" t="s">
        <v>510</v>
      </c>
      <c r="S217" s="76" t="s">
        <v>510</v>
      </c>
      <c r="T217" s="76"/>
      <c r="U217" s="252">
        <f t="shared" si="33"/>
        <v>8.0000000000000007E-5</v>
      </c>
      <c r="V217" s="252">
        <f t="shared" si="33"/>
        <v>8.0000000000000007E-5</v>
      </c>
      <c r="W217" s="252">
        <f t="shared" si="33"/>
        <v>8.0000000000000007E-5</v>
      </c>
      <c r="X217" s="252">
        <f t="shared" si="33"/>
        <v>8.0000000000000007E-5</v>
      </c>
      <c r="Y217" s="252">
        <f t="shared" si="33"/>
        <v>8.0000000000000007E-5</v>
      </c>
      <c r="Z217" s="252">
        <f t="shared" si="33"/>
        <v>8.0000000000000007E-5</v>
      </c>
      <c r="AA217" s="252">
        <f t="shared" si="33"/>
        <v>8.0000000000000007E-5</v>
      </c>
      <c r="AB217" s="252">
        <f t="shared" si="33"/>
        <v>8.0000000000000007E-5</v>
      </c>
      <c r="AC217" s="252">
        <f t="shared" si="33"/>
        <v>8.0000000000000007E-5</v>
      </c>
      <c r="AD217" s="252">
        <f t="shared" si="33"/>
        <v>8.0000000000000007E-5</v>
      </c>
      <c r="AE217" s="76"/>
      <c r="AF217" s="76"/>
      <c r="AG217" s="76"/>
      <c r="AH217" s="97">
        <v>1</v>
      </c>
      <c r="AI217" s="97">
        <v>1</v>
      </c>
      <c r="AJ217" s="73"/>
      <c r="AK217" s="57"/>
      <c r="AL217" s="45"/>
      <c r="AM217" s="45"/>
      <c r="AN217" s="45"/>
    </row>
    <row r="218" spans="1:40" hidden="1" outlineLevel="2" x14ac:dyDescent="0.25">
      <c r="A218" s="45"/>
      <c r="B218" s="54"/>
      <c r="C218" s="47">
        <f t="shared" si="32"/>
        <v>3</v>
      </c>
      <c r="D218" s="73"/>
      <c r="E218" s="70"/>
      <c r="F218" s="70" t="s">
        <v>666</v>
      </c>
      <c r="G218" s="73"/>
      <c r="H218" s="76" t="s">
        <v>667</v>
      </c>
      <c r="I218" s="96" t="s">
        <v>500</v>
      </c>
      <c r="J218" s="96"/>
      <c r="K218" s="97">
        <v>0.84</v>
      </c>
      <c r="L218" s="97">
        <v>0.84</v>
      </c>
      <c r="M218" s="97">
        <v>0.84</v>
      </c>
      <c r="N218" s="97">
        <v>0.84</v>
      </c>
      <c r="O218" s="97">
        <v>0.84</v>
      </c>
      <c r="P218" s="97">
        <v>0.84</v>
      </c>
      <c r="Q218" s="76"/>
      <c r="R218" s="76" t="s">
        <v>510</v>
      </c>
      <c r="S218" s="76" t="s">
        <v>510</v>
      </c>
      <c r="T218" s="76"/>
      <c r="U218" s="252">
        <f t="shared" si="33"/>
        <v>0.84</v>
      </c>
      <c r="V218" s="252">
        <f t="shared" si="33"/>
        <v>0.84</v>
      </c>
      <c r="W218" s="252">
        <f t="shared" si="33"/>
        <v>0.84</v>
      </c>
      <c r="X218" s="252">
        <f t="shared" si="33"/>
        <v>0.84</v>
      </c>
      <c r="Y218" s="252">
        <f t="shared" si="33"/>
        <v>0.84</v>
      </c>
      <c r="Z218" s="252">
        <f t="shared" si="33"/>
        <v>0.84</v>
      </c>
      <c r="AA218" s="252">
        <f t="shared" si="33"/>
        <v>0.84</v>
      </c>
      <c r="AB218" s="252">
        <f t="shared" si="33"/>
        <v>0.84</v>
      </c>
      <c r="AC218" s="252">
        <f t="shared" si="33"/>
        <v>0.84</v>
      </c>
      <c r="AD218" s="252">
        <f t="shared" si="33"/>
        <v>0.84</v>
      </c>
      <c r="AE218" s="76"/>
      <c r="AF218" s="76"/>
      <c r="AG218" s="76"/>
      <c r="AH218" s="97">
        <v>1</v>
      </c>
      <c r="AI218" s="97">
        <v>1</v>
      </c>
      <c r="AJ218" s="73"/>
      <c r="AK218" s="57"/>
      <c r="AL218" s="45"/>
      <c r="AM218" s="45"/>
      <c r="AN218" s="45"/>
    </row>
    <row r="219" spans="1:40" hidden="1" outlineLevel="2" x14ac:dyDescent="0.25">
      <c r="A219" s="45"/>
      <c r="B219" s="54"/>
      <c r="C219" s="47">
        <f t="shared" si="32"/>
        <v>3</v>
      </c>
      <c r="D219" s="73"/>
      <c r="E219" s="70"/>
      <c r="F219" s="70" t="s">
        <v>668</v>
      </c>
      <c r="G219" s="73"/>
      <c r="H219" s="76" t="s">
        <v>669</v>
      </c>
      <c r="I219" s="96" t="s">
        <v>500</v>
      </c>
      <c r="J219" s="96"/>
      <c r="K219" s="97">
        <v>0.23</v>
      </c>
      <c r="L219" s="97">
        <v>0.23</v>
      </c>
      <c r="M219" s="97">
        <v>0.23</v>
      </c>
      <c r="N219" s="97">
        <v>0.23</v>
      </c>
      <c r="O219" s="97">
        <v>0.23</v>
      </c>
      <c r="P219" s="97">
        <v>0.23</v>
      </c>
      <c r="Q219" s="76"/>
      <c r="R219" s="76" t="s">
        <v>670</v>
      </c>
      <c r="S219" s="76" t="s">
        <v>510</v>
      </c>
      <c r="T219" s="76"/>
      <c r="U219" s="252">
        <f t="shared" si="33"/>
        <v>0.23</v>
      </c>
      <c r="V219" s="252">
        <f t="shared" si="33"/>
        <v>0.23</v>
      </c>
      <c r="W219" s="252">
        <f t="shared" si="33"/>
        <v>0.23</v>
      </c>
      <c r="X219" s="252">
        <f t="shared" si="33"/>
        <v>0.23</v>
      </c>
      <c r="Y219" s="252">
        <f t="shared" si="33"/>
        <v>0.23</v>
      </c>
      <c r="Z219" s="252">
        <f t="shared" si="33"/>
        <v>0.23</v>
      </c>
      <c r="AA219" s="252">
        <f t="shared" si="33"/>
        <v>0.23</v>
      </c>
      <c r="AB219" s="252">
        <f t="shared" si="33"/>
        <v>0.23</v>
      </c>
      <c r="AC219" s="252">
        <f t="shared" si="33"/>
        <v>0.23</v>
      </c>
      <c r="AD219" s="252">
        <f t="shared" si="33"/>
        <v>0.23</v>
      </c>
      <c r="AE219" s="76"/>
      <c r="AF219" s="76"/>
      <c r="AG219" s="76"/>
      <c r="AH219" s="97">
        <v>1</v>
      </c>
      <c r="AI219" s="97">
        <v>1</v>
      </c>
      <c r="AJ219" s="73"/>
      <c r="AK219" s="57"/>
      <c r="AL219" s="45"/>
      <c r="AM219" s="45"/>
      <c r="AN219" s="45"/>
    </row>
    <row r="220" spans="1:40" hidden="1" outlineLevel="2" x14ac:dyDescent="0.25">
      <c r="A220" s="45"/>
      <c r="B220" s="54"/>
      <c r="C220" s="47">
        <f t="shared" si="32"/>
        <v>3</v>
      </c>
      <c r="D220" s="73"/>
      <c r="E220" s="70"/>
      <c r="F220" s="70" t="s">
        <v>671</v>
      </c>
      <c r="G220" s="73"/>
      <c r="H220" s="76" t="s">
        <v>672</v>
      </c>
      <c r="I220" s="96" t="s">
        <v>673</v>
      </c>
      <c r="J220" s="96"/>
      <c r="K220" s="97">
        <v>0.02</v>
      </c>
      <c r="L220" s="97">
        <v>0.02</v>
      </c>
      <c r="M220" s="97">
        <v>2.5000000000000001E-3</v>
      </c>
      <c r="N220" s="97">
        <v>2.5000000000000001E-3</v>
      </c>
      <c r="O220" s="97">
        <v>2.5000000000000001E-3</v>
      </c>
      <c r="P220" s="97">
        <v>2.5000000000000001E-3</v>
      </c>
      <c r="Q220" s="76"/>
      <c r="R220" s="76" t="s">
        <v>670</v>
      </c>
      <c r="S220" s="76" t="s">
        <v>674</v>
      </c>
      <c r="T220" s="76"/>
      <c r="U220" s="252">
        <f t="shared" si="33"/>
        <v>0.02</v>
      </c>
      <c r="V220" s="252">
        <f t="shared" si="33"/>
        <v>0.02</v>
      </c>
      <c r="W220" s="252">
        <f t="shared" si="33"/>
        <v>0.02</v>
      </c>
      <c r="X220" s="252">
        <f t="shared" si="33"/>
        <v>0.02</v>
      </c>
      <c r="Y220" s="252">
        <f t="shared" si="33"/>
        <v>0.02</v>
      </c>
      <c r="Z220" s="252">
        <f t="shared" si="33"/>
        <v>0.02</v>
      </c>
      <c r="AA220" s="252">
        <f t="shared" si="33"/>
        <v>0.02</v>
      </c>
      <c r="AB220" s="252">
        <f t="shared" si="33"/>
        <v>0.02</v>
      </c>
      <c r="AC220" s="252">
        <f t="shared" si="33"/>
        <v>0.02</v>
      </c>
      <c r="AD220" s="252">
        <f t="shared" si="33"/>
        <v>0.02</v>
      </c>
      <c r="AE220" s="76"/>
      <c r="AF220" s="76"/>
      <c r="AG220" s="76"/>
      <c r="AH220" s="97">
        <v>1</v>
      </c>
      <c r="AI220" s="97">
        <v>1</v>
      </c>
      <c r="AJ220" s="73"/>
      <c r="AK220" s="57"/>
      <c r="AL220" s="45"/>
      <c r="AM220" s="45"/>
      <c r="AN220" s="45"/>
    </row>
    <row r="221" spans="1:40" hidden="1" outlineLevel="2" x14ac:dyDescent="0.25">
      <c r="A221" s="45"/>
      <c r="B221" s="54"/>
      <c r="C221" s="47">
        <f t="shared" si="32"/>
        <v>3</v>
      </c>
      <c r="D221" s="73"/>
      <c r="E221" s="70"/>
      <c r="F221" s="70" t="s">
        <v>675</v>
      </c>
      <c r="G221" s="73"/>
      <c r="H221" s="76" t="s">
        <v>676</v>
      </c>
      <c r="I221" s="96" t="s">
        <v>572</v>
      </c>
      <c r="J221" s="96"/>
      <c r="K221" s="97">
        <v>0.9</v>
      </c>
      <c r="L221" s="97">
        <v>0.9</v>
      </c>
      <c r="M221" s="97">
        <v>0.9</v>
      </c>
      <c r="N221" s="97">
        <v>0.9</v>
      </c>
      <c r="O221" s="97">
        <v>0.9</v>
      </c>
      <c r="P221" s="97">
        <v>0.9</v>
      </c>
      <c r="Q221" s="76"/>
      <c r="R221" s="76" t="s">
        <v>510</v>
      </c>
      <c r="S221" s="76" t="s">
        <v>674</v>
      </c>
      <c r="T221" s="76"/>
      <c r="U221" s="252">
        <f t="shared" si="33"/>
        <v>0.9</v>
      </c>
      <c r="V221" s="252">
        <f t="shared" si="33"/>
        <v>0.9</v>
      </c>
      <c r="W221" s="252">
        <f t="shared" si="33"/>
        <v>0.9</v>
      </c>
      <c r="X221" s="252">
        <f t="shared" si="33"/>
        <v>0.9</v>
      </c>
      <c r="Y221" s="252">
        <f t="shared" si="33"/>
        <v>0.9</v>
      </c>
      <c r="Z221" s="252">
        <f t="shared" si="33"/>
        <v>0.9</v>
      </c>
      <c r="AA221" s="252">
        <f t="shared" si="33"/>
        <v>0.9</v>
      </c>
      <c r="AB221" s="252">
        <f t="shared" si="33"/>
        <v>0.9</v>
      </c>
      <c r="AC221" s="252">
        <f t="shared" si="33"/>
        <v>0.9</v>
      </c>
      <c r="AD221" s="252">
        <f t="shared" si="33"/>
        <v>0.9</v>
      </c>
      <c r="AE221" s="76"/>
      <c r="AF221" s="76"/>
      <c r="AG221" s="76"/>
      <c r="AH221" s="97">
        <v>1</v>
      </c>
      <c r="AI221" s="97">
        <v>1</v>
      </c>
      <c r="AJ221" s="73"/>
      <c r="AK221" s="57"/>
      <c r="AL221" s="45"/>
      <c r="AM221" s="45"/>
      <c r="AN221" s="45"/>
    </row>
    <row r="222" spans="1:40" hidden="1" outlineLevel="2" x14ac:dyDescent="0.25">
      <c r="A222" s="45"/>
      <c r="B222" s="54"/>
      <c r="C222" s="47">
        <f t="shared" si="32"/>
        <v>3</v>
      </c>
      <c r="D222" s="73"/>
      <c r="E222" s="70"/>
      <c r="F222" s="70" t="s">
        <v>677</v>
      </c>
      <c r="G222" s="73"/>
      <c r="H222" s="76" t="s">
        <v>678</v>
      </c>
      <c r="I222" s="96" t="s">
        <v>2253</v>
      </c>
      <c r="J222" s="96"/>
      <c r="K222" s="97">
        <v>5.7000000000000003E-5</v>
      </c>
      <c r="L222" s="97">
        <v>5.7000000000000003E-5</v>
      </c>
      <c r="M222" s="97">
        <v>5.7000000000000003E-5</v>
      </c>
      <c r="N222" s="97">
        <v>5.7000000000000003E-5</v>
      </c>
      <c r="O222" s="97">
        <v>5.7000000000000003E-5</v>
      </c>
      <c r="P222" s="97">
        <v>5.7000000000000003E-5</v>
      </c>
      <c r="Q222" s="76"/>
      <c r="R222" s="76" t="s">
        <v>670</v>
      </c>
      <c r="S222" s="76" t="s">
        <v>674</v>
      </c>
      <c r="T222" s="76"/>
      <c r="U222" s="252">
        <f t="shared" si="33"/>
        <v>5.7000000000000003E-5</v>
      </c>
      <c r="V222" s="252">
        <f t="shared" si="33"/>
        <v>5.7000000000000003E-5</v>
      </c>
      <c r="W222" s="252">
        <f t="shared" si="33"/>
        <v>5.7000000000000003E-5</v>
      </c>
      <c r="X222" s="252">
        <f t="shared" si="33"/>
        <v>5.7000000000000003E-5</v>
      </c>
      <c r="Y222" s="252">
        <f t="shared" si="33"/>
        <v>5.7000000000000003E-5</v>
      </c>
      <c r="Z222" s="252">
        <f t="shared" si="33"/>
        <v>5.7000000000000003E-5</v>
      </c>
      <c r="AA222" s="252">
        <f t="shared" si="33"/>
        <v>5.7000000000000003E-5</v>
      </c>
      <c r="AB222" s="252">
        <f t="shared" si="33"/>
        <v>5.7000000000000003E-5</v>
      </c>
      <c r="AC222" s="252">
        <f t="shared" si="33"/>
        <v>5.7000000000000003E-5</v>
      </c>
      <c r="AD222" s="252">
        <f t="shared" si="33"/>
        <v>5.7000000000000003E-5</v>
      </c>
      <c r="AE222" s="76"/>
      <c r="AF222" s="76"/>
      <c r="AG222" s="76"/>
      <c r="AH222" s="97">
        <v>1</v>
      </c>
      <c r="AI222" s="97">
        <v>1</v>
      </c>
      <c r="AJ222" s="73"/>
      <c r="AK222" s="57"/>
      <c r="AL222" s="45"/>
      <c r="AM222" s="45"/>
      <c r="AN222" s="45"/>
    </row>
    <row r="223" spans="1:40" hidden="1" outlineLevel="2" x14ac:dyDescent="0.25">
      <c r="A223" s="45"/>
      <c r="B223" s="54"/>
      <c r="C223" s="47">
        <f t="shared" si="32"/>
        <v>3</v>
      </c>
      <c r="D223" s="73"/>
      <c r="E223" s="70"/>
      <c r="F223" s="70" t="s">
        <v>679</v>
      </c>
      <c r="G223" s="73"/>
      <c r="H223" s="76" t="s">
        <v>680</v>
      </c>
      <c r="I223" s="96" t="s">
        <v>624</v>
      </c>
      <c r="J223" s="96"/>
      <c r="K223" s="97">
        <v>0.16</v>
      </c>
      <c r="L223" s="97">
        <v>0.16</v>
      </c>
      <c r="M223" s="97">
        <v>0.16</v>
      </c>
      <c r="N223" s="97">
        <v>0.16</v>
      </c>
      <c r="O223" s="97">
        <v>0.16</v>
      </c>
      <c r="P223" s="97">
        <v>0.16</v>
      </c>
      <c r="Q223" s="76"/>
      <c r="R223" s="76" t="s">
        <v>670</v>
      </c>
      <c r="S223" s="76" t="s">
        <v>674</v>
      </c>
      <c r="T223" s="76"/>
      <c r="U223" s="252">
        <f t="shared" si="33"/>
        <v>0.16</v>
      </c>
      <c r="V223" s="252">
        <f t="shared" si="33"/>
        <v>0.16</v>
      </c>
      <c r="W223" s="252">
        <f t="shared" si="33"/>
        <v>0.16</v>
      </c>
      <c r="X223" s="252">
        <f t="shared" si="33"/>
        <v>0.16</v>
      </c>
      <c r="Y223" s="252">
        <f t="shared" si="33"/>
        <v>0.16</v>
      </c>
      <c r="Z223" s="252">
        <f t="shared" si="33"/>
        <v>0.16</v>
      </c>
      <c r="AA223" s="252">
        <f t="shared" si="33"/>
        <v>0.16</v>
      </c>
      <c r="AB223" s="252">
        <f t="shared" si="33"/>
        <v>0.16</v>
      </c>
      <c r="AC223" s="252">
        <f t="shared" si="33"/>
        <v>0.16</v>
      </c>
      <c r="AD223" s="252">
        <f t="shared" si="33"/>
        <v>0.16</v>
      </c>
      <c r="AE223" s="76"/>
      <c r="AF223" s="76"/>
      <c r="AG223" s="76"/>
      <c r="AH223" s="97">
        <v>1</v>
      </c>
      <c r="AI223" s="97">
        <v>1</v>
      </c>
      <c r="AJ223" s="73"/>
      <c r="AK223" s="57"/>
      <c r="AL223" s="45"/>
      <c r="AM223" s="45"/>
      <c r="AN223" s="45"/>
    </row>
    <row r="224" spans="1:40" hidden="1" outlineLevel="2" x14ac:dyDescent="0.25">
      <c r="A224" s="45"/>
      <c r="B224" s="54"/>
      <c r="C224" s="47">
        <f t="shared" si="32"/>
        <v>3</v>
      </c>
      <c r="D224" s="73"/>
      <c r="E224" s="70"/>
      <c r="F224" s="70" t="s">
        <v>681</v>
      </c>
      <c r="G224" s="73"/>
      <c r="H224" s="76" t="s">
        <v>682</v>
      </c>
      <c r="I224" s="96" t="s">
        <v>522</v>
      </c>
      <c r="J224" s="96"/>
      <c r="K224" s="97">
        <v>1.52E-2</v>
      </c>
      <c r="L224" s="97">
        <v>1.52E-2</v>
      </c>
      <c r="M224" s="97">
        <v>1.52E-2</v>
      </c>
      <c r="N224" s="97">
        <v>1.52E-2</v>
      </c>
      <c r="O224" s="97">
        <v>1.52E-2</v>
      </c>
      <c r="P224" s="97">
        <v>1.52E-2</v>
      </c>
      <c r="Q224" s="76"/>
      <c r="R224" s="76" t="s">
        <v>510</v>
      </c>
      <c r="S224" s="76" t="s">
        <v>510</v>
      </c>
      <c r="T224" s="76"/>
      <c r="U224" s="252">
        <f t="shared" si="33"/>
        <v>1.52E-2</v>
      </c>
      <c r="V224" s="252">
        <f t="shared" si="33"/>
        <v>1.52E-2</v>
      </c>
      <c r="W224" s="252">
        <f t="shared" si="33"/>
        <v>1.52E-2</v>
      </c>
      <c r="X224" s="252">
        <f t="shared" si="33"/>
        <v>1.52E-2</v>
      </c>
      <c r="Y224" s="252">
        <f t="shared" si="33"/>
        <v>1.52E-2</v>
      </c>
      <c r="Z224" s="252">
        <f t="shared" si="33"/>
        <v>1.52E-2</v>
      </c>
      <c r="AA224" s="252">
        <f t="shared" si="33"/>
        <v>1.52E-2</v>
      </c>
      <c r="AB224" s="252">
        <f t="shared" si="33"/>
        <v>1.52E-2</v>
      </c>
      <c r="AC224" s="252">
        <f t="shared" si="33"/>
        <v>1.52E-2</v>
      </c>
      <c r="AD224" s="252">
        <f t="shared" si="33"/>
        <v>1.52E-2</v>
      </c>
      <c r="AE224" s="76"/>
      <c r="AF224" s="76"/>
      <c r="AG224" s="76"/>
      <c r="AH224" s="97">
        <v>1</v>
      </c>
      <c r="AI224" s="97">
        <v>1</v>
      </c>
      <c r="AJ224" s="73"/>
      <c r="AK224" s="57"/>
      <c r="AL224" s="45"/>
      <c r="AM224" s="45"/>
      <c r="AN224" s="45"/>
    </row>
    <row r="225" spans="1:40" hidden="1" outlineLevel="2" x14ac:dyDescent="0.25">
      <c r="A225" s="45"/>
      <c r="B225" s="54"/>
      <c r="C225" s="47">
        <f t="shared" si="32"/>
        <v>3</v>
      </c>
      <c r="D225" s="73"/>
      <c r="E225" s="70"/>
      <c r="F225" s="70" t="s">
        <v>683</v>
      </c>
      <c r="G225" s="73"/>
      <c r="H225" s="76" t="s">
        <v>684</v>
      </c>
      <c r="I225" s="96" t="s">
        <v>624</v>
      </c>
      <c r="J225" s="96"/>
      <c r="K225" s="257">
        <v>4.6000000000000001E-4</v>
      </c>
      <c r="L225" s="257">
        <v>4.6000000000000001E-4</v>
      </c>
      <c r="M225" s="97">
        <v>5.2599999999999999E-4</v>
      </c>
      <c r="N225" s="97">
        <v>5.2599999999999999E-4</v>
      </c>
      <c r="O225" s="97">
        <v>5.2599999999999999E-4</v>
      </c>
      <c r="P225" s="97">
        <v>5.2599999999999999E-4</v>
      </c>
      <c r="Q225" s="76"/>
      <c r="R225" s="76" t="s">
        <v>685</v>
      </c>
      <c r="S225" s="76" t="s">
        <v>685</v>
      </c>
      <c r="T225" s="76"/>
      <c r="U225" s="252">
        <f t="shared" si="33"/>
        <v>4.6000000000000001E-4</v>
      </c>
      <c r="V225" s="252">
        <f t="shared" si="33"/>
        <v>4.6000000000000001E-4</v>
      </c>
      <c r="W225" s="252">
        <f t="shared" si="33"/>
        <v>4.6000000000000001E-4</v>
      </c>
      <c r="X225" s="252">
        <f t="shared" si="33"/>
        <v>4.6000000000000001E-4</v>
      </c>
      <c r="Y225" s="252">
        <f t="shared" si="33"/>
        <v>4.6000000000000001E-4</v>
      </c>
      <c r="Z225" s="252">
        <f t="shared" si="33"/>
        <v>4.6000000000000001E-4</v>
      </c>
      <c r="AA225" s="252">
        <f t="shared" si="33"/>
        <v>4.6000000000000001E-4</v>
      </c>
      <c r="AB225" s="252">
        <f t="shared" si="33"/>
        <v>4.6000000000000001E-4</v>
      </c>
      <c r="AC225" s="252">
        <f t="shared" si="33"/>
        <v>4.6000000000000001E-4</v>
      </c>
      <c r="AD225" s="252">
        <f t="shared" si="33"/>
        <v>4.6000000000000001E-4</v>
      </c>
      <c r="AE225" s="76"/>
      <c r="AF225" s="76"/>
      <c r="AG225" s="76"/>
      <c r="AH225" s="97">
        <v>1</v>
      </c>
      <c r="AI225" s="97">
        <v>1</v>
      </c>
      <c r="AJ225" s="73"/>
      <c r="AK225" s="57"/>
      <c r="AL225" s="45"/>
      <c r="AM225" s="45"/>
      <c r="AN225" s="45"/>
    </row>
    <row r="226" spans="1:40" hidden="1" outlineLevel="2" x14ac:dyDescent="0.25">
      <c r="A226" s="45"/>
      <c r="B226" s="54"/>
      <c r="C226" s="47">
        <f t="shared" si="32"/>
        <v>3</v>
      </c>
      <c r="D226" s="73"/>
      <c r="E226" s="70"/>
      <c r="F226" s="70" t="s">
        <v>686</v>
      </c>
      <c r="G226" s="73"/>
      <c r="H226" s="76" t="s">
        <v>687</v>
      </c>
      <c r="I226" s="96" t="s">
        <v>500</v>
      </c>
      <c r="J226" s="96"/>
      <c r="K226" s="257">
        <v>1.47E-4</v>
      </c>
      <c r="L226" s="257">
        <v>1.47E-4</v>
      </c>
      <c r="M226" s="97">
        <v>1.61E-2</v>
      </c>
      <c r="N226" s="97">
        <v>1.29E-2</v>
      </c>
      <c r="O226" s="97">
        <v>1.61E-2</v>
      </c>
      <c r="P226" s="97">
        <v>1.61E-2</v>
      </c>
      <c r="Q226" s="76"/>
      <c r="R226" s="76" t="s">
        <v>685</v>
      </c>
      <c r="S226" s="76" t="s">
        <v>685</v>
      </c>
      <c r="T226" s="76"/>
      <c r="U226" s="252">
        <f t="shared" si="33"/>
        <v>1.47E-4</v>
      </c>
      <c r="V226" s="252">
        <f t="shared" si="33"/>
        <v>1.47E-4</v>
      </c>
      <c r="W226" s="252">
        <f t="shared" si="33"/>
        <v>1.47E-4</v>
      </c>
      <c r="X226" s="252">
        <f t="shared" si="33"/>
        <v>1.47E-4</v>
      </c>
      <c r="Y226" s="252">
        <f t="shared" si="33"/>
        <v>1.47E-4</v>
      </c>
      <c r="Z226" s="252">
        <f t="shared" si="33"/>
        <v>1.47E-4</v>
      </c>
      <c r="AA226" s="252">
        <f t="shared" si="33"/>
        <v>1.47E-4</v>
      </c>
      <c r="AB226" s="252">
        <f t="shared" si="33"/>
        <v>1.47E-4</v>
      </c>
      <c r="AC226" s="252">
        <f t="shared" si="33"/>
        <v>1.47E-4</v>
      </c>
      <c r="AD226" s="252">
        <f t="shared" si="33"/>
        <v>1.47E-4</v>
      </c>
      <c r="AE226" s="76"/>
      <c r="AF226" s="76"/>
      <c r="AG226" s="76"/>
      <c r="AH226" s="97">
        <v>1</v>
      </c>
      <c r="AI226" s="97">
        <v>1</v>
      </c>
      <c r="AJ226" s="73"/>
      <c r="AK226" s="57"/>
      <c r="AL226" s="45"/>
      <c r="AM226" s="45"/>
      <c r="AN226" s="45"/>
    </row>
    <row r="227" spans="1:40" hidden="1" outlineLevel="2" x14ac:dyDescent="0.25">
      <c r="A227" s="45"/>
      <c r="B227" s="54"/>
      <c r="C227" s="47">
        <f t="shared" si="32"/>
        <v>3</v>
      </c>
      <c r="D227" s="73"/>
      <c r="E227" s="70"/>
      <c r="F227" s="70" t="s">
        <v>688</v>
      </c>
      <c r="G227" s="73"/>
      <c r="H227" s="76" t="s">
        <v>689</v>
      </c>
      <c r="I227" s="96" t="s">
        <v>690</v>
      </c>
      <c r="J227" s="96"/>
      <c r="K227" s="97">
        <v>3.375E-3</v>
      </c>
      <c r="L227" s="97">
        <v>3.375E-3</v>
      </c>
      <c r="M227" s="97">
        <v>4.2200000000000001E-2</v>
      </c>
      <c r="N227" s="97">
        <v>3.3799999999999997E-2</v>
      </c>
      <c r="O227" s="97">
        <v>4.2200000000000001E-2</v>
      </c>
      <c r="P227" s="97">
        <v>4.2200000000000001E-2</v>
      </c>
      <c r="Q227" s="76"/>
      <c r="R227" s="76" t="s">
        <v>685</v>
      </c>
      <c r="S227" s="76" t="s">
        <v>685</v>
      </c>
      <c r="T227" s="76"/>
      <c r="U227" s="252">
        <f t="shared" si="33"/>
        <v>3.375E-3</v>
      </c>
      <c r="V227" s="252">
        <f t="shared" si="33"/>
        <v>3.375E-3</v>
      </c>
      <c r="W227" s="252">
        <f t="shared" si="33"/>
        <v>3.375E-3</v>
      </c>
      <c r="X227" s="252">
        <f t="shared" si="33"/>
        <v>3.375E-3</v>
      </c>
      <c r="Y227" s="252">
        <f t="shared" si="33"/>
        <v>3.375E-3</v>
      </c>
      <c r="Z227" s="252">
        <f t="shared" si="33"/>
        <v>3.375E-3</v>
      </c>
      <c r="AA227" s="252">
        <f t="shared" si="33"/>
        <v>3.375E-3</v>
      </c>
      <c r="AB227" s="252">
        <f t="shared" si="33"/>
        <v>3.375E-3</v>
      </c>
      <c r="AC227" s="252">
        <f t="shared" si="33"/>
        <v>3.375E-3</v>
      </c>
      <c r="AD227" s="252">
        <f t="shared" si="33"/>
        <v>3.375E-3</v>
      </c>
      <c r="AE227" s="76"/>
      <c r="AF227" s="76"/>
      <c r="AG227" s="76"/>
      <c r="AH227" s="97">
        <v>1</v>
      </c>
      <c r="AI227" s="97">
        <v>1</v>
      </c>
      <c r="AJ227" s="73"/>
      <c r="AK227" s="57"/>
      <c r="AL227" s="45"/>
      <c r="AM227" s="45"/>
      <c r="AN227" s="45"/>
    </row>
    <row r="228" spans="1:40" hidden="1" outlineLevel="2" collapsed="1" x14ac:dyDescent="0.25">
      <c r="A228" s="45"/>
      <c r="B228" s="54"/>
      <c r="C228" s="47">
        <f t="shared" si="32"/>
        <v>3</v>
      </c>
      <c r="D228" s="73"/>
      <c r="E228" s="70"/>
      <c r="F228" s="70" t="s">
        <v>691</v>
      </c>
      <c r="G228" s="73"/>
      <c r="H228" s="76" t="s">
        <v>692</v>
      </c>
      <c r="I228" s="96" t="s">
        <v>693</v>
      </c>
      <c r="J228" s="96"/>
      <c r="K228" s="76"/>
      <c r="L228" s="76"/>
      <c r="M228" s="97">
        <v>1.1E-4</v>
      </c>
      <c r="N228" s="97">
        <v>1.1E-4</v>
      </c>
      <c r="O228" s="97">
        <v>1.1E-4</v>
      </c>
      <c r="P228" s="97">
        <v>1.1E-4</v>
      </c>
      <c r="Q228" s="76"/>
      <c r="R228" s="76"/>
      <c r="S228" s="76" t="s">
        <v>510</v>
      </c>
      <c r="T228" s="76"/>
      <c r="U228" s="252">
        <f t="shared" si="33"/>
        <v>0</v>
      </c>
      <c r="V228" s="252">
        <f t="shared" si="33"/>
        <v>0</v>
      </c>
      <c r="W228" s="252">
        <f t="shared" si="33"/>
        <v>0</v>
      </c>
      <c r="X228" s="252">
        <f t="shared" si="33"/>
        <v>0</v>
      </c>
      <c r="Y228" s="252">
        <f t="shared" si="33"/>
        <v>0</v>
      </c>
      <c r="Z228" s="252">
        <f t="shared" si="33"/>
        <v>0</v>
      </c>
      <c r="AA228" s="252">
        <f t="shared" si="33"/>
        <v>0</v>
      </c>
      <c r="AB228" s="252">
        <f t="shared" si="33"/>
        <v>0</v>
      </c>
      <c r="AC228" s="252">
        <f t="shared" si="33"/>
        <v>0</v>
      </c>
      <c r="AD228" s="252">
        <f t="shared" si="33"/>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694</v>
      </c>
      <c r="G229" s="73"/>
      <c r="H229" s="76" t="s">
        <v>695</v>
      </c>
      <c r="I229" s="96" t="s">
        <v>500</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4">INT($C$29)+2</f>
        <v>3</v>
      </c>
      <c r="D230" s="73"/>
      <c r="E230" s="70"/>
      <c r="F230" s="70" t="s">
        <v>696</v>
      </c>
      <c r="G230" s="73"/>
      <c r="H230" s="76" t="s">
        <v>697</v>
      </c>
      <c r="I230" s="96" t="s">
        <v>2252</v>
      </c>
      <c r="J230" s="96"/>
      <c r="K230" s="97">
        <v>2.5999999999999999E-3</v>
      </c>
      <c r="L230" s="97">
        <v>2.5999999999999999E-3</v>
      </c>
      <c r="M230" s="97">
        <v>2.5999999999999999E-3</v>
      </c>
      <c r="N230" s="97">
        <v>2.5999999999999999E-3</v>
      </c>
      <c r="O230" s="97">
        <v>2.5999999999999999E-3</v>
      </c>
      <c r="P230" s="97">
        <v>2.5999999999999999E-3</v>
      </c>
      <c r="Q230" s="76"/>
      <c r="R230" s="76"/>
      <c r="S230" s="76" t="s">
        <v>510</v>
      </c>
      <c r="T230" s="76"/>
      <c r="U230" s="252">
        <f t="shared" ref="U230:AD240" si="35">INDEX($K230:$Q230,1,U$43)</f>
        <v>2.5999999999999999E-3</v>
      </c>
      <c r="V230" s="252">
        <f t="shared" si="35"/>
        <v>2.5999999999999999E-3</v>
      </c>
      <c r="W230" s="252">
        <f t="shared" si="35"/>
        <v>2.5999999999999999E-3</v>
      </c>
      <c r="X230" s="252">
        <f t="shared" si="35"/>
        <v>2.5999999999999999E-3</v>
      </c>
      <c r="Y230" s="252">
        <f t="shared" si="35"/>
        <v>2.5999999999999999E-3</v>
      </c>
      <c r="Z230" s="252">
        <f t="shared" si="35"/>
        <v>2.5999999999999999E-3</v>
      </c>
      <c r="AA230" s="252">
        <f t="shared" si="35"/>
        <v>2.5999999999999999E-3</v>
      </c>
      <c r="AB230" s="252">
        <f t="shared" si="35"/>
        <v>2.5999999999999999E-3</v>
      </c>
      <c r="AC230" s="252">
        <f t="shared" si="35"/>
        <v>2.5999999999999999E-3</v>
      </c>
      <c r="AD230" s="252">
        <f t="shared" si="35"/>
        <v>2.5999999999999999E-3</v>
      </c>
      <c r="AE230" s="76"/>
      <c r="AF230" s="76"/>
      <c r="AG230" s="76"/>
      <c r="AH230" s="97">
        <v>1</v>
      </c>
      <c r="AI230" s="97">
        <v>1</v>
      </c>
      <c r="AJ230" s="73"/>
      <c r="AK230" s="57"/>
      <c r="AL230" s="45"/>
      <c r="AM230" s="45"/>
      <c r="AN230" s="45"/>
    </row>
    <row r="231" spans="1:40" hidden="1" outlineLevel="2" x14ac:dyDescent="0.25">
      <c r="A231" s="45"/>
      <c r="B231" s="54"/>
      <c r="C231" s="47">
        <f t="shared" si="34"/>
        <v>3</v>
      </c>
      <c r="D231" s="73"/>
      <c r="E231" s="70"/>
      <c r="F231" s="70" t="s">
        <v>698</v>
      </c>
      <c r="G231" s="73"/>
      <c r="H231" s="76" t="s">
        <v>699</v>
      </c>
      <c r="I231" s="96" t="s">
        <v>700</v>
      </c>
      <c r="J231" s="96"/>
      <c r="K231" s="97">
        <v>40</v>
      </c>
      <c r="L231" s="97">
        <v>40</v>
      </c>
      <c r="M231" s="97">
        <v>5</v>
      </c>
      <c r="N231" s="97">
        <v>5</v>
      </c>
      <c r="O231" s="97">
        <v>5</v>
      </c>
      <c r="P231" s="97">
        <v>5</v>
      </c>
      <c r="Q231" s="76"/>
      <c r="R231" s="76" t="s">
        <v>510</v>
      </c>
      <c r="S231" s="76"/>
      <c r="T231" s="76"/>
      <c r="U231" s="252">
        <f t="shared" si="35"/>
        <v>40</v>
      </c>
      <c r="V231" s="252">
        <f t="shared" si="35"/>
        <v>40</v>
      </c>
      <c r="W231" s="252">
        <f t="shared" si="35"/>
        <v>40</v>
      </c>
      <c r="X231" s="252">
        <f t="shared" si="35"/>
        <v>40</v>
      </c>
      <c r="Y231" s="252">
        <f t="shared" si="35"/>
        <v>40</v>
      </c>
      <c r="Z231" s="252">
        <f t="shared" si="35"/>
        <v>40</v>
      </c>
      <c r="AA231" s="252">
        <f t="shared" si="35"/>
        <v>40</v>
      </c>
      <c r="AB231" s="252">
        <f t="shared" si="35"/>
        <v>40</v>
      </c>
      <c r="AC231" s="252">
        <f t="shared" si="35"/>
        <v>40</v>
      </c>
      <c r="AD231" s="252">
        <f t="shared" si="35"/>
        <v>40</v>
      </c>
      <c r="AE231" s="76"/>
      <c r="AF231" s="76"/>
      <c r="AG231" s="76"/>
      <c r="AH231" s="97">
        <v>1</v>
      </c>
      <c r="AI231" s="97">
        <v>1</v>
      </c>
      <c r="AJ231" s="73"/>
      <c r="AK231" s="57"/>
      <c r="AL231" s="45"/>
      <c r="AM231" s="45"/>
      <c r="AN231" s="45"/>
    </row>
    <row r="232" spans="1:40" hidden="1" outlineLevel="2" x14ac:dyDescent="0.25">
      <c r="A232" s="45"/>
      <c r="B232" s="54"/>
      <c r="C232" s="47">
        <f t="shared" si="34"/>
        <v>3</v>
      </c>
      <c r="D232" s="73"/>
      <c r="E232" s="70"/>
      <c r="F232" s="70" t="s">
        <v>701</v>
      </c>
      <c r="G232" s="73"/>
      <c r="H232" s="76" t="s">
        <v>702</v>
      </c>
      <c r="I232" s="96" t="s">
        <v>703</v>
      </c>
      <c r="J232" s="96"/>
      <c r="K232" s="97">
        <v>100</v>
      </c>
      <c r="L232" s="97">
        <v>100</v>
      </c>
      <c r="M232" s="97">
        <v>100</v>
      </c>
      <c r="N232" s="97">
        <v>100</v>
      </c>
      <c r="O232" s="97">
        <v>100</v>
      </c>
      <c r="P232" s="97">
        <v>100</v>
      </c>
      <c r="Q232" s="76"/>
      <c r="R232" s="76" t="s">
        <v>510</v>
      </c>
      <c r="S232" s="76"/>
      <c r="T232" s="76"/>
      <c r="U232" s="252">
        <f t="shared" si="35"/>
        <v>100</v>
      </c>
      <c r="V232" s="252">
        <f t="shared" si="35"/>
        <v>100</v>
      </c>
      <c r="W232" s="252">
        <f t="shared" si="35"/>
        <v>100</v>
      </c>
      <c r="X232" s="252">
        <f t="shared" si="35"/>
        <v>100</v>
      </c>
      <c r="Y232" s="252">
        <f t="shared" si="35"/>
        <v>100</v>
      </c>
      <c r="Z232" s="252">
        <f t="shared" si="35"/>
        <v>100</v>
      </c>
      <c r="AA232" s="252">
        <f t="shared" si="35"/>
        <v>100</v>
      </c>
      <c r="AB232" s="252">
        <f t="shared" si="35"/>
        <v>100</v>
      </c>
      <c r="AC232" s="252">
        <f t="shared" si="35"/>
        <v>100</v>
      </c>
      <c r="AD232" s="252">
        <f t="shared" si="35"/>
        <v>100</v>
      </c>
      <c r="AE232" s="76"/>
      <c r="AF232" s="76"/>
      <c r="AG232" s="76"/>
      <c r="AH232" s="97">
        <v>1</v>
      </c>
      <c r="AI232" s="97">
        <v>1</v>
      </c>
      <c r="AJ232" s="73"/>
      <c r="AK232" s="57"/>
      <c r="AL232" s="45"/>
      <c r="AM232" s="45"/>
      <c r="AN232" s="45"/>
    </row>
    <row r="233" spans="1:40" hidden="1" outlineLevel="2" x14ac:dyDescent="0.25">
      <c r="A233" s="45"/>
      <c r="B233" s="54"/>
      <c r="C233" s="47">
        <f t="shared" si="34"/>
        <v>3</v>
      </c>
      <c r="D233" s="73"/>
      <c r="E233" s="70"/>
      <c r="F233" s="70" t="s">
        <v>704</v>
      </c>
      <c r="G233" s="73"/>
      <c r="H233" s="76" t="s">
        <v>705</v>
      </c>
      <c r="I233" s="96" t="s">
        <v>703</v>
      </c>
      <c r="J233" s="96"/>
      <c r="K233" s="97">
        <v>100</v>
      </c>
      <c r="L233" s="97">
        <v>100</v>
      </c>
      <c r="M233" s="97">
        <v>100</v>
      </c>
      <c r="N233" s="97">
        <v>100</v>
      </c>
      <c r="O233" s="97">
        <v>100</v>
      </c>
      <c r="P233" s="97">
        <v>100</v>
      </c>
      <c r="Q233" s="76"/>
      <c r="R233" s="76" t="s">
        <v>510</v>
      </c>
      <c r="S233" s="76"/>
      <c r="T233" s="76"/>
      <c r="U233" s="252">
        <f t="shared" si="35"/>
        <v>100</v>
      </c>
      <c r="V233" s="252">
        <f t="shared" si="35"/>
        <v>100</v>
      </c>
      <c r="W233" s="252">
        <f t="shared" si="35"/>
        <v>100</v>
      </c>
      <c r="X233" s="252">
        <f t="shared" si="35"/>
        <v>100</v>
      </c>
      <c r="Y233" s="252">
        <f t="shared" si="35"/>
        <v>100</v>
      </c>
      <c r="Z233" s="252">
        <f t="shared" si="35"/>
        <v>100</v>
      </c>
      <c r="AA233" s="252">
        <f t="shared" si="35"/>
        <v>100</v>
      </c>
      <c r="AB233" s="252">
        <f t="shared" si="35"/>
        <v>100</v>
      </c>
      <c r="AC233" s="252">
        <f t="shared" si="35"/>
        <v>100</v>
      </c>
      <c r="AD233" s="252">
        <f t="shared" si="35"/>
        <v>100</v>
      </c>
      <c r="AE233" s="76"/>
      <c r="AF233" s="76"/>
      <c r="AG233" s="76"/>
      <c r="AH233" s="97">
        <v>1</v>
      </c>
      <c r="AI233" s="97">
        <v>1</v>
      </c>
      <c r="AJ233" s="73"/>
      <c r="AK233" s="57"/>
      <c r="AL233" s="45"/>
      <c r="AM233" s="45"/>
      <c r="AN233" s="45"/>
    </row>
    <row r="234" spans="1:40" hidden="1" outlineLevel="2" x14ac:dyDescent="0.25">
      <c r="A234" s="45"/>
      <c r="B234" s="54"/>
      <c r="C234" s="47">
        <f t="shared" si="34"/>
        <v>3</v>
      </c>
      <c r="D234" s="73"/>
      <c r="E234" s="70"/>
      <c r="F234" s="70" t="s">
        <v>2860</v>
      </c>
      <c r="G234" s="73"/>
      <c r="H234" s="76" t="s">
        <v>3228</v>
      </c>
      <c r="I234" s="96" t="s">
        <v>2863</v>
      </c>
      <c r="J234" s="96"/>
      <c r="K234" s="97">
        <v>0</v>
      </c>
      <c r="L234" s="97">
        <v>0</v>
      </c>
      <c r="M234" s="97">
        <v>0</v>
      </c>
      <c r="N234" s="97">
        <v>0</v>
      </c>
      <c r="O234" s="97">
        <v>0</v>
      </c>
      <c r="P234" s="97">
        <v>0</v>
      </c>
      <c r="Q234" s="76"/>
      <c r="R234" s="76" t="s">
        <v>3234</v>
      </c>
      <c r="S234" s="76" t="s">
        <v>3234</v>
      </c>
      <c r="T234" s="76"/>
      <c r="U234" s="252">
        <f t="shared" si="35"/>
        <v>0</v>
      </c>
      <c r="V234" s="252">
        <f t="shared" si="35"/>
        <v>0</v>
      </c>
      <c r="W234" s="252">
        <f t="shared" si="35"/>
        <v>0</v>
      </c>
      <c r="X234" s="252">
        <f t="shared" si="35"/>
        <v>0</v>
      </c>
      <c r="Y234" s="252">
        <f t="shared" si="35"/>
        <v>0</v>
      </c>
      <c r="Z234" s="252">
        <f t="shared" si="35"/>
        <v>0</v>
      </c>
      <c r="AA234" s="252">
        <f t="shared" si="35"/>
        <v>0</v>
      </c>
      <c r="AB234" s="252">
        <f t="shared" si="35"/>
        <v>0</v>
      </c>
      <c r="AC234" s="252">
        <f t="shared" si="35"/>
        <v>0</v>
      </c>
      <c r="AD234" s="252">
        <f t="shared" si="35"/>
        <v>0</v>
      </c>
      <c r="AE234" s="76"/>
      <c r="AF234" s="76"/>
      <c r="AG234" s="76"/>
      <c r="AH234" s="97">
        <v>1</v>
      </c>
      <c r="AI234" s="97">
        <v>1</v>
      </c>
      <c r="AJ234" s="73"/>
      <c r="AK234" s="57"/>
      <c r="AL234" s="45"/>
      <c r="AM234" s="45"/>
      <c r="AN234" s="45"/>
    </row>
    <row r="235" spans="1:40" hidden="1" outlineLevel="2" x14ac:dyDescent="0.25">
      <c r="A235" s="45"/>
      <c r="B235" s="54"/>
      <c r="C235" s="47">
        <f t="shared" si="34"/>
        <v>3</v>
      </c>
      <c r="D235" s="73"/>
      <c r="E235" s="70"/>
      <c r="F235" s="70" t="s">
        <v>2861</v>
      </c>
      <c r="G235" s="73"/>
      <c r="H235" s="76" t="s">
        <v>2864</v>
      </c>
      <c r="I235" s="96" t="s">
        <v>2863</v>
      </c>
      <c r="J235" s="96"/>
      <c r="K235" s="97">
        <v>1.9E-2</v>
      </c>
      <c r="L235" s="97">
        <v>1.9E-2</v>
      </c>
      <c r="M235" s="97">
        <v>1.9E-2</v>
      </c>
      <c r="N235" s="97">
        <v>1.9E-2</v>
      </c>
      <c r="O235" s="97">
        <v>1.9E-2</v>
      </c>
      <c r="P235" s="97">
        <v>1.9E-2</v>
      </c>
      <c r="Q235" s="76"/>
      <c r="R235" s="76" t="s">
        <v>3234</v>
      </c>
      <c r="S235" s="76" t="s">
        <v>3234</v>
      </c>
      <c r="T235" s="76"/>
      <c r="U235" s="252">
        <f t="shared" si="35"/>
        <v>1.9E-2</v>
      </c>
      <c r="V235" s="252">
        <f t="shared" si="35"/>
        <v>1.9E-2</v>
      </c>
      <c r="W235" s="252">
        <f t="shared" si="35"/>
        <v>1.9E-2</v>
      </c>
      <c r="X235" s="252">
        <f t="shared" si="35"/>
        <v>1.9E-2</v>
      </c>
      <c r="Y235" s="252">
        <f t="shared" si="35"/>
        <v>1.9E-2</v>
      </c>
      <c r="Z235" s="252">
        <f t="shared" si="35"/>
        <v>1.9E-2</v>
      </c>
      <c r="AA235" s="252">
        <f t="shared" si="35"/>
        <v>1.9E-2</v>
      </c>
      <c r="AB235" s="252">
        <f t="shared" si="35"/>
        <v>1.9E-2</v>
      </c>
      <c r="AC235" s="252">
        <f t="shared" si="35"/>
        <v>1.9E-2</v>
      </c>
      <c r="AD235" s="252">
        <f t="shared" si="35"/>
        <v>1.9E-2</v>
      </c>
      <c r="AE235" s="76"/>
      <c r="AF235" s="76"/>
      <c r="AG235" s="76"/>
      <c r="AH235" s="97">
        <v>1</v>
      </c>
      <c r="AI235" s="97">
        <v>1</v>
      </c>
      <c r="AJ235" s="73"/>
      <c r="AK235" s="57"/>
      <c r="AL235" s="45"/>
      <c r="AM235" s="45"/>
      <c r="AN235" s="45"/>
    </row>
    <row r="236" spans="1:40" hidden="1" outlineLevel="2" x14ac:dyDescent="0.25">
      <c r="A236" s="45"/>
      <c r="B236" s="54"/>
      <c r="C236" s="47">
        <f t="shared" si="34"/>
        <v>3</v>
      </c>
      <c r="D236" s="73"/>
      <c r="E236" s="70"/>
      <c r="F236" s="70" t="s">
        <v>2862</v>
      </c>
      <c r="G236" s="73"/>
      <c r="H236" s="76" t="s">
        <v>2865</v>
      </c>
      <c r="I236" s="96" t="s">
        <v>2863</v>
      </c>
      <c r="J236" s="96"/>
      <c r="K236" s="97">
        <v>0.185</v>
      </c>
      <c r="L236" s="97">
        <v>0.185</v>
      </c>
      <c r="M236" s="97">
        <v>0.185</v>
      </c>
      <c r="N236" s="97">
        <v>0.185</v>
      </c>
      <c r="O236" s="97">
        <v>0.185</v>
      </c>
      <c r="P236" s="97">
        <v>0.185</v>
      </c>
      <c r="Q236" s="76"/>
      <c r="R236" s="76" t="s">
        <v>3234</v>
      </c>
      <c r="S236" s="76" t="s">
        <v>3234</v>
      </c>
      <c r="T236" s="76"/>
      <c r="U236" s="252">
        <f t="shared" si="35"/>
        <v>0.185</v>
      </c>
      <c r="V236" s="252">
        <f t="shared" si="35"/>
        <v>0.185</v>
      </c>
      <c r="W236" s="252">
        <f t="shared" si="35"/>
        <v>0.185</v>
      </c>
      <c r="X236" s="252">
        <f t="shared" si="35"/>
        <v>0.185</v>
      </c>
      <c r="Y236" s="252">
        <f t="shared" si="35"/>
        <v>0.185</v>
      </c>
      <c r="Z236" s="252">
        <f t="shared" si="35"/>
        <v>0.185</v>
      </c>
      <c r="AA236" s="252">
        <f t="shared" si="35"/>
        <v>0.185</v>
      </c>
      <c r="AB236" s="252">
        <f t="shared" si="35"/>
        <v>0.185</v>
      </c>
      <c r="AC236" s="252">
        <f t="shared" si="35"/>
        <v>0.185</v>
      </c>
      <c r="AD236" s="252">
        <f t="shared" si="35"/>
        <v>0.185</v>
      </c>
      <c r="AE236" s="76"/>
      <c r="AF236" s="76"/>
      <c r="AG236" s="76"/>
      <c r="AH236" s="97">
        <v>1</v>
      </c>
      <c r="AI236" s="97">
        <v>1</v>
      </c>
      <c r="AJ236" s="73"/>
      <c r="AK236" s="57"/>
      <c r="AL236" s="45"/>
      <c r="AM236" s="45"/>
      <c r="AN236" s="45"/>
    </row>
    <row r="237" spans="1:40" hidden="1" outlineLevel="2" x14ac:dyDescent="0.25">
      <c r="A237" s="45"/>
      <c r="B237" s="54"/>
      <c r="C237" s="47">
        <f t="shared" si="34"/>
        <v>3</v>
      </c>
      <c r="D237" s="73"/>
      <c r="E237" s="70"/>
      <c r="F237" s="70" t="s">
        <v>3229</v>
      </c>
      <c r="G237" s="73"/>
      <c r="H237" s="76" t="s">
        <v>660</v>
      </c>
      <c r="I237" s="96" t="s">
        <v>500</v>
      </c>
      <c r="J237" s="96"/>
      <c r="K237" s="97">
        <v>0.106</v>
      </c>
      <c r="L237" s="97">
        <v>0.106</v>
      </c>
      <c r="M237" s="97">
        <v>0.106</v>
      </c>
      <c r="N237" s="97">
        <v>0.106</v>
      </c>
      <c r="O237" s="97">
        <v>0.106</v>
      </c>
      <c r="P237" s="97">
        <v>0.106</v>
      </c>
      <c r="Q237" s="76"/>
      <c r="R237" s="76" t="s">
        <v>3233</v>
      </c>
      <c r="S237" s="76" t="s">
        <v>3233</v>
      </c>
      <c r="T237" s="76"/>
      <c r="U237" s="252">
        <f t="shared" si="35"/>
        <v>0.106</v>
      </c>
      <c r="V237" s="252">
        <f t="shared" si="35"/>
        <v>0.106</v>
      </c>
      <c r="W237" s="252">
        <f t="shared" si="35"/>
        <v>0.106</v>
      </c>
      <c r="X237" s="252">
        <f t="shared" si="35"/>
        <v>0.106</v>
      </c>
      <c r="Y237" s="252">
        <f t="shared" si="35"/>
        <v>0.106</v>
      </c>
      <c r="Z237" s="252">
        <f t="shared" si="35"/>
        <v>0.106</v>
      </c>
      <c r="AA237" s="252">
        <f t="shared" si="35"/>
        <v>0.106</v>
      </c>
      <c r="AB237" s="252">
        <f t="shared" si="35"/>
        <v>0.106</v>
      </c>
      <c r="AC237" s="252">
        <f t="shared" si="35"/>
        <v>0.106</v>
      </c>
      <c r="AD237" s="252">
        <f t="shared" si="35"/>
        <v>0.106</v>
      </c>
      <c r="AE237" s="76"/>
      <c r="AF237" s="76"/>
      <c r="AG237" s="76"/>
      <c r="AH237" s="97">
        <v>1</v>
      </c>
      <c r="AI237" s="97">
        <v>1</v>
      </c>
      <c r="AJ237" s="73"/>
      <c r="AK237" s="57"/>
      <c r="AL237" s="45"/>
      <c r="AM237" s="45"/>
      <c r="AN237" s="45"/>
    </row>
    <row r="238" spans="1:40" hidden="1" outlineLevel="2" x14ac:dyDescent="0.25">
      <c r="A238" s="45"/>
      <c r="B238" s="54"/>
      <c r="C238" s="47">
        <f t="shared" si="34"/>
        <v>3</v>
      </c>
      <c r="D238" s="73"/>
      <c r="E238" s="70"/>
      <c r="F238" s="70" t="s">
        <v>3230</v>
      </c>
      <c r="G238" s="73"/>
      <c r="H238" s="76" t="s">
        <v>662</v>
      </c>
      <c r="I238" s="96" t="s">
        <v>663</v>
      </c>
      <c r="J238" s="96"/>
      <c r="K238" s="97">
        <v>0.14699999999999999</v>
      </c>
      <c r="L238" s="97">
        <v>0.14699999999999999</v>
      </c>
      <c r="M238" s="97">
        <v>0.14699999999999999</v>
      </c>
      <c r="N238" s="97">
        <v>0.14699999999999999</v>
      </c>
      <c r="O238" s="97">
        <v>0.14699999999999999</v>
      </c>
      <c r="P238" s="97">
        <v>0.14699999999999999</v>
      </c>
      <c r="Q238" s="76"/>
      <c r="R238" s="76" t="s">
        <v>3233</v>
      </c>
      <c r="S238" s="76" t="s">
        <v>3233</v>
      </c>
      <c r="T238" s="76"/>
      <c r="U238" s="252">
        <f t="shared" si="35"/>
        <v>0.14699999999999999</v>
      </c>
      <c r="V238" s="252">
        <f t="shared" si="35"/>
        <v>0.14699999999999999</v>
      </c>
      <c r="W238" s="252">
        <f t="shared" si="35"/>
        <v>0.14699999999999999</v>
      </c>
      <c r="X238" s="252">
        <f t="shared" si="35"/>
        <v>0.14699999999999999</v>
      </c>
      <c r="Y238" s="252">
        <f t="shared" si="35"/>
        <v>0.14699999999999999</v>
      </c>
      <c r="Z238" s="252">
        <f t="shared" si="35"/>
        <v>0.14699999999999999</v>
      </c>
      <c r="AA238" s="252">
        <f t="shared" si="35"/>
        <v>0.14699999999999999</v>
      </c>
      <c r="AB238" s="252">
        <f t="shared" si="35"/>
        <v>0.14699999999999999</v>
      </c>
      <c r="AC238" s="252">
        <f t="shared" si="35"/>
        <v>0.14699999999999999</v>
      </c>
      <c r="AD238" s="252">
        <f t="shared" si="35"/>
        <v>0.14699999999999999</v>
      </c>
      <c r="AE238" s="76"/>
      <c r="AF238" s="76"/>
      <c r="AG238" s="76"/>
      <c r="AH238" s="97">
        <v>1</v>
      </c>
      <c r="AI238" s="97">
        <v>1</v>
      </c>
      <c r="AJ238" s="73"/>
      <c r="AK238" s="57"/>
      <c r="AL238" s="45"/>
      <c r="AM238" s="45"/>
      <c r="AN238" s="45"/>
    </row>
    <row r="239" spans="1:40" hidden="1" outlineLevel="2" x14ac:dyDescent="0.25">
      <c r="A239" s="45"/>
      <c r="B239" s="54"/>
      <c r="C239" s="47">
        <f t="shared" si="34"/>
        <v>3</v>
      </c>
      <c r="D239" s="73"/>
      <c r="E239" s="70"/>
      <c r="F239" s="70" t="s">
        <v>3232</v>
      </c>
      <c r="G239" s="73"/>
      <c r="H239" s="76" t="s">
        <v>665</v>
      </c>
      <c r="I239" s="96" t="s">
        <v>527</v>
      </c>
      <c r="J239" s="96"/>
      <c r="K239" s="97">
        <f t="shared" ref="K239:P239" si="36">0.04/365</f>
        <v>1.0958904109589041E-4</v>
      </c>
      <c r="L239" s="97">
        <f t="shared" si="36"/>
        <v>1.0958904109589041E-4</v>
      </c>
      <c r="M239" s="97">
        <f t="shared" si="36"/>
        <v>1.0958904109589041E-4</v>
      </c>
      <c r="N239" s="97">
        <f t="shared" si="36"/>
        <v>1.0958904109589041E-4</v>
      </c>
      <c r="O239" s="97">
        <f t="shared" si="36"/>
        <v>1.0958904109589041E-4</v>
      </c>
      <c r="P239" s="97">
        <f t="shared" si="36"/>
        <v>1.0958904109589041E-4</v>
      </c>
      <c r="Q239" s="76"/>
      <c r="R239" s="76" t="s">
        <v>3233</v>
      </c>
      <c r="S239" s="76" t="s">
        <v>3233</v>
      </c>
      <c r="T239" s="76"/>
      <c r="U239" s="252">
        <f t="shared" si="35"/>
        <v>1.0958904109589041E-4</v>
      </c>
      <c r="V239" s="252">
        <f t="shared" si="35"/>
        <v>1.0958904109589041E-4</v>
      </c>
      <c r="W239" s="252">
        <f t="shared" si="35"/>
        <v>1.0958904109589041E-4</v>
      </c>
      <c r="X239" s="252">
        <f t="shared" si="35"/>
        <v>1.0958904109589041E-4</v>
      </c>
      <c r="Y239" s="252">
        <f t="shared" si="35"/>
        <v>1.0958904109589041E-4</v>
      </c>
      <c r="Z239" s="252">
        <f t="shared" si="35"/>
        <v>1.0958904109589041E-4</v>
      </c>
      <c r="AA239" s="252">
        <f t="shared" si="35"/>
        <v>1.0958904109589041E-4</v>
      </c>
      <c r="AB239" s="252">
        <f t="shared" si="35"/>
        <v>1.0958904109589041E-4</v>
      </c>
      <c r="AC239" s="252">
        <f t="shared" si="35"/>
        <v>1.0958904109589041E-4</v>
      </c>
      <c r="AD239" s="252">
        <f t="shared" si="35"/>
        <v>1.0958904109589041E-4</v>
      </c>
      <c r="AE239" s="76"/>
      <c r="AF239" s="76"/>
      <c r="AG239" s="76"/>
      <c r="AH239" s="97">
        <v>1</v>
      </c>
      <c r="AI239" s="97">
        <v>1</v>
      </c>
      <c r="AJ239" s="73"/>
      <c r="AK239" s="57"/>
      <c r="AL239" s="45"/>
      <c r="AM239" s="45"/>
      <c r="AN239" s="45"/>
    </row>
    <row r="240" spans="1:40" hidden="1" outlineLevel="2" x14ac:dyDescent="0.25">
      <c r="A240" s="45"/>
      <c r="B240" s="54"/>
      <c r="C240" s="47">
        <f t="shared" si="34"/>
        <v>3</v>
      </c>
      <c r="D240" s="73"/>
      <c r="E240" s="70"/>
      <c r="F240" s="70" t="s">
        <v>3231</v>
      </c>
      <c r="G240" s="73"/>
      <c r="H240" s="76" t="s">
        <v>669</v>
      </c>
      <c r="I240" s="96" t="s">
        <v>500</v>
      </c>
      <c r="J240" s="96"/>
      <c r="K240" s="97">
        <v>0.39</v>
      </c>
      <c r="L240" s="97">
        <v>0.39</v>
      </c>
      <c r="M240" s="97">
        <v>0.39</v>
      </c>
      <c r="N240" s="97">
        <v>0.39</v>
      </c>
      <c r="O240" s="97">
        <v>0.39</v>
      </c>
      <c r="P240" s="97">
        <v>0.39</v>
      </c>
      <c r="Q240" s="76"/>
      <c r="R240" s="76" t="s">
        <v>3233</v>
      </c>
      <c r="S240" s="76" t="s">
        <v>3233</v>
      </c>
      <c r="T240" s="76"/>
      <c r="U240" s="252">
        <f t="shared" si="35"/>
        <v>0.39</v>
      </c>
      <c r="V240" s="252">
        <f t="shared" si="35"/>
        <v>0.39</v>
      </c>
      <c r="W240" s="252">
        <f t="shared" si="35"/>
        <v>0.39</v>
      </c>
      <c r="X240" s="252">
        <f t="shared" si="35"/>
        <v>0.39</v>
      </c>
      <c r="Y240" s="252">
        <f t="shared" si="35"/>
        <v>0.39</v>
      </c>
      <c r="Z240" s="252">
        <f t="shared" si="35"/>
        <v>0.39</v>
      </c>
      <c r="AA240" s="252">
        <f t="shared" si="35"/>
        <v>0.39</v>
      </c>
      <c r="AB240" s="252">
        <f t="shared" si="35"/>
        <v>0.39</v>
      </c>
      <c r="AC240" s="252">
        <f t="shared" si="35"/>
        <v>0.39</v>
      </c>
      <c r="AD240" s="252">
        <f t="shared" si="35"/>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5" t="s">
        <v>706</v>
      </c>
      <c r="G241" s="73"/>
      <c r="H241" s="246" t="s">
        <v>707</v>
      </c>
      <c r="I241" s="96"/>
      <c r="J241" s="96" t="s">
        <v>517</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708</v>
      </c>
      <c r="F242" s="70" t="s">
        <v>709</v>
      </c>
      <c r="G242" s="73"/>
      <c r="H242" s="76" t="s">
        <v>493</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37">INT($C$29)+2</f>
        <v>3</v>
      </c>
      <c r="D243" s="73"/>
      <c r="E243" s="70"/>
      <c r="F243" s="70" t="s">
        <v>710</v>
      </c>
      <c r="G243" s="73"/>
      <c r="H243" s="76" t="s">
        <v>711</v>
      </c>
      <c r="I243" s="96" t="s">
        <v>500</v>
      </c>
      <c r="J243" s="96"/>
      <c r="K243" s="97">
        <v>0.3</v>
      </c>
      <c r="L243" s="97">
        <v>0.3</v>
      </c>
      <c r="M243" s="97">
        <v>0.3</v>
      </c>
      <c r="N243" s="97">
        <v>0.3</v>
      </c>
      <c r="O243" s="97">
        <v>0.3</v>
      </c>
      <c r="P243" s="97">
        <v>0.3</v>
      </c>
      <c r="Q243" s="76"/>
      <c r="R243" s="76" t="s">
        <v>712</v>
      </c>
      <c r="S243" s="76" t="s">
        <v>712</v>
      </c>
      <c r="T243" s="76"/>
      <c r="U243" s="252">
        <f t="shared" ref="U243:AD249" si="38">INDEX($K243:$Q243,1,U$43)</f>
        <v>0.3</v>
      </c>
      <c r="V243" s="252">
        <f t="shared" si="38"/>
        <v>0.3</v>
      </c>
      <c r="W243" s="252">
        <f t="shared" si="38"/>
        <v>0.3</v>
      </c>
      <c r="X243" s="252">
        <f t="shared" si="38"/>
        <v>0.3</v>
      </c>
      <c r="Y243" s="252">
        <f t="shared" si="38"/>
        <v>0.3</v>
      </c>
      <c r="Z243" s="252">
        <f t="shared" si="38"/>
        <v>0.3</v>
      </c>
      <c r="AA243" s="252">
        <f t="shared" si="38"/>
        <v>0.3</v>
      </c>
      <c r="AB243" s="252">
        <f t="shared" si="38"/>
        <v>0.3</v>
      </c>
      <c r="AC243" s="252">
        <f t="shared" si="38"/>
        <v>0.3</v>
      </c>
      <c r="AD243" s="252">
        <f t="shared" si="38"/>
        <v>0.3</v>
      </c>
      <c r="AE243" s="76"/>
      <c r="AF243" s="76"/>
      <c r="AG243" s="76"/>
      <c r="AH243" s="97">
        <v>1</v>
      </c>
      <c r="AI243" s="97">
        <v>1</v>
      </c>
      <c r="AJ243" s="73"/>
      <c r="AK243" s="57"/>
      <c r="AL243" s="45"/>
      <c r="AM243" s="45"/>
      <c r="AN243" s="45"/>
    </row>
    <row r="244" spans="1:40" hidden="1" outlineLevel="2" x14ac:dyDescent="0.25">
      <c r="A244" s="45"/>
      <c r="B244" s="54"/>
      <c r="C244" s="47">
        <f t="shared" si="37"/>
        <v>3</v>
      </c>
      <c r="D244" s="73"/>
      <c r="E244" s="70"/>
      <c r="F244" s="70" t="s">
        <v>713</v>
      </c>
      <c r="G244" s="73"/>
      <c r="H244" s="76" t="s">
        <v>714</v>
      </c>
      <c r="I244" s="96" t="s">
        <v>500</v>
      </c>
      <c r="J244" s="96"/>
      <c r="K244" s="97">
        <v>0.25</v>
      </c>
      <c r="L244" s="97">
        <v>0.25</v>
      </c>
      <c r="M244" s="97">
        <v>0.25</v>
      </c>
      <c r="N244" s="97">
        <v>0.25</v>
      </c>
      <c r="O244" s="97">
        <v>0.25</v>
      </c>
      <c r="P244" s="97">
        <v>0.25</v>
      </c>
      <c r="Q244" s="76"/>
      <c r="R244" s="76" t="s">
        <v>712</v>
      </c>
      <c r="S244" s="76" t="s">
        <v>712</v>
      </c>
      <c r="T244" s="76"/>
      <c r="U244" s="252">
        <f t="shared" si="38"/>
        <v>0.25</v>
      </c>
      <c r="V244" s="252">
        <f t="shared" si="38"/>
        <v>0.25</v>
      </c>
      <c r="W244" s="252">
        <f t="shared" si="38"/>
        <v>0.25</v>
      </c>
      <c r="X244" s="252">
        <f t="shared" si="38"/>
        <v>0.25</v>
      </c>
      <c r="Y244" s="252">
        <f t="shared" si="38"/>
        <v>0.25</v>
      </c>
      <c r="Z244" s="252">
        <f t="shared" si="38"/>
        <v>0.25</v>
      </c>
      <c r="AA244" s="252">
        <f t="shared" si="38"/>
        <v>0.25</v>
      </c>
      <c r="AB244" s="252">
        <f t="shared" si="38"/>
        <v>0.25</v>
      </c>
      <c r="AC244" s="252">
        <f t="shared" si="38"/>
        <v>0.25</v>
      </c>
      <c r="AD244" s="252">
        <f t="shared" si="38"/>
        <v>0.25</v>
      </c>
      <c r="AE244" s="76"/>
      <c r="AF244" s="76"/>
      <c r="AG244" s="76"/>
      <c r="AH244" s="97">
        <v>1</v>
      </c>
      <c r="AI244" s="97">
        <v>1</v>
      </c>
      <c r="AJ244" s="73"/>
      <c r="AK244" s="57"/>
      <c r="AL244" s="45"/>
      <c r="AM244" s="45"/>
      <c r="AN244" s="45"/>
    </row>
    <row r="245" spans="1:40" hidden="1" outlineLevel="2" x14ac:dyDescent="0.25">
      <c r="A245" s="45"/>
      <c r="B245" s="54"/>
      <c r="C245" s="47">
        <f t="shared" si="37"/>
        <v>3</v>
      </c>
      <c r="D245" s="73"/>
      <c r="E245" s="70"/>
      <c r="F245" s="70" t="s">
        <v>715</v>
      </c>
      <c r="G245" s="73"/>
      <c r="H245" s="76" t="s">
        <v>716</v>
      </c>
      <c r="I245" s="96" t="s">
        <v>500</v>
      </c>
      <c r="J245" s="96"/>
      <c r="K245" s="97">
        <v>0.1</v>
      </c>
      <c r="L245" s="97">
        <v>0.1</v>
      </c>
      <c r="M245" s="97">
        <v>0.1</v>
      </c>
      <c r="N245" s="97">
        <v>0.1</v>
      </c>
      <c r="O245" s="97">
        <v>0.1</v>
      </c>
      <c r="P245" s="97">
        <v>0.1</v>
      </c>
      <c r="Q245" s="76"/>
      <c r="R245" s="76" t="s">
        <v>712</v>
      </c>
      <c r="S245" s="76" t="s">
        <v>712</v>
      </c>
      <c r="T245" s="76"/>
      <c r="U245" s="252">
        <f t="shared" si="38"/>
        <v>0.1</v>
      </c>
      <c r="V245" s="252">
        <f t="shared" si="38"/>
        <v>0.1</v>
      </c>
      <c r="W245" s="252">
        <f t="shared" si="38"/>
        <v>0.1</v>
      </c>
      <c r="X245" s="252">
        <f t="shared" si="38"/>
        <v>0.1</v>
      </c>
      <c r="Y245" s="252">
        <f t="shared" si="38"/>
        <v>0.1</v>
      </c>
      <c r="Z245" s="252">
        <f t="shared" si="38"/>
        <v>0.1</v>
      </c>
      <c r="AA245" s="252">
        <f t="shared" si="38"/>
        <v>0.1</v>
      </c>
      <c r="AB245" s="252">
        <f t="shared" si="38"/>
        <v>0.1</v>
      </c>
      <c r="AC245" s="252">
        <f t="shared" si="38"/>
        <v>0.1</v>
      </c>
      <c r="AD245" s="252">
        <f t="shared" si="38"/>
        <v>0.1</v>
      </c>
      <c r="AE245" s="76"/>
      <c r="AF245" s="76"/>
      <c r="AG245" s="76"/>
      <c r="AH245" s="97">
        <v>1</v>
      </c>
      <c r="AI245" s="97">
        <v>1</v>
      </c>
      <c r="AJ245" s="73"/>
      <c r="AK245" s="57"/>
      <c r="AL245" s="45"/>
      <c r="AM245" s="45"/>
      <c r="AN245" s="45"/>
    </row>
    <row r="246" spans="1:40" hidden="1" outlineLevel="2" x14ac:dyDescent="0.25">
      <c r="A246" s="45"/>
      <c r="B246" s="54"/>
      <c r="C246" s="47">
        <f t="shared" si="37"/>
        <v>3</v>
      </c>
      <c r="D246" s="73"/>
      <c r="E246" s="70"/>
      <c r="F246" s="70" t="s">
        <v>717</v>
      </c>
      <c r="G246" s="73"/>
      <c r="H246" s="76" t="s">
        <v>718</v>
      </c>
      <c r="I246" s="96" t="s">
        <v>544</v>
      </c>
      <c r="J246" s="96"/>
      <c r="K246" s="97">
        <v>7.0000000000000001E-3</v>
      </c>
      <c r="L246" s="97">
        <v>7.0000000000000001E-3</v>
      </c>
      <c r="M246" s="97">
        <v>7.0000000000000001E-3</v>
      </c>
      <c r="N246" s="97">
        <v>7.0000000000000001E-3</v>
      </c>
      <c r="O246" s="97">
        <v>7.0000000000000001E-3</v>
      </c>
      <c r="P246" s="97">
        <v>7.0000000000000001E-3</v>
      </c>
      <c r="Q246" s="76"/>
      <c r="R246" s="76" t="s">
        <v>712</v>
      </c>
      <c r="S246" s="76" t="s">
        <v>712</v>
      </c>
      <c r="T246" s="76"/>
      <c r="U246" s="252">
        <f t="shared" si="38"/>
        <v>7.0000000000000001E-3</v>
      </c>
      <c r="V246" s="252">
        <f t="shared" si="38"/>
        <v>7.0000000000000001E-3</v>
      </c>
      <c r="W246" s="252">
        <f t="shared" si="38"/>
        <v>7.0000000000000001E-3</v>
      </c>
      <c r="X246" s="252">
        <f t="shared" si="38"/>
        <v>7.0000000000000001E-3</v>
      </c>
      <c r="Y246" s="252">
        <f t="shared" si="38"/>
        <v>7.0000000000000001E-3</v>
      </c>
      <c r="Z246" s="252">
        <f t="shared" si="38"/>
        <v>7.0000000000000001E-3</v>
      </c>
      <c r="AA246" s="252">
        <f t="shared" si="38"/>
        <v>7.0000000000000001E-3</v>
      </c>
      <c r="AB246" s="252">
        <f t="shared" si="38"/>
        <v>7.0000000000000001E-3</v>
      </c>
      <c r="AC246" s="252">
        <f t="shared" si="38"/>
        <v>7.0000000000000001E-3</v>
      </c>
      <c r="AD246" s="252">
        <f t="shared" si="38"/>
        <v>7.0000000000000001E-3</v>
      </c>
      <c r="AE246" s="76"/>
      <c r="AF246" s="76"/>
      <c r="AG246" s="76"/>
      <c r="AH246" s="97">
        <v>1</v>
      </c>
      <c r="AI246" s="97">
        <v>1</v>
      </c>
      <c r="AJ246" s="73"/>
      <c r="AK246" s="57"/>
      <c r="AL246" s="45"/>
      <c r="AM246" s="45"/>
      <c r="AN246" s="45"/>
    </row>
    <row r="247" spans="1:40" hidden="1" outlineLevel="2" x14ac:dyDescent="0.25">
      <c r="A247" s="45"/>
      <c r="B247" s="54"/>
      <c r="C247" s="47">
        <f t="shared" si="37"/>
        <v>3</v>
      </c>
      <c r="D247" s="73"/>
      <c r="E247" s="70"/>
      <c r="F247" s="70" t="s">
        <v>719</v>
      </c>
      <c r="G247" s="73"/>
      <c r="H247" s="76" t="s">
        <v>720</v>
      </c>
      <c r="I247" s="96" t="s">
        <v>544</v>
      </c>
      <c r="J247" s="96"/>
      <c r="K247" s="97">
        <v>5.0000000000000001E-3</v>
      </c>
      <c r="L247" s="97">
        <v>5.0000000000000001E-3</v>
      </c>
      <c r="M247" s="97">
        <v>5.0000000000000001E-3</v>
      </c>
      <c r="N247" s="97">
        <v>5.0000000000000001E-3</v>
      </c>
      <c r="O247" s="97">
        <v>5.0000000000000001E-3</v>
      </c>
      <c r="P247" s="97">
        <v>5.0000000000000001E-3</v>
      </c>
      <c r="Q247" s="76"/>
      <c r="R247" s="76" t="s">
        <v>712</v>
      </c>
      <c r="S247" s="76" t="s">
        <v>712</v>
      </c>
      <c r="T247" s="76"/>
      <c r="U247" s="252">
        <f t="shared" si="38"/>
        <v>5.0000000000000001E-3</v>
      </c>
      <c r="V247" s="252">
        <f t="shared" si="38"/>
        <v>5.0000000000000001E-3</v>
      </c>
      <c r="W247" s="252">
        <f t="shared" si="38"/>
        <v>5.0000000000000001E-3</v>
      </c>
      <c r="X247" s="252">
        <f t="shared" si="38"/>
        <v>5.0000000000000001E-3</v>
      </c>
      <c r="Y247" s="252">
        <f t="shared" si="38"/>
        <v>5.0000000000000001E-3</v>
      </c>
      <c r="Z247" s="252">
        <f t="shared" si="38"/>
        <v>5.0000000000000001E-3</v>
      </c>
      <c r="AA247" s="252">
        <f t="shared" si="38"/>
        <v>5.0000000000000001E-3</v>
      </c>
      <c r="AB247" s="252">
        <f t="shared" si="38"/>
        <v>5.0000000000000001E-3</v>
      </c>
      <c r="AC247" s="252">
        <f t="shared" si="38"/>
        <v>5.0000000000000001E-3</v>
      </c>
      <c r="AD247" s="252">
        <f t="shared" si="38"/>
        <v>5.0000000000000001E-3</v>
      </c>
      <c r="AE247" s="76"/>
      <c r="AF247" s="76"/>
      <c r="AG247" s="76"/>
      <c r="AH247" s="97">
        <v>1</v>
      </c>
      <c r="AI247" s="97">
        <v>1</v>
      </c>
      <c r="AJ247" s="73"/>
      <c r="AK247" s="57"/>
      <c r="AL247" s="45"/>
      <c r="AM247" s="45"/>
      <c r="AN247" s="45"/>
    </row>
    <row r="248" spans="1:40" hidden="1" outlineLevel="2" x14ac:dyDescent="0.25">
      <c r="A248" s="45"/>
      <c r="B248" s="54"/>
      <c r="C248" s="47">
        <f t="shared" si="37"/>
        <v>3</v>
      </c>
      <c r="D248" s="73"/>
      <c r="E248" s="70"/>
      <c r="F248" s="70" t="s">
        <v>721</v>
      </c>
      <c r="G248" s="73"/>
      <c r="H248" s="76" t="s">
        <v>722</v>
      </c>
      <c r="I248" s="96" t="s">
        <v>500</v>
      </c>
      <c r="J248" s="96"/>
      <c r="K248" s="97">
        <v>0.35</v>
      </c>
      <c r="L248" s="97">
        <v>0.35</v>
      </c>
      <c r="M248" s="97">
        <v>0.35</v>
      </c>
      <c r="N248" s="97">
        <v>0.35</v>
      </c>
      <c r="O248" s="97">
        <v>0.35</v>
      </c>
      <c r="P248" s="97">
        <v>0.35</v>
      </c>
      <c r="Q248" s="76"/>
      <c r="R248" s="76" t="s">
        <v>712</v>
      </c>
      <c r="S248" s="76" t="s">
        <v>712</v>
      </c>
      <c r="T248" s="76"/>
      <c r="U248" s="252">
        <f t="shared" si="38"/>
        <v>0.35</v>
      </c>
      <c r="V248" s="252">
        <f t="shared" si="38"/>
        <v>0.35</v>
      </c>
      <c r="W248" s="252">
        <f t="shared" si="38"/>
        <v>0.35</v>
      </c>
      <c r="X248" s="252">
        <f t="shared" si="38"/>
        <v>0.35</v>
      </c>
      <c r="Y248" s="252">
        <f t="shared" si="38"/>
        <v>0.35</v>
      </c>
      <c r="Z248" s="252">
        <f t="shared" si="38"/>
        <v>0.35</v>
      </c>
      <c r="AA248" s="252">
        <f t="shared" si="38"/>
        <v>0.35</v>
      </c>
      <c r="AB248" s="252">
        <f t="shared" si="38"/>
        <v>0.35</v>
      </c>
      <c r="AC248" s="252">
        <f t="shared" si="38"/>
        <v>0.35</v>
      </c>
      <c r="AD248" s="252">
        <f t="shared" si="38"/>
        <v>0.35</v>
      </c>
      <c r="AE248" s="76"/>
      <c r="AF248" s="76"/>
      <c r="AG248" s="76"/>
      <c r="AH248" s="97">
        <v>1</v>
      </c>
      <c r="AI248" s="97">
        <v>1</v>
      </c>
      <c r="AJ248" s="73"/>
      <c r="AK248" s="57"/>
      <c r="AL248" s="45"/>
      <c r="AM248" s="45"/>
      <c r="AN248" s="45"/>
    </row>
    <row r="249" spans="1:40" hidden="1" outlineLevel="2" x14ac:dyDescent="0.25">
      <c r="A249" s="45"/>
      <c r="B249" s="54"/>
      <c r="C249" s="47">
        <f t="shared" si="37"/>
        <v>3</v>
      </c>
      <c r="D249" s="73"/>
      <c r="E249" s="70"/>
      <c r="F249" s="70" t="s">
        <v>723</v>
      </c>
      <c r="G249" s="73"/>
      <c r="H249" s="76" t="s">
        <v>724</v>
      </c>
      <c r="I249" s="96" t="s">
        <v>500</v>
      </c>
      <c r="J249" s="96"/>
      <c r="K249" s="97">
        <v>0.1</v>
      </c>
      <c r="L249" s="97">
        <v>0.1</v>
      </c>
      <c r="M249" s="97">
        <v>0.1</v>
      </c>
      <c r="N249" s="97">
        <v>0.1</v>
      </c>
      <c r="O249" s="97">
        <v>0.1</v>
      </c>
      <c r="P249" s="97">
        <v>0.1</v>
      </c>
      <c r="Q249" s="76"/>
      <c r="R249" s="76" t="s">
        <v>670</v>
      </c>
      <c r="S249" s="76" t="s">
        <v>712</v>
      </c>
      <c r="T249" s="76"/>
      <c r="U249" s="252">
        <f t="shared" si="38"/>
        <v>0.1</v>
      </c>
      <c r="V249" s="252">
        <f t="shared" si="38"/>
        <v>0.1</v>
      </c>
      <c r="W249" s="252">
        <f t="shared" si="38"/>
        <v>0.1</v>
      </c>
      <c r="X249" s="252">
        <f t="shared" si="38"/>
        <v>0.1</v>
      </c>
      <c r="Y249" s="252">
        <f t="shared" si="38"/>
        <v>0.1</v>
      </c>
      <c r="Z249" s="252">
        <f t="shared" si="38"/>
        <v>0.1</v>
      </c>
      <c r="AA249" s="252">
        <f t="shared" si="38"/>
        <v>0.1</v>
      </c>
      <c r="AB249" s="252">
        <f t="shared" si="38"/>
        <v>0.1</v>
      </c>
      <c r="AC249" s="252">
        <f t="shared" si="38"/>
        <v>0.1</v>
      </c>
      <c r="AD249" s="252">
        <f t="shared" si="38"/>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5" t="s">
        <v>725</v>
      </c>
      <c r="G250" s="73"/>
      <c r="H250" s="246" t="s">
        <v>726</v>
      </c>
      <c r="I250" s="96"/>
      <c r="J250" s="96" t="s">
        <v>517</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727</v>
      </c>
      <c r="F251" s="70" t="s">
        <v>728</v>
      </c>
      <c r="G251" s="73"/>
      <c r="H251" s="76" t="s">
        <v>493</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39">INT($C$29)+2</f>
        <v>3</v>
      </c>
      <c r="D252" s="73"/>
      <c r="E252" s="70"/>
      <c r="F252" s="70" t="s">
        <v>729</v>
      </c>
      <c r="G252" s="73"/>
      <c r="H252" s="76" t="s">
        <v>730</v>
      </c>
      <c r="I252" s="96" t="s">
        <v>500</v>
      </c>
      <c r="J252" s="96"/>
      <c r="K252" s="97">
        <v>0.05</v>
      </c>
      <c r="L252" s="97">
        <v>0.05</v>
      </c>
      <c r="M252" s="97">
        <v>0.05</v>
      </c>
      <c r="N252" s="97">
        <v>0.05</v>
      </c>
      <c r="O252" s="97">
        <v>0.05</v>
      </c>
      <c r="P252" s="97">
        <v>0.05</v>
      </c>
      <c r="Q252" s="76"/>
      <c r="R252" s="76" t="s">
        <v>731</v>
      </c>
      <c r="S252" s="76" t="s">
        <v>731</v>
      </c>
      <c r="T252" s="76"/>
      <c r="U252" s="252">
        <f t="shared" ref="U252:AD260" si="40">INDEX($K252:$Q252,1,U$43)</f>
        <v>0.05</v>
      </c>
      <c r="V252" s="252">
        <f t="shared" si="40"/>
        <v>0.05</v>
      </c>
      <c r="W252" s="252">
        <f t="shared" si="40"/>
        <v>0.05</v>
      </c>
      <c r="X252" s="252">
        <f t="shared" si="40"/>
        <v>0.05</v>
      </c>
      <c r="Y252" s="252">
        <f t="shared" si="40"/>
        <v>0.05</v>
      </c>
      <c r="Z252" s="252">
        <f t="shared" si="40"/>
        <v>0.05</v>
      </c>
      <c r="AA252" s="252">
        <f t="shared" si="40"/>
        <v>0.05</v>
      </c>
      <c r="AB252" s="252">
        <f t="shared" si="40"/>
        <v>0.05</v>
      </c>
      <c r="AC252" s="252">
        <f t="shared" si="40"/>
        <v>0.05</v>
      </c>
      <c r="AD252" s="252">
        <f t="shared" si="40"/>
        <v>0.05</v>
      </c>
      <c r="AE252" s="76"/>
      <c r="AF252" s="76"/>
      <c r="AG252" s="76"/>
      <c r="AH252" s="97">
        <v>1</v>
      </c>
      <c r="AI252" s="97">
        <v>1</v>
      </c>
      <c r="AJ252" s="73"/>
      <c r="AK252" s="57"/>
      <c r="AL252" s="45"/>
      <c r="AM252" s="45"/>
      <c r="AN252" s="45"/>
    </row>
    <row r="253" spans="1:40" hidden="1" outlineLevel="2" x14ac:dyDescent="0.25">
      <c r="A253" s="45"/>
      <c r="B253" s="54"/>
      <c r="C253" s="47">
        <f t="shared" si="39"/>
        <v>3</v>
      </c>
      <c r="D253" s="73"/>
      <c r="E253" s="70"/>
      <c r="F253" s="70" t="s">
        <v>732</v>
      </c>
      <c r="G253" s="73"/>
      <c r="H253" s="76" t="s">
        <v>733</v>
      </c>
      <c r="I253" s="96" t="s">
        <v>500</v>
      </c>
      <c r="J253" s="96"/>
      <c r="K253" s="97">
        <v>0.85</v>
      </c>
      <c r="L253" s="97">
        <v>0.85</v>
      </c>
      <c r="M253" s="97">
        <v>0.85</v>
      </c>
      <c r="N253" s="97">
        <v>0.85</v>
      </c>
      <c r="O253" s="97">
        <v>0.85</v>
      </c>
      <c r="P253" s="97">
        <v>0.85</v>
      </c>
      <c r="Q253" s="76"/>
      <c r="R253" s="76" t="s">
        <v>731</v>
      </c>
      <c r="S253" s="76" t="s">
        <v>731</v>
      </c>
      <c r="T253" s="76"/>
      <c r="U253" s="252">
        <f t="shared" si="40"/>
        <v>0.85</v>
      </c>
      <c r="V253" s="252">
        <f t="shared" si="40"/>
        <v>0.85</v>
      </c>
      <c r="W253" s="252">
        <f t="shared" si="40"/>
        <v>0.85</v>
      </c>
      <c r="X253" s="252">
        <f t="shared" si="40"/>
        <v>0.85</v>
      </c>
      <c r="Y253" s="252">
        <f t="shared" si="40"/>
        <v>0.85</v>
      </c>
      <c r="Z253" s="252">
        <f t="shared" si="40"/>
        <v>0.85</v>
      </c>
      <c r="AA253" s="252">
        <f t="shared" si="40"/>
        <v>0.85</v>
      </c>
      <c r="AB253" s="252">
        <f t="shared" si="40"/>
        <v>0.85</v>
      </c>
      <c r="AC253" s="252">
        <f t="shared" si="40"/>
        <v>0.85</v>
      </c>
      <c r="AD253" s="252">
        <f t="shared" si="40"/>
        <v>0.85</v>
      </c>
      <c r="AE253" s="76"/>
      <c r="AF253" s="76"/>
      <c r="AG253" s="76"/>
      <c r="AH253" s="97">
        <v>1</v>
      </c>
      <c r="AI253" s="97">
        <v>1</v>
      </c>
      <c r="AJ253" s="73"/>
      <c r="AK253" s="57"/>
      <c r="AL253" s="45"/>
      <c r="AM253" s="45"/>
      <c r="AN253" s="45"/>
    </row>
    <row r="254" spans="1:40" hidden="1" outlineLevel="2" x14ac:dyDescent="0.25">
      <c r="A254" s="45"/>
      <c r="B254" s="54"/>
      <c r="C254" s="47">
        <f t="shared" si="39"/>
        <v>3</v>
      </c>
      <c r="D254" s="73"/>
      <c r="E254" s="70"/>
      <c r="F254" s="70" t="s">
        <v>734</v>
      </c>
      <c r="G254" s="73"/>
      <c r="H254" s="76" t="s">
        <v>735</v>
      </c>
      <c r="I254" s="96" t="s">
        <v>500</v>
      </c>
      <c r="J254" s="96"/>
      <c r="K254" s="97">
        <v>5.5</v>
      </c>
      <c r="L254" s="97">
        <v>5.5</v>
      </c>
      <c r="M254" s="97">
        <v>5.5</v>
      </c>
      <c r="N254" s="97">
        <v>5.5</v>
      </c>
      <c r="O254" s="97">
        <v>5.5</v>
      </c>
      <c r="P254" s="97">
        <v>5.5</v>
      </c>
      <c r="Q254" s="76"/>
      <c r="R254" s="76" t="s">
        <v>731</v>
      </c>
      <c r="S254" s="76" t="s">
        <v>731</v>
      </c>
      <c r="T254" s="76"/>
      <c r="U254" s="252">
        <f t="shared" si="40"/>
        <v>5.5</v>
      </c>
      <c r="V254" s="252">
        <f t="shared" si="40"/>
        <v>5.5</v>
      </c>
      <c r="W254" s="252">
        <f t="shared" si="40"/>
        <v>5.5</v>
      </c>
      <c r="X254" s="252">
        <f t="shared" si="40"/>
        <v>5.5</v>
      </c>
      <c r="Y254" s="252">
        <f t="shared" si="40"/>
        <v>5.5</v>
      </c>
      <c r="Z254" s="252">
        <f t="shared" si="40"/>
        <v>5.5</v>
      </c>
      <c r="AA254" s="252">
        <f t="shared" si="40"/>
        <v>5.5</v>
      </c>
      <c r="AB254" s="252">
        <f t="shared" si="40"/>
        <v>5.5</v>
      </c>
      <c r="AC254" s="252">
        <f t="shared" si="40"/>
        <v>5.5</v>
      </c>
      <c r="AD254" s="252">
        <f t="shared" si="40"/>
        <v>5.5</v>
      </c>
      <c r="AE254" s="76"/>
      <c r="AF254" s="76"/>
      <c r="AG254" s="76"/>
      <c r="AH254" s="97">
        <v>1</v>
      </c>
      <c r="AI254" s="97">
        <v>1</v>
      </c>
      <c r="AJ254" s="73"/>
      <c r="AK254" s="57"/>
      <c r="AL254" s="45"/>
      <c r="AM254" s="45"/>
      <c r="AN254" s="45"/>
    </row>
    <row r="255" spans="1:40" hidden="1" outlineLevel="2" x14ac:dyDescent="0.25">
      <c r="A255" s="45"/>
      <c r="B255" s="54"/>
      <c r="C255" s="47">
        <f t="shared" si="39"/>
        <v>3</v>
      </c>
      <c r="D255" s="73"/>
      <c r="E255" s="70"/>
      <c r="F255" s="70" t="s">
        <v>736</v>
      </c>
      <c r="G255" s="73"/>
      <c r="H255" s="76" t="s">
        <v>737</v>
      </c>
      <c r="I255" s="96" t="s">
        <v>500</v>
      </c>
      <c r="J255" s="96"/>
      <c r="K255" s="97">
        <v>0.17799999999999999</v>
      </c>
      <c r="L255" s="97">
        <v>0.17799999999999999</v>
      </c>
      <c r="M255" s="97">
        <v>0.17799999999999999</v>
      </c>
      <c r="N255" s="97">
        <v>0.17799999999999999</v>
      </c>
      <c r="O255" s="97">
        <v>0.17799999999999999</v>
      </c>
      <c r="P255" s="97">
        <v>0.17799999999999999</v>
      </c>
      <c r="Q255" s="76"/>
      <c r="R255" s="76" t="s">
        <v>731</v>
      </c>
      <c r="S255" s="76" t="s">
        <v>731</v>
      </c>
      <c r="T255" s="76"/>
      <c r="U255" s="252">
        <f t="shared" si="40"/>
        <v>0.17799999999999999</v>
      </c>
      <c r="V255" s="252">
        <f t="shared" si="40"/>
        <v>0.17799999999999999</v>
      </c>
      <c r="W255" s="252">
        <f t="shared" si="40"/>
        <v>0.17799999999999999</v>
      </c>
      <c r="X255" s="252">
        <f t="shared" si="40"/>
        <v>0.17799999999999999</v>
      </c>
      <c r="Y255" s="252">
        <f t="shared" si="40"/>
        <v>0.17799999999999999</v>
      </c>
      <c r="Z255" s="252">
        <f t="shared" si="40"/>
        <v>0.17799999999999999</v>
      </c>
      <c r="AA255" s="252">
        <f t="shared" si="40"/>
        <v>0.17799999999999999</v>
      </c>
      <c r="AB255" s="252">
        <f t="shared" si="40"/>
        <v>0.17799999999999999</v>
      </c>
      <c r="AC255" s="252">
        <f t="shared" si="40"/>
        <v>0.17799999999999999</v>
      </c>
      <c r="AD255" s="252">
        <f t="shared" si="40"/>
        <v>0.17799999999999999</v>
      </c>
      <c r="AE255" s="76"/>
      <c r="AF255" s="76"/>
      <c r="AG255" s="76"/>
      <c r="AH255" s="97">
        <v>1</v>
      </c>
      <c r="AI255" s="97">
        <v>1</v>
      </c>
      <c r="AJ255" s="73"/>
      <c r="AK255" s="57"/>
      <c r="AL255" s="45"/>
      <c r="AM255" s="45"/>
      <c r="AN255" s="45"/>
    </row>
    <row r="256" spans="1:40" hidden="1" outlineLevel="2" x14ac:dyDescent="0.25">
      <c r="A256" s="45"/>
      <c r="B256" s="54"/>
      <c r="C256" s="47">
        <f t="shared" si="39"/>
        <v>3</v>
      </c>
      <c r="D256" s="73"/>
      <c r="E256" s="70"/>
      <c r="F256" s="70" t="s">
        <v>738</v>
      </c>
      <c r="G256" s="73"/>
      <c r="H256" s="76" t="s">
        <v>739</v>
      </c>
      <c r="I256" s="96" t="s">
        <v>572</v>
      </c>
      <c r="J256" s="96"/>
      <c r="K256" s="97">
        <v>0.92</v>
      </c>
      <c r="L256" s="97">
        <v>0.92</v>
      </c>
      <c r="M256" s="97">
        <v>0.92</v>
      </c>
      <c r="N256" s="97">
        <v>0.92</v>
      </c>
      <c r="O256" s="97">
        <v>0.92</v>
      </c>
      <c r="P256" s="97">
        <v>0.92</v>
      </c>
      <c r="Q256" s="76"/>
      <c r="R256" s="76" t="s">
        <v>625</v>
      </c>
      <c r="S256" s="76" t="s">
        <v>625</v>
      </c>
      <c r="T256" s="76"/>
      <c r="U256" s="252">
        <f t="shared" si="40"/>
        <v>0.92</v>
      </c>
      <c r="V256" s="252">
        <f t="shared" si="40"/>
        <v>0.92</v>
      </c>
      <c r="W256" s="252">
        <f t="shared" si="40"/>
        <v>0.92</v>
      </c>
      <c r="X256" s="252">
        <f t="shared" si="40"/>
        <v>0.92</v>
      </c>
      <c r="Y256" s="252">
        <f t="shared" si="40"/>
        <v>0.92</v>
      </c>
      <c r="Z256" s="252">
        <f t="shared" si="40"/>
        <v>0.92</v>
      </c>
      <c r="AA256" s="252">
        <f t="shared" si="40"/>
        <v>0.92</v>
      </c>
      <c r="AB256" s="252">
        <f t="shared" si="40"/>
        <v>0.92</v>
      </c>
      <c r="AC256" s="252">
        <f t="shared" si="40"/>
        <v>0.92</v>
      </c>
      <c r="AD256" s="252">
        <f t="shared" si="40"/>
        <v>0.92</v>
      </c>
      <c r="AE256" s="76"/>
      <c r="AF256" s="76"/>
      <c r="AG256" s="76"/>
      <c r="AH256" s="97">
        <v>1</v>
      </c>
      <c r="AI256" s="97">
        <v>1</v>
      </c>
      <c r="AJ256" s="73"/>
      <c r="AK256" s="57"/>
      <c r="AL256" s="45"/>
      <c r="AM256" s="45"/>
      <c r="AN256" s="45"/>
    </row>
    <row r="257" spans="1:40" hidden="1" outlineLevel="2" x14ac:dyDescent="0.25">
      <c r="A257" s="45"/>
      <c r="B257" s="54"/>
      <c r="C257" s="47">
        <f t="shared" si="39"/>
        <v>3</v>
      </c>
      <c r="D257" s="73"/>
      <c r="E257" s="70"/>
      <c r="F257" s="70" t="s">
        <v>740</v>
      </c>
      <c r="G257" s="73"/>
      <c r="H257" s="76" t="s">
        <v>741</v>
      </c>
      <c r="I257" s="96" t="s">
        <v>500</v>
      </c>
      <c r="J257" s="96"/>
      <c r="K257" s="97">
        <v>1</v>
      </c>
      <c r="L257" s="97">
        <v>1</v>
      </c>
      <c r="M257" s="97">
        <v>1</v>
      </c>
      <c r="N257" s="97">
        <v>1</v>
      </c>
      <c r="O257" s="97">
        <v>1</v>
      </c>
      <c r="P257" s="97">
        <v>1</v>
      </c>
      <c r="Q257" s="76"/>
      <c r="R257" s="76" t="s">
        <v>685</v>
      </c>
      <c r="S257" s="76" t="s">
        <v>685</v>
      </c>
      <c r="T257" s="76"/>
      <c r="U257" s="252">
        <f t="shared" si="40"/>
        <v>1</v>
      </c>
      <c r="V257" s="252">
        <f t="shared" si="40"/>
        <v>1</v>
      </c>
      <c r="W257" s="252">
        <f t="shared" si="40"/>
        <v>1</v>
      </c>
      <c r="X257" s="252">
        <f t="shared" si="40"/>
        <v>1</v>
      </c>
      <c r="Y257" s="252">
        <f t="shared" si="40"/>
        <v>1</v>
      </c>
      <c r="Z257" s="252">
        <f t="shared" si="40"/>
        <v>1</v>
      </c>
      <c r="AA257" s="252">
        <f t="shared" si="40"/>
        <v>1</v>
      </c>
      <c r="AB257" s="252">
        <f t="shared" si="40"/>
        <v>1</v>
      </c>
      <c r="AC257" s="252">
        <f t="shared" si="40"/>
        <v>1</v>
      </c>
      <c r="AD257" s="252">
        <f t="shared" si="40"/>
        <v>1</v>
      </c>
      <c r="AE257" s="76"/>
      <c r="AF257" s="76"/>
      <c r="AG257" s="76"/>
      <c r="AH257" s="97">
        <v>1</v>
      </c>
      <c r="AI257" s="97">
        <v>1</v>
      </c>
      <c r="AJ257" s="73"/>
      <c r="AK257" s="57"/>
      <c r="AL257" s="45"/>
      <c r="AM257" s="45"/>
      <c r="AN257" s="45"/>
    </row>
    <row r="258" spans="1:40" hidden="1" outlineLevel="2" x14ac:dyDescent="0.25">
      <c r="A258" s="45"/>
      <c r="B258" s="54"/>
      <c r="C258" s="47">
        <f t="shared" si="39"/>
        <v>3</v>
      </c>
      <c r="D258" s="73"/>
      <c r="E258" s="70"/>
      <c r="F258" s="70" t="s">
        <v>742</v>
      </c>
      <c r="G258" s="73"/>
      <c r="H258" s="76" t="s">
        <v>743</v>
      </c>
      <c r="I258" s="96" t="s">
        <v>500</v>
      </c>
      <c r="J258" s="96"/>
      <c r="K258" s="97">
        <v>0.6</v>
      </c>
      <c r="L258" s="97">
        <v>0.6</v>
      </c>
      <c r="M258" s="97">
        <v>0.6</v>
      </c>
      <c r="N258" s="97">
        <v>0.6</v>
      </c>
      <c r="O258" s="97">
        <v>0.6</v>
      </c>
      <c r="P258" s="97">
        <v>0.6</v>
      </c>
      <c r="Q258" s="76"/>
      <c r="R258" s="76" t="s">
        <v>685</v>
      </c>
      <c r="S258" s="76" t="s">
        <v>685</v>
      </c>
      <c r="T258" s="76"/>
      <c r="U258" s="252">
        <f t="shared" si="40"/>
        <v>0.6</v>
      </c>
      <c r="V258" s="252">
        <f t="shared" si="40"/>
        <v>0.6</v>
      </c>
      <c r="W258" s="252">
        <f t="shared" si="40"/>
        <v>0.6</v>
      </c>
      <c r="X258" s="252">
        <f t="shared" si="40"/>
        <v>0.6</v>
      </c>
      <c r="Y258" s="252">
        <f t="shared" si="40"/>
        <v>0.6</v>
      </c>
      <c r="Z258" s="252">
        <f t="shared" si="40"/>
        <v>0.6</v>
      </c>
      <c r="AA258" s="252">
        <f t="shared" si="40"/>
        <v>0.6</v>
      </c>
      <c r="AB258" s="252">
        <f t="shared" si="40"/>
        <v>0.6</v>
      </c>
      <c r="AC258" s="252">
        <f t="shared" si="40"/>
        <v>0.6</v>
      </c>
      <c r="AD258" s="252">
        <f t="shared" si="40"/>
        <v>0.6</v>
      </c>
      <c r="AE258" s="76"/>
      <c r="AF258" s="76"/>
      <c r="AG258" s="76"/>
      <c r="AH258" s="97">
        <v>1</v>
      </c>
      <c r="AI258" s="97">
        <v>1</v>
      </c>
      <c r="AJ258" s="73"/>
      <c r="AK258" s="57"/>
      <c r="AL258" s="45"/>
      <c r="AM258" s="45"/>
      <c r="AN258" s="45"/>
    </row>
    <row r="259" spans="1:40" hidden="1" outlineLevel="2" x14ac:dyDescent="0.25">
      <c r="A259" s="45"/>
      <c r="B259" s="54"/>
      <c r="C259" s="47">
        <f t="shared" si="39"/>
        <v>3</v>
      </c>
      <c r="D259" s="73"/>
      <c r="E259" s="70"/>
      <c r="F259" s="70" t="s">
        <v>744</v>
      </c>
      <c r="G259" s="73"/>
      <c r="H259" s="76" t="s">
        <v>745</v>
      </c>
      <c r="I259" s="96" t="s">
        <v>500</v>
      </c>
      <c r="J259" s="96"/>
      <c r="K259" s="97">
        <v>0.25</v>
      </c>
      <c r="L259" s="97">
        <v>0.25</v>
      </c>
      <c r="M259" s="97">
        <v>0.25</v>
      </c>
      <c r="N259" s="97">
        <v>0.25</v>
      </c>
      <c r="O259" s="97">
        <v>0.25</v>
      </c>
      <c r="P259" s="97">
        <v>0.25</v>
      </c>
      <c r="Q259" s="76"/>
      <c r="R259" s="76" t="s">
        <v>685</v>
      </c>
      <c r="S259" s="76" t="s">
        <v>685</v>
      </c>
      <c r="T259" s="76"/>
      <c r="U259" s="252">
        <f t="shared" si="40"/>
        <v>0.25</v>
      </c>
      <c r="V259" s="252">
        <f t="shared" si="40"/>
        <v>0.25</v>
      </c>
      <c r="W259" s="252">
        <f t="shared" si="40"/>
        <v>0.25</v>
      </c>
      <c r="X259" s="252">
        <f t="shared" si="40"/>
        <v>0.25</v>
      </c>
      <c r="Y259" s="252">
        <f t="shared" si="40"/>
        <v>0.25</v>
      </c>
      <c r="Z259" s="252">
        <f t="shared" si="40"/>
        <v>0.25</v>
      </c>
      <c r="AA259" s="252">
        <f t="shared" si="40"/>
        <v>0.25</v>
      </c>
      <c r="AB259" s="252">
        <f t="shared" si="40"/>
        <v>0.25</v>
      </c>
      <c r="AC259" s="252">
        <f t="shared" si="40"/>
        <v>0.25</v>
      </c>
      <c r="AD259" s="252">
        <f t="shared" si="40"/>
        <v>0.25</v>
      </c>
      <c r="AE259" s="76"/>
      <c r="AF259" s="76"/>
      <c r="AG259" s="76"/>
      <c r="AH259" s="97">
        <v>1</v>
      </c>
      <c r="AI259" s="97">
        <v>1</v>
      </c>
      <c r="AJ259" s="73"/>
      <c r="AK259" s="57"/>
      <c r="AL259" s="45"/>
      <c r="AM259" s="45"/>
      <c r="AN259" s="45"/>
    </row>
    <row r="260" spans="1:40" hidden="1" outlineLevel="2" x14ac:dyDescent="0.25">
      <c r="A260" s="45"/>
      <c r="B260" s="54"/>
      <c r="C260" s="47">
        <f t="shared" si="39"/>
        <v>3</v>
      </c>
      <c r="D260" s="73"/>
      <c r="E260" s="70"/>
      <c r="F260" s="70" t="s">
        <v>746</v>
      </c>
      <c r="G260" s="73"/>
      <c r="H260" s="76" t="s">
        <v>747</v>
      </c>
      <c r="I260" s="96" t="s">
        <v>500</v>
      </c>
      <c r="J260" s="96"/>
      <c r="K260" s="97">
        <v>0.9</v>
      </c>
      <c r="L260" s="97">
        <v>0.9</v>
      </c>
      <c r="M260" s="97">
        <v>0.9</v>
      </c>
      <c r="N260" s="97">
        <v>0.9</v>
      </c>
      <c r="O260" s="97">
        <v>0.9</v>
      </c>
      <c r="P260" s="97">
        <v>0.9</v>
      </c>
      <c r="Q260" s="76"/>
      <c r="R260" s="76" t="s">
        <v>748</v>
      </c>
      <c r="S260" s="76" t="s">
        <v>748</v>
      </c>
      <c r="T260" s="76"/>
      <c r="U260" s="252">
        <f t="shared" si="40"/>
        <v>0.9</v>
      </c>
      <c r="V260" s="252">
        <f t="shared" si="40"/>
        <v>0.9</v>
      </c>
      <c r="W260" s="252">
        <f t="shared" si="40"/>
        <v>0.9</v>
      </c>
      <c r="X260" s="252">
        <f t="shared" si="40"/>
        <v>0.9</v>
      </c>
      <c r="Y260" s="252">
        <f t="shared" si="40"/>
        <v>0.9</v>
      </c>
      <c r="Z260" s="252">
        <f t="shared" si="40"/>
        <v>0.9</v>
      </c>
      <c r="AA260" s="252">
        <f t="shared" si="40"/>
        <v>0.9</v>
      </c>
      <c r="AB260" s="252">
        <f t="shared" si="40"/>
        <v>0.9</v>
      </c>
      <c r="AC260" s="252">
        <f t="shared" si="40"/>
        <v>0.9</v>
      </c>
      <c r="AD260" s="252">
        <f t="shared" si="40"/>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5" t="s">
        <v>749</v>
      </c>
      <c r="G261" s="73"/>
      <c r="H261" s="246" t="s">
        <v>750</v>
      </c>
      <c r="I261" s="96"/>
      <c r="J261" s="96" t="s">
        <v>517</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751</v>
      </c>
      <c r="F262" s="70" t="s">
        <v>752</v>
      </c>
      <c r="G262" s="73"/>
      <c r="H262" s="76" t="s">
        <v>753</v>
      </c>
      <c r="I262" s="96" t="s">
        <v>529</v>
      </c>
      <c r="J262" s="96"/>
      <c r="K262" s="97">
        <v>90</v>
      </c>
      <c r="L262" s="97">
        <v>90</v>
      </c>
      <c r="M262" s="97">
        <v>0</v>
      </c>
      <c r="N262" s="97">
        <v>0</v>
      </c>
      <c r="O262" s="97">
        <v>0</v>
      </c>
      <c r="P262" s="97">
        <v>0</v>
      </c>
      <c r="Q262" s="76"/>
      <c r="R262" s="76" t="s">
        <v>754</v>
      </c>
      <c r="S262" s="76"/>
      <c r="T262" s="76"/>
      <c r="U262" s="252">
        <f t="shared" ref="U262:AD275" si="41">INDEX($K262:$Q262,1,U$43)</f>
        <v>90</v>
      </c>
      <c r="V262" s="252">
        <f t="shared" si="41"/>
        <v>90</v>
      </c>
      <c r="W262" s="252">
        <f t="shared" si="41"/>
        <v>90</v>
      </c>
      <c r="X262" s="252">
        <f t="shared" si="41"/>
        <v>90</v>
      </c>
      <c r="Y262" s="252">
        <f t="shared" si="41"/>
        <v>90</v>
      </c>
      <c r="Z262" s="252">
        <f t="shared" si="41"/>
        <v>90</v>
      </c>
      <c r="AA262" s="252">
        <f t="shared" si="41"/>
        <v>90</v>
      </c>
      <c r="AB262" s="252">
        <f t="shared" si="41"/>
        <v>90</v>
      </c>
      <c r="AC262" s="252">
        <f t="shared" si="41"/>
        <v>90</v>
      </c>
      <c r="AD262" s="252">
        <f t="shared" si="41"/>
        <v>90</v>
      </c>
      <c r="AE262" s="76"/>
      <c r="AF262" s="76"/>
      <c r="AG262" s="76"/>
      <c r="AH262" s="97">
        <v>1</v>
      </c>
      <c r="AI262" s="97">
        <v>1</v>
      </c>
      <c r="AJ262" s="73"/>
      <c r="AK262" s="57"/>
      <c r="AL262" s="45"/>
      <c r="AM262" s="45"/>
      <c r="AN262" s="45"/>
    </row>
    <row r="263" spans="1:40" hidden="1" outlineLevel="2" x14ac:dyDescent="0.25">
      <c r="A263" s="45"/>
      <c r="B263" s="54"/>
      <c r="C263" s="47">
        <f t="shared" ref="C263:C275" si="42">INT($C$29)+2</f>
        <v>3</v>
      </c>
      <c r="D263" s="73"/>
      <c r="E263" s="70"/>
      <c r="F263" s="70" t="s">
        <v>755</v>
      </c>
      <c r="G263" s="73"/>
      <c r="H263" s="76" t="s">
        <v>756</v>
      </c>
      <c r="I263" s="96" t="s">
        <v>529</v>
      </c>
      <c r="J263" s="96"/>
      <c r="K263" s="97">
        <v>150</v>
      </c>
      <c r="L263" s="97">
        <v>150</v>
      </c>
      <c r="M263" s="97">
        <v>285</v>
      </c>
      <c r="N263" s="97">
        <v>285</v>
      </c>
      <c r="O263" s="97">
        <v>285</v>
      </c>
      <c r="P263" s="97">
        <v>285</v>
      </c>
      <c r="Q263" s="76"/>
      <c r="R263" s="76" t="s">
        <v>757</v>
      </c>
      <c r="S263" s="76" t="s">
        <v>757</v>
      </c>
      <c r="T263" s="76"/>
      <c r="U263" s="252">
        <f t="shared" si="41"/>
        <v>150</v>
      </c>
      <c r="V263" s="252">
        <f t="shared" si="41"/>
        <v>150</v>
      </c>
      <c r="W263" s="252">
        <f t="shared" si="41"/>
        <v>150</v>
      </c>
      <c r="X263" s="252">
        <f t="shared" si="41"/>
        <v>150</v>
      </c>
      <c r="Y263" s="252">
        <f t="shared" si="41"/>
        <v>150</v>
      </c>
      <c r="Z263" s="252">
        <f t="shared" si="41"/>
        <v>150</v>
      </c>
      <c r="AA263" s="252">
        <f t="shared" si="41"/>
        <v>150</v>
      </c>
      <c r="AB263" s="252">
        <f t="shared" si="41"/>
        <v>150</v>
      </c>
      <c r="AC263" s="252">
        <f t="shared" si="41"/>
        <v>150</v>
      </c>
      <c r="AD263" s="252">
        <f t="shared" si="41"/>
        <v>150</v>
      </c>
      <c r="AE263" s="76"/>
      <c r="AF263" s="76"/>
      <c r="AG263" s="76"/>
      <c r="AH263" s="97">
        <v>1</v>
      </c>
      <c r="AI263" s="97">
        <v>1</v>
      </c>
      <c r="AJ263" s="73"/>
      <c r="AK263" s="57"/>
      <c r="AL263" s="45"/>
      <c r="AM263" s="45"/>
      <c r="AN263" s="45"/>
    </row>
    <row r="264" spans="1:40" hidden="1" outlineLevel="2" x14ac:dyDescent="0.25">
      <c r="A264" s="45"/>
      <c r="B264" s="54"/>
      <c r="C264" s="47">
        <f t="shared" si="42"/>
        <v>3</v>
      </c>
      <c r="D264" s="73"/>
      <c r="E264" s="70"/>
      <c r="F264" s="70" t="s">
        <v>758</v>
      </c>
      <c r="G264" s="73"/>
      <c r="H264" s="76" t="s">
        <v>759</v>
      </c>
      <c r="I264" s="96" t="s">
        <v>500</v>
      </c>
      <c r="J264" s="96"/>
      <c r="K264" s="97">
        <v>1.304</v>
      </c>
      <c r="L264" s="97">
        <v>1.304</v>
      </c>
      <c r="M264" s="97">
        <v>2.2000000000000002</v>
      </c>
      <c r="N264" s="97">
        <v>2.2000000000000002</v>
      </c>
      <c r="O264" s="97">
        <v>2.2000000000000002</v>
      </c>
      <c r="P264" s="97">
        <v>2.2000000000000002</v>
      </c>
      <c r="Q264" s="76"/>
      <c r="R264" s="76" t="s">
        <v>757</v>
      </c>
      <c r="S264" s="76" t="s">
        <v>757</v>
      </c>
      <c r="T264" s="76"/>
      <c r="U264" s="252">
        <f t="shared" si="41"/>
        <v>1.304</v>
      </c>
      <c r="V264" s="252">
        <f t="shared" si="41"/>
        <v>1.304</v>
      </c>
      <c r="W264" s="252">
        <f t="shared" si="41"/>
        <v>1.304</v>
      </c>
      <c r="X264" s="252">
        <f t="shared" si="41"/>
        <v>1.304</v>
      </c>
      <c r="Y264" s="252">
        <f t="shared" si="41"/>
        <v>1.304</v>
      </c>
      <c r="Z264" s="252">
        <f t="shared" si="41"/>
        <v>1.304</v>
      </c>
      <c r="AA264" s="252">
        <f t="shared" si="41"/>
        <v>1.304</v>
      </c>
      <c r="AB264" s="252">
        <f t="shared" si="41"/>
        <v>1.304</v>
      </c>
      <c r="AC264" s="252">
        <f t="shared" si="41"/>
        <v>1.304</v>
      </c>
      <c r="AD264" s="252">
        <f t="shared" si="41"/>
        <v>1.304</v>
      </c>
      <c r="AE264" s="76"/>
      <c r="AF264" s="76"/>
      <c r="AG264" s="76"/>
      <c r="AH264" s="97">
        <v>1</v>
      </c>
      <c r="AI264" s="97">
        <v>1</v>
      </c>
      <c r="AJ264" s="73"/>
      <c r="AK264" s="57"/>
      <c r="AL264" s="45"/>
      <c r="AM264" s="45"/>
      <c r="AN264" s="45"/>
    </row>
    <row r="265" spans="1:40" hidden="1" outlineLevel="2" x14ac:dyDescent="0.25">
      <c r="A265" s="45"/>
      <c r="B265" s="54"/>
      <c r="C265" s="47">
        <f t="shared" si="42"/>
        <v>3</v>
      </c>
      <c r="D265" s="73"/>
      <c r="E265" s="70"/>
      <c r="F265" s="70" t="s">
        <v>760</v>
      </c>
      <c r="G265" s="73"/>
      <c r="H265" s="76" t="s">
        <v>759</v>
      </c>
      <c r="I265" s="96" t="s">
        <v>500</v>
      </c>
      <c r="J265" s="96"/>
      <c r="K265" s="97">
        <v>2.625</v>
      </c>
      <c r="L265" s="97">
        <v>2.625</v>
      </c>
      <c r="M265" s="97">
        <v>1.77</v>
      </c>
      <c r="N265" s="97">
        <v>1.77</v>
      </c>
      <c r="O265" s="97">
        <v>1.77</v>
      </c>
      <c r="P265" s="97">
        <v>1.77</v>
      </c>
      <c r="Q265" s="76"/>
      <c r="R265" s="76" t="s">
        <v>757</v>
      </c>
      <c r="S265" s="76" t="s">
        <v>757</v>
      </c>
      <c r="T265" s="76"/>
      <c r="U265" s="252">
        <f t="shared" si="41"/>
        <v>2.625</v>
      </c>
      <c r="V265" s="252">
        <f t="shared" si="41"/>
        <v>2.625</v>
      </c>
      <c r="W265" s="252">
        <f t="shared" si="41"/>
        <v>2.625</v>
      </c>
      <c r="X265" s="252">
        <f t="shared" si="41"/>
        <v>2.625</v>
      </c>
      <c r="Y265" s="252">
        <f t="shared" si="41"/>
        <v>2.625</v>
      </c>
      <c r="Z265" s="252">
        <f t="shared" si="41"/>
        <v>2.625</v>
      </c>
      <c r="AA265" s="252">
        <f t="shared" si="41"/>
        <v>2.625</v>
      </c>
      <c r="AB265" s="252">
        <f t="shared" si="41"/>
        <v>2.625</v>
      </c>
      <c r="AC265" s="252">
        <f t="shared" si="41"/>
        <v>2.625</v>
      </c>
      <c r="AD265" s="252">
        <f t="shared" si="41"/>
        <v>2.625</v>
      </c>
      <c r="AE265" s="76"/>
      <c r="AF265" s="76"/>
      <c r="AG265" s="76"/>
      <c r="AH265" s="97">
        <v>1</v>
      </c>
      <c r="AI265" s="97">
        <v>1</v>
      </c>
      <c r="AJ265" s="73"/>
      <c r="AK265" s="57"/>
      <c r="AL265" s="45"/>
      <c r="AM265" s="45"/>
      <c r="AN265" s="45"/>
    </row>
    <row r="266" spans="1:40" hidden="1" outlineLevel="2" x14ac:dyDescent="0.25">
      <c r="A266" s="45"/>
      <c r="B266" s="54"/>
      <c r="C266" s="47">
        <f t="shared" si="42"/>
        <v>3</v>
      </c>
      <c r="D266" s="73"/>
      <c r="E266" s="70"/>
      <c r="F266" s="70" t="s">
        <v>761</v>
      </c>
      <c r="G266" s="73"/>
      <c r="H266" s="76" t="s">
        <v>762</v>
      </c>
      <c r="I266" s="96" t="s">
        <v>500</v>
      </c>
      <c r="J266" s="96"/>
      <c r="K266" s="97">
        <v>0.33</v>
      </c>
      <c r="L266" s="97">
        <v>0.33</v>
      </c>
      <c r="M266" s="97">
        <v>0.33</v>
      </c>
      <c r="N266" s="97">
        <v>0.33</v>
      </c>
      <c r="O266" s="97">
        <v>0.33</v>
      </c>
      <c r="P266" s="97">
        <v>0.33</v>
      </c>
      <c r="Q266" s="76"/>
      <c r="R266" s="76" t="s">
        <v>757</v>
      </c>
      <c r="S266" s="76" t="s">
        <v>757</v>
      </c>
      <c r="T266" s="76"/>
      <c r="U266" s="252">
        <f t="shared" si="41"/>
        <v>0.33</v>
      </c>
      <c r="V266" s="252">
        <f t="shared" si="41"/>
        <v>0.33</v>
      </c>
      <c r="W266" s="252">
        <f t="shared" si="41"/>
        <v>0.33</v>
      </c>
      <c r="X266" s="252">
        <f t="shared" si="41"/>
        <v>0.33</v>
      </c>
      <c r="Y266" s="252">
        <f t="shared" si="41"/>
        <v>0.33</v>
      </c>
      <c r="Z266" s="252">
        <f t="shared" si="41"/>
        <v>0.33</v>
      </c>
      <c r="AA266" s="252">
        <f t="shared" si="41"/>
        <v>0.33</v>
      </c>
      <c r="AB266" s="252">
        <f t="shared" si="41"/>
        <v>0.33</v>
      </c>
      <c r="AC266" s="252">
        <f t="shared" si="41"/>
        <v>0.33</v>
      </c>
      <c r="AD266" s="252">
        <f t="shared" si="41"/>
        <v>0.33</v>
      </c>
      <c r="AE266" s="76"/>
      <c r="AF266" s="76"/>
      <c r="AG266" s="76"/>
      <c r="AH266" s="97">
        <v>1</v>
      </c>
      <c r="AI266" s="97">
        <v>1</v>
      </c>
      <c r="AJ266" s="73"/>
      <c r="AK266" s="57"/>
      <c r="AL266" s="45"/>
      <c r="AM266" s="45"/>
      <c r="AN266" s="45"/>
    </row>
    <row r="267" spans="1:40" hidden="1" outlineLevel="2" x14ac:dyDescent="0.25">
      <c r="A267" s="45"/>
      <c r="B267" s="54"/>
      <c r="C267" s="47">
        <f t="shared" si="42"/>
        <v>3</v>
      </c>
      <c r="D267" s="73"/>
      <c r="E267" s="70"/>
      <c r="F267" s="70" t="s">
        <v>763</v>
      </c>
      <c r="G267" s="73"/>
      <c r="H267" s="76" t="s">
        <v>764</v>
      </c>
      <c r="I267" s="96" t="s">
        <v>765</v>
      </c>
      <c r="J267" s="96"/>
      <c r="K267" s="97">
        <v>1.43</v>
      </c>
      <c r="L267" s="97">
        <v>1.43</v>
      </c>
      <c r="M267" s="97">
        <v>1.8</v>
      </c>
      <c r="N267" s="97">
        <v>1.8</v>
      </c>
      <c r="O267" s="97">
        <v>1.8</v>
      </c>
      <c r="P267" s="97">
        <v>1.8</v>
      </c>
      <c r="Q267" s="76"/>
      <c r="R267" s="76" t="s">
        <v>757</v>
      </c>
      <c r="S267" s="76" t="s">
        <v>757</v>
      </c>
      <c r="T267" s="76"/>
      <c r="U267" s="252">
        <f t="shared" si="41"/>
        <v>1.43</v>
      </c>
      <c r="V267" s="252">
        <f t="shared" si="41"/>
        <v>1.43</v>
      </c>
      <c r="W267" s="252">
        <f t="shared" si="41"/>
        <v>1.43</v>
      </c>
      <c r="X267" s="252">
        <f t="shared" si="41"/>
        <v>1.43</v>
      </c>
      <c r="Y267" s="252">
        <f t="shared" si="41"/>
        <v>1.43</v>
      </c>
      <c r="Z267" s="252">
        <f t="shared" si="41"/>
        <v>1.43</v>
      </c>
      <c r="AA267" s="252">
        <f t="shared" si="41"/>
        <v>1.43</v>
      </c>
      <c r="AB267" s="252">
        <f t="shared" si="41"/>
        <v>1.43</v>
      </c>
      <c r="AC267" s="252">
        <f t="shared" si="41"/>
        <v>1.43</v>
      </c>
      <c r="AD267" s="252">
        <f t="shared" si="41"/>
        <v>1.43</v>
      </c>
      <c r="AE267" s="76"/>
      <c r="AF267" s="76"/>
      <c r="AG267" s="76"/>
      <c r="AH267" s="97">
        <v>1</v>
      </c>
      <c r="AI267" s="97">
        <v>1</v>
      </c>
      <c r="AJ267" s="73"/>
      <c r="AK267" s="57"/>
      <c r="AL267" s="45"/>
      <c r="AM267" s="45"/>
      <c r="AN267" s="45"/>
    </row>
    <row r="268" spans="1:40" hidden="1" outlineLevel="2" x14ac:dyDescent="0.25">
      <c r="A268" s="45"/>
      <c r="B268" s="54"/>
      <c r="C268" s="47">
        <f t="shared" si="42"/>
        <v>3</v>
      </c>
      <c r="D268" s="73"/>
      <c r="E268" s="70"/>
      <c r="F268" s="70" t="s">
        <v>766</v>
      </c>
      <c r="G268" s="73"/>
      <c r="H268" s="76" t="s">
        <v>767</v>
      </c>
      <c r="I268" s="96" t="s">
        <v>500</v>
      </c>
      <c r="J268" s="96"/>
      <c r="K268" s="97">
        <v>3.38</v>
      </c>
      <c r="L268" s="97">
        <v>3.38</v>
      </c>
      <c r="M268" s="97">
        <v>2.42</v>
      </c>
      <c r="N268" s="97">
        <v>2.42</v>
      </c>
      <c r="O268" s="97">
        <v>2.42</v>
      </c>
      <c r="P268" s="97">
        <v>2.42</v>
      </c>
      <c r="Q268" s="76"/>
      <c r="R268" s="76" t="s">
        <v>757</v>
      </c>
      <c r="S268" s="76" t="s">
        <v>757</v>
      </c>
      <c r="T268" s="76"/>
      <c r="U268" s="252">
        <f t="shared" si="41"/>
        <v>3.38</v>
      </c>
      <c r="V268" s="252">
        <f t="shared" si="41"/>
        <v>3.38</v>
      </c>
      <c r="W268" s="252">
        <f t="shared" si="41"/>
        <v>3.38</v>
      </c>
      <c r="X268" s="252">
        <f t="shared" si="41"/>
        <v>3.38</v>
      </c>
      <c r="Y268" s="252">
        <f t="shared" si="41"/>
        <v>3.38</v>
      </c>
      <c r="Z268" s="252">
        <f t="shared" si="41"/>
        <v>3.38</v>
      </c>
      <c r="AA268" s="252">
        <f t="shared" si="41"/>
        <v>3.38</v>
      </c>
      <c r="AB268" s="252">
        <f t="shared" si="41"/>
        <v>3.38</v>
      </c>
      <c r="AC268" s="252">
        <f t="shared" si="41"/>
        <v>3.38</v>
      </c>
      <c r="AD268" s="252">
        <f t="shared" si="41"/>
        <v>3.38</v>
      </c>
      <c r="AE268" s="76"/>
      <c r="AF268" s="76"/>
      <c r="AG268" s="76"/>
      <c r="AH268" s="97">
        <v>1</v>
      </c>
      <c r="AI268" s="97">
        <v>1</v>
      </c>
      <c r="AJ268" s="73"/>
      <c r="AK268" s="57"/>
      <c r="AL268" s="45"/>
      <c r="AM268" s="45"/>
      <c r="AN268" s="45"/>
    </row>
    <row r="269" spans="1:40" hidden="1" outlineLevel="2" x14ac:dyDescent="0.25">
      <c r="A269" s="45"/>
      <c r="B269" s="54"/>
      <c r="C269" s="47">
        <f t="shared" si="42"/>
        <v>3</v>
      </c>
      <c r="D269" s="73"/>
      <c r="E269" s="70"/>
      <c r="F269" s="70" t="s">
        <v>768</v>
      </c>
      <c r="G269" s="73"/>
      <c r="H269" s="76" t="s">
        <v>769</v>
      </c>
      <c r="I269" s="96" t="s">
        <v>500</v>
      </c>
      <c r="J269" s="96"/>
      <c r="K269" s="97">
        <v>0.91</v>
      </c>
      <c r="L269" s="97">
        <v>0.91</v>
      </c>
      <c r="M269" s="97">
        <v>1.1599999999999999</v>
      </c>
      <c r="N269" s="97">
        <v>1.1599999999999999</v>
      </c>
      <c r="O269" s="97">
        <v>1.1599999999999999</v>
      </c>
      <c r="P269" s="97">
        <v>1.1599999999999999</v>
      </c>
      <c r="Q269" s="76"/>
      <c r="R269" s="76" t="s">
        <v>757</v>
      </c>
      <c r="S269" s="76" t="s">
        <v>757</v>
      </c>
      <c r="T269" s="76"/>
      <c r="U269" s="252">
        <f t="shared" si="41"/>
        <v>0.91</v>
      </c>
      <c r="V269" s="252">
        <f t="shared" si="41"/>
        <v>0.91</v>
      </c>
      <c r="W269" s="252">
        <f t="shared" si="41"/>
        <v>0.91</v>
      </c>
      <c r="X269" s="252">
        <f t="shared" si="41"/>
        <v>0.91</v>
      </c>
      <c r="Y269" s="252">
        <f t="shared" si="41"/>
        <v>0.91</v>
      </c>
      <c r="Z269" s="252">
        <f t="shared" si="41"/>
        <v>0.91</v>
      </c>
      <c r="AA269" s="252">
        <f t="shared" si="41"/>
        <v>0.91</v>
      </c>
      <c r="AB269" s="252">
        <f t="shared" si="41"/>
        <v>0.91</v>
      </c>
      <c r="AC269" s="252">
        <f t="shared" si="41"/>
        <v>0.91</v>
      </c>
      <c r="AD269" s="252">
        <f t="shared" si="41"/>
        <v>0.91</v>
      </c>
      <c r="AE269" s="76"/>
      <c r="AF269" s="76"/>
      <c r="AG269" s="76"/>
      <c r="AH269" s="97">
        <v>1</v>
      </c>
      <c r="AI269" s="97">
        <v>1</v>
      </c>
      <c r="AJ269" s="73"/>
      <c r="AK269" s="57"/>
      <c r="AL269" s="45"/>
      <c r="AM269" s="45"/>
      <c r="AN269" s="45"/>
    </row>
    <row r="270" spans="1:40" hidden="1" outlineLevel="2" x14ac:dyDescent="0.25">
      <c r="A270" s="45"/>
      <c r="B270" s="54"/>
      <c r="C270" s="47">
        <f t="shared" si="42"/>
        <v>3</v>
      </c>
      <c r="D270" s="73"/>
      <c r="E270" s="70"/>
      <c r="F270" s="70" t="s">
        <v>770</v>
      </c>
      <c r="G270" s="73"/>
      <c r="H270" s="76" t="s">
        <v>771</v>
      </c>
      <c r="I270" s="96" t="s">
        <v>772</v>
      </c>
      <c r="J270" s="96"/>
      <c r="K270" s="97">
        <v>4.33</v>
      </c>
      <c r="L270" s="97">
        <v>4.33</v>
      </c>
      <c r="M270" s="97">
        <v>4.1100000000000003</v>
      </c>
      <c r="N270" s="97">
        <v>4.1100000000000003</v>
      </c>
      <c r="O270" s="97">
        <v>4.1100000000000003</v>
      </c>
      <c r="P270" s="97">
        <v>4.1100000000000003</v>
      </c>
      <c r="Q270" s="76"/>
      <c r="R270" s="76" t="s">
        <v>757</v>
      </c>
      <c r="S270" s="76" t="s">
        <v>757</v>
      </c>
      <c r="T270" s="76"/>
      <c r="U270" s="252">
        <f t="shared" si="41"/>
        <v>4.33</v>
      </c>
      <c r="V270" s="252">
        <f t="shared" si="41"/>
        <v>4.33</v>
      </c>
      <c r="W270" s="252">
        <f t="shared" si="41"/>
        <v>4.33</v>
      </c>
      <c r="X270" s="252">
        <f t="shared" si="41"/>
        <v>4.33</v>
      </c>
      <c r="Y270" s="252">
        <f t="shared" si="41"/>
        <v>4.33</v>
      </c>
      <c r="Z270" s="252">
        <f t="shared" si="41"/>
        <v>4.33</v>
      </c>
      <c r="AA270" s="252">
        <f t="shared" si="41"/>
        <v>4.33</v>
      </c>
      <c r="AB270" s="252">
        <f t="shared" si="41"/>
        <v>4.33</v>
      </c>
      <c r="AC270" s="252">
        <f t="shared" si="41"/>
        <v>4.33</v>
      </c>
      <c r="AD270" s="252">
        <f t="shared" si="41"/>
        <v>4.33</v>
      </c>
      <c r="AE270" s="76"/>
      <c r="AF270" s="76"/>
      <c r="AG270" s="76"/>
      <c r="AH270" s="97">
        <v>1</v>
      </c>
      <c r="AI270" s="97">
        <v>1</v>
      </c>
      <c r="AJ270" s="73"/>
      <c r="AK270" s="57"/>
      <c r="AL270" s="45"/>
      <c r="AM270" s="45"/>
      <c r="AN270" s="45"/>
    </row>
    <row r="271" spans="1:40" hidden="1" outlineLevel="2" x14ac:dyDescent="0.25">
      <c r="A271" s="45"/>
      <c r="B271" s="54"/>
      <c r="C271" s="47">
        <f t="shared" si="42"/>
        <v>3</v>
      </c>
      <c r="D271" s="73"/>
      <c r="E271" s="70"/>
      <c r="F271" s="70" t="s">
        <v>773</v>
      </c>
      <c r="G271" s="73"/>
      <c r="H271" s="76" t="s">
        <v>774</v>
      </c>
      <c r="I271" s="96" t="s">
        <v>500</v>
      </c>
      <c r="J271" s="96"/>
      <c r="K271" s="97">
        <v>4.37</v>
      </c>
      <c r="L271" s="97">
        <v>4.37</v>
      </c>
      <c r="M271" s="97">
        <v>343.5</v>
      </c>
      <c r="N271" s="97">
        <v>343.5</v>
      </c>
      <c r="O271" s="97">
        <v>343.5</v>
      </c>
      <c r="P271" s="97">
        <v>343.5</v>
      </c>
      <c r="Q271" s="76"/>
      <c r="R271" s="76" t="s">
        <v>757</v>
      </c>
      <c r="S271" s="76" t="s">
        <v>757</v>
      </c>
      <c r="T271" s="76"/>
      <c r="U271" s="252">
        <f t="shared" si="41"/>
        <v>4.37</v>
      </c>
      <c r="V271" s="252">
        <f t="shared" si="41"/>
        <v>4.37</v>
      </c>
      <c r="W271" s="252">
        <f t="shared" si="41"/>
        <v>4.37</v>
      </c>
      <c r="X271" s="252">
        <f t="shared" si="41"/>
        <v>4.37</v>
      </c>
      <c r="Y271" s="252">
        <f t="shared" si="41"/>
        <v>4.37</v>
      </c>
      <c r="Z271" s="252">
        <f t="shared" si="41"/>
        <v>4.37</v>
      </c>
      <c r="AA271" s="252">
        <f t="shared" si="41"/>
        <v>4.37</v>
      </c>
      <c r="AB271" s="252">
        <f t="shared" si="41"/>
        <v>4.37</v>
      </c>
      <c r="AC271" s="252">
        <f t="shared" si="41"/>
        <v>4.37</v>
      </c>
      <c r="AD271" s="252">
        <f t="shared" si="41"/>
        <v>4.37</v>
      </c>
      <c r="AE271" s="76"/>
      <c r="AF271" s="76"/>
      <c r="AG271" s="76"/>
      <c r="AH271" s="97">
        <v>1</v>
      </c>
      <c r="AI271" s="97">
        <v>1</v>
      </c>
      <c r="AJ271" s="73"/>
      <c r="AK271" s="57"/>
      <c r="AL271" s="45"/>
      <c r="AM271" s="45"/>
      <c r="AN271" s="45"/>
    </row>
    <row r="272" spans="1:40" hidden="1" outlineLevel="2" x14ac:dyDescent="0.25">
      <c r="A272" s="45"/>
      <c r="B272" s="54"/>
      <c r="C272" s="47">
        <f t="shared" si="42"/>
        <v>3</v>
      </c>
      <c r="D272" s="73"/>
      <c r="E272" s="70"/>
      <c r="F272" s="70" t="s">
        <v>775</v>
      </c>
      <c r="G272" s="73"/>
      <c r="H272" s="76" t="s">
        <v>776</v>
      </c>
      <c r="I272" s="96" t="s">
        <v>500</v>
      </c>
      <c r="J272" s="96"/>
      <c r="K272" s="97">
        <v>0.96499999999999997</v>
      </c>
      <c r="L272" s="97">
        <v>0.96499999999999997</v>
      </c>
      <c r="M272" s="97">
        <v>1.6400000000000001E-2</v>
      </c>
      <c r="N272" s="97">
        <v>1.6400000000000001E-2</v>
      </c>
      <c r="O272" s="97">
        <v>1.6400000000000001E-2</v>
      </c>
      <c r="P272" s="97">
        <v>1.6400000000000001E-2</v>
      </c>
      <c r="Q272" s="76"/>
      <c r="R272" s="76" t="s">
        <v>757</v>
      </c>
      <c r="S272" s="76" t="s">
        <v>757</v>
      </c>
      <c r="T272" s="76"/>
      <c r="U272" s="252">
        <f t="shared" si="41"/>
        <v>0.96499999999999997</v>
      </c>
      <c r="V272" s="252">
        <f t="shared" si="41"/>
        <v>0.96499999999999997</v>
      </c>
      <c r="W272" s="252">
        <f t="shared" si="41"/>
        <v>0.96499999999999997</v>
      </c>
      <c r="X272" s="252">
        <f t="shared" si="41"/>
        <v>0.96499999999999997</v>
      </c>
      <c r="Y272" s="252">
        <f t="shared" si="41"/>
        <v>0.96499999999999997</v>
      </c>
      <c r="Z272" s="252">
        <f t="shared" si="41"/>
        <v>0.96499999999999997</v>
      </c>
      <c r="AA272" s="252">
        <f t="shared" si="41"/>
        <v>0.96499999999999997</v>
      </c>
      <c r="AB272" s="252">
        <f t="shared" si="41"/>
        <v>0.96499999999999997</v>
      </c>
      <c r="AC272" s="252">
        <f t="shared" si="41"/>
        <v>0.96499999999999997</v>
      </c>
      <c r="AD272" s="252">
        <f t="shared" si="41"/>
        <v>0.96499999999999997</v>
      </c>
      <c r="AE272" s="76"/>
      <c r="AF272" s="76"/>
      <c r="AG272" s="76"/>
      <c r="AH272" s="97">
        <v>1</v>
      </c>
      <c r="AI272" s="97">
        <v>1</v>
      </c>
      <c r="AJ272" s="73"/>
      <c r="AK272" s="57"/>
      <c r="AL272" s="45"/>
      <c r="AM272" s="45"/>
      <c r="AN272" s="45"/>
    </row>
    <row r="273" spans="1:40" hidden="1" outlineLevel="2" x14ac:dyDescent="0.25">
      <c r="A273" s="45"/>
      <c r="B273" s="54"/>
      <c r="C273" s="47">
        <f t="shared" si="42"/>
        <v>3</v>
      </c>
      <c r="D273" s="73"/>
      <c r="E273" s="70"/>
      <c r="F273" s="70" t="s">
        <v>777</v>
      </c>
      <c r="G273" s="73"/>
      <c r="H273" s="76" t="s">
        <v>778</v>
      </c>
      <c r="I273" s="96" t="s">
        <v>765</v>
      </c>
      <c r="J273" s="96"/>
      <c r="K273" s="97">
        <v>0.14499999999999999</v>
      </c>
      <c r="L273" s="97">
        <v>0.14499999999999999</v>
      </c>
      <c r="M273" s="97">
        <v>0.13400000000000001</v>
      </c>
      <c r="N273" s="97">
        <v>0.13400000000000001</v>
      </c>
      <c r="O273" s="97">
        <v>0.13400000000000001</v>
      </c>
      <c r="P273" s="97">
        <v>0.13400000000000001</v>
      </c>
      <c r="Q273" s="76"/>
      <c r="R273" s="76" t="s">
        <v>757</v>
      </c>
      <c r="S273" s="76" t="s">
        <v>757</v>
      </c>
      <c r="T273" s="76"/>
      <c r="U273" s="252">
        <f t="shared" si="41"/>
        <v>0.14499999999999999</v>
      </c>
      <c r="V273" s="252">
        <f t="shared" si="41"/>
        <v>0.14499999999999999</v>
      </c>
      <c r="W273" s="252">
        <f t="shared" si="41"/>
        <v>0.14499999999999999</v>
      </c>
      <c r="X273" s="252">
        <f t="shared" si="41"/>
        <v>0.14499999999999999</v>
      </c>
      <c r="Y273" s="252">
        <f t="shared" si="41"/>
        <v>0.14499999999999999</v>
      </c>
      <c r="Z273" s="252">
        <f t="shared" si="41"/>
        <v>0.14499999999999999</v>
      </c>
      <c r="AA273" s="252">
        <f t="shared" si="41"/>
        <v>0.14499999999999999</v>
      </c>
      <c r="AB273" s="252">
        <f t="shared" si="41"/>
        <v>0.14499999999999999</v>
      </c>
      <c r="AC273" s="252">
        <f t="shared" si="41"/>
        <v>0.14499999999999999</v>
      </c>
      <c r="AD273" s="252">
        <f t="shared" si="41"/>
        <v>0.14499999999999999</v>
      </c>
      <c r="AE273" s="76"/>
      <c r="AF273" s="76"/>
      <c r="AG273" s="76"/>
      <c r="AH273" s="97">
        <v>1</v>
      </c>
      <c r="AI273" s="97">
        <v>1</v>
      </c>
      <c r="AJ273" s="73"/>
      <c r="AK273" s="57"/>
      <c r="AL273" s="45"/>
      <c r="AM273" s="45"/>
      <c r="AN273" s="45"/>
    </row>
    <row r="274" spans="1:40" hidden="1" outlineLevel="2" x14ac:dyDescent="0.25">
      <c r="A274" s="45"/>
      <c r="B274" s="54"/>
      <c r="C274" s="47">
        <f t="shared" si="42"/>
        <v>3</v>
      </c>
      <c r="D274" s="73"/>
      <c r="E274" s="70"/>
      <c r="F274" s="70" t="s">
        <v>779</v>
      </c>
      <c r="G274" s="73"/>
      <c r="H274" s="76" t="s">
        <v>780</v>
      </c>
      <c r="I274" s="96" t="s">
        <v>500</v>
      </c>
      <c r="J274" s="96"/>
      <c r="K274" s="97">
        <v>4.5599999999999996</v>
      </c>
      <c r="L274" s="97">
        <v>4.5599999999999996</v>
      </c>
      <c r="M274" s="97">
        <v>6.22</v>
      </c>
      <c r="N274" s="97">
        <v>6.22</v>
      </c>
      <c r="O274" s="97">
        <v>6.22</v>
      </c>
      <c r="P274" s="97">
        <v>6.22</v>
      </c>
      <c r="Q274" s="76"/>
      <c r="R274" s="76" t="s">
        <v>757</v>
      </c>
      <c r="S274" s="76" t="s">
        <v>757</v>
      </c>
      <c r="T274" s="76"/>
      <c r="U274" s="252">
        <f t="shared" si="41"/>
        <v>4.5599999999999996</v>
      </c>
      <c r="V274" s="252">
        <f t="shared" si="41"/>
        <v>4.5599999999999996</v>
      </c>
      <c r="W274" s="252">
        <f t="shared" si="41"/>
        <v>4.5599999999999996</v>
      </c>
      <c r="X274" s="252">
        <f t="shared" si="41"/>
        <v>4.5599999999999996</v>
      </c>
      <c r="Y274" s="252">
        <f t="shared" si="41"/>
        <v>4.5599999999999996</v>
      </c>
      <c r="Z274" s="252">
        <f t="shared" si="41"/>
        <v>4.5599999999999996</v>
      </c>
      <c r="AA274" s="252">
        <f t="shared" si="41"/>
        <v>4.5599999999999996</v>
      </c>
      <c r="AB274" s="252">
        <f t="shared" si="41"/>
        <v>4.5599999999999996</v>
      </c>
      <c r="AC274" s="252">
        <f t="shared" si="41"/>
        <v>4.5599999999999996</v>
      </c>
      <c r="AD274" s="252">
        <f t="shared" si="41"/>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2"/>
        <v>3</v>
      </c>
      <c r="D275" s="73"/>
      <c r="E275" s="70"/>
      <c r="F275" s="70" t="s">
        <v>781</v>
      </c>
      <c r="G275" s="73"/>
      <c r="H275" s="76" t="s">
        <v>776</v>
      </c>
      <c r="I275" s="96" t="s">
        <v>527</v>
      </c>
      <c r="J275" s="96"/>
      <c r="K275" s="97">
        <v>0.9</v>
      </c>
      <c r="L275" s="97">
        <v>0.9</v>
      </c>
      <c r="M275" s="97">
        <v>0.747</v>
      </c>
      <c r="N275" s="97">
        <v>0.747</v>
      </c>
      <c r="O275" s="97">
        <v>0.747</v>
      </c>
      <c r="P275" s="97">
        <v>0.747</v>
      </c>
      <c r="Q275" s="76"/>
      <c r="R275" s="76" t="s">
        <v>757</v>
      </c>
      <c r="S275" s="76" t="s">
        <v>757</v>
      </c>
      <c r="T275" s="76"/>
      <c r="U275" s="252">
        <f t="shared" si="41"/>
        <v>0.9</v>
      </c>
      <c r="V275" s="252">
        <f t="shared" si="41"/>
        <v>0.9</v>
      </c>
      <c r="W275" s="252">
        <f t="shared" si="41"/>
        <v>0.9</v>
      </c>
      <c r="X275" s="252">
        <f t="shared" si="41"/>
        <v>0.9</v>
      </c>
      <c r="Y275" s="252">
        <f t="shared" si="41"/>
        <v>0.9</v>
      </c>
      <c r="Z275" s="252">
        <f t="shared" si="41"/>
        <v>0.9</v>
      </c>
      <c r="AA275" s="252">
        <f t="shared" si="41"/>
        <v>0.9</v>
      </c>
      <c r="AB275" s="252">
        <f t="shared" si="41"/>
        <v>0.9</v>
      </c>
      <c r="AC275" s="252">
        <f t="shared" si="41"/>
        <v>0.9</v>
      </c>
      <c r="AD275" s="252">
        <f t="shared" si="41"/>
        <v>0.9</v>
      </c>
      <c r="AE275" s="76"/>
      <c r="AF275" s="76"/>
      <c r="AG275" s="76"/>
      <c r="AH275" s="97">
        <v>1</v>
      </c>
      <c r="AI275" s="97">
        <v>1</v>
      </c>
      <c r="AJ275" s="73"/>
      <c r="AK275" s="57"/>
      <c r="AL275" s="45"/>
      <c r="AM275" s="45"/>
      <c r="AN275" s="45"/>
    </row>
    <row r="276" spans="1:40" hidden="1" outlineLevel="3" x14ac:dyDescent="0.25">
      <c r="A276" s="45"/>
      <c r="B276" s="54"/>
      <c r="C276" s="47">
        <f t="shared" ref="C276:C281" si="43">INT($C$29)+3</f>
        <v>4</v>
      </c>
      <c r="D276" s="73"/>
      <c r="E276" s="70" t="s">
        <v>782</v>
      </c>
      <c r="F276" s="70" t="s">
        <v>783</v>
      </c>
      <c r="G276" s="73"/>
      <c r="H276" s="76" t="s">
        <v>784</v>
      </c>
      <c r="I276" s="96" t="s">
        <v>500</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3"/>
        <v>4</v>
      </c>
      <c r="D277" s="73"/>
      <c r="E277" s="70" t="s">
        <v>785</v>
      </c>
      <c r="F277" s="70" t="s">
        <v>3308</v>
      </c>
      <c r="G277" s="73"/>
      <c r="H277" s="76" t="s">
        <v>3309</v>
      </c>
      <c r="I277" s="96" t="s">
        <v>500</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3310</v>
      </c>
      <c r="AG277" s="76"/>
      <c r="AH277" s="76">
        <v>1</v>
      </c>
      <c r="AI277" s="76">
        <v>1</v>
      </c>
      <c r="AJ277" s="73"/>
      <c r="AK277" s="57"/>
      <c r="AL277" s="45"/>
      <c r="AM277" s="45"/>
      <c r="AN277" s="45"/>
    </row>
    <row r="278" spans="1:40" hidden="1" outlineLevel="2" x14ac:dyDescent="0.25">
      <c r="A278" s="45"/>
      <c r="B278" s="54"/>
      <c r="C278" s="47">
        <f t="shared" si="43"/>
        <v>4</v>
      </c>
      <c r="D278" s="73"/>
      <c r="E278" s="70"/>
      <c r="F278" s="70" t="s">
        <v>2881</v>
      </c>
      <c r="G278" s="73"/>
      <c r="H278" s="76" t="s">
        <v>2884</v>
      </c>
      <c r="I278" s="96"/>
      <c r="J278" s="96"/>
      <c r="K278" s="97">
        <v>5.9630000000000001</v>
      </c>
      <c r="L278" s="97">
        <v>5.9630000000000001</v>
      </c>
      <c r="M278" s="97"/>
      <c r="N278" s="97"/>
      <c r="O278" s="97"/>
      <c r="P278" s="97"/>
      <c r="Q278" s="76"/>
      <c r="R278" s="76" t="s">
        <v>2887</v>
      </c>
      <c r="S278" s="76"/>
      <c r="T278" s="76"/>
      <c r="U278" s="252">
        <f t="shared" ref="U278:AD281" si="44">INDEX($K278:$Q278,1,U$43)</f>
        <v>5.9630000000000001</v>
      </c>
      <c r="V278" s="252">
        <f t="shared" si="44"/>
        <v>5.9630000000000001</v>
      </c>
      <c r="W278" s="252">
        <f t="shared" si="44"/>
        <v>5.9630000000000001</v>
      </c>
      <c r="X278" s="252">
        <f t="shared" si="44"/>
        <v>5.9630000000000001</v>
      </c>
      <c r="Y278" s="252">
        <f t="shared" si="44"/>
        <v>5.9630000000000001</v>
      </c>
      <c r="Z278" s="252">
        <f t="shared" si="44"/>
        <v>5.9630000000000001</v>
      </c>
      <c r="AA278" s="252">
        <f t="shared" si="44"/>
        <v>5.9630000000000001</v>
      </c>
      <c r="AB278" s="252">
        <f t="shared" si="44"/>
        <v>5.9630000000000001</v>
      </c>
      <c r="AC278" s="252">
        <f t="shared" si="44"/>
        <v>5.9630000000000001</v>
      </c>
      <c r="AD278" s="252">
        <f t="shared" si="44"/>
        <v>5.9630000000000001</v>
      </c>
      <c r="AE278" s="76"/>
      <c r="AF278" s="76"/>
      <c r="AG278" s="76"/>
      <c r="AH278" s="97">
        <v>1</v>
      </c>
      <c r="AI278" s="97">
        <v>1</v>
      </c>
      <c r="AJ278" s="73"/>
      <c r="AK278" s="57"/>
      <c r="AL278" s="45"/>
      <c r="AM278" s="45"/>
      <c r="AN278" s="45"/>
    </row>
    <row r="279" spans="1:40" hidden="1" outlineLevel="2" x14ac:dyDescent="0.25">
      <c r="A279" s="45"/>
      <c r="B279" s="54"/>
      <c r="C279" s="47">
        <f t="shared" si="43"/>
        <v>4</v>
      </c>
      <c r="D279" s="73"/>
      <c r="E279" s="70"/>
      <c r="F279" s="70" t="s">
        <v>2882</v>
      </c>
      <c r="G279" s="73"/>
      <c r="H279" s="76" t="s">
        <v>2885</v>
      </c>
      <c r="I279" s="96"/>
      <c r="J279" s="96"/>
      <c r="K279" s="97">
        <v>11.2</v>
      </c>
      <c r="L279" s="97">
        <v>11.2</v>
      </c>
      <c r="M279" s="97"/>
      <c r="N279" s="97"/>
      <c r="O279" s="97"/>
      <c r="P279" s="97"/>
      <c r="Q279" s="76"/>
      <c r="R279" s="76" t="s">
        <v>2887</v>
      </c>
      <c r="S279" s="76"/>
      <c r="T279" s="76"/>
      <c r="U279" s="252">
        <f t="shared" si="44"/>
        <v>11.2</v>
      </c>
      <c r="V279" s="252">
        <f t="shared" si="44"/>
        <v>11.2</v>
      </c>
      <c r="W279" s="252">
        <f t="shared" si="44"/>
        <v>11.2</v>
      </c>
      <c r="X279" s="252">
        <f t="shared" si="44"/>
        <v>11.2</v>
      </c>
      <c r="Y279" s="252">
        <f t="shared" si="44"/>
        <v>11.2</v>
      </c>
      <c r="Z279" s="252">
        <f t="shared" si="44"/>
        <v>11.2</v>
      </c>
      <c r="AA279" s="252">
        <f t="shared" si="44"/>
        <v>11.2</v>
      </c>
      <c r="AB279" s="252">
        <f t="shared" si="44"/>
        <v>11.2</v>
      </c>
      <c r="AC279" s="252">
        <f t="shared" si="44"/>
        <v>11.2</v>
      </c>
      <c r="AD279" s="252">
        <f t="shared" si="44"/>
        <v>11.2</v>
      </c>
      <c r="AE279" s="76"/>
      <c r="AF279" s="76"/>
      <c r="AG279" s="76"/>
      <c r="AH279" s="97">
        <v>1</v>
      </c>
      <c r="AI279" s="97">
        <v>1</v>
      </c>
      <c r="AJ279" s="73"/>
      <c r="AK279" s="57"/>
      <c r="AL279" s="45"/>
      <c r="AM279" s="45"/>
      <c r="AN279" s="45"/>
    </row>
    <row r="280" spans="1:40" hidden="1" outlineLevel="2" x14ac:dyDescent="0.25">
      <c r="A280" s="45"/>
      <c r="B280" s="54"/>
      <c r="C280" s="47">
        <f t="shared" si="43"/>
        <v>4</v>
      </c>
      <c r="D280" s="73"/>
      <c r="E280" s="70"/>
      <c r="F280" s="70" t="s">
        <v>2883</v>
      </c>
      <c r="G280" s="73"/>
      <c r="H280" s="76" t="s">
        <v>2886</v>
      </c>
      <c r="I280" s="96"/>
      <c r="J280" s="96"/>
      <c r="K280" s="97">
        <v>9.4500000000000001E-3</v>
      </c>
      <c r="L280" s="97">
        <v>9.4500000000000001E-3</v>
      </c>
      <c r="M280" s="97"/>
      <c r="N280" s="97"/>
      <c r="O280" s="97"/>
      <c r="P280" s="97"/>
      <c r="Q280" s="76"/>
      <c r="R280" s="76" t="s">
        <v>2887</v>
      </c>
      <c r="S280" s="76"/>
      <c r="T280" s="76"/>
      <c r="U280" s="252">
        <f t="shared" si="44"/>
        <v>9.4500000000000001E-3</v>
      </c>
      <c r="V280" s="252">
        <f t="shared" si="44"/>
        <v>9.4500000000000001E-3</v>
      </c>
      <c r="W280" s="252">
        <f t="shared" si="44"/>
        <v>9.4500000000000001E-3</v>
      </c>
      <c r="X280" s="252">
        <f t="shared" si="44"/>
        <v>9.4500000000000001E-3</v>
      </c>
      <c r="Y280" s="252">
        <f t="shared" si="44"/>
        <v>9.4500000000000001E-3</v>
      </c>
      <c r="Z280" s="252">
        <f t="shared" si="44"/>
        <v>9.4500000000000001E-3</v>
      </c>
      <c r="AA280" s="252">
        <f t="shared" si="44"/>
        <v>9.4500000000000001E-3</v>
      </c>
      <c r="AB280" s="252">
        <f t="shared" si="44"/>
        <v>9.4500000000000001E-3</v>
      </c>
      <c r="AC280" s="252">
        <f t="shared" si="44"/>
        <v>9.4500000000000001E-3</v>
      </c>
      <c r="AD280" s="252">
        <f t="shared" si="44"/>
        <v>9.4500000000000001E-3</v>
      </c>
      <c r="AE280" s="76"/>
      <c r="AF280" s="76"/>
      <c r="AG280" s="76"/>
      <c r="AH280" s="97">
        <v>1</v>
      </c>
      <c r="AI280" s="97">
        <v>1</v>
      </c>
      <c r="AJ280" s="73"/>
      <c r="AK280" s="57"/>
      <c r="AL280" s="45"/>
      <c r="AM280" s="45"/>
      <c r="AN280" s="45"/>
    </row>
    <row r="281" spans="1:40" hidden="1" outlineLevel="2" x14ac:dyDescent="0.25">
      <c r="A281" s="45"/>
      <c r="B281" s="54"/>
      <c r="C281" s="47">
        <f t="shared" si="43"/>
        <v>4</v>
      </c>
      <c r="D281" s="73"/>
      <c r="E281" s="70"/>
      <c r="F281" s="70" t="s">
        <v>2888</v>
      </c>
      <c r="G281" s="73"/>
      <c r="H281" s="76" t="s">
        <v>2889</v>
      </c>
      <c r="I281" s="96"/>
      <c r="J281" s="96"/>
      <c r="K281" s="97">
        <v>0</v>
      </c>
      <c r="L281" s="97">
        <v>0</v>
      </c>
      <c r="M281" s="97"/>
      <c r="N281" s="97"/>
      <c r="O281" s="97"/>
      <c r="P281" s="97"/>
      <c r="Q281" s="76"/>
      <c r="R281" s="76" t="s">
        <v>2887</v>
      </c>
      <c r="S281" s="76"/>
      <c r="T281" s="76"/>
      <c r="U281" s="252">
        <f t="shared" si="44"/>
        <v>0</v>
      </c>
      <c r="V281" s="252">
        <f t="shared" si="44"/>
        <v>0</v>
      </c>
      <c r="W281" s="252">
        <f t="shared" si="44"/>
        <v>0</v>
      </c>
      <c r="X281" s="252">
        <f t="shared" si="44"/>
        <v>0</v>
      </c>
      <c r="Y281" s="252">
        <f t="shared" si="44"/>
        <v>0</v>
      </c>
      <c r="Z281" s="252">
        <f t="shared" si="44"/>
        <v>0</v>
      </c>
      <c r="AA281" s="252">
        <f t="shared" si="44"/>
        <v>0</v>
      </c>
      <c r="AB281" s="252">
        <f t="shared" si="44"/>
        <v>0</v>
      </c>
      <c r="AC281" s="252">
        <f t="shared" si="44"/>
        <v>0</v>
      </c>
      <c r="AD281" s="252">
        <f t="shared" si="44"/>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5" t="s">
        <v>786</v>
      </c>
      <c r="G282" s="73"/>
      <c r="H282" s="246" t="s">
        <v>787</v>
      </c>
      <c r="I282" s="96"/>
      <c r="J282" s="96" t="s">
        <v>517</v>
      </c>
      <c r="K282" s="76"/>
      <c r="L282" s="76"/>
      <c r="M282" s="76"/>
      <c r="N282" s="76"/>
      <c r="O282" s="76"/>
      <c r="P282" s="76"/>
      <c r="Q282" s="76"/>
      <c r="R282" s="76"/>
      <c r="S282" s="76"/>
      <c r="T282" s="76"/>
      <c r="U282" s="79">
        <v>26</v>
      </c>
      <c r="V282" s="76"/>
      <c r="W282" s="258">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788</v>
      </c>
      <c r="F283" s="70" t="s">
        <v>2597</v>
      </c>
      <c r="G283" s="73"/>
      <c r="H283" s="76" t="s">
        <v>789</v>
      </c>
      <c r="I283" s="96" t="s">
        <v>663</v>
      </c>
      <c r="J283" s="96"/>
      <c r="K283" s="76"/>
      <c r="L283" s="76"/>
      <c r="M283" s="76"/>
      <c r="N283" s="76"/>
      <c r="O283" s="76"/>
      <c r="P283" s="76"/>
      <c r="Q283" s="76"/>
      <c r="R283" s="76"/>
      <c r="S283" s="76"/>
      <c r="T283" s="76" t="s">
        <v>3324</v>
      </c>
      <c r="U283" s="97">
        <v>1</v>
      </c>
      <c r="V283" s="97">
        <v>1</v>
      </c>
      <c r="W283" s="97">
        <v>0.707435943672583</v>
      </c>
      <c r="X283" s="97">
        <v>0.82641697729615304</v>
      </c>
      <c r="Y283" s="97">
        <v>1</v>
      </c>
      <c r="Z283" s="97">
        <v>0.68086780351134002</v>
      </c>
      <c r="AA283" s="97">
        <v>1</v>
      </c>
      <c r="AB283" s="97">
        <v>1.25</v>
      </c>
      <c r="AC283" s="97">
        <v>1.25</v>
      </c>
      <c r="AD283" s="97">
        <v>1.25</v>
      </c>
      <c r="AE283" s="76"/>
      <c r="AF283" s="97" t="s">
        <v>2596</v>
      </c>
      <c r="AG283" s="76"/>
      <c r="AH283" s="97">
        <v>1</v>
      </c>
      <c r="AI283" s="97">
        <v>1</v>
      </c>
      <c r="AJ283" s="73"/>
      <c r="AK283" s="57"/>
      <c r="AL283" s="45"/>
      <c r="AM283" s="45"/>
      <c r="AN283" s="45"/>
    </row>
    <row r="284" spans="1:40" hidden="1" outlineLevel="2" x14ac:dyDescent="0.25">
      <c r="A284" s="45"/>
      <c r="B284" s="54"/>
      <c r="C284" s="47">
        <f t="shared" ref="C284:C308" si="45">INT($C$29)+2</f>
        <v>3</v>
      </c>
      <c r="D284" s="73"/>
      <c r="E284" s="70"/>
      <c r="F284" s="70" t="s">
        <v>790</v>
      </c>
      <c r="G284" s="73"/>
      <c r="H284" s="76" t="s">
        <v>791</v>
      </c>
      <c r="I284" s="96" t="s">
        <v>529</v>
      </c>
      <c r="J284" s="96"/>
      <c r="K284" s="97">
        <v>2</v>
      </c>
      <c r="L284" s="97">
        <v>2</v>
      </c>
      <c r="M284" s="97">
        <v>4</v>
      </c>
      <c r="N284" s="97">
        <v>4</v>
      </c>
      <c r="O284" s="97">
        <v>4</v>
      </c>
      <c r="P284" s="97">
        <v>4</v>
      </c>
      <c r="Q284" s="76"/>
      <c r="R284" s="76" t="s">
        <v>670</v>
      </c>
      <c r="S284" s="76" t="s">
        <v>792</v>
      </c>
      <c r="T284" s="76"/>
      <c r="U284" s="252">
        <f t="shared" ref="U284:AD290" si="46">INDEX($K284:$Q284,1,U$43)</f>
        <v>2</v>
      </c>
      <c r="V284" s="252">
        <f t="shared" si="46"/>
        <v>2</v>
      </c>
      <c r="W284" s="252">
        <f t="shared" si="46"/>
        <v>2</v>
      </c>
      <c r="X284" s="252">
        <f t="shared" si="46"/>
        <v>2</v>
      </c>
      <c r="Y284" s="252">
        <f t="shared" si="46"/>
        <v>2</v>
      </c>
      <c r="Z284" s="252">
        <f t="shared" si="46"/>
        <v>2</v>
      </c>
      <c r="AA284" s="252">
        <f t="shared" si="46"/>
        <v>2</v>
      </c>
      <c r="AB284" s="252">
        <f t="shared" si="46"/>
        <v>2</v>
      </c>
      <c r="AC284" s="252">
        <f t="shared" si="46"/>
        <v>2</v>
      </c>
      <c r="AD284" s="252">
        <f t="shared" si="46"/>
        <v>2</v>
      </c>
      <c r="AE284" s="76"/>
      <c r="AF284" s="76"/>
      <c r="AG284" s="76"/>
      <c r="AH284" s="97">
        <v>1</v>
      </c>
      <c r="AI284" s="97">
        <v>1</v>
      </c>
      <c r="AJ284" s="73"/>
      <c r="AK284" s="57"/>
      <c r="AL284" s="45"/>
      <c r="AM284" s="45"/>
      <c r="AN284" s="45"/>
    </row>
    <row r="285" spans="1:40" hidden="1" outlineLevel="2" x14ac:dyDescent="0.25">
      <c r="A285" s="45"/>
      <c r="B285" s="54"/>
      <c r="C285" s="47">
        <f t="shared" si="45"/>
        <v>3</v>
      </c>
      <c r="D285" s="73"/>
      <c r="E285" s="70"/>
      <c r="F285" s="70" t="s">
        <v>793</v>
      </c>
      <c r="G285" s="73"/>
      <c r="H285" s="76" t="s">
        <v>794</v>
      </c>
      <c r="I285" s="96" t="s">
        <v>529</v>
      </c>
      <c r="J285" s="96"/>
      <c r="K285" s="97">
        <v>22</v>
      </c>
      <c r="L285" s="97">
        <v>22</v>
      </c>
      <c r="M285" s="97">
        <v>30</v>
      </c>
      <c r="N285" s="97">
        <v>30</v>
      </c>
      <c r="O285" s="97">
        <v>30</v>
      </c>
      <c r="P285" s="97">
        <v>30</v>
      </c>
      <c r="Q285" s="76"/>
      <c r="R285" s="76" t="s">
        <v>670</v>
      </c>
      <c r="S285" s="76" t="s">
        <v>792</v>
      </c>
      <c r="T285" s="76"/>
      <c r="U285" s="252">
        <f t="shared" si="46"/>
        <v>22</v>
      </c>
      <c r="V285" s="252">
        <f t="shared" si="46"/>
        <v>22</v>
      </c>
      <c r="W285" s="252">
        <f t="shared" si="46"/>
        <v>22</v>
      </c>
      <c r="X285" s="252">
        <f t="shared" si="46"/>
        <v>22</v>
      </c>
      <c r="Y285" s="252">
        <f t="shared" si="46"/>
        <v>22</v>
      </c>
      <c r="Z285" s="252">
        <f t="shared" si="46"/>
        <v>22</v>
      </c>
      <c r="AA285" s="252">
        <f t="shared" si="46"/>
        <v>22</v>
      </c>
      <c r="AB285" s="252">
        <f t="shared" si="46"/>
        <v>22</v>
      </c>
      <c r="AC285" s="252">
        <f t="shared" si="46"/>
        <v>22</v>
      </c>
      <c r="AD285" s="252">
        <f t="shared" si="46"/>
        <v>22</v>
      </c>
      <c r="AE285" s="76"/>
      <c r="AF285" s="76"/>
      <c r="AG285" s="76"/>
      <c r="AH285" s="97">
        <v>1</v>
      </c>
      <c r="AI285" s="97">
        <v>1</v>
      </c>
      <c r="AJ285" s="73"/>
      <c r="AK285" s="57"/>
      <c r="AL285" s="45"/>
      <c r="AM285" s="45"/>
      <c r="AN285" s="45"/>
    </row>
    <row r="286" spans="1:40" hidden="1" outlineLevel="2" x14ac:dyDescent="0.25">
      <c r="A286" s="45"/>
      <c r="B286" s="54"/>
      <c r="C286" s="47">
        <f t="shared" si="45"/>
        <v>3</v>
      </c>
      <c r="D286" s="73"/>
      <c r="E286" s="70"/>
      <c r="F286" s="70" t="s">
        <v>795</v>
      </c>
      <c r="G286" s="73"/>
      <c r="H286" s="76" t="s">
        <v>796</v>
      </c>
      <c r="I286" s="96" t="s">
        <v>500</v>
      </c>
      <c r="J286" s="96"/>
      <c r="K286" s="97">
        <v>1</v>
      </c>
      <c r="L286" s="97">
        <v>1</v>
      </c>
      <c r="M286" s="97">
        <v>0.6</v>
      </c>
      <c r="N286" s="97">
        <v>0.6</v>
      </c>
      <c r="O286" s="97">
        <v>0.6</v>
      </c>
      <c r="P286" s="97">
        <v>0.6</v>
      </c>
      <c r="Q286" s="76"/>
      <c r="R286" s="76" t="s">
        <v>670</v>
      </c>
      <c r="S286" s="76" t="s">
        <v>792</v>
      </c>
      <c r="T286" s="76"/>
      <c r="U286" s="252">
        <f t="shared" si="46"/>
        <v>1</v>
      </c>
      <c r="V286" s="252">
        <f t="shared" si="46"/>
        <v>1</v>
      </c>
      <c r="W286" s="252">
        <f t="shared" si="46"/>
        <v>1</v>
      </c>
      <c r="X286" s="252">
        <f t="shared" si="46"/>
        <v>1</v>
      </c>
      <c r="Y286" s="252">
        <f t="shared" si="46"/>
        <v>1</v>
      </c>
      <c r="Z286" s="252">
        <f t="shared" si="46"/>
        <v>1</v>
      </c>
      <c r="AA286" s="252">
        <f t="shared" si="46"/>
        <v>1</v>
      </c>
      <c r="AB286" s="252">
        <f t="shared" si="46"/>
        <v>1</v>
      </c>
      <c r="AC286" s="252">
        <f t="shared" si="46"/>
        <v>1</v>
      </c>
      <c r="AD286" s="252">
        <f t="shared" si="46"/>
        <v>1</v>
      </c>
      <c r="AE286" s="76"/>
      <c r="AF286" s="76"/>
      <c r="AG286" s="76"/>
      <c r="AH286" s="97">
        <v>1</v>
      </c>
      <c r="AI286" s="97">
        <v>1</v>
      </c>
      <c r="AJ286" s="73"/>
      <c r="AK286" s="57"/>
      <c r="AL286" s="45"/>
      <c r="AM286" s="45"/>
      <c r="AN286" s="45"/>
    </row>
    <row r="287" spans="1:40" hidden="1" outlineLevel="2" x14ac:dyDescent="0.25">
      <c r="A287" s="45"/>
      <c r="B287" s="54"/>
      <c r="C287" s="47">
        <f t="shared" si="45"/>
        <v>3</v>
      </c>
      <c r="D287" s="73"/>
      <c r="E287" s="70"/>
      <c r="F287" s="70" t="s">
        <v>797</v>
      </c>
      <c r="G287" s="73"/>
      <c r="H287" s="76" t="s">
        <v>798</v>
      </c>
      <c r="I287" s="96" t="s">
        <v>500</v>
      </c>
      <c r="J287" s="96"/>
      <c r="K287" s="76"/>
      <c r="L287" s="76"/>
      <c r="M287" s="97">
        <v>0.6</v>
      </c>
      <c r="N287" s="97">
        <v>0.6</v>
      </c>
      <c r="O287" s="97">
        <v>0.6</v>
      </c>
      <c r="P287" s="97">
        <v>0.105</v>
      </c>
      <c r="Q287" s="76"/>
      <c r="R287" s="76"/>
      <c r="S287" s="76" t="s">
        <v>792</v>
      </c>
      <c r="T287" s="76"/>
      <c r="U287" s="252">
        <f t="shared" si="46"/>
        <v>0</v>
      </c>
      <c r="V287" s="252">
        <f t="shared" si="46"/>
        <v>0</v>
      </c>
      <c r="W287" s="252">
        <f t="shared" si="46"/>
        <v>0</v>
      </c>
      <c r="X287" s="252">
        <f t="shared" si="46"/>
        <v>0</v>
      </c>
      <c r="Y287" s="252">
        <f t="shared" si="46"/>
        <v>0</v>
      </c>
      <c r="Z287" s="252">
        <f t="shared" si="46"/>
        <v>0</v>
      </c>
      <c r="AA287" s="252">
        <f t="shared" si="46"/>
        <v>0</v>
      </c>
      <c r="AB287" s="252">
        <f t="shared" si="46"/>
        <v>0</v>
      </c>
      <c r="AC287" s="252">
        <f t="shared" si="46"/>
        <v>0</v>
      </c>
      <c r="AD287" s="252">
        <f t="shared" si="46"/>
        <v>0</v>
      </c>
      <c r="AE287" s="76"/>
      <c r="AF287" s="76"/>
      <c r="AG287" s="76"/>
      <c r="AH287" s="97">
        <v>1</v>
      </c>
      <c r="AI287" s="97">
        <v>1</v>
      </c>
      <c r="AJ287" s="73"/>
      <c r="AK287" s="57"/>
      <c r="AL287" s="45"/>
      <c r="AM287" s="45"/>
      <c r="AN287" s="45"/>
    </row>
    <row r="288" spans="1:40" hidden="1" outlineLevel="2" x14ac:dyDescent="0.25">
      <c r="A288" s="45"/>
      <c r="B288" s="54"/>
      <c r="C288" s="47">
        <f t="shared" si="45"/>
        <v>3</v>
      </c>
      <c r="D288" s="73"/>
      <c r="E288" s="70"/>
      <c r="F288" s="70" t="s">
        <v>799</v>
      </c>
      <c r="G288" s="73"/>
      <c r="H288" s="76" t="s">
        <v>800</v>
      </c>
      <c r="I288" s="96" t="s">
        <v>572</v>
      </c>
      <c r="J288" s="96"/>
      <c r="K288" s="97">
        <v>0.94</v>
      </c>
      <c r="L288" s="97">
        <v>0.94</v>
      </c>
      <c r="M288" s="97">
        <v>0.94</v>
      </c>
      <c r="N288" s="97">
        <v>0.94</v>
      </c>
      <c r="O288" s="97">
        <v>0.94</v>
      </c>
      <c r="P288" s="97">
        <v>0.94</v>
      </c>
      <c r="Q288" s="76"/>
      <c r="R288" s="76" t="s">
        <v>625</v>
      </c>
      <c r="S288" s="76" t="s">
        <v>625</v>
      </c>
      <c r="T288" s="76"/>
      <c r="U288" s="252">
        <f t="shared" si="46"/>
        <v>0.94</v>
      </c>
      <c r="V288" s="252">
        <f t="shared" si="46"/>
        <v>0.94</v>
      </c>
      <c r="W288" s="252">
        <f t="shared" si="46"/>
        <v>0.94</v>
      </c>
      <c r="X288" s="252">
        <f t="shared" si="46"/>
        <v>0.94</v>
      </c>
      <c r="Y288" s="252">
        <f t="shared" si="46"/>
        <v>0.94</v>
      </c>
      <c r="Z288" s="252">
        <f t="shared" si="46"/>
        <v>0.94</v>
      </c>
      <c r="AA288" s="252">
        <f t="shared" si="46"/>
        <v>0.94</v>
      </c>
      <c r="AB288" s="252">
        <f t="shared" si="46"/>
        <v>0.94</v>
      </c>
      <c r="AC288" s="252">
        <f t="shared" si="46"/>
        <v>0.94</v>
      </c>
      <c r="AD288" s="252">
        <f t="shared" si="46"/>
        <v>0.94</v>
      </c>
      <c r="AE288" s="76"/>
      <c r="AF288" s="76"/>
      <c r="AG288" s="76"/>
      <c r="AH288" s="97">
        <v>1</v>
      </c>
      <c r="AI288" s="97">
        <v>1</v>
      </c>
      <c r="AJ288" s="73"/>
      <c r="AK288" s="57"/>
      <c r="AL288" s="45"/>
      <c r="AM288" s="45"/>
      <c r="AN288" s="45"/>
    </row>
    <row r="289" spans="1:40" hidden="1" outlineLevel="2" x14ac:dyDescent="0.25">
      <c r="A289" s="45"/>
      <c r="B289" s="54"/>
      <c r="C289" s="47">
        <f t="shared" si="45"/>
        <v>3</v>
      </c>
      <c r="D289" s="73"/>
      <c r="E289" s="70"/>
      <c r="F289" s="70" t="s">
        <v>801</v>
      </c>
      <c r="G289" s="73"/>
      <c r="H289" s="76" t="s">
        <v>802</v>
      </c>
      <c r="I289" s="96" t="s">
        <v>593</v>
      </c>
      <c r="J289" s="96"/>
      <c r="K289" s="97">
        <v>4.7</v>
      </c>
      <c r="L289" s="97">
        <v>4.7</v>
      </c>
      <c r="M289" s="97">
        <v>3.1</v>
      </c>
      <c r="N289" s="97">
        <v>3.1</v>
      </c>
      <c r="O289" s="97">
        <v>3.1</v>
      </c>
      <c r="P289" s="97">
        <v>3.1</v>
      </c>
      <c r="Q289" s="76"/>
      <c r="R289" s="76" t="s">
        <v>803</v>
      </c>
      <c r="S289" s="76" t="s">
        <v>510</v>
      </c>
      <c r="T289" s="76"/>
      <c r="U289" s="252">
        <f t="shared" si="46"/>
        <v>4.7</v>
      </c>
      <c r="V289" s="252">
        <f t="shared" si="46"/>
        <v>4.7</v>
      </c>
      <c r="W289" s="252">
        <f t="shared" si="46"/>
        <v>4.7</v>
      </c>
      <c r="X289" s="252">
        <f t="shared" si="46"/>
        <v>4.7</v>
      </c>
      <c r="Y289" s="252">
        <f t="shared" si="46"/>
        <v>4.7</v>
      </c>
      <c r="Z289" s="252">
        <f t="shared" si="46"/>
        <v>4.7</v>
      </c>
      <c r="AA289" s="252">
        <f t="shared" si="46"/>
        <v>4.7</v>
      </c>
      <c r="AB289" s="252">
        <f t="shared" si="46"/>
        <v>4.7</v>
      </c>
      <c r="AC289" s="252">
        <f t="shared" si="46"/>
        <v>4.7</v>
      </c>
      <c r="AD289" s="252">
        <f t="shared" si="46"/>
        <v>4.7</v>
      </c>
      <c r="AE289" s="76"/>
      <c r="AF289" s="76"/>
      <c r="AG289" s="76"/>
      <c r="AH289" s="97">
        <v>1</v>
      </c>
      <c r="AI289" s="97">
        <v>1</v>
      </c>
      <c r="AJ289" s="73"/>
      <c r="AK289" s="57"/>
      <c r="AL289" s="45"/>
      <c r="AM289" s="45"/>
      <c r="AN289" s="45"/>
    </row>
    <row r="290" spans="1:40" hidden="1" outlineLevel="2" collapsed="1" x14ac:dyDescent="0.25">
      <c r="A290" s="45"/>
      <c r="B290" s="54"/>
      <c r="C290" s="47">
        <f t="shared" si="45"/>
        <v>3</v>
      </c>
      <c r="D290" s="73"/>
      <c r="E290" s="70"/>
      <c r="F290" s="70" t="s">
        <v>804</v>
      </c>
      <c r="G290" s="73"/>
      <c r="H290" s="76" t="s">
        <v>805</v>
      </c>
      <c r="I290" s="96" t="s">
        <v>500</v>
      </c>
      <c r="J290" s="96"/>
      <c r="K290" s="97">
        <v>1.17</v>
      </c>
      <c r="L290" s="97">
        <v>1.17</v>
      </c>
      <c r="M290" s="97">
        <v>1.17</v>
      </c>
      <c r="N290" s="97">
        <v>1.17</v>
      </c>
      <c r="O290" s="97">
        <v>1.17</v>
      </c>
      <c r="P290" s="97">
        <v>1.17</v>
      </c>
      <c r="Q290" s="76"/>
      <c r="R290" s="76" t="s">
        <v>670</v>
      </c>
      <c r="S290" s="76" t="s">
        <v>548</v>
      </c>
      <c r="T290" s="76"/>
      <c r="U290" s="252">
        <f t="shared" si="46"/>
        <v>1.17</v>
      </c>
      <c r="V290" s="252">
        <f t="shared" si="46"/>
        <v>1.17</v>
      </c>
      <c r="W290" s="252">
        <f t="shared" si="46"/>
        <v>1.17</v>
      </c>
      <c r="X290" s="252">
        <f t="shared" si="46"/>
        <v>1.17</v>
      </c>
      <c r="Y290" s="252">
        <f t="shared" si="46"/>
        <v>1.17</v>
      </c>
      <c r="Z290" s="252">
        <f t="shared" si="46"/>
        <v>1.17</v>
      </c>
      <c r="AA290" s="252">
        <f t="shared" si="46"/>
        <v>1.17</v>
      </c>
      <c r="AB290" s="252">
        <f t="shared" si="46"/>
        <v>1.17</v>
      </c>
      <c r="AC290" s="252">
        <f t="shared" si="46"/>
        <v>1.17</v>
      </c>
      <c r="AD290" s="252">
        <f t="shared" si="46"/>
        <v>1.17</v>
      </c>
      <c r="AE290" s="76"/>
      <c r="AF290" s="76"/>
      <c r="AG290" s="76"/>
      <c r="AH290" s="97">
        <v>1</v>
      </c>
      <c r="AI290" s="97">
        <v>1</v>
      </c>
      <c r="AJ290" s="73"/>
      <c r="AK290" s="57"/>
      <c r="AL290" s="45"/>
      <c r="AM290" s="45"/>
      <c r="AN290" s="45"/>
    </row>
    <row r="291" spans="1:40" hidden="1" outlineLevel="3" x14ac:dyDescent="0.25">
      <c r="A291" s="45"/>
      <c r="B291" s="54"/>
      <c r="C291" s="47">
        <f t="shared" si="45"/>
        <v>3</v>
      </c>
      <c r="D291" s="73"/>
      <c r="E291" s="70"/>
      <c r="F291" s="70" t="s">
        <v>806</v>
      </c>
      <c r="G291" s="73"/>
      <c r="H291" s="76" t="s">
        <v>554</v>
      </c>
      <c r="I291" s="96" t="s">
        <v>500</v>
      </c>
      <c r="J291" s="96"/>
      <c r="K291" s="97">
        <v>0.77</v>
      </c>
      <c r="L291" s="97">
        <v>0.77</v>
      </c>
      <c r="M291" s="76"/>
      <c r="N291" s="76"/>
      <c r="O291" s="76"/>
      <c r="P291" s="76"/>
      <c r="Q291" s="76"/>
      <c r="R291" s="76" t="s">
        <v>670</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45"/>
        <v>3</v>
      </c>
      <c r="D292" s="73"/>
      <c r="E292" s="70"/>
      <c r="F292" s="70" t="s">
        <v>807</v>
      </c>
      <c r="G292" s="73"/>
      <c r="H292" s="76" t="s">
        <v>554</v>
      </c>
      <c r="I292" s="96" t="s">
        <v>500</v>
      </c>
      <c r="J292" s="96"/>
      <c r="K292" s="97">
        <v>0</v>
      </c>
      <c r="L292" s="97">
        <v>0</v>
      </c>
      <c r="M292" s="76"/>
      <c r="N292" s="76"/>
      <c r="O292" s="76"/>
      <c r="P292" s="76"/>
      <c r="Q292" s="76"/>
      <c r="R292" s="76" t="s">
        <v>670</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45"/>
        <v>3</v>
      </c>
      <c r="D293" s="73"/>
      <c r="E293" s="70"/>
      <c r="F293" s="70" t="s">
        <v>808</v>
      </c>
      <c r="G293" s="73"/>
      <c r="H293" s="76" t="s">
        <v>554</v>
      </c>
      <c r="I293" s="96" t="s">
        <v>500</v>
      </c>
      <c r="J293" s="96"/>
      <c r="K293" s="97">
        <v>0.4</v>
      </c>
      <c r="L293" s="97">
        <v>0.4</v>
      </c>
      <c r="M293" s="97">
        <v>0.04</v>
      </c>
      <c r="N293" s="97">
        <v>0.04</v>
      </c>
      <c r="O293" s="97">
        <v>0.04</v>
      </c>
      <c r="P293" s="97">
        <v>0.04</v>
      </c>
      <c r="Q293" s="76"/>
      <c r="R293" s="76" t="s">
        <v>670</v>
      </c>
      <c r="S293" s="76" t="s">
        <v>548</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45"/>
        <v>3</v>
      </c>
      <c r="D294" s="73"/>
      <c r="E294" s="70"/>
      <c r="F294" s="70" t="s">
        <v>809</v>
      </c>
      <c r="G294" s="73"/>
      <c r="H294" s="76" t="s">
        <v>554</v>
      </c>
      <c r="I294" s="96" t="s">
        <v>500</v>
      </c>
      <c r="J294" s="96"/>
      <c r="K294" s="97">
        <v>30</v>
      </c>
      <c r="L294" s="97">
        <v>30</v>
      </c>
      <c r="M294" s="97">
        <v>90</v>
      </c>
      <c r="N294" s="97">
        <v>90</v>
      </c>
      <c r="O294" s="97">
        <v>90</v>
      </c>
      <c r="P294" s="97">
        <v>90</v>
      </c>
      <c r="Q294" s="76"/>
      <c r="R294" s="76" t="s">
        <v>548</v>
      </c>
      <c r="S294" s="76" t="s">
        <v>548</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45"/>
        <v>3</v>
      </c>
      <c r="D295" s="73"/>
      <c r="E295" s="70"/>
      <c r="F295" s="70" t="s">
        <v>810</v>
      </c>
      <c r="G295" s="73"/>
      <c r="H295" s="76" t="s">
        <v>811</v>
      </c>
      <c r="I295" s="96" t="s">
        <v>812</v>
      </c>
      <c r="J295" s="96"/>
      <c r="K295" s="97">
        <v>0.3</v>
      </c>
      <c r="L295" s="97">
        <v>0.3</v>
      </c>
      <c r="M295" s="97">
        <v>0.42</v>
      </c>
      <c r="N295" s="97">
        <v>0.42</v>
      </c>
      <c r="O295" s="97">
        <v>0.42</v>
      </c>
      <c r="P295" s="97">
        <v>0.42</v>
      </c>
      <c r="Q295" s="76"/>
      <c r="R295" s="76" t="s">
        <v>548</v>
      </c>
      <c r="S295" s="76" t="s">
        <v>548</v>
      </c>
      <c r="T295" s="76"/>
      <c r="U295" s="252">
        <f t="shared" ref="U295:AD308" si="47">INDEX($K295:$Q295,1,U$43)</f>
        <v>0.3</v>
      </c>
      <c r="V295" s="252">
        <f t="shared" si="47"/>
        <v>0.3</v>
      </c>
      <c r="W295" s="252">
        <f t="shared" si="47"/>
        <v>0.3</v>
      </c>
      <c r="X295" s="252">
        <f t="shared" si="47"/>
        <v>0.3</v>
      </c>
      <c r="Y295" s="252">
        <f t="shared" si="47"/>
        <v>0.3</v>
      </c>
      <c r="Z295" s="252">
        <f t="shared" si="47"/>
        <v>0.3</v>
      </c>
      <c r="AA295" s="252">
        <f t="shared" si="47"/>
        <v>0.3</v>
      </c>
      <c r="AB295" s="252">
        <f t="shared" si="47"/>
        <v>0.3</v>
      </c>
      <c r="AC295" s="252">
        <f t="shared" si="47"/>
        <v>0.3</v>
      </c>
      <c r="AD295" s="252">
        <f t="shared" si="47"/>
        <v>0.3</v>
      </c>
      <c r="AE295" s="76"/>
      <c r="AF295" s="76"/>
      <c r="AG295" s="76"/>
      <c r="AH295" s="97">
        <v>1</v>
      </c>
      <c r="AI295" s="97">
        <v>1</v>
      </c>
      <c r="AJ295" s="73"/>
      <c r="AK295" s="57"/>
      <c r="AL295" s="45"/>
      <c r="AM295" s="45"/>
      <c r="AN295" s="45"/>
    </row>
    <row r="296" spans="1:40" hidden="1" outlineLevel="2" x14ac:dyDescent="0.25">
      <c r="A296" s="45"/>
      <c r="B296" s="54"/>
      <c r="C296" s="47">
        <f t="shared" si="45"/>
        <v>3</v>
      </c>
      <c r="D296" s="73"/>
      <c r="E296" s="70"/>
      <c r="F296" s="70" t="s">
        <v>813</v>
      </c>
      <c r="G296" s="73"/>
      <c r="H296" s="76" t="s">
        <v>814</v>
      </c>
      <c r="I296" s="96" t="s">
        <v>812</v>
      </c>
      <c r="J296" s="96"/>
      <c r="K296" s="97">
        <v>0.41</v>
      </c>
      <c r="L296" s="97">
        <v>0.41</v>
      </c>
      <c r="M296" s="97">
        <v>0.57999999999999996</v>
      </c>
      <c r="N296" s="97">
        <v>0.57999999999999996</v>
      </c>
      <c r="O296" s="97">
        <v>0.57999999999999996</v>
      </c>
      <c r="P296" s="97">
        <v>0.57999999999999996</v>
      </c>
      <c r="Q296" s="76"/>
      <c r="R296" s="76" t="s">
        <v>815</v>
      </c>
      <c r="S296" s="76" t="s">
        <v>815</v>
      </c>
      <c r="T296" s="76"/>
      <c r="U296" s="252">
        <f t="shared" si="47"/>
        <v>0.41</v>
      </c>
      <c r="V296" s="252">
        <f t="shared" si="47"/>
        <v>0.41</v>
      </c>
      <c r="W296" s="252">
        <f t="shared" si="47"/>
        <v>0.41</v>
      </c>
      <c r="X296" s="252">
        <f t="shared" si="47"/>
        <v>0.41</v>
      </c>
      <c r="Y296" s="252">
        <f t="shared" si="47"/>
        <v>0.41</v>
      </c>
      <c r="Z296" s="252">
        <f t="shared" si="47"/>
        <v>0.41</v>
      </c>
      <c r="AA296" s="252">
        <f t="shared" si="47"/>
        <v>0.41</v>
      </c>
      <c r="AB296" s="252">
        <f t="shared" si="47"/>
        <v>0.41</v>
      </c>
      <c r="AC296" s="252">
        <f t="shared" si="47"/>
        <v>0.41</v>
      </c>
      <c r="AD296" s="252">
        <f t="shared" si="47"/>
        <v>0.41</v>
      </c>
      <c r="AE296" s="76"/>
      <c r="AF296" s="76"/>
      <c r="AG296" s="76"/>
      <c r="AH296" s="97">
        <v>1</v>
      </c>
      <c r="AI296" s="97">
        <v>1</v>
      </c>
      <c r="AJ296" s="73"/>
      <c r="AK296" s="57"/>
      <c r="AL296" s="45"/>
      <c r="AM296" s="45"/>
      <c r="AN296" s="45"/>
    </row>
    <row r="297" spans="1:40" hidden="1" outlineLevel="2" x14ac:dyDescent="0.25">
      <c r="A297" s="45"/>
      <c r="B297" s="54"/>
      <c r="C297" s="47">
        <f t="shared" si="45"/>
        <v>3</v>
      </c>
      <c r="D297" s="73"/>
      <c r="E297" s="70"/>
      <c r="F297" s="70" t="s">
        <v>816</v>
      </c>
      <c r="G297" s="73"/>
      <c r="H297" s="76" t="s">
        <v>817</v>
      </c>
      <c r="I297" s="96" t="s">
        <v>529</v>
      </c>
      <c r="J297" s="96"/>
      <c r="K297" s="97">
        <v>7.0999999999999994E-2</v>
      </c>
      <c r="L297" s="97">
        <v>7.0999999999999994E-2</v>
      </c>
      <c r="M297" s="97">
        <v>3.5999999999999997E-2</v>
      </c>
      <c r="N297" s="97">
        <v>3.5999999999999997E-2</v>
      </c>
      <c r="O297" s="97">
        <v>3.5999999999999997E-2</v>
      </c>
      <c r="P297" s="97">
        <v>3.5999999999999997E-2</v>
      </c>
      <c r="Q297" s="76"/>
      <c r="R297" s="76" t="s">
        <v>815</v>
      </c>
      <c r="S297" s="76" t="s">
        <v>815</v>
      </c>
      <c r="T297" s="76"/>
      <c r="U297" s="252">
        <f t="shared" si="47"/>
        <v>7.0999999999999994E-2</v>
      </c>
      <c r="V297" s="252">
        <f t="shared" si="47"/>
        <v>7.0999999999999994E-2</v>
      </c>
      <c r="W297" s="252">
        <f t="shared" si="47"/>
        <v>7.0999999999999994E-2</v>
      </c>
      <c r="X297" s="252">
        <f t="shared" si="47"/>
        <v>7.0999999999999994E-2</v>
      </c>
      <c r="Y297" s="252">
        <f t="shared" si="47"/>
        <v>7.0999999999999994E-2</v>
      </c>
      <c r="Z297" s="252">
        <f t="shared" si="47"/>
        <v>7.0999999999999994E-2</v>
      </c>
      <c r="AA297" s="252">
        <f t="shared" si="47"/>
        <v>7.0999999999999994E-2</v>
      </c>
      <c r="AB297" s="252">
        <f t="shared" si="47"/>
        <v>7.0999999999999994E-2</v>
      </c>
      <c r="AC297" s="252">
        <f t="shared" si="47"/>
        <v>7.0999999999999994E-2</v>
      </c>
      <c r="AD297" s="252">
        <f t="shared" si="47"/>
        <v>7.0999999999999994E-2</v>
      </c>
      <c r="AE297" s="76"/>
      <c r="AF297" s="76"/>
      <c r="AG297" s="76"/>
      <c r="AH297" s="97">
        <v>1</v>
      </c>
      <c r="AI297" s="97">
        <v>1</v>
      </c>
      <c r="AJ297" s="73"/>
      <c r="AK297" s="57"/>
      <c r="AL297" s="45"/>
      <c r="AM297" s="45"/>
      <c r="AN297" s="45"/>
    </row>
    <row r="298" spans="1:40" hidden="1" outlineLevel="2" x14ac:dyDescent="0.25">
      <c r="A298" s="45"/>
      <c r="B298" s="54"/>
      <c r="C298" s="47">
        <f t="shared" si="45"/>
        <v>3</v>
      </c>
      <c r="D298" s="73"/>
      <c r="E298" s="70"/>
      <c r="F298" s="70" t="s">
        <v>818</v>
      </c>
      <c r="G298" s="73"/>
      <c r="H298" s="76" t="s">
        <v>819</v>
      </c>
      <c r="I298" s="96" t="s">
        <v>572</v>
      </c>
      <c r="J298" s="96"/>
      <c r="K298" s="97">
        <v>4.4999999999999998E-2</v>
      </c>
      <c r="L298" s="97">
        <v>4.4999999999999998E-2</v>
      </c>
      <c r="M298" s="97">
        <v>3.2000000000000001E-2</v>
      </c>
      <c r="N298" s="97">
        <v>3.2000000000000001E-2</v>
      </c>
      <c r="O298" s="97">
        <v>3.2000000000000001E-2</v>
      </c>
      <c r="P298" s="97">
        <v>3.2000000000000001E-2</v>
      </c>
      <c r="Q298" s="76"/>
      <c r="R298" s="76" t="s">
        <v>803</v>
      </c>
      <c r="S298" s="76" t="s">
        <v>815</v>
      </c>
      <c r="T298" s="76"/>
      <c r="U298" s="252">
        <f t="shared" si="47"/>
        <v>4.4999999999999998E-2</v>
      </c>
      <c r="V298" s="252">
        <f t="shared" si="47"/>
        <v>4.4999999999999998E-2</v>
      </c>
      <c r="W298" s="252">
        <f t="shared" si="47"/>
        <v>4.4999999999999998E-2</v>
      </c>
      <c r="X298" s="252">
        <f t="shared" si="47"/>
        <v>4.4999999999999998E-2</v>
      </c>
      <c r="Y298" s="252">
        <f t="shared" si="47"/>
        <v>4.4999999999999998E-2</v>
      </c>
      <c r="Z298" s="252">
        <f t="shared" si="47"/>
        <v>4.4999999999999998E-2</v>
      </c>
      <c r="AA298" s="252">
        <f t="shared" si="47"/>
        <v>4.4999999999999998E-2</v>
      </c>
      <c r="AB298" s="252">
        <f t="shared" si="47"/>
        <v>4.4999999999999998E-2</v>
      </c>
      <c r="AC298" s="252">
        <f t="shared" si="47"/>
        <v>4.4999999999999998E-2</v>
      </c>
      <c r="AD298" s="252">
        <f t="shared" si="47"/>
        <v>4.4999999999999998E-2</v>
      </c>
      <c r="AE298" s="76"/>
      <c r="AF298" s="76"/>
      <c r="AG298" s="76"/>
      <c r="AH298" s="97">
        <v>1</v>
      </c>
      <c r="AI298" s="97">
        <v>1</v>
      </c>
      <c r="AJ298" s="73"/>
      <c r="AK298" s="57"/>
      <c r="AL298" s="45"/>
      <c r="AM298" s="45"/>
      <c r="AN298" s="45"/>
    </row>
    <row r="299" spans="1:40" hidden="1" outlineLevel="2" x14ac:dyDescent="0.25">
      <c r="A299" s="45"/>
      <c r="B299" s="54"/>
      <c r="C299" s="47">
        <f t="shared" si="45"/>
        <v>3</v>
      </c>
      <c r="D299" s="73"/>
      <c r="E299" s="70"/>
      <c r="F299" s="70" t="s">
        <v>820</v>
      </c>
      <c r="G299" s="73"/>
      <c r="H299" s="76" t="s">
        <v>821</v>
      </c>
      <c r="I299" s="96" t="s">
        <v>500</v>
      </c>
      <c r="J299" s="96"/>
      <c r="K299" s="97">
        <v>0.7</v>
      </c>
      <c r="L299" s="97">
        <v>0.7</v>
      </c>
      <c r="M299" s="97">
        <v>0.7</v>
      </c>
      <c r="N299" s="97">
        <v>0.7</v>
      </c>
      <c r="O299" s="97">
        <v>0.7</v>
      </c>
      <c r="P299" s="97">
        <v>0.7</v>
      </c>
      <c r="Q299" s="76"/>
      <c r="R299" s="76" t="s">
        <v>670</v>
      </c>
      <c r="S299" s="76" t="s">
        <v>548</v>
      </c>
      <c r="T299" s="76"/>
      <c r="U299" s="252">
        <f t="shared" si="47"/>
        <v>0.7</v>
      </c>
      <c r="V299" s="252">
        <f t="shared" si="47"/>
        <v>0.7</v>
      </c>
      <c r="W299" s="252">
        <f t="shared" si="47"/>
        <v>0.7</v>
      </c>
      <c r="X299" s="252">
        <f t="shared" si="47"/>
        <v>0.7</v>
      </c>
      <c r="Y299" s="252">
        <f t="shared" si="47"/>
        <v>0.7</v>
      </c>
      <c r="Z299" s="252">
        <f t="shared" si="47"/>
        <v>0.7</v>
      </c>
      <c r="AA299" s="252">
        <f t="shared" si="47"/>
        <v>0.7</v>
      </c>
      <c r="AB299" s="252">
        <f t="shared" si="47"/>
        <v>0.7</v>
      </c>
      <c r="AC299" s="252">
        <f t="shared" si="47"/>
        <v>0.7</v>
      </c>
      <c r="AD299" s="252">
        <f t="shared" si="47"/>
        <v>0.7</v>
      </c>
      <c r="AE299" s="76"/>
      <c r="AF299" s="76"/>
      <c r="AG299" s="76"/>
      <c r="AH299" s="97">
        <v>1</v>
      </c>
      <c r="AI299" s="97">
        <v>1</v>
      </c>
      <c r="AJ299" s="73"/>
      <c r="AK299" s="57"/>
      <c r="AL299" s="45"/>
      <c r="AM299" s="45"/>
      <c r="AN299" s="45"/>
    </row>
    <row r="300" spans="1:40" hidden="1" outlineLevel="2" x14ac:dyDescent="0.25">
      <c r="A300" s="45"/>
      <c r="B300" s="54"/>
      <c r="C300" s="47">
        <f t="shared" si="45"/>
        <v>3</v>
      </c>
      <c r="D300" s="73"/>
      <c r="E300" s="70"/>
      <c r="F300" s="70" t="s">
        <v>822</v>
      </c>
      <c r="G300" s="73"/>
      <c r="H300" s="76" t="s">
        <v>823</v>
      </c>
      <c r="I300" s="96" t="s">
        <v>500</v>
      </c>
      <c r="J300" s="96"/>
      <c r="K300" s="97">
        <v>0.01</v>
      </c>
      <c r="L300" s="97">
        <v>0.01</v>
      </c>
      <c r="M300" s="97">
        <v>0.01</v>
      </c>
      <c r="N300" s="97">
        <v>0.01</v>
      </c>
      <c r="O300" s="97">
        <v>0.01</v>
      </c>
      <c r="P300" s="97">
        <v>0.01</v>
      </c>
      <c r="Q300" s="76"/>
      <c r="R300" s="76" t="s">
        <v>670</v>
      </c>
      <c r="S300" s="76" t="s">
        <v>548</v>
      </c>
      <c r="T300" s="76"/>
      <c r="U300" s="252">
        <f t="shared" si="47"/>
        <v>0.01</v>
      </c>
      <c r="V300" s="252">
        <f t="shared" si="47"/>
        <v>0.01</v>
      </c>
      <c r="W300" s="252">
        <f t="shared" si="47"/>
        <v>0.01</v>
      </c>
      <c r="X300" s="252">
        <f t="shared" si="47"/>
        <v>0.01</v>
      </c>
      <c r="Y300" s="252">
        <f t="shared" si="47"/>
        <v>0.01</v>
      </c>
      <c r="Z300" s="252">
        <f t="shared" si="47"/>
        <v>0.01</v>
      </c>
      <c r="AA300" s="252">
        <f t="shared" si="47"/>
        <v>0.01</v>
      </c>
      <c r="AB300" s="252">
        <f t="shared" si="47"/>
        <v>0.01</v>
      </c>
      <c r="AC300" s="252">
        <f t="shared" si="47"/>
        <v>0.01</v>
      </c>
      <c r="AD300" s="252">
        <f t="shared" si="47"/>
        <v>0.01</v>
      </c>
      <c r="AE300" s="76"/>
      <c r="AF300" s="76"/>
      <c r="AG300" s="76"/>
      <c r="AH300" s="97">
        <v>1</v>
      </c>
      <c r="AI300" s="97">
        <v>1</v>
      </c>
      <c r="AJ300" s="73"/>
      <c r="AK300" s="57"/>
      <c r="AL300" s="45"/>
      <c r="AM300" s="45"/>
      <c r="AN300" s="45"/>
    </row>
    <row r="301" spans="1:40" hidden="1" outlineLevel="2" x14ac:dyDescent="0.25">
      <c r="A301" s="45"/>
      <c r="B301" s="54"/>
      <c r="C301" s="47">
        <f t="shared" si="45"/>
        <v>3</v>
      </c>
      <c r="D301" s="73"/>
      <c r="E301" s="70"/>
      <c r="F301" s="70" t="s">
        <v>824</v>
      </c>
      <c r="G301" s="73"/>
      <c r="H301" s="76" t="s">
        <v>823</v>
      </c>
      <c r="I301" s="96" t="s">
        <v>500</v>
      </c>
      <c r="J301" s="96"/>
      <c r="K301" s="97">
        <v>0.1</v>
      </c>
      <c r="L301" s="97">
        <v>0.1</v>
      </c>
      <c r="M301" s="97">
        <v>0.1</v>
      </c>
      <c r="N301" s="97">
        <v>0.1</v>
      </c>
      <c r="O301" s="97">
        <v>0.1</v>
      </c>
      <c r="P301" s="97">
        <v>0.1</v>
      </c>
      <c r="Q301" s="76"/>
      <c r="R301" s="76" t="s">
        <v>670</v>
      </c>
      <c r="S301" s="76" t="s">
        <v>548</v>
      </c>
      <c r="T301" s="76"/>
      <c r="U301" s="252">
        <f t="shared" si="47"/>
        <v>0.1</v>
      </c>
      <c r="V301" s="252">
        <f t="shared" si="47"/>
        <v>0.1</v>
      </c>
      <c r="W301" s="252">
        <f t="shared" si="47"/>
        <v>0.1</v>
      </c>
      <c r="X301" s="252">
        <f t="shared" si="47"/>
        <v>0.1</v>
      </c>
      <c r="Y301" s="252">
        <f t="shared" si="47"/>
        <v>0.1</v>
      </c>
      <c r="Z301" s="252">
        <f t="shared" si="47"/>
        <v>0.1</v>
      </c>
      <c r="AA301" s="252">
        <f t="shared" si="47"/>
        <v>0.1</v>
      </c>
      <c r="AB301" s="252">
        <f t="shared" si="47"/>
        <v>0.1</v>
      </c>
      <c r="AC301" s="252">
        <f t="shared" si="47"/>
        <v>0.1</v>
      </c>
      <c r="AD301" s="252">
        <f t="shared" si="47"/>
        <v>0.1</v>
      </c>
      <c r="AE301" s="76"/>
      <c r="AF301" s="76"/>
      <c r="AG301" s="76"/>
      <c r="AH301" s="97">
        <v>1</v>
      </c>
      <c r="AI301" s="97">
        <v>1</v>
      </c>
      <c r="AJ301" s="73"/>
      <c r="AK301" s="57"/>
      <c r="AL301" s="45"/>
      <c r="AM301" s="45"/>
      <c r="AN301" s="45"/>
    </row>
    <row r="302" spans="1:40" hidden="1" outlineLevel="2" x14ac:dyDescent="0.25">
      <c r="A302" s="45"/>
      <c r="B302" s="54"/>
      <c r="C302" s="47">
        <f t="shared" si="45"/>
        <v>3</v>
      </c>
      <c r="D302" s="73"/>
      <c r="E302" s="70"/>
      <c r="F302" s="70" t="s">
        <v>825</v>
      </c>
      <c r="G302" s="73"/>
      <c r="H302" s="76" t="s">
        <v>826</v>
      </c>
      <c r="I302" s="96" t="s">
        <v>500</v>
      </c>
      <c r="J302" s="96"/>
      <c r="K302" s="97">
        <v>1.6</v>
      </c>
      <c r="L302" s="97">
        <v>1.6</v>
      </c>
      <c r="M302" s="97">
        <v>1.6</v>
      </c>
      <c r="N302" s="97">
        <v>1.6</v>
      </c>
      <c r="O302" s="97">
        <v>1.6</v>
      </c>
      <c r="P302" s="97">
        <v>1.6</v>
      </c>
      <c r="Q302" s="76"/>
      <c r="R302" s="76" t="s">
        <v>670</v>
      </c>
      <c r="S302" s="76" t="s">
        <v>548</v>
      </c>
      <c r="T302" s="76"/>
      <c r="U302" s="252">
        <f t="shared" si="47"/>
        <v>1.6</v>
      </c>
      <c r="V302" s="252">
        <f t="shared" si="47"/>
        <v>1.6</v>
      </c>
      <c r="W302" s="252">
        <f t="shared" si="47"/>
        <v>1.6</v>
      </c>
      <c r="X302" s="252">
        <f t="shared" si="47"/>
        <v>1.6</v>
      </c>
      <c r="Y302" s="252">
        <f t="shared" si="47"/>
        <v>1.6</v>
      </c>
      <c r="Z302" s="252">
        <f t="shared" si="47"/>
        <v>1.6</v>
      </c>
      <c r="AA302" s="252">
        <f t="shared" si="47"/>
        <v>1.6</v>
      </c>
      <c r="AB302" s="252">
        <f t="shared" si="47"/>
        <v>1.6</v>
      </c>
      <c r="AC302" s="252">
        <f t="shared" si="47"/>
        <v>1.6</v>
      </c>
      <c r="AD302" s="252">
        <f t="shared" si="47"/>
        <v>1.6</v>
      </c>
      <c r="AE302" s="76"/>
      <c r="AF302" s="76"/>
      <c r="AG302" s="76"/>
      <c r="AH302" s="97">
        <v>1</v>
      </c>
      <c r="AI302" s="97">
        <v>1</v>
      </c>
      <c r="AJ302" s="73"/>
      <c r="AK302" s="57"/>
      <c r="AL302" s="45"/>
      <c r="AM302" s="45"/>
      <c r="AN302" s="45"/>
    </row>
    <row r="303" spans="1:40" hidden="1" outlineLevel="2" x14ac:dyDescent="0.25">
      <c r="A303" s="45"/>
      <c r="B303" s="54"/>
      <c r="C303" s="47">
        <f t="shared" si="45"/>
        <v>3</v>
      </c>
      <c r="D303" s="73"/>
      <c r="E303" s="70"/>
      <c r="F303" s="70" t="s">
        <v>827</v>
      </c>
      <c r="G303" s="73"/>
      <c r="H303" s="76" t="s">
        <v>828</v>
      </c>
      <c r="I303" s="96" t="s">
        <v>500</v>
      </c>
      <c r="J303" s="96"/>
      <c r="K303" s="97">
        <v>4</v>
      </c>
      <c r="L303" s="97">
        <v>4</v>
      </c>
      <c r="M303" s="97">
        <v>4</v>
      </c>
      <c r="N303" s="97">
        <v>4</v>
      </c>
      <c r="O303" s="97">
        <v>4</v>
      </c>
      <c r="P303" s="97">
        <v>4</v>
      </c>
      <c r="Q303" s="76"/>
      <c r="R303" s="76" t="s">
        <v>670</v>
      </c>
      <c r="S303" s="76" t="s">
        <v>548</v>
      </c>
      <c r="T303" s="76"/>
      <c r="U303" s="252">
        <f t="shared" si="47"/>
        <v>4</v>
      </c>
      <c r="V303" s="252">
        <f t="shared" si="47"/>
        <v>4</v>
      </c>
      <c r="W303" s="252">
        <f t="shared" si="47"/>
        <v>4</v>
      </c>
      <c r="X303" s="252">
        <f t="shared" si="47"/>
        <v>4</v>
      </c>
      <c r="Y303" s="252">
        <f t="shared" si="47"/>
        <v>4</v>
      </c>
      <c r="Z303" s="252">
        <f t="shared" si="47"/>
        <v>4</v>
      </c>
      <c r="AA303" s="252">
        <f t="shared" si="47"/>
        <v>4</v>
      </c>
      <c r="AB303" s="252">
        <f t="shared" si="47"/>
        <v>4</v>
      </c>
      <c r="AC303" s="252">
        <f t="shared" si="47"/>
        <v>4</v>
      </c>
      <c r="AD303" s="252">
        <f t="shared" si="47"/>
        <v>4</v>
      </c>
      <c r="AE303" s="76"/>
      <c r="AF303" s="76"/>
      <c r="AG303" s="76"/>
      <c r="AH303" s="97">
        <v>1</v>
      </c>
      <c r="AI303" s="97">
        <v>1</v>
      </c>
      <c r="AJ303" s="73"/>
      <c r="AK303" s="57"/>
      <c r="AL303" s="45"/>
      <c r="AM303" s="45"/>
      <c r="AN303" s="45"/>
    </row>
    <row r="304" spans="1:40" hidden="1" outlineLevel="2" x14ac:dyDescent="0.25">
      <c r="A304" s="45"/>
      <c r="B304" s="54"/>
      <c r="C304" s="47">
        <f t="shared" si="45"/>
        <v>3</v>
      </c>
      <c r="D304" s="73"/>
      <c r="E304" s="70"/>
      <c r="F304" s="70" t="s">
        <v>829</v>
      </c>
      <c r="G304" s="73"/>
      <c r="H304" s="76" t="s">
        <v>830</v>
      </c>
      <c r="I304" s="96" t="s">
        <v>500</v>
      </c>
      <c r="J304" s="96"/>
      <c r="K304" s="97">
        <v>8.0000000000000002E-3</v>
      </c>
      <c r="L304" s="97">
        <v>8.0000000000000002E-3</v>
      </c>
      <c r="M304" s="97">
        <v>4.0000000000000001E-3</v>
      </c>
      <c r="N304" s="97">
        <v>4.0000000000000001E-3</v>
      </c>
      <c r="O304" s="97">
        <v>4.0000000000000001E-3</v>
      </c>
      <c r="P304" s="97">
        <v>2.7000000000000001E-3</v>
      </c>
      <c r="Q304" s="76"/>
      <c r="R304" s="76" t="s">
        <v>670</v>
      </c>
      <c r="S304" s="76" t="s">
        <v>548</v>
      </c>
      <c r="T304" s="76"/>
      <c r="U304" s="252">
        <f t="shared" si="47"/>
        <v>8.0000000000000002E-3</v>
      </c>
      <c r="V304" s="252">
        <f t="shared" si="47"/>
        <v>8.0000000000000002E-3</v>
      </c>
      <c r="W304" s="252">
        <f t="shared" si="47"/>
        <v>8.0000000000000002E-3</v>
      </c>
      <c r="X304" s="252">
        <f t="shared" si="47"/>
        <v>8.0000000000000002E-3</v>
      </c>
      <c r="Y304" s="252">
        <f t="shared" si="47"/>
        <v>8.0000000000000002E-3</v>
      </c>
      <c r="Z304" s="252">
        <f t="shared" si="47"/>
        <v>8.0000000000000002E-3</v>
      </c>
      <c r="AA304" s="252">
        <f t="shared" si="47"/>
        <v>8.0000000000000002E-3</v>
      </c>
      <c r="AB304" s="252">
        <f t="shared" si="47"/>
        <v>8.0000000000000002E-3</v>
      </c>
      <c r="AC304" s="252">
        <f t="shared" si="47"/>
        <v>8.0000000000000002E-3</v>
      </c>
      <c r="AD304" s="252">
        <f t="shared" si="47"/>
        <v>8.0000000000000002E-3</v>
      </c>
      <c r="AE304" s="76"/>
      <c r="AF304" s="76"/>
      <c r="AG304" s="76"/>
      <c r="AH304" s="97">
        <v>1</v>
      </c>
      <c r="AI304" s="97">
        <v>1</v>
      </c>
      <c r="AJ304" s="73"/>
      <c r="AK304" s="57"/>
      <c r="AL304" s="45"/>
      <c r="AM304" s="45"/>
      <c r="AN304" s="45"/>
    </row>
    <row r="305" spans="1:40" hidden="1" outlineLevel="2" x14ac:dyDescent="0.25">
      <c r="A305" s="45"/>
      <c r="B305" s="54"/>
      <c r="C305" s="47">
        <f t="shared" si="45"/>
        <v>3</v>
      </c>
      <c r="D305" s="73"/>
      <c r="E305" s="70"/>
      <c r="F305" s="70" t="s">
        <v>831</v>
      </c>
      <c r="G305" s="73"/>
      <c r="H305" s="76" t="s">
        <v>830</v>
      </c>
      <c r="I305" s="96" t="s">
        <v>500</v>
      </c>
      <c r="J305" s="96"/>
      <c r="K305" s="97">
        <v>1.2E-2</v>
      </c>
      <c r="L305" s="97">
        <v>1.2E-2</v>
      </c>
      <c r="M305" s="97">
        <v>6.0000000000000001E-3</v>
      </c>
      <c r="N305" s="97">
        <v>6.0000000000000001E-3</v>
      </c>
      <c r="O305" s="97">
        <v>6.0000000000000001E-3</v>
      </c>
      <c r="P305" s="97">
        <v>4.0000000000000001E-3</v>
      </c>
      <c r="Q305" s="76"/>
      <c r="R305" s="76" t="s">
        <v>670</v>
      </c>
      <c r="S305" s="76" t="s">
        <v>548</v>
      </c>
      <c r="T305" s="76"/>
      <c r="U305" s="252">
        <f t="shared" si="47"/>
        <v>1.2E-2</v>
      </c>
      <c r="V305" s="252">
        <f t="shared" si="47"/>
        <v>1.2E-2</v>
      </c>
      <c r="W305" s="252">
        <f t="shared" si="47"/>
        <v>1.2E-2</v>
      </c>
      <c r="X305" s="252">
        <f t="shared" si="47"/>
        <v>1.2E-2</v>
      </c>
      <c r="Y305" s="252">
        <f t="shared" si="47"/>
        <v>1.2E-2</v>
      </c>
      <c r="Z305" s="252">
        <f t="shared" si="47"/>
        <v>1.2E-2</v>
      </c>
      <c r="AA305" s="252">
        <f t="shared" si="47"/>
        <v>1.2E-2</v>
      </c>
      <c r="AB305" s="252">
        <f t="shared" si="47"/>
        <v>1.2E-2</v>
      </c>
      <c r="AC305" s="252">
        <f t="shared" si="47"/>
        <v>1.2E-2</v>
      </c>
      <c r="AD305" s="252">
        <f t="shared" si="47"/>
        <v>1.2E-2</v>
      </c>
      <c r="AE305" s="76"/>
      <c r="AF305" s="76"/>
      <c r="AG305" s="76"/>
      <c r="AH305" s="97">
        <v>1</v>
      </c>
      <c r="AI305" s="97">
        <v>1</v>
      </c>
      <c r="AJ305" s="73"/>
      <c r="AK305" s="57"/>
      <c r="AL305" s="45"/>
      <c r="AM305" s="45"/>
      <c r="AN305" s="45"/>
    </row>
    <row r="306" spans="1:40" hidden="1" outlineLevel="2" x14ac:dyDescent="0.25">
      <c r="A306" s="45"/>
      <c r="B306" s="54"/>
      <c r="C306" s="47">
        <f t="shared" si="45"/>
        <v>3</v>
      </c>
      <c r="D306" s="73"/>
      <c r="E306" s="70"/>
      <c r="F306" s="70" t="s">
        <v>832</v>
      </c>
      <c r="G306" s="73"/>
      <c r="H306" s="76" t="s">
        <v>833</v>
      </c>
      <c r="I306" s="96" t="s">
        <v>500</v>
      </c>
      <c r="J306" s="96"/>
      <c r="K306" s="97">
        <v>3</v>
      </c>
      <c r="L306" s="97">
        <v>3</v>
      </c>
      <c r="M306" s="97">
        <v>3</v>
      </c>
      <c r="N306" s="97">
        <v>3</v>
      </c>
      <c r="O306" s="97">
        <v>3</v>
      </c>
      <c r="P306" s="97">
        <v>3</v>
      </c>
      <c r="Q306" s="76"/>
      <c r="R306" s="76" t="s">
        <v>670</v>
      </c>
      <c r="S306" s="76" t="s">
        <v>548</v>
      </c>
      <c r="T306" s="76"/>
      <c r="U306" s="252">
        <f t="shared" si="47"/>
        <v>3</v>
      </c>
      <c r="V306" s="252">
        <f t="shared" si="47"/>
        <v>3</v>
      </c>
      <c r="W306" s="252">
        <f t="shared" si="47"/>
        <v>3</v>
      </c>
      <c r="X306" s="252">
        <f t="shared" si="47"/>
        <v>3</v>
      </c>
      <c r="Y306" s="252">
        <f t="shared" si="47"/>
        <v>3</v>
      </c>
      <c r="Z306" s="252">
        <f t="shared" si="47"/>
        <v>3</v>
      </c>
      <c r="AA306" s="252">
        <f t="shared" si="47"/>
        <v>3</v>
      </c>
      <c r="AB306" s="252">
        <f t="shared" si="47"/>
        <v>3</v>
      </c>
      <c r="AC306" s="252">
        <f t="shared" si="47"/>
        <v>3</v>
      </c>
      <c r="AD306" s="252">
        <f t="shared" si="47"/>
        <v>3</v>
      </c>
      <c r="AE306" s="76"/>
      <c r="AF306" s="76"/>
      <c r="AG306" s="76"/>
      <c r="AH306" s="97">
        <v>1</v>
      </c>
      <c r="AI306" s="97">
        <v>1</v>
      </c>
      <c r="AJ306" s="73"/>
      <c r="AK306" s="57"/>
      <c r="AL306" s="45"/>
      <c r="AM306" s="45"/>
      <c r="AN306" s="45"/>
    </row>
    <row r="307" spans="1:40" hidden="1" outlineLevel="2" x14ac:dyDescent="0.25">
      <c r="A307" s="45"/>
      <c r="B307" s="54"/>
      <c r="C307" s="47">
        <f t="shared" si="45"/>
        <v>3</v>
      </c>
      <c r="D307" s="73"/>
      <c r="E307" s="70"/>
      <c r="F307" s="70" t="s">
        <v>834</v>
      </c>
      <c r="G307" s="73"/>
      <c r="H307" s="76" t="s">
        <v>833</v>
      </c>
      <c r="I307" s="96" t="s">
        <v>500</v>
      </c>
      <c r="J307" s="96"/>
      <c r="K307" s="97">
        <v>0.6</v>
      </c>
      <c r="L307" s="97">
        <v>0.6</v>
      </c>
      <c r="M307" s="97">
        <v>0.6</v>
      </c>
      <c r="N307" s="97">
        <v>0.6</v>
      </c>
      <c r="O307" s="97">
        <v>0.6</v>
      </c>
      <c r="P307" s="97">
        <v>0.6</v>
      </c>
      <c r="Q307" s="76"/>
      <c r="R307" s="76" t="s">
        <v>835</v>
      </c>
      <c r="S307" s="76" t="s">
        <v>548</v>
      </c>
      <c r="T307" s="76"/>
      <c r="U307" s="252">
        <f t="shared" si="47"/>
        <v>0.6</v>
      </c>
      <c r="V307" s="252">
        <f t="shared" si="47"/>
        <v>0.6</v>
      </c>
      <c r="W307" s="252">
        <f t="shared" si="47"/>
        <v>0.6</v>
      </c>
      <c r="X307" s="252">
        <f t="shared" si="47"/>
        <v>0.6</v>
      </c>
      <c r="Y307" s="252">
        <f t="shared" si="47"/>
        <v>0.6</v>
      </c>
      <c r="Z307" s="252">
        <f t="shared" si="47"/>
        <v>0.6</v>
      </c>
      <c r="AA307" s="252">
        <f t="shared" si="47"/>
        <v>0.6</v>
      </c>
      <c r="AB307" s="252">
        <f t="shared" si="47"/>
        <v>0.6</v>
      </c>
      <c r="AC307" s="252">
        <f t="shared" si="47"/>
        <v>0.6</v>
      </c>
      <c r="AD307" s="252">
        <f t="shared" si="47"/>
        <v>0.6</v>
      </c>
      <c r="AE307" s="76"/>
      <c r="AF307" s="76"/>
      <c r="AG307" s="76"/>
      <c r="AH307" s="97">
        <v>1</v>
      </c>
      <c r="AI307" s="97">
        <v>1</v>
      </c>
      <c r="AJ307" s="73"/>
      <c r="AK307" s="57"/>
      <c r="AL307" s="45"/>
      <c r="AM307" s="45"/>
      <c r="AN307" s="45"/>
    </row>
    <row r="308" spans="1:40" hidden="1" outlineLevel="2" x14ac:dyDescent="0.25">
      <c r="A308" s="45"/>
      <c r="B308" s="54"/>
      <c r="C308" s="47">
        <f t="shared" si="45"/>
        <v>3</v>
      </c>
      <c r="D308" s="73"/>
      <c r="E308" s="70"/>
      <c r="F308" s="70" t="s">
        <v>836</v>
      </c>
      <c r="G308" s="73"/>
      <c r="H308" s="76" t="s">
        <v>837</v>
      </c>
      <c r="I308" s="96" t="s">
        <v>500</v>
      </c>
      <c r="J308" s="96"/>
      <c r="K308" s="97">
        <v>0.17</v>
      </c>
      <c r="L308" s="97">
        <v>0.17</v>
      </c>
      <c r="M308" s="97">
        <v>0.13</v>
      </c>
      <c r="N308" s="97">
        <v>0.13</v>
      </c>
      <c r="O308" s="97">
        <v>0.13</v>
      </c>
      <c r="P308" s="97">
        <v>0.13</v>
      </c>
      <c r="Q308" s="76"/>
      <c r="R308" s="76" t="s">
        <v>838</v>
      </c>
      <c r="S308" s="76"/>
      <c r="T308" s="76"/>
      <c r="U308" s="252">
        <f t="shared" si="47"/>
        <v>0.17</v>
      </c>
      <c r="V308" s="252">
        <f t="shared" si="47"/>
        <v>0.17</v>
      </c>
      <c r="W308" s="252">
        <f t="shared" si="47"/>
        <v>0.17</v>
      </c>
      <c r="X308" s="252">
        <f t="shared" si="47"/>
        <v>0.17</v>
      </c>
      <c r="Y308" s="252">
        <f t="shared" si="47"/>
        <v>0.17</v>
      </c>
      <c r="Z308" s="252">
        <f t="shared" si="47"/>
        <v>0.17</v>
      </c>
      <c r="AA308" s="252">
        <f t="shared" si="47"/>
        <v>0.17</v>
      </c>
      <c r="AB308" s="252">
        <f t="shared" si="47"/>
        <v>0.17</v>
      </c>
      <c r="AC308" s="252">
        <f t="shared" si="47"/>
        <v>0.17</v>
      </c>
      <c r="AD308" s="252">
        <f t="shared" si="47"/>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5" t="s">
        <v>434</v>
      </c>
      <c r="G309" s="73"/>
      <c r="H309" s="246" t="s">
        <v>839</v>
      </c>
      <c r="I309" s="96"/>
      <c r="J309" s="96" t="s">
        <v>517</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840</v>
      </c>
      <c r="F310" s="70" t="s">
        <v>841</v>
      </c>
      <c r="G310" s="73"/>
      <c r="H310" s="76" t="s">
        <v>3265</v>
      </c>
      <c r="I310" s="96" t="s">
        <v>3267</v>
      </c>
      <c r="J310" s="96"/>
      <c r="K310" s="97">
        <v>31.7</v>
      </c>
      <c r="L310" s="97">
        <v>31.7</v>
      </c>
      <c r="M310" s="76"/>
      <c r="N310" s="76"/>
      <c r="O310" s="76"/>
      <c r="P310" s="76"/>
      <c r="Q310" s="76"/>
      <c r="R310" s="76" t="s">
        <v>3266</v>
      </c>
      <c r="S310" s="76"/>
      <c r="T310" s="76"/>
      <c r="U310" s="252">
        <f t="shared" ref="U310:AA312" si="48">INDEX($K310:$Q310,1,U$43)</f>
        <v>31.7</v>
      </c>
      <c r="V310" s="252">
        <f t="shared" si="48"/>
        <v>31.7</v>
      </c>
      <c r="W310" s="252">
        <f t="shared" si="48"/>
        <v>31.7</v>
      </c>
      <c r="X310" s="252">
        <f t="shared" si="48"/>
        <v>31.7</v>
      </c>
      <c r="Y310" s="252">
        <f t="shared" si="48"/>
        <v>31.7</v>
      </c>
      <c r="Z310" s="252">
        <f t="shared" si="48"/>
        <v>31.7</v>
      </c>
      <c r="AA310" s="252">
        <f t="shared" si="48"/>
        <v>31.7</v>
      </c>
      <c r="AB310" s="252">
        <v>31.7</v>
      </c>
      <c r="AC310" s="252">
        <f t="shared" ref="AC310:AD312" si="49">INDEX($K310:$Q310,1,AC$43)</f>
        <v>31.7</v>
      </c>
      <c r="AD310" s="252">
        <f t="shared" si="49"/>
        <v>31.7</v>
      </c>
      <c r="AE310" s="76"/>
      <c r="AF310" s="76"/>
      <c r="AG310" s="76"/>
      <c r="AH310" s="97">
        <v>1</v>
      </c>
      <c r="AI310" s="97">
        <v>1</v>
      </c>
      <c r="AJ310" s="73"/>
      <c r="AK310" s="57"/>
      <c r="AL310" s="45"/>
      <c r="AM310" s="45"/>
      <c r="AN310" s="45"/>
    </row>
    <row r="311" spans="1:40" hidden="1" outlineLevel="2" x14ac:dyDescent="0.25">
      <c r="A311" s="45"/>
      <c r="B311" s="54"/>
      <c r="C311" s="47">
        <f t="shared" ref="C311:C336" si="50">INT($C$29)+2</f>
        <v>3</v>
      </c>
      <c r="D311" s="73"/>
      <c r="E311" s="70"/>
      <c r="F311" s="70" t="s">
        <v>842</v>
      </c>
      <c r="G311" s="73"/>
      <c r="H311" s="76" t="s">
        <v>2250</v>
      </c>
      <c r="I311" s="96" t="s">
        <v>843</v>
      </c>
      <c r="J311" s="96"/>
      <c r="K311" s="97">
        <v>24</v>
      </c>
      <c r="L311" s="97">
        <v>24</v>
      </c>
      <c r="M311" s="76"/>
      <c r="N311" s="76"/>
      <c r="O311" s="76"/>
      <c r="P311" s="76"/>
      <c r="Q311" s="76"/>
      <c r="R311" s="76" t="s">
        <v>2856</v>
      </c>
      <c r="S311" s="76"/>
      <c r="T311" s="76"/>
      <c r="U311" s="252">
        <f t="shared" si="48"/>
        <v>24</v>
      </c>
      <c r="V311" s="252">
        <f t="shared" si="48"/>
        <v>24</v>
      </c>
      <c r="W311" s="252">
        <f t="shared" si="48"/>
        <v>24</v>
      </c>
      <c r="X311" s="252">
        <f t="shared" si="48"/>
        <v>24</v>
      </c>
      <c r="Y311" s="252">
        <f t="shared" si="48"/>
        <v>24</v>
      </c>
      <c r="Z311" s="252">
        <f t="shared" si="48"/>
        <v>24</v>
      </c>
      <c r="AA311" s="252">
        <f t="shared" si="48"/>
        <v>24</v>
      </c>
      <c r="AB311" s="252">
        <v>24</v>
      </c>
      <c r="AC311" s="252">
        <f t="shared" si="49"/>
        <v>24</v>
      </c>
      <c r="AD311" s="252">
        <f t="shared" si="49"/>
        <v>24</v>
      </c>
      <c r="AE311" s="76"/>
      <c r="AF311" s="76"/>
      <c r="AG311" s="76"/>
      <c r="AH311" s="97">
        <v>1</v>
      </c>
      <c r="AI311" s="97">
        <v>1</v>
      </c>
      <c r="AJ311" s="73"/>
      <c r="AK311" s="57"/>
      <c r="AL311" s="45"/>
      <c r="AM311" s="45"/>
      <c r="AN311" s="45"/>
    </row>
    <row r="312" spans="1:40" hidden="1" outlineLevel="2" x14ac:dyDescent="0.25">
      <c r="A312" s="45"/>
      <c r="B312" s="54"/>
      <c r="C312" s="47">
        <f t="shared" si="50"/>
        <v>3</v>
      </c>
      <c r="D312" s="73"/>
      <c r="E312" s="70"/>
      <c r="F312" s="70" t="s">
        <v>844</v>
      </c>
      <c r="G312" s="73"/>
      <c r="H312" s="76" t="s">
        <v>845</v>
      </c>
      <c r="I312" s="96" t="s">
        <v>846</v>
      </c>
      <c r="J312" s="96"/>
      <c r="K312" s="97">
        <v>4.0000000000000001E-3</v>
      </c>
      <c r="L312" s="97">
        <v>4.0000000000000001E-3</v>
      </c>
      <c r="M312" s="76"/>
      <c r="N312" s="76"/>
      <c r="O312" s="76"/>
      <c r="P312" s="76"/>
      <c r="Q312" s="76"/>
      <c r="R312" s="76" t="s">
        <v>510</v>
      </c>
      <c r="S312" s="76"/>
      <c r="T312" s="76"/>
      <c r="U312" s="252">
        <f t="shared" si="48"/>
        <v>4.0000000000000001E-3</v>
      </c>
      <c r="V312" s="252">
        <f t="shared" si="48"/>
        <v>4.0000000000000001E-3</v>
      </c>
      <c r="W312" s="252">
        <f t="shared" si="48"/>
        <v>4.0000000000000001E-3</v>
      </c>
      <c r="X312" s="252">
        <f t="shared" si="48"/>
        <v>4.0000000000000001E-3</v>
      </c>
      <c r="Y312" s="252">
        <f t="shared" si="48"/>
        <v>4.0000000000000001E-3</v>
      </c>
      <c r="Z312" s="252">
        <f t="shared" si="48"/>
        <v>4.0000000000000001E-3</v>
      </c>
      <c r="AA312" s="252">
        <f t="shared" si="48"/>
        <v>4.0000000000000001E-3</v>
      </c>
      <c r="AB312" s="252">
        <v>4.0000000000000001E-3</v>
      </c>
      <c r="AC312" s="252">
        <f t="shared" si="49"/>
        <v>4.0000000000000001E-3</v>
      </c>
      <c r="AD312" s="252">
        <f t="shared" si="49"/>
        <v>4.0000000000000001E-3</v>
      </c>
      <c r="AE312" s="76"/>
      <c r="AF312" s="76"/>
      <c r="AG312" s="76"/>
      <c r="AH312" s="97">
        <v>1</v>
      </c>
      <c r="AI312" s="97">
        <v>1</v>
      </c>
      <c r="AJ312" s="73"/>
      <c r="AK312" s="57"/>
      <c r="AL312" s="45"/>
      <c r="AM312" s="45"/>
      <c r="AN312" s="45"/>
    </row>
    <row r="313" spans="1:40" hidden="1" outlineLevel="2" x14ac:dyDescent="0.25">
      <c r="A313" s="45"/>
      <c r="B313" s="54"/>
      <c r="C313" s="47">
        <f t="shared" si="50"/>
        <v>3</v>
      </c>
      <c r="D313" s="73"/>
      <c r="E313" s="70"/>
      <c r="F313" s="70" t="s">
        <v>847</v>
      </c>
      <c r="G313" s="73"/>
      <c r="H313" s="76" t="s">
        <v>2251</v>
      </c>
      <c r="I313" s="96" t="s">
        <v>572</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2226</v>
      </c>
      <c r="AG313" s="76"/>
      <c r="AH313" s="97">
        <v>1</v>
      </c>
      <c r="AI313" s="97">
        <v>1</v>
      </c>
      <c r="AJ313" s="73"/>
      <c r="AK313" s="57"/>
      <c r="AL313" s="45"/>
      <c r="AM313" s="45"/>
      <c r="AN313" s="45"/>
    </row>
    <row r="314" spans="1:40" hidden="1" outlineLevel="2" x14ac:dyDescent="0.25">
      <c r="A314" s="45"/>
      <c r="B314" s="54"/>
      <c r="C314" s="47">
        <f t="shared" si="50"/>
        <v>3</v>
      </c>
      <c r="D314" s="73"/>
      <c r="E314" s="70"/>
      <c r="F314" s="70" t="s">
        <v>848</v>
      </c>
      <c r="G314" s="73"/>
      <c r="H314" s="76" t="s">
        <v>849</v>
      </c>
      <c r="I314" s="96" t="s">
        <v>572</v>
      </c>
      <c r="J314" s="96"/>
      <c r="K314" s="97">
        <v>0.04</v>
      </c>
      <c r="L314" s="97">
        <v>0.04</v>
      </c>
      <c r="M314" s="76"/>
      <c r="N314" s="76"/>
      <c r="O314" s="76"/>
      <c r="P314" s="76"/>
      <c r="Q314" s="76"/>
      <c r="R314" s="76" t="s">
        <v>850</v>
      </c>
      <c r="S314" s="76"/>
      <c r="T314" s="76"/>
      <c r="U314" s="252">
        <f t="shared" ref="U314:AA315" si="51">INDEX($K314:$Q314,1,U$43)</f>
        <v>0.04</v>
      </c>
      <c r="V314" s="252">
        <f t="shared" si="51"/>
        <v>0.04</v>
      </c>
      <c r="W314" s="252">
        <f t="shared" si="51"/>
        <v>0.04</v>
      </c>
      <c r="X314" s="252">
        <f t="shared" si="51"/>
        <v>0.04</v>
      </c>
      <c r="Y314" s="252">
        <f t="shared" si="51"/>
        <v>0.04</v>
      </c>
      <c r="Z314" s="252">
        <f t="shared" si="51"/>
        <v>0.04</v>
      </c>
      <c r="AA314" s="252">
        <f t="shared" si="51"/>
        <v>0.04</v>
      </c>
      <c r="AB314" s="252">
        <v>0.04</v>
      </c>
      <c r="AC314" s="252">
        <f>INDEX($K314:$Q314,1,AC$43)</f>
        <v>0.04</v>
      </c>
      <c r="AD314" s="252">
        <f>INDEX($K314:$Q314,1,AD$43)</f>
        <v>0.04</v>
      </c>
      <c r="AE314" s="76"/>
      <c r="AF314" s="76"/>
      <c r="AG314" s="76"/>
      <c r="AH314" s="97">
        <v>1</v>
      </c>
      <c r="AI314" s="97">
        <v>1</v>
      </c>
      <c r="AJ314" s="73"/>
      <c r="AK314" s="57"/>
      <c r="AL314" s="45"/>
      <c r="AM314" s="45"/>
      <c r="AN314" s="45"/>
    </row>
    <row r="315" spans="1:40" hidden="1" outlineLevel="2" x14ac:dyDescent="0.25">
      <c r="A315" s="45"/>
      <c r="B315" s="54"/>
      <c r="C315" s="47">
        <f t="shared" si="50"/>
        <v>3</v>
      </c>
      <c r="D315" s="73"/>
      <c r="E315" s="70"/>
      <c r="F315" s="70" t="s">
        <v>851</v>
      </c>
      <c r="G315" s="73"/>
      <c r="H315" s="76" t="s">
        <v>852</v>
      </c>
      <c r="I315" s="96" t="s">
        <v>527</v>
      </c>
      <c r="J315" s="96"/>
      <c r="K315" s="97">
        <v>0.25</v>
      </c>
      <c r="L315" s="97">
        <v>0.25</v>
      </c>
      <c r="M315" s="76"/>
      <c r="N315" s="76"/>
      <c r="O315" s="76"/>
      <c r="P315" s="76"/>
      <c r="Q315" s="76"/>
      <c r="R315" s="76" t="s">
        <v>853</v>
      </c>
      <c r="S315" s="76"/>
      <c r="T315" s="76"/>
      <c r="U315" s="252">
        <f t="shared" si="51"/>
        <v>0.25</v>
      </c>
      <c r="V315" s="252">
        <f t="shared" si="51"/>
        <v>0.25</v>
      </c>
      <c r="W315" s="252">
        <f t="shared" si="51"/>
        <v>0.25</v>
      </c>
      <c r="X315" s="252">
        <f t="shared" si="51"/>
        <v>0.25</v>
      </c>
      <c r="Y315" s="252">
        <f t="shared" si="51"/>
        <v>0.25</v>
      </c>
      <c r="Z315" s="252">
        <f t="shared" si="51"/>
        <v>0.25</v>
      </c>
      <c r="AA315" s="252">
        <f t="shared" si="51"/>
        <v>0.25</v>
      </c>
      <c r="AB315" s="252">
        <v>0.25</v>
      </c>
      <c r="AC315" s="252">
        <f>INDEX($K315:$Q315,1,AC$43)</f>
        <v>0.25</v>
      </c>
      <c r="AD315" s="252">
        <f>INDEX($K315:$Q315,1,AD$43)</f>
        <v>0.25</v>
      </c>
      <c r="AE315" s="76"/>
      <c r="AF315" s="76"/>
      <c r="AG315" s="76"/>
      <c r="AH315" s="97">
        <v>1</v>
      </c>
      <c r="AI315" s="97">
        <v>1</v>
      </c>
      <c r="AJ315" s="73"/>
      <c r="AK315" s="57"/>
      <c r="AL315" s="45"/>
      <c r="AM315" s="45"/>
      <c r="AN315" s="45"/>
    </row>
    <row r="316" spans="1:40" hidden="1" outlineLevel="2" x14ac:dyDescent="0.25">
      <c r="A316" s="45"/>
      <c r="B316" s="54"/>
      <c r="C316" s="47">
        <f t="shared" si="50"/>
        <v>3</v>
      </c>
      <c r="D316" s="73"/>
      <c r="E316" s="70"/>
      <c r="F316" s="70" t="s">
        <v>854</v>
      </c>
      <c r="G316" s="73"/>
      <c r="H316" s="76" t="s">
        <v>855</v>
      </c>
      <c r="I316" s="96" t="s">
        <v>856</v>
      </c>
      <c r="J316" s="96"/>
      <c r="K316" s="76"/>
      <c r="L316" s="76"/>
      <c r="M316" s="76"/>
      <c r="N316" s="76"/>
      <c r="O316" s="76"/>
      <c r="P316" s="76"/>
      <c r="Q316" s="76"/>
      <c r="R316" s="76" t="s">
        <v>857</v>
      </c>
      <c r="S316" s="76"/>
      <c r="T316" s="76"/>
      <c r="U316" s="97">
        <v>0.03</v>
      </c>
      <c r="V316" s="97">
        <v>0.03</v>
      </c>
      <c r="W316" s="97">
        <v>0.03</v>
      </c>
      <c r="X316" s="97">
        <v>0.03</v>
      </c>
      <c r="Y316" s="97">
        <v>0.03</v>
      </c>
      <c r="Z316" s="97">
        <v>0.03</v>
      </c>
      <c r="AA316" s="97">
        <v>0.03</v>
      </c>
      <c r="AB316" s="97">
        <v>0.06</v>
      </c>
      <c r="AC316" s="97">
        <v>0.11</v>
      </c>
      <c r="AD316" s="97">
        <v>0.11</v>
      </c>
      <c r="AE316" s="76"/>
      <c r="AF316" s="97" t="s">
        <v>857</v>
      </c>
      <c r="AG316" s="76"/>
      <c r="AH316" s="97">
        <v>1</v>
      </c>
      <c r="AI316" s="97">
        <v>1</v>
      </c>
      <c r="AJ316" s="73"/>
      <c r="AK316" s="57"/>
      <c r="AL316" s="45"/>
      <c r="AM316" s="45"/>
      <c r="AN316" s="45"/>
    </row>
    <row r="317" spans="1:40" hidden="1" outlineLevel="2" x14ac:dyDescent="0.25">
      <c r="A317" s="45"/>
      <c r="B317" s="54"/>
      <c r="C317" s="47">
        <f t="shared" si="50"/>
        <v>3</v>
      </c>
      <c r="D317" s="73"/>
      <c r="E317" s="70"/>
      <c r="F317" s="70" t="s">
        <v>858</v>
      </c>
      <c r="G317" s="73"/>
      <c r="H317" s="76" t="s">
        <v>859</v>
      </c>
      <c r="I317" s="96" t="s">
        <v>522</v>
      </c>
      <c r="J317" s="96"/>
      <c r="K317" s="97">
        <v>1.35</v>
      </c>
      <c r="L317" s="97">
        <v>1.35</v>
      </c>
      <c r="M317" s="76"/>
      <c r="N317" s="76"/>
      <c r="O317" s="76"/>
      <c r="P317" s="76"/>
      <c r="Q317" s="76"/>
      <c r="R317" s="76" t="s">
        <v>860</v>
      </c>
      <c r="S317" s="76"/>
      <c r="T317" s="76"/>
      <c r="U317" s="252">
        <f t="shared" ref="U317:AA320" si="52">INDEX($K317:$Q317,1,U$43)</f>
        <v>1.35</v>
      </c>
      <c r="V317" s="252">
        <f t="shared" si="52"/>
        <v>1.35</v>
      </c>
      <c r="W317" s="252">
        <f t="shared" si="52"/>
        <v>1.35</v>
      </c>
      <c r="X317" s="252">
        <f t="shared" si="52"/>
        <v>1.35</v>
      </c>
      <c r="Y317" s="252">
        <f t="shared" si="52"/>
        <v>1.35</v>
      </c>
      <c r="Z317" s="252">
        <f t="shared" si="52"/>
        <v>1.35</v>
      </c>
      <c r="AA317" s="252">
        <f t="shared" si="52"/>
        <v>1.35</v>
      </c>
      <c r="AB317" s="252">
        <v>1.35</v>
      </c>
      <c r="AC317" s="252">
        <f t="shared" ref="AC317:AD320" si="53">INDEX($K317:$Q317,1,AC$43)</f>
        <v>1.35</v>
      </c>
      <c r="AD317" s="252">
        <f t="shared" si="53"/>
        <v>1.35</v>
      </c>
      <c r="AE317" s="76"/>
      <c r="AF317" s="76"/>
      <c r="AG317" s="76"/>
      <c r="AH317" s="97">
        <v>1</v>
      </c>
      <c r="AI317" s="97">
        <v>1</v>
      </c>
      <c r="AJ317" s="73"/>
      <c r="AK317" s="57"/>
      <c r="AL317" s="45"/>
      <c r="AM317" s="45"/>
      <c r="AN317" s="45"/>
    </row>
    <row r="318" spans="1:40" hidden="1" outlineLevel="2" x14ac:dyDescent="0.25">
      <c r="A318" s="45"/>
      <c r="B318" s="54"/>
      <c r="C318" s="47">
        <f t="shared" si="50"/>
        <v>3</v>
      </c>
      <c r="D318" s="73"/>
      <c r="E318" s="70"/>
      <c r="F318" s="70" t="s">
        <v>861</v>
      </c>
      <c r="G318" s="73"/>
      <c r="H318" s="76" t="s">
        <v>862</v>
      </c>
      <c r="I318" s="96" t="s">
        <v>624</v>
      </c>
      <c r="J318" s="96"/>
      <c r="K318" s="97">
        <v>1.6E-2</v>
      </c>
      <c r="L318" s="97">
        <v>1.6E-2</v>
      </c>
      <c r="M318" s="76"/>
      <c r="N318" s="76"/>
      <c r="O318" s="76"/>
      <c r="P318" s="76"/>
      <c r="Q318" s="76"/>
      <c r="R318" s="76" t="s">
        <v>863</v>
      </c>
      <c r="S318" s="76"/>
      <c r="T318" s="76"/>
      <c r="U318" s="252">
        <f t="shared" si="52"/>
        <v>1.6E-2</v>
      </c>
      <c r="V318" s="252">
        <f t="shared" si="52"/>
        <v>1.6E-2</v>
      </c>
      <c r="W318" s="252">
        <f t="shared" si="52"/>
        <v>1.6E-2</v>
      </c>
      <c r="X318" s="252">
        <f t="shared" si="52"/>
        <v>1.6E-2</v>
      </c>
      <c r="Y318" s="252">
        <f t="shared" si="52"/>
        <v>1.6E-2</v>
      </c>
      <c r="Z318" s="252">
        <f t="shared" si="52"/>
        <v>1.6E-2</v>
      </c>
      <c r="AA318" s="252">
        <f t="shared" si="52"/>
        <v>1.6E-2</v>
      </c>
      <c r="AB318" s="252">
        <v>1.6E-2</v>
      </c>
      <c r="AC318" s="252">
        <f t="shared" si="53"/>
        <v>1.6E-2</v>
      </c>
      <c r="AD318" s="252">
        <f t="shared" si="53"/>
        <v>1.6E-2</v>
      </c>
      <c r="AE318" s="76"/>
      <c r="AF318" s="76"/>
      <c r="AG318" s="76"/>
      <c r="AH318" s="97">
        <v>1</v>
      </c>
      <c r="AI318" s="97">
        <v>1</v>
      </c>
      <c r="AJ318" s="73"/>
      <c r="AK318" s="57"/>
      <c r="AL318" s="45"/>
      <c r="AM318" s="45"/>
      <c r="AN318" s="45"/>
    </row>
    <row r="319" spans="1:40" hidden="1" outlineLevel="2" x14ac:dyDescent="0.25">
      <c r="A319" s="45"/>
      <c r="B319" s="54"/>
      <c r="C319" s="47">
        <f t="shared" si="50"/>
        <v>3</v>
      </c>
      <c r="D319" s="73"/>
      <c r="E319" s="70"/>
      <c r="F319" s="70" t="s">
        <v>864</v>
      </c>
      <c r="G319" s="73"/>
      <c r="H319" s="76" t="s">
        <v>865</v>
      </c>
      <c r="I319" s="96" t="s">
        <v>572</v>
      </c>
      <c r="J319" s="96"/>
      <c r="K319" s="97">
        <v>1</v>
      </c>
      <c r="L319" s="97">
        <v>1</v>
      </c>
      <c r="M319" s="76"/>
      <c r="N319" s="76"/>
      <c r="O319" s="76"/>
      <c r="P319" s="76"/>
      <c r="Q319" s="76"/>
      <c r="R319" s="76" t="s">
        <v>585</v>
      </c>
      <c r="S319" s="76"/>
      <c r="T319" s="76"/>
      <c r="U319" s="252">
        <f t="shared" si="52"/>
        <v>1</v>
      </c>
      <c r="V319" s="252">
        <f t="shared" si="52"/>
        <v>1</v>
      </c>
      <c r="W319" s="252">
        <f t="shared" si="52"/>
        <v>1</v>
      </c>
      <c r="X319" s="252">
        <f t="shared" si="52"/>
        <v>1</v>
      </c>
      <c r="Y319" s="252">
        <f t="shared" si="52"/>
        <v>1</v>
      </c>
      <c r="Z319" s="252">
        <f t="shared" si="52"/>
        <v>1</v>
      </c>
      <c r="AA319" s="252">
        <f t="shared" si="52"/>
        <v>1</v>
      </c>
      <c r="AB319" s="252">
        <v>1</v>
      </c>
      <c r="AC319" s="252">
        <f t="shared" si="53"/>
        <v>1</v>
      </c>
      <c r="AD319" s="252">
        <f t="shared" si="53"/>
        <v>1</v>
      </c>
      <c r="AE319" s="76"/>
      <c r="AF319" s="76"/>
      <c r="AG319" s="76"/>
      <c r="AH319" s="97">
        <v>1</v>
      </c>
      <c r="AI319" s="97">
        <v>1</v>
      </c>
      <c r="AJ319" s="73"/>
      <c r="AK319" s="57"/>
      <c r="AL319" s="45"/>
      <c r="AM319" s="45"/>
      <c r="AN319" s="45"/>
    </row>
    <row r="320" spans="1:40" hidden="1" outlineLevel="2" x14ac:dyDescent="0.25">
      <c r="A320" s="45"/>
      <c r="B320" s="54"/>
      <c r="C320" s="47">
        <f t="shared" si="50"/>
        <v>3</v>
      </c>
      <c r="D320" s="73"/>
      <c r="E320" s="70"/>
      <c r="F320" s="70" t="s">
        <v>866</v>
      </c>
      <c r="G320" s="73"/>
      <c r="H320" s="76" t="s">
        <v>867</v>
      </c>
      <c r="I320" s="96" t="s">
        <v>868</v>
      </c>
      <c r="J320" s="96"/>
      <c r="K320" s="97">
        <v>1350</v>
      </c>
      <c r="L320" s="97">
        <v>1350</v>
      </c>
      <c r="M320" s="76"/>
      <c r="N320" s="76"/>
      <c r="O320" s="76"/>
      <c r="P320" s="76"/>
      <c r="Q320" s="76"/>
      <c r="R320" s="76"/>
      <c r="S320" s="76"/>
      <c r="T320" s="76"/>
      <c r="U320" s="252">
        <f t="shared" si="52"/>
        <v>1350</v>
      </c>
      <c r="V320" s="252">
        <f t="shared" si="52"/>
        <v>1350</v>
      </c>
      <c r="W320" s="252">
        <f t="shared" si="52"/>
        <v>1350</v>
      </c>
      <c r="X320" s="252">
        <f t="shared" si="52"/>
        <v>1350</v>
      </c>
      <c r="Y320" s="252">
        <f t="shared" si="52"/>
        <v>1350</v>
      </c>
      <c r="Z320" s="252">
        <f t="shared" si="52"/>
        <v>1350</v>
      </c>
      <c r="AA320" s="252">
        <f t="shared" si="52"/>
        <v>1350</v>
      </c>
      <c r="AB320" s="252">
        <v>1350</v>
      </c>
      <c r="AC320" s="252">
        <f t="shared" si="53"/>
        <v>1350</v>
      </c>
      <c r="AD320" s="252">
        <f t="shared" si="53"/>
        <v>1350</v>
      </c>
      <c r="AE320" s="76"/>
      <c r="AF320" s="76"/>
      <c r="AG320" s="76"/>
      <c r="AH320" s="97">
        <v>1</v>
      </c>
      <c r="AI320" s="97">
        <v>1</v>
      </c>
      <c r="AJ320" s="73"/>
      <c r="AK320" s="57"/>
      <c r="AL320" s="45"/>
      <c r="AM320" s="45"/>
      <c r="AN320" s="45"/>
    </row>
    <row r="321" spans="1:40" hidden="1" outlineLevel="2" x14ac:dyDescent="0.25">
      <c r="A321" s="45"/>
      <c r="B321" s="54"/>
      <c r="C321" s="47">
        <f t="shared" si="50"/>
        <v>3</v>
      </c>
      <c r="D321" s="73"/>
      <c r="E321" s="70"/>
      <c r="F321" s="70" t="s">
        <v>869</v>
      </c>
      <c r="G321" s="73"/>
      <c r="H321" s="76" t="s">
        <v>870</v>
      </c>
      <c r="I321" s="96" t="s">
        <v>871</v>
      </c>
      <c r="J321" s="96"/>
      <c r="K321" s="76"/>
      <c r="L321" s="76"/>
      <c r="M321" s="76"/>
      <c r="N321" s="76"/>
      <c r="O321" s="76"/>
      <c r="P321" s="76"/>
      <c r="Q321" s="76"/>
      <c r="R321" s="76"/>
      <c r="S321" s="76"/>
      <c r="T321" s="76" t="s">
        <v>3324</v>
      </c>
      <c r="U321" s="97">
        <v>60000000</v>
      </c>
      <c r="V321" s="97">
        <v>60000000</v>
      </c>
      <c r="W321" s="97">
        <v>60488171.642840602</v>
      </c>
      <c r="X321" s="97">
        <v>60716310.148921102</v>
      </c>
      <c r="Y321" s="97">
        <v>60000000</v>
      </c>
      <c r="Z321" s="97">
        <v>60429668.523520298</v>
      </c>
      <c r="AA321" s="97">
        <v>60541423</v>
      </c>
      <c r="AB321" s="97">
        <v>60000000</v>
      </c>
      <c r="AC321" s="254">
        <f>AB321</f>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0"/>
        <v>3</v>
      </c>
      <c r="D322" s="73"/>
      <c r="E322" s="70"/>
      <c r="F322" s="70" t="s">
        <v>872</v>
      </c>
      <c r="G322" s="73"/>
      <c r="H322" s="76" t="s">
        <v>2336</v>
      </c>
      <c r="I322" s="96" t="s">
        <v>2891</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v>2.5000000000000001E-2</v>
      </c>
      <c r="AA322" s="97">
        <v>2.5000000000000001E-2</v>
      </c>
      <c r="AB322" s="97">
        <v>2.5000000000000001E-2</v>
      </c>
      <c r="AC322" s="254">
        <f>AB322</f>
        <v>2.5000000000000001E-2</v>
      </c>
      <c r="AD322" s="254">
        <f>AC322</f>
        <v>2.5000000000000001E-2</v>
      </c>
      <c r="AE322" s="76"/>
      <c r="AF322" s="97" t="s">
        <v>2337</v>
      </c>
      <c r="AG322" s="76"/>
      <c r="AH322" s="97">
        <v>1</v>
      </c>
      <c r="AI322" s="97">
        <v>1</v>
      </c>
      <c r="AJ322" s="73"/>
      <c r="AK322" s="57"/>
      <c r="AL322" s="45"/>
      <c r="AM322" s="45"/>
      <c r="AN322" s="45"/>
    </row>
    <row r="323" spans="1:40" hidden="1" outlineLevel="2" x14ac:dyDescent="0.25">
      <c r="A323" s="45"/>
      <c r="B323" s="54"/>
      <c r="C323" s="47">
        <f t="shared" si="50"/>
        <v>3</v>
      </c>
      <c r="D323" s="73"/>
      <c r="E323" s="70"/>
      <c r="F323" s="70" t="s">
        <v>873</v>
      </c>
      <c r="G323" s="73"/>
      <c r="H323" s="76" t="s">
        <v>874</v>
      </c>
      <c r="I323" s="96" t="s">
        <v>500</v>
      </c>
      <c r="J323" s="96"/>
      <c r="K323" s="76"/>
      <c r="L323" s="76"/>
      <c r="M323" s="76"/>
      <c r="N323" s="76"/>
      <c r="O323" s="76"/>
      <c r="P323" s="76"/>
      <c r="Q323" s="76"/>
      <c r="R323" s="76"/>
      <c r="S323" s="76"/>
      <c r="T323" s="76"/>
      <c r="U323" s="97">
        <v>0.18</v>
      </c>
      <c r="V323" s="97">
        <v>0.18</v>
      </c>
      <c r="W323" s="97">
        <v>0.18</v>
      </c>
      <c r="X323" s="97">
        <v>0.18</v>
      </c>
      <c r="Y323" s="97">
        <v>0.18</v>
      </c>
      <c r="Z323" s="97">
        <v>0.18</v>
      </c>
      <c r="AA323" s="97">
        <v>0.18</v>
      </c>
      <c r="AB323" s="97">
        <v>0.18</v>
      </c>
      <c r="AC323" s="254">
        <f>AB323</f>
        <v>0.18</v>
      </c>
      <c r="AD323" s="254">
        <f>AC323</f>
        <v>0.18</v>
      </c>
      <c r="AE323" s="76"/>
      <c r="AF323" s="97" t="s">
        <v>609</v>
      </c>
      <c r="AG323" s="76"/>
      <c r="AH323" s="97">
        <v>1</v>
      </c>
      <c r="AI323" s="97">
        <v>1</v>
      </c>
      <c r="AJ323" s="73"/>
      <c r="AK323" s="57"/>
      <c r="AL323" s="45"/>
      <c r="AM323" s="45"/>
      <c r="AN323" s="45"/>
    </row>
    <row r="324" spans="1:40" hidden="1" outlineLevel="2" x14ac:dyDescent="0.25">
      <c r="A324" s="45"/>
      <c r="B324" s="54"/>
      <c r="C324" s="47">
        <f t="shared" si="50"/>
        <v>3</v>
      </c>
      <c r="D324" s="73"/>
      <c r="E324" s="70"/>
      <c r="F324" s="70" t="s">
        <v>875</v>
      </c>
      <c r="G324" s="73"/>
      <c r="H324" s="76" t="s">
        <v>876</v>
      </c>
      <c r="I324" s="96" t="s">
        <v>877</v>
      </c>
      <c r="J324" s="96"/>
      <c r="K324" s="97">
        <v>0.2</v>
      </c>
      <c r="L324" s="97">
        <v>0.2</v>
      </c>
      <c r="M324" s="76"/>
      <c r="N324" s="76"/>
      <c r="O324" s="76"/>
      <c r="P324" s="76"/>
      <c r="Q324" s="76"/>
      <c r="R324" s="76" t="s">
        <v>609</v>
      </c>
      <c r="S324" s="76"/>
      <c r="T324" s="76"/>
      <c r="U324" s="252">
        <f t="shared" ref="U324:AD325" si="54">INDEX($K324:$Q324,1,U$43)</f>
        <v>0.2</v>
      </c>
      <c r="V324" s="252">
        <f t="shared" si="54"/>
        <v>0.2</v>
      </c>
      <c r="W324" s="252">
        <f t="shared" si="54"/>
        <v>0.2</v>
      </c>
      <c r="X324" s="252">
        <f t="shared" si="54"/>
        <v>0.2</v>
      </c>
      <c r="Y324" s="252">
        <f t="shared" si="54"/>
        <v>0.2</v>
      </c>
      <c r="Z324" s="252">
        <f t="shared" si="54"/>
        <v>0.2</v>
      </c>
      <c r="AA324" s="252">
        <f t="shared" si="54"/>
        <v>0.2</v>
      </c>
      <c r="AB324" s="252">
        <f t="shared" si="54"/>
        <v>0.2</v>
      </c>
      <c r="AC324" s="252">
        <f t="shared" si="54"/>
        <v>0.2</v>
      </c>
      <c r="AD324" s="252">
        <f t="shared" si="54"/>
        <v>0.2</v>
      </c>
      <c r="AE324" s="76"/>
      <c r="AF324" s="76"/>
      <c r="AG324" s="76"/>
      <c r="AH324" s="97">
        <v>1</v>
      </c>
      <c r="AI324" s="97">
        <v>1</v>
      </c>
      <c r="AJ324" s="73"/>
      <c r="AK324" s="57"/>
      <c r="AL324" s="45"/>
      <c r="AM324" s="45"/>
      <c r="AN324" s="45"/>
    </row>
    <row r="325" spans="1:40" hidden="1" outlineLevel="2" x14ac:dyDescent="0.25">
      <c r="A325" s="45"/>
      <c r="B325" s="54"/>
      <c r="C325" s="47">
        <f t="shared" si="50"/>
        <v>3</v>
      </c>
      <c r="D325" s="73"/>
      <c r="E325" s="70"/>
      <c r="F325" s="70" t="s">
        <v>878</v>
      </c>
      <c r="G325" s="73"/>
      <c r="H325" s="76" t="s">
        <v>879</v>
      </c>
      <c r="I325" s="96" t="s">
        <v>880</v>
      </c>
      <c r="J325" s="96"/>
      <c r="K325" s="97">
        <f>1/1.17</f>
        <v>0.85470085470085477</v>
      </c>
      <c r="L325" s="97">
        <f>1/1.17</f>
        <v>0.85470085470085477</v>
      </c>
      <c r="M325" s="76"/>
      <c r="N325" s="76"/>
      <c r="O325" s="76"/>
      <c r="P325" s="76"/>
      <c r="Q325" s="76"/>
      <c r="R325" s="76" t="s">
        <v>881</v>
      </c>
      <c r="S325" s="76"/>
      <c r="T325" s="76"/>
      <c r="U325" s="252">
        <f t="shared" si="54"/>
        <v>0.85470085470085477</v>
      </c>
      <c r="V325" s="252">
        <f t="shared" si="54"/>
        <v>0.85470085470085477</v>
      </c>
      <c r="W325" s="252">
        <f t="shared" si="54"/>
        <v>0.85470085470085477</v>
      </c>
      <c r="X325" s="252">
        <f t="shared" si="54"/>
        <v>0.85470085470085477</v>
      </c>
      <c r="Y325" s="252">
        <f t="shared" si="54"/>
        <v>0.85470085470085477</v>
      </c>
      <c r="Z325" s="252">
        <f t="shared" si="54"/>
        <v>0.85470085470085477</v>
      </c>
      <c r="AA325" s="252">
        <f t="shared" si="54"/>
        <v>0.85470085470085477</v>
      </c>
      <c r="AB325" s="252">
        <f t="shared" si="54"/>
        <v>0.85470085470085477</v>
      </c>
      <c r="AC325" s="252">
        <f t="shared" si="54"/>
        <v>0.85470085470085477</v>
      </c>
      <c r="AD325" s="252">
        <f t="shared" si="54"/>
        <v>0.85470085470085477</v>
      </c>
      <c r="AE325" s="76"/>
      <c r="AF325" s="76"/>
      <c r="AG325" s="76"/>
      <c r="AH325" s="97">
        <v>1</v>
      </c>
      <c r="AI325" s="97">
        <v>1</v>
      </c>
      <c r="AJ325" s="73"/>
      <c r="AK325" s="57"/>
      <c r="AL325" s="45"/>
      <c r="AM325" s="45"/>
      <c r="AN325" s="45"/>
    </row>
    <row r="326" spans="1:40" hidden="1" outlineLevel="2" x14ac:dyDescent="0.25">
      <c r="A326" s="45"/>
      <c r="B326" s="54"/>
      <c r="C326" s="47">
        <f t="shared" si="50"/>
        <v>3</v>
      </c>
      <c r="D326" s="73"/>
      <c r="E326" s="70"/>
      <c r="F326" s="70" t="s">
        <v>882</v>
      </c>
      <c r="G326" s="73"/>
      <c r="H326" s="76" t="s">
        <v>883</v>
      </c>
      <c r="I326" s="96" t="s">
        <v>884</v>
      </c>
      <c r="J326" s="96"/>
      <c r="K326" s="97">
        <v>51</v>
      </c>
      <c r="L326" s="97">
        <v>51</v>
      </c>
      <c r="M326" s="76"/>
      <c r="N326" s="76"/>
      <c r="O326" s="76"/>
      <c r="P326" s="76"/>
      <c r="Q326" s="76"/>
      <c r="R326" s="76" t="s">
        <v>885</v>
      </c>
      <c r="S326" s="76"/>
      <c r="T326" s="76" t="s">
        <v>3324</v>
      </c>
      <c r="U326" s="252">
        <f>INDEX($K326:$Q326,1,U$43)</f>
        <v>51</v>
      </c>
      <c r="V326" s="252">
        <f>INDEX($K326:$Q326,1,V$43)</f>
        <v>51</v>
      </c>
      <c r="W326" s="97">
        <v>41.827012727136299</v>
      </c>
      <c r="X326" s="97">
        <v>42.910786685533601</v>
      </c>
      <c r="Y326" s="97">
        <v>51</v>
      </c>
      <c r="Z326" s="97">
        <v>41.666666666666671</v>
      </c>
      <c r="AA326" s="97">
        <v>41.666666666666671</v>
      </c>
      <c r="AB326" s="252">
        <v>51</v>
      </c>
      <c r="AC326" s="252">
        <f>INDEX($K326:$Q326,1,AC$43)</f>
        <v>51</v>
      </c>
      <c r="AD326" s="252">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0"/>
        <v>3</v>
      </c>
      <c r="D327" s="73"/>
      <c r="E327" s="70"/>
      <c r="F327" s="70" t="s">
        <v>2290</v>
      </c>
      <c r="G327" s="73"/>
      <c r="H327" s="76" t="s">
        <v>2294</v>
      </c>
      <c r="I327" s="96"/>
      <c r="J327" s="96"/>
      <c r="K327" s="76"/>
      <c r="L327" s="76"/>
      <c r="M327" s="76"/>
      <c r="N327" s="76"/>
      <c r="O327" s="76"/>
      <c r="P327" s="76"/>
      <c r="Q327" s="76"/>
      <c r="R327" s="76"/>
      <c r="S327" s="76"/>
      <c r="T327" s="76"/>
      <c r="U327" s="259">
        <f>0.006/(365^2)</f>
        <v>4.503659223118784E-8</v>
      </c>
      <c r="V327" s="259">
        <f>0.006/(365^2)</f>
        <v>4.503659223118784E-8</v>
      </c>
      <c r="W327" s="259">
        <f>0.006/(365^2)</f>
        <v>4.503659223118784E-8</v>
      </c>
      <c r="X327" s="259">
        <f>0.006/(365^2)</f>
        <v>4.503659223118784E-8</v>
      </c>
      <c r="Y327" s="259">
        <v>4.503659223118784E-8</v>
      </c>
      <c r="Z327" s="259">
        <v>4.503659223118784E-8</v>
      </c>
      <c r="AA327" s="259">
        <v>4.503659223118784E-8</v>
      </c>
      <c r="AB327" s="259">
        <f>0.006/(365^2)</f>
        <v>4.503659223118784E-8</v>
      </c>
      <c r="AC327" s="254">
        <f t="shared" ref="AC327:AD331" si="55">AB327</f>
        <v>4.503659223118784E-8</v>
      </c>
      <c r="AD327" s="254">
        <f t="shared" si="55"/>
        <v>4.503659223118784E-8</v>
      </c>
      <c r="AE327" s="76"/>
      <c r="AF327" s="97" t="s">
        <v>2293</v>
      </c>
      <c r="AG327" s="76"/>
      <c r="AH327" s="97">
        <v>1</v>
      </c>
      <c r="AI327" s="97">
        <v>1</v>
      </c>
      <c r="AJ327" s="73"/>
      <c r="AK327" s="57"/>
      <c r="AL327" s="45"/>
      <c r="AM327" s="45"/>
      <c r="AN327" s="45"/>
    </row>
    <row r="328" spans="1:40" hidden="1" outlineLevel="2" x14ac:dyDescent="0.25">
      <c r="A328" s="45"/>
      <c r="B328" s="54"/>
      <c r="C328" s="47">
        <f t="shared" si="50"/>
        <v>3</v>
      </c>
      <c r="D328" s="73"/>
      <c r="E328" s="70"/>
      <c r="F328" s="70" t="s">
        <v>2291</v>
      </c>
      <c r="G328" s="73"/>
      <c r="H328" s="76" t="s">
        <v>2292</v>
      </c>
      <c r="I328" s="96" t="s">
        <v>657</v>
      </c>
      <c r="J328" s="96"/>
      <c r="K328" s="76"/>
      <c r="L328" s="76"/>
      <c r="M328" s="76"/>
      <c r="N328" s="76"/>
      <c r="O328" s="76"/>
      <c r="P328" s="76"/>
      <c r="Q328" s="76"/>
      <c r="R328" s="76"/>
      <c r="S328" s="76"/>
      <c r="T328" s="76"/>
      <c r="U328" s="97">
        <f>3*365</f>
        <v>1095</v>
      </c>
      <c r="V328" s="97">
        <v>1095</v>
      </c>
      <c r="W328" s="97">
        <v>1095</v>
      </c>
      <c r="X328" s="97">
        <v>1095</v>
      </c>
      <c r="Y328" s="97">
        <v>1095</v>
      </c>
      <c r="Z328" s="97">
        <v>1095</v>
      </c>
      <c r="AA328" s="97">
        <v>1095</v>
      </c>
      <c r="AB328" s="97">
        <f>3*365</f>
        <v>1095</v>
      </c>
      <c r="AC328" s="254">
        <f t="shared" si="55"/>
        <v>1095</v>
      </c>
      <c r="AD328" s="254">
        <f t="shared" si="55"/>
        <v>1095</v>
      </c>
      <c r="AE328" s="76"/>
      <c r="AF328" s="97" t="s">
        <v>2293</v>
      </c>
      <c r="AG328" s="76"/>
      <c r="AH328" s="97">
        <v>1</v>
      </c>
      <c r="AI328" s="97">
        <v>1</v>
      </c>
      <c r="AJ328" s="73"/>
      <c r="AK328" s="57"/>
      <c r="AL328" s="45"/>
      <c r="AM328" s="45"/>
      <c r="AN328" s="45"/>
    </row>
    <row r="329" spans="1:40" hidden="1" outlineLevel="2" x14ac:dyDescent="0.25">
      <c r="A329" s="45"/>
      <c r="B329" s="54"/>
      <c r="C329" s="47">
        <f t="shared" si="50"/>
        <v>3</v>
      </c>
      <c r="D329" s="73"/>
      <c r="E329" s="70"/>
      <c r="F329" s="70" t="s">
        <v>2295</v>
      </c>
      <c r="G329" s="73"/>
      <c r="H329" s="76" t="s">
        <v>2296</v>
      </c>
      <c r="I329" s="96"/>
      <c r="J329" s="96"/>
      <c r="K329" s="76"/>
      <c r="L329" s="76"/>
      <c r="M329" s="76"/>
      <c r="N329" s="76"/>
      <c r="O329" s="76"/>
      <c r="P329" s="76"/>
      <c r="Q329" s="76"/>
      <c r="R329" s="76"/>
      <c r="S329" s="76"/>
      <c r="T329" s="76"/>
      <c r="U329" s="97">
        <v>2</v>
      </c>
      <c r="V329" s="97">
        <v>2</v>
      </c>
      <c r="W329" s="97">
        <v>2</v>
      </c>
      <c r="X329" s="97">
        <v>2</v>
      </c>
      <c r="Y329" s="97">
        <v>2</v>
      </c>
      <c r="Z329" s="97">
        <v>2</v>
      </c>
      <c r="AA329" s="97">
        <v>2</v>
      </c>
      <c r="AB329" s="97">
        <v>2</v>
      </c>
      <c r="AC329" s="254">
        <f t="shared" si="55"/>
        <v>2</v>
      </c>
      <c r="AD329" s="254">
        <f t="shared" si="55"/>
        <v>2</v>
      </c>
      <c r="AE329" s="76"/>
      <c r="AF329" s="76"/>
      <c r="AG329" s="76"/>
      <c r="AH329" s="97">
        <v>1</v>
      </c>
      <c r="AI329" s="97">
        <v>1</v>
      </c>
      <c r="AJ329" s="73"/>
      <c r="AK329" s="57"/>
      <c r="AL329" s="45"/>
      <c r="AM329" s="45"/>
      <c r="AN329" s="45"/>
    </row>
    <row r="330" spans="1:40" hidden="1" outlineLevel="2" x14ac:dyDescent="0.25">
      <c r="A330" s="45"/>
      <c r="B330" s="54"/>
      <c r="C330" s="47">
        <f t="shared" si="50"/>
        <v>3</v>
      </c>
      <c r="D330" s="73"/>
      <c r="E330" s="70"/>
      <c r="F330" s="70" t="s">
        <v>2880</v>
      </c>
      <c r="G330" s="73"/>
      <c r="H330" s="76" t="s">
        <v>2990</v>
      </c>
      <c r="I330" s="96"/>
      <c r="J330" s="96"/>
      <c r="K330" s="76"/>
      <c r="L330" s="76"/>
      <c r="M330" s="76"/>
      <c r="N330" s="76"/>
      <c r="O330" s="76"/>
      <c r="P330" s="76"/>
      <c r="Q330" s="76"/>
      <c r="R330" s="76"/>
      <c r="S330" s="76"/>
      <c r="T330" s="76"/>
      <c r="U330" s="97">
        <v>0.85</v>
      </c>
      <c r="V330" s="254">
        <f>U330</f>
        <v>0.85</v>
      </c>
      <c r="W330" s="254">
        <f>U330</f>
        <v>0.85</v>
      </c>
      <c r="X330" s="254">
        <f>V330</f>
        <v>0.85</v>
      </c>
      <c r="Y330" s="254">
        <v>0.85</v>
      </c>
      <c r="Z330" s="254">
        <v>0.85</v>
      </c>
      <c r="AA330" s="254">
        <v>0.85</v>
      </c>
      <c r="AB330" s="97">
        <v>0.85</v>
      </c>
      <c r="AC330" s="254">
        <f t="shared" si="55"/>
        <v>0.85</v>
      </c>
      <c r="AD330" s="254">
        <f t="shared" si="55"/>
        <v>0.85</v>
      </c>
      <c r="AE330" s="76"/>
      <c r="AF330" s="76"/>
      <c r="AG330" s="76"/>
      <c r="AH330" s="97">
        <v>1</v>
      </c>
      <c r="AI330" s="97">
        <v>1</v>
      </c>
      <c r="AJ330" s="73"/>
      <c r="AK330" s="57"/>
      <c r="AL330" s="45"/>
      <c r="AM330" s="45"/>
      <c r="AN330" s="45"/>
    </row>
    <row r="331" spans="1:40" hidden="1" outlineLevel="2" x14ac:dyDescent="0.25">
      <c r="A331" s="45"/>
      <c r="B331" s="54"/>
      <c r="C331" s="47">
        <f t="shared" si="50"/>
        <v>3</v>
      </c>
      <c r="D331" s="73"/>
      <c r="E331" s="70"/>
      <c r="F331" s="70" t="s">
        <v>2890</v>
      </c>
      <c r="G331" s="73"/>
      <c r="H331" s="76" t="s">
        <v>2336</v>
      </c>
      <c r="I331" s="96" t="s">
        <v>2891</v>
      </c>
      <c r="J331" s="96"/>
      <c r="K331" s="76"/>
      <c r="L331" s="76"/>
      <c r="M331" s="76"/>
      <c r="N331" s="76"/>
      <c r="O331" s="76"/>
      <c r="P331" s="76"/>
      <c r="Q331" s="76"/>
      <c r="R331" s="76"/>
      <c r="S331" s="76"/>
      <c r="T331" s="76"/>
      <c r="U331" s="97">
        <f>0.068/30.4</f>
        <v>2.2368421052631582E-3</v>
      </c>
      <c r="V331" s="97">
        <f>0.068/30.4</f>
        <v>2.2368421052631582E-3</v>
      </c>
      <c r="W331" s="97">
        <f>0.068/30.4</f>
        <v>2.2368421052631582E-3</v>
      </c>
      <c r="X331" s="97">
        <f>0.068/30.4</f>
        <v>2.2368421052631582E-3</v>
      </c>
      <c r="Y331" s="97">
        <v>2.2368421052631582E-3</v>
      </c>
      <c r="Z331" s="97">
        <v>2.2368421052631582E-3</v>
      </c>
      <c r="AA331" s="97">
        <v>2.2368421052631582E-3</v>
      </c>
      <c r="AB331" s="97">
        <f>0.068/30.4</f>
        <v>2.2368421052631582E-3</v>
      </c>
      <c r="AC331" s="254">
        <f t="shared" si="55"/>
        <v>2.2368421052631582E-3</v>
      </c>
      <c r="AD331" s="254">
        <f t="shared" si="55"/>
        <v>2.2368421052631582E-3</v>
      </c>
      <c r="AE331" s="76"/>
      <c r="AF331" s="97" t="s">
        <v>2892</v>
      </c>
      <c r="AG331" s="76"/>
      <c r="AH331" s="97">
        <v>1</v>
      </c>
      <c r="AI331" s="97">
        <v>1</v>
      </c>
      <c r="AJ331" s="73"/>
      <c r="AK331" s="57"/>
      <c r="AL331" s="45"/>
      <c r="AM331" s="45"/>
      <c r="AN331" s="45"/>
    </row>
    <row r="332" spans="1:40" hidden="1" outlineLevel="2" x14ac:dyDescent="0.25">
      <c r="A332" s="45"/>
      <c r="B332" s="54"/>
      <c r="C332" s="47">
        <f t="shared" si="50"/>
        <v>3</v>
      </c>
      <c r="D332" s="73"/>
      <c r="E332" s="70"/>
      <c r="F332" s="70" t="s">
        <v>3268</v>
      </c>
      <c r="G332" s="73"/>
      <c r="H332" s="76" t="s">
        <v>3269</v>
      </c>
      <c r="I332" s="96"/>
      <c r="J332" s="96"/>
      <c r="K332" s="97">
        <v>1.147</v>
      </c>
      <c r="L332" s="97">
        <v>1.147</v>
      </c>
      <c r="M332" s="76"/>
      <c r="N332" s="76"/>
      <c r="O332" s="76"/>
      <c r="P332" s="76"/>
      <c r="Q332" s="76"/>
      <c r="R332" s="76"/>
      <c r="S332" s="76"/>
      <c r="T332" s="76"/>
      <c r="U332" s="252">
        <f t="shared" ref="U332:AD332" si="56">INDEX($K332:$Q332,1,U$43)</f>
        <v>1.147</v>
      </c>
      <c r="V332" s="252">
        <f t="shared" si="56"/>
        <v>1.147</v>
      </c>
      <c r="W332" s="252">
        <f t="shared" si="56"/>
        <v>1.147</v>
      </c>
      <c r="X332" s="252">
        <f t="shared" si="56"/>
        <v>1.147</v>
      </c>
      <c r="Y332" s="252">
        <f t="shared" si="56"/>
        <v>1.147</v>
      </c>
      <c r="Z332" s="252">
        <f t="shared" si="56"/>
        <v>1.147</v>
      </c>
      <c r="AA332" s="252">
        <f t="shared" si="56"/>
        <v>1.147</v>
      </c>
      <c r="AB332" s="252">
        <f t="shared" si="56"/>
        <v>1.147</v>
      </c>
      <c r="AC332" s="252">
        <f t="shared" si="56"/>
        <v>1.147</v>
      </c>
      <c r="AD332" s="252">
        <f t="shared" si="56"/>
        <v>1.147</v>
      </c>
      <c r="AE332" s="76"/>
      <c r="AF332" s="97" t="s">
        <v>3270</v>
      </c>
      <c r="AG332" s="76"/>
      <c r="AH332" s="97">
        <v>1</v>
      </c>
      <c r="AI332" s="97">
        <v>1</v>
      </c>
      <c r="AJ332" s="73"/>
      <c r="AK332" s="57"/>
      <c r="AL332" s="45"/>
      <c r="AM332" s="45"/>
      <c r="AN332" s="45"/>
    </row>
    <row r="333" spans="1:40" hidden="1" outlineLevel="2" x14ac:dyDescent="0.25">
      <c r="A333" s="45"/>
      <c r="B333" s="54"/>
      <c r="C333" s="47">
        <f t="shared" si="50"/>
        <v>3</v>
      </c>
      <c r="D333" s="73"/>
      <c r="E333" s="70"/>
      <c r="F333" s="70" t="s">
        <v>3331</v>
      </c>
      <c r="G333" s="73"/>
      <c r="H333" s="76" t="s">
        <v>3334</v>
      </c>
      <c r="I333" s="96"/>
      <c r="J333" s="96"/>
      <c r="K333" s="76"/>
      <c r="L333" s="76"/>
      <c r="M333" s="76"/>
      <c r="N333" s="76"/>
      <c r="O333" s="76"/>
      <c r="P333" s="76"/>
      <c r="Q333" s="76"/>
      <c r="R333" s="76"/>
      <c r="S333" s="76"/>
      <c r="T333" s="76"/>
      <c r="U333" s="97">
        <f>1.5*364</f>
        <v>546</v>
      </c>
      <c r="V333" s="97">
        <f t="shared" ref="V333:AD333" si="57">1.5*364</f>
        <v>546</v>
      </c>
      <c r="W333" s="97">
        <f t="shared" si="57"/>
        <v>546</v>
      </c>
      <c r="X333" s="97">
        <f t="shared" si="57"/>
        <v>546</v>
      </c>
      <c r="Y333" s="97">
        <f t="shared" si="57"/>
        <v>546</v>
      </c>
      <c r="Z333" s="97">
        <f t="shared" si="57"/>
        <v>546</v>
      </c>
      <c r="AA333" s="97">
        <f t="shared" si="57"/>
        <v>546</v>
      </c>
      <c r="AB333" s="97">
        <f t="shared" si="57"/>
        <v>546</v>
      </c>
      <c r="AC333" s="97">
        <f t="shared" si="57"/>
        <v>546</v>
      </c>
      <c r="AD333" s="97">
        <f t="shared" si="57"/>
        <v>546</v>
      </c>
      <c r="AE333" s="76"/>
      <c r="AF333" s="97" t="s">
        <v>458</v>
      </c>
      <c r="AG333" s="76"/>
      <c r="AH333" s="97">
        <v>1</v>
      </c>
      <c r="AI333" s="97">
        <v>1</v>
      </c>
      <c r="AJ333" s="73"/>
      <c r="AK333" s="57"/>
      <c r="AL333" s="45"/>
      <c r="AM333" s="45"/>
      <c r="AN333" s="45"/>
    </row>
    <row r="334" spans="1:40" hidden="1" outlineLevel="2" x14ac:dyDescent="0.25">
      <c r="A334" s="45"/>
      <c r="B334" s="54"/>
      <c r="C334" s="47">
        <f t="shared" si="50"/>
        <v>3</v>
      </c>
      <c r="D334" s="73"/>
      <c r="E334" s="70"/>
      <c r="F334" s="70" t="s">
        <v>3332</v>
      </c>
      <c r="G334" s="73"/>
      <c r="H334" s="76" t="s">
        <v>3335</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458</v>
      </c>
      <c r="AG334" s="76"/>
      <c r="AH334" s="97">
        <v>1</v>
      </c>
      <c r="AI334" s="97">
        <v>1</v>
      </c>
      <c r="AJ334" s="73"/>
      <c r="AK334" s="57"/>
      <c r="AL334" s="45"/>
      <c r="AM334" s="45"/>
      <c r="AN334" s="45"/>
    </row>
    <row r="335" spans="1:40" hidden="1" outlineLevel="2" x14ac:dyDescent="0.25">
      <c r="A335" s="45"/>
      <c r="B335" s="54"/>
      <c r="C335" s="47">
        <f t="shared" si="50"/>
        <v>3</v>
      </c>
      <c r="D335" s="73"/>
      <c r="E335" s="70"/>
      <c r="F335" s="70" t="s">
        <v>3333</v>
      </c>
      <c r="G335" s="73"/>
      <c r="H335" s="76" t="s">
        <v>3339</v>
      </c>
      <c r="I335" s="96"/>
      <c r="J335" s="96"/>
      <c r="K335" s="76"/>
      <c r="L335" s="76"/>
      <c r="M335" s="76"/>
      <c r="N335" s="76"/>
      <c r="O335" s="76"/>
      <c r="P335" s="76"/>
      <c r="Q335" s="76"/>
      <c r="R335" s="76"/>
      <c r="S335" s="76"/>
      <c r="T335" s="76" t="s">
        <v>3324</v>
      </c>
      <c r="U335" s="97">
        <v>0.85</v>
      </c>
      <c r="V335" s="97">
        <v>0.85</v>
      </c>
      <c r="W335" s="97">
        <v>0.85</v>
      </c>
      <c r="X335" s="97">
        <v>0.85</v>
      </c>
      <c r="Y335" s="97">
        <v>0.85</v>
      </c>
      <c r="Z335" s="97">
        <v>0.71280683305123804</v>
      </c>
      <c r="AA335" s="97">
        <v>0.85</v>
      </c>
      <c r="AB335" s="97">
        <v>0.85</v>
      </c>
      <c r="AC335" s="97">
        <v>0.85</v>
      </c>
      <c r="AD335" s="97">
        <v>0.85</v>
      </c>
      <c r="AE335" s="76"/>
      <c r="AF335" s="97" t="s">
        <v>3336</v>
      </c>
      <c r="AG335" s="76"/>
      <c r="AH335" s="97">
        <v>1</v>
      </c>
      <c r="AI335" s="97">
        <v>1</v>
      </c>
      <c r="AJ335" s="73"/>
      <c r="AK335" s="57"/>
      <c r="AL335" s="45"/>
      <c r="AM335" s="45"/>
      <c r="AN335" s="45"/>
    </row>
    <row r="336" spans="1:40" hidden="1" outlineLevel="2" x14ac:dyDescent="0.25">
      <c r="A336" s="45"/>
      <c r="B336" s="54"/>
      <c r="C336" s="47">
        <f t="shared" si="50"/>
        <v>3</v>
      </c>
      <c r="D336" s="73"/>
      <c r="E336" s="70"/>
      <c r="F336" s="70" t="s">
        <v>3340</v>
      </c>
      <c r="G336" s="73"/>
      <c r="H336" s="76" t="s">
        <v>3341</v>
      </c>
      <c r="I336" s="96"/>
      <c r="J336" s="96"/>
      <c r="K336" s="76"/>
      <c r="L336" s="76"/>
      <c r="M336" s="76"/>
      <c r="N336" s="76"/>
      <c r="O336" s="76"/>
      <c r="P336" s="76"/>
      <c r="Q336" s="76"/>
      <c r="R336" s="76"/>
      <c r="S336" s="76"/>
      <c r="T336" s="76" t="s">
        <v>3324</v>
      </c>
      <c r="U336" s="97">
        <v>1</v>
      </c>
      <c r="V336" s="97">
        <v>1</v>
      </c>
      <c r="W336" s="97">
        <v>1</v>
      </c>
      <c r="X336" s="97">
        <v>1</v>
      </c>
      <c r="Y336" s="97">
        <v>1</v>
      </c>
      <c r="Z336" s="97">
        <v>1.0956857334182599</v>
      </c>
      <c r="AA336" s="97">
        <v>1</v>
      </c>
      <c r="AB336" s="97">
        <v>1</v>
      </c>
      <c r="AC336" s="97">
        <v>1</v>
      </c>
      <c r="AD336" s="97">
        <v>1</v>
      </c>
      <c r="AE336" s="76"/>
      <c r="AF336" s="97" t="s">
        <v>458</v>
      </c>
      <c r="AG336" s="76"/>
      <c r="AH336" s="97">
        <v>1</v>
      </c>
      <c r="AI336" s="97">
        <v>1</v>
      </c>
      <c r="AJ336" s="73"/>
      <c r="AK336" s="57"/>
      <c r="AL336" s="45"/>
      <c r="AM336" s="45"/>
      <c r="AN336" s="45"/>
    </row>
    <row r="337" spans="1:40" outlineLevel="1" collapsed="1" x14ac:dyDescent="0.25">
      <c r="A337" s="45"/>
      <c r="B337" s="54"/>
      <c r="C337" s="47">
        <f>INT($C$29)+1</f>
        <v>2</v>
      </c>
      <c r="D337" s="73"/>
      <c r="E337" s="70"/>
      <c r="F337" s="255" t="s">
        <v>886</v>
      </c>
      <c r="G337" s="73"/>
      <c r="H337" s="246" t="s">
        <v>887</v>
      </c>
      <c r="I337" s="96"/>
      <c r="J337" s="96" t="s">
        <v>517</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888</v>
      </c>
      <c r="F338" s="70" t="s">
        <v>889</v>
      </c>
      <c r="G338" s="73"/>
      <c r="H338" s="76" t="s">
        <v>493</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58">INT($C$29)+2</f>
        <v>3</v>
      </c>
      <c r="D339" s="73"/>
      <c r="E339" s="70"/>
      <c r="F339" s="70" t="s">
        <v>890</v>
      </c>
      <c r="G339" s="73"/>
      <c r="H339" s="76" t="s">
        <v>891</v>
      </c>
      <c r="I339" s="96" t="s">
        <v>892</v>
      </c>
      <c r="J339" s="96"/>
      <c r="K339" s="97">
        <v>0.09</v>
      </c>
      <c r="L339" s="97">
        <v>0.09</v>
      </c>
      <c r="M339" s="97">
        <v>0.09</v>
      </c>
      <c r="N339" s="97">
        <v>0.09</v>
      </c>
      <c r="O339" s="97">
        <v>0.09</v>
      </c>
      <c r="P339" s="97">
        <v>0.09</v>
      </c>
      <c r="Q339" s="76"/>
      <c r="R339" s="76"/>
      <c r="S339" s="76"/>
      <c r="T339" s="76"/>
      <c r="U339" s="252">
        <f t="shared" ref="U339:X354" si="59">INDEX($K339:$Q339,1,U$43)</f>
        <v>0.09</v>
      </c>
      <c r="V339" s="252">
        <f t="shared" si="59"/>
        <v>0.09</v>
      </c>
      <c r="W339" s="252">
        <f t="shared" si="59"/>
        <v>0.09</v>
      </c>
      <c r="X339" s="252">
        <f t="shared" si="59"/>
        <v>0.09</v>
      </c>
      <c r="Y339" s="252">
        <v>0.09</v>
      </c>
      <c r="Z339" s="252">
        <v>0.09</v>
      </c>
      <c r="AA339" s="252">
        <v>0.09</v>
      </c>
      <c r="AB339" s="252">
        <v>0.09</v>
      </c>
      <c r="AC339" s="252">
        <f t="shared" ref="AC339:AD354" si="60">INDEX($K339:$Q339,1,AC$43)</f>
        <v>0.09</v>
      </c>
      <c r="AD339" s="252">
        <f t="shared" si="60"/>
        <v>0.09</v>
      </c>
      <c r="AE339" s="76"/>
      <c r="AF339" s="76"/>
      <c r="AG339" s="76"/>
      <c r="AH339" s="97">
        <v>1</v>
      </c>
      <c r="AI339" s="97">
        <v>1</v>
      </c>
      <c r="AJ339" s="73"/>
      <c r="AK339" s="57"/>
      <c r="AL339" s="45"/>
      <c r="AM339" s="45"/>
      <c r="AN339" s="45"/>
    </row>
    <row r="340" spans="1:40" hidden="1" outlineLevel="2" x14ac:dyDescent="0.25">
      <c r="A340" s="45"/>
      <c r="B340" s="54"/>
      <c r="C340" s="47">
        <f t="shared" si="58"/>
        <v>3</v>
      </c>
      <c r="D340" s="73"/>
      <c r="E340" s="70"/>
      <c r="F340" s="70" t="s">
        <v>893</v>
      </c>
      <c r="G340" s="73"/>
      <c r="H340" s="76" t="s">
        <v>894</v>
      </c>
      <c r="I340" s="96" t="s">
        <v>895</v>
      </c>
      <c r="J340" s="96"/>
      <c r="K340" s="97">
        <v>4.0999999999999996</v>
      </c>
      <c r="L340" s="97">
        <v>4.0999999999999996</v>
      </c>
      <c r="M340" s="97">
        <v>4.0999999999999996</v>
      </c>
      <c r="N340" s="97">
        <v>4.0999999999999996</v>
      </c>
      <c r="O340" s="97">
        <v>4.0999999999999996</v>
      </c>
      <c r="P340" s="97">
        <v>4.0999999999999996</v>
      </c>
      <c r="Q340" s="76"/>
      <c r="R340" s="76"/>
      <c r="S340" s="76"/>
      <c r="T340" s="76"/>
      <c r="U340" s="252">
        <f t="shared" si="59"/>
        <v>4.0999999999999996</v>
      </c>
      <c r="V340" s="252">
        <f t="shared" si="59"/>
        <v>4.0999999999999996</v>
      </c>
      <c r="W340" s="252">
        <f t="shared" si="59"/>
        <v>4.0999999999999996</v>
      </c>
      <c r="X340" s="252">
        <f t="shared" si="59"/>
        <v>4.0999999999999996</v>
      </c>
      <c r="Y340" s="252">
        <v>4.0999999999999996</v>
      </c>
      <c r="Z340" s="252">
        <v>4.0999999999999996</v>
      </c>
      <c r="AA340" s="252">
        <v>4.0999999999999996</v>
      </c>
      <c r="AB340" s="252">
        <v>4.0999999999999996</v>
      </c>
      <c r="AC340" s="252">
        <f t="shared" si="60"/>
        <v>4.0999999999999996</v>
      </c>
      <c r="AD340" s="252">
        <f t="shared" si="60"/>
        <v>4.0999999999999996</v>
      </c>
      <c r="AE340" s="76"/>
      <c r="AF340" s="76"/>
      <c r="AG340" s="76"/>
      <c r="AH340" s="97">
        <v>1</v>
      </c>
      <c r="AI340" s="97">
        <v>1</v>
      </c>
      <c r="AJ340" s="73"/>
      <c r="AK340" s="57"/>
      <c r="AL340" s="45"/>
      <c r="AM340" s="45"/>
      <c r="AN340" s="45"/>
    </row>
    <row r="341" spans="1:40" hidden="1" outlineLevel="2" x14ac:dyDescent="0.25">
      <c r="A341" s="45"/>
      <c r="B341" s="54"/>
      <c r="C341" s="47">
        <f t="shared" si="58"/>
        <v>3</v>
      </c>
      <c r="D341" s="73"/>
      <c r="E341" s="70"/>
      <c r="F341" s="70" t="s">
        <v>896</v>
      </c>
      <c r="G341" s="73"/>
      <c r="H341" s="76" t="s">
        <v>897</v>
      </c>
      <c r="I341" s="96" t="s">
        <v>898</v>
      </c>
      <c r="J341" s="96"/>
      <c r="K341" s="97">
        <v>1.3</v>
      </c>
      <c r="L341" s="97">
        <v>1.3</v>
      </c>
      <c r="M341" s="97">
        <v>1.6</v>
      </c>
      <c r="N341" s="97">
        <v>1.6</v>
      </c>
      <c r="O341" s="97">
        <v>1.6</v>
      </c>
      <c r="P341" s="97">
        <v>1.6</v>
      </c>
      <c r="Q341" s="76"/>
      <c r="R341" s="76" t="s">
        <v>510</v>
      </c>
      <c r="S341" s="76" t="s">
        <v>510</v>
      </c>
      <c r="T341" s="76"/>
      <c r="U341" s="252">
        <f t="shared" si="59"/>
        <v>1.3</v>
      </c>
      <c r="V341" s="252">
        <f t="shared" si="59"/>
        <v>1.3</v>
      </c>
      <c r="W341" s="252">
        <f t="shared" si="59"/>
        <v>1.3</v>
      </c>
      <c r="X341" s="252">
        <f t="shared" si="59"/>
        <v>1.3</v>
      </c>
      <c r="Y341" s="252">
        <v>1.3</v>
      </c>
      <c r="Z341" s="252">
        <v>1.3</v>
      </c>
      <c r="AA341" s="252">
        <v>1.3</v>
      </c>
      <c r="AB341" s="252">
        <v>1.3</v>
      </c>
      <c r="AC341" s="252">
        <f t="shared" si="60"/>
        <v>1.3</v>
      </c>
      <c r="AD341" s="252">
        <f t="shared" si="60"/>
        <v>1.3</v>
      </c>
      <c r="AE341" s="76"/>
      <c r="AF341" s="76"/>
      <c r="AG341" s="76"/>
      <c r="AH341" s="97">
        <v>1</v>
      </c>
      <c r="AI341" s="97">
        <v>1</v>
      </c>
      <c r="AJ341" s="73"/>
      <c r="AK341" s="57"/>
      <c r="AL341" s="45"/>
      <c r="AM341" s="45"/>
      <c r="AN341" s="45"/>
    </row>
    <row r="342" spans="1:40" hidden="1" outlineLevel="2" x14ac:dyDescent="0.25">
      <c r="A342" s="45"/>
      <c r="B342" s="54"/>
      <c r="C342" s="47">
        <f t="shared" si="58"/>
        <v>3</v>
      </c>
      <c r="D342" s="73"/>
      <c r="E342" s="70"/>
      <c r="F342" s="70" t="s">
        <v>899</v>
      </c>
      <c r="G342" s="73"/>
      <c r="H342" s="76" t="s">
        <v>900</v>
      </c>
      <c r="I342" s="96" t="s">
        <v>500</v>
      </c>
      <c r="J342" s="96"/>
      <c r="K342" s="97">
        <v>0.5</v>
      </c>
      <c r="L342" s="97">
        <v>0.5</v>
      </c>
      <c r="M342" s="97">
        <v>0.5</v>
      </c>
      <c r="N342" s="97">
        <v>0.5</v>
      </c>
      <c r="O342" s="97">
        <v>0.5</v>
      </c>
      <c r="P342" s="97">
        <v>0.5</v>
      </c>
      <c r="Q342" s="76"/>
      <c r="R342" s="76" t="s">
        <v>510</v>
      </c>
      <c r="S342" s="76" t="s">
        <v>510</v>
      </c>
      <c r="T342" s="76"/>
      <c r="U342" s="252">
        <f t="shared" si="59"/>
        <v>0.5</v>
      </c>
      <c r="V342" s="252">
        <f t="shared" si="59"/>
        <v>0.5</v>
      </c>
      <c r="W342" s="252">
        <f t="shared" si="59"/>
        <v>0.5</v>
      </c>
      <c r="X342" s="252">
        <f t="shared" si="59"/>
        <v>0.5</v>
      </c>
      <c r="Y342" s="252">
        <v>0.5</v>
      </c>
      <c r="Z342" s="252">
        <v>0.5</v>
      </c>
      <c r="AA342" s="252">
        <v>0.5</v>
      </c>
      <c r="AB342" s="252">
        <v>0.5</v>
      </c>
      <c r="AC342" s="252">
        <f t="shared" si="60"/>
        <v>0.5</v>
      </c>
      <c r="AD342" s="252">
        <f t="shared" si="60"/>
        <v>0.5</v>
      </c>
      <c r="AE342" s="76"/>
      <c r="AF342" s="76"/>
      <c r="AG342" s="76"/>
      <c r="AH342" s="97">
        <v>1</v>
      </c>
      <c r="AI342" s="97">
        <v>1</v>
      </c>
      <c r="AJ342" s="73"/>
      <c r="AK342" s="57"/>
      <c r="AL342" s="45"/>
      <c r="AM342" s="45"/>
      <c r="AN342" s="45"/>
    </row>
    <row r="343" spans="1:40" hidden="1" outlineLevel="2" x14ac:dyDescent="0.25">
      <c r="A343" s="45"/>
      <c r="B343" s="54"/>
      <c r="C343" s="47">
        <f t="shared" si="58"/>
        <v>3</v>
      </c>
      <c r="D343" s="73"/>
      <c r="E343" s="70"/>
      <c r="F343" s="70" t="s">
        <v>901</v>
      </c>
      <c r="G343" s="73"/>
      <c r="H343" s="76" t="s">
        <v>902</v>
      </c>
      <c r="I343" s="96" t="s">
        <v>572</v>
      </c>
      <c r="J343" s="96"/>
      <c r="K343" s="97">
        <v>0.7</v>
      </c>
      <c r="L343" s="97">
        <v>0.7</v>
      </c>
      <c r="M343" s="97">
        <v>0.7</v>
      </c>
      <c r="N343" s="97">
        <v>0.7</v>
      </c>
      <c r="O343" s="97">
        <v>0.7</v>
      </c>
      <c r="P343" s="97">
        <v>0.7</v>
      </c>
      <c r="Q343" s="76"/>
      <c r="R343" s="76" t="s">
        <v>510</v>
      </c>
      <c r="S343" s="76" t="s">
        <v>510</v>
      </c>
      <c r="T343" s="76"/>
      <c r="U343" s="252">
        <f t="shared" si="59"/>
        <v>0.7</v>
      </c>
      <c r="V343" s="252">
        <f t="shared" si="59"/>
        <v>0.7</v>
      </c>
      <c r="W343" s="252">
        <f t="shared" si="59"/>
        <v>0.7</v>
      </c>
      <c r="X343" s="252">
        <f t="shared" si="59"/>
        <v>0.7</v>
      </c>
      <c r="Y343" s="252">
        <v>0.7</v>
      </c>
      <c r="Z343" s="252">
        <v>0.7</v>
      </c>
      <c r="AA343" s="252">
        <v>0.7</v>
      </c>
      <c r="AB343" s="252">
        <v>0.7</v>
      </c>
      <c r="AC343" s="252">
        <f t="shared" si="60"/>
        <v>0.7</v>
      </c>
      <c r="AD343" s="252">
        <f t="shared" si="60"/>
        <v>0.7</v>
      </c>
      <c r="AE343" s="76"/>
      <c r="AF343" s="76"/>
      <c r="AG343" s="76"/>
      <c r="AH343" s="97">
        <v>1</v>
      </c>
      <c r="AI343" s="97">
        <v>1</v>
      </c>
      <c r="AJ343" s="73"/>
      <c r="AK343" s="57"/>
      <c r="AL343" s="45"/>
      <c r="AM343" s="45"/>
      <c r="AN343" s="45"/>
    </row>
    <row r="344" spans="1:40" hidden="1" outlineLevel="2" x14ac:dyDescent="0.25">
      <c r="A344" s="45"/>
      <c r="B344" s="54"/>
      <c r="C344" s="47">
        <f t="shared" si="58"/>
        <v>3</v>
      </c>
      <c r="D344" s="73"/>
      <c r="E344" s="70"/>
      <c r="F344" s="70" t="s">
        <v>903</v>
      </c>
      <c r="G344" s="73"/>
      <c r="H344" s="76" t="s">
        <v>904</v>
      </c>
      <c r="I344" s="96" t="s">
        <v>905</v>
      </c>
      <c r="J344" s="96"/>
      <c r="K344" s="97">
        <v>0.15</v>
      </c>
      <c r="L344" s="97">
        <v>0.15</v>
      </c>
      <c r="M344" s="97">
        <v>0.15</v>
      </c>
      <c r="N344" s="97">
        <v>0.15</v>
      </c>
      <c r="O344" s="97">
        <v>0.15</v>
      </c>
      <c r="P344" s="97">
        <v>0.15</v>
      </c>
      <c r="Q344" s="76"/>
      <c r="R344" s="76" t="s">
        <v>510</v>
      </c>
      <c r="S344" s="76" t="s">
        <v>510</v>
      </c>
      <c r="T344" s="76"/>
      <c r="U344" s="252">
        <f t="shared" si="59"/>
        <v>0.15</v>
      </c>
      <c r="V344" s="252">
        <f t="shared" si="59"/>
        <v>0.15</v>
      </c>
      <c r="W344" s="252">
        <f t="shared" si="59"/>
        <v>0.15</v>
      </c>
      <c r="X344" s="252">
        <f t="shared" si="59"/>
        <v>0.15</v>
      </c>
      <c r="Y344" s="252">
        <v>0.15</v>
      </c>
      <c r="Z344" s="252">
        <v>0.15</v>
      </c>
      <c r="AA344" s="252">
        <v>0.15</v>
      </c>
      <c r="AB344" s="252">
        <v>0.15</v>
      </c>
      <c r="AC344" s="252">
        <f t="shared" si="60"/>
        <v>0.15</v>
      </c>
      <c r="AD344" s="252">
        <f t="shared" si="60"/>
        <v>0.15</v>
      </c>
      <c r="AE344" s="76"/>
      <c r="AF344" s="76"/>
      <c r="AG344" s="76"/>
      <c r="AH344" s="97">
        <v>1</v>
      </c>
      <c r="AI344" s="97">
        <v>1</v>
      </c>
      <c r="AJ344" s="73"/>
      <c r="AK344" s="57"/>
      <c r="AL344" s="45"/>
      <c r="AM344" s="45"/>
      <c r="AN344" s="45"/>
    </row>
    <row r="345" spans="1:40" hidden="1" outlineLevel="2" x14ac:dyDescent="0.25">
      <c r="A345" s="45"/>
      <c r="B345" s="54"/>
      <c r="C345" s="47">
        <f t="shared" si="58"/>
        <v>3</v>
      </c>
      <c r="D345" s="73"/>
      <c r="E345" s="70"/>
      <c r="F345" s="70" t="s">
        <v>906</v>
      </c>
      <c r="G345" s="73"/>
      <c r="H345" s="76" t="s">
        <v>907</v>
      </c>
      <c r="I345" s="96" t="s">
        <v>500</v>
      </c>
      <c r="J345" s="96"/>
      <c r="K345" s="97">
        <v>0.48099999999999998</v>
      </c>
      <c r="L345" s="97">
        <v>0.48099999999999998</v>
      </c>
      <c r="M345" s="97">
        <v>0.48099999999999998</v>
      </c>
      <c r="N345" s="97">
        <v>0.48099999999999998</v>
      </c>
      <c r="O345" s="97">
        <v>0.48099999999999998</v>
      </c>
      <c r="P345" s="97">
        <v>0.48099999999999998</v>
      </c>
      <c r="Q345" s="76"/>
      <c r="R345" s="76" t="s">
        <v>510</v>
      </c>
      <c r="S345" s="76" t="s">
        <v>510</v>
      </c>
      <c r="T345" s="76"/>
      <c r="U345" s="252">
        <f t="shared" si="59"/>
        <v>0.48099999999999998</v>
      </c>
      <c r="V345" s="252">
        <f t="shared" si="59"/>
        <v>0.48099999999999998</v>
      </c>
      <c r="W345" s="252">
        <f t="shared" si="59"/>
        <v>0.48099999999999998</v>
      </c>
      <c r="X345" s="252">
        <f t="shared" si="59"/>
        <v>0.48099999999999998</v>
      </c>
      <c r="Y345" s="252">
        <v>0.48099999999999998</v>
      </c>
      <c r="Z345" s="252">
        <v>0.48099999999999998</v>
      </c>
      <c r="AA345" s="252">
        <v>0.48099999999999998</v>
      </c>
      <c r="AB345" s="252">
        <v>0.48099999999999998</v>
      </c>
      <c r="AC345" s="252">
        <f t="shared" si="60"/>
        <v>0.48099999999999998</v>
      </c>
      <c r="AD345" s="252">
        <f t="shared" si="60"/>
        <v>0.48099999999999998</v>
      </c>
      <c r="AE345" s="76"/>
      <c r="AF345" s="76"/>
      <c r="AG345" s="76"/>
      <c r="AH345" s="97">
        <v>1</v>
      </c>
      <c r="AI345" s="97">
        <v>1</v>
      </c>
      <c r="AJ345" s="73"/>
      <c r="AK345" s="57"/>
      <c r="AL345" s="45"/>
      <c r="AM345" s="45"/>
      <c r="AN345" s="45"/>
    </row>
    <row r="346" spans="1:40" hidden="1" outlineLevel="2" x14ac:dyDescent="0.25">
      <c r="A346" s="45"/>
      <c r="B346" s="54"/>
      <c r="C346" s="47">
        <f t="shared" si="58"/>
        <v>3</v>
      </c>
      <c r="D346" s="73"/>
      <c r="E346" s="70"/>
      <c r="F346" s="70" t="s">
        <v>908</v>
      </c>
      <c r="G346" s="73"/>
      <c r="H346" s="76" t="s">
        <v>904</v>
      </c>
      <c r="I346" s="96" t="s">
        <v>500</v>
      </c>
      <c r="J346" s="96"/>
      <c r="K346" s="97">
        <v>0.61899999999999999</v>
      </c>
      <c r="L346" s="97">
        <v>0.61899999999999999</v>
      </c>
      <c r="M346" s="97">
        <v>0.61899999999999999</v>
      </c>
      <c r="N346" s="97">
        <v>0.61899999999999999</v>
      </c>
      <c r="O346" s="97">
        <v>0.61899999999999999</v>
      </c>
      <c r="P346" s="97">
        <v>0.61899999999999999</v>
      </c>
      <c r="Q346" s="76"/>
      <c r="R346" s="76" t="s">
        <v>510</v>
      </c>
      <c r="S346" s="76" t="s">
        <v>510</v>
      </c>
      <c r="T346" s="76"/>
      <c r="U346" s="252">
        <f t="shared" si="59"/>
        <v>0.61899999999999999</v>
      </c>
      <c r="V346" s="252">
        <f t="shared" si="59"/>
        <v>0.61899999999999999</v>
      </c>
      <c r="W346" s="252">
        <f t="shared" si="59"/>
        <v>0.61899999999999999</v>
      </c>
      <c r="X346" s="252">
        <f t="shared" si="59"/>
        <v>0.61899999999999999</v>
      </c>
      <c r="Y346" s="252">
        <v>0.61899999999999999</v>
      </c>
      <c r="Z346" s="252">
        <v>0.61899999999999999</v>
      </c>
      <c r="AA346" s="252">
        <v>0.61899999999999999</v>
      </c>
      <c r="AB346" s="252">
        <v>0.61899999999999999</v>
      </c>
      <c r="AC346" s="252">
        <f t="shared" si="60"/>
        <v>0.61899999999999999</v>
      </c>
      <c r="AD346" s="252">
        <f t="shared" si="60"/>
        <v>0.61899999999999999</v>
      </c>
      <c r="AE346" s="76"/>
      <c r="AF346" s="76"/>
      <c r="AG346" s="76"/>
      <c r="AH346" s="97">
        <v>1</v>
      </c>
      <c r="AI346" s="97">
        <v>1</v>
      </c>
      <c r="AJ346" s="73"/>
      <c r="AK346" s="57"/>
      <c r="AL346" s="45"/>
      <c r="AM346" s="45"/>
      <c r="AN346" s="45"/>
    </row>
    <row r="347" spans="1:40" hidden="1" outlineLevel="2" x14ac:dyDescent="0.25">
      <c r="A347" s="45"/>
      <c r="B347" s="54"/>
      <c r="C347" s="47">
        <f t="shared" si="58"/>
        <v>3</v>
      </c>
      <c r="D347" s="73"/>
      <c r="E347" s="70"/>
      <c r="F347" s="70" t="s">
        <v>909</v>
      </c>
      <c r="G347" s="73"/>
      <c r="H347" s="76" t="s">
        <v>910</v>
      </c>
      <c r="I347" s="96" t="s">
        <v>898</v>
      </c>
      <c r="J347" s="96"/>
      <c r="K347" s="97">
        <v>1.41</v>
      </c>
      <c r="L347" s="97">
        <v>1.41</v>
      </c>
      <c r="M347" s="97">
        <v>1.1000000000000001</v>
      </c>
      <c r="N347" s="97">
        <v>1.1000000000000001</v>
      </c>
      <c r="O347" s="97">
        <v>1.1000000000000001</v>
      </c>
      <c r="P347" s="97">
        <v>1.1000000000000001</v>
      </c>
      <c r="Q347" s="76"/>
      <c r="R347" s="76" t="s">
        <v>510</v>
      </c>
      <c r="S347" s="76" t="s">
        <v>510</v>
      </c>
      <c r="T347" s="76"/>
      <c r="U347" s="252">
        <f t="shared" si="59"/>
        <v>1.41</v>
      </c>
      <c r="V347" s="252">
        <f t="shared" si="59"/>
        <v>1.41</v>
      </c>
      <c r="W347" s="252">
        <f t="shared" si="59"/>
        <v>1.41</v>
      </c>
      <c r="X347" s="252">
        <f t="shared" si="59"/>
        <v>1.41</v>
      </c>
      <c r="Y347" s="252">
        <v>1.41</v>
      </c>
      <c r="Z347" s="252">
        <v>1.41</v>
      </c>
      <c r="AA347" s="252">
        <v>1.41</v>
      </c>
      <c r="AB347" s="252">
        <v>1.41</v>
      </c>
      <c r="AC347" s="252">
        <f t="shared" si="60"/>
        <v>1.41</v>
      </c>
      <c r="AD347" s="252">
        <f t="shared" si="60"/>
        <v>1.41</v>
      </c>
      <c r="AE347" s="76"/>
      <c r="AF347" s="76"/>
      <c r="AG347" s="76"/>
      <c r="AH347" s="97">
        <v>1</v>
      </c>
      <c r="AI347" s="97">
        <v>1</v>
      </c>
      <c r="AJ347" s="73"/>
      <c r="AK347" s="57"/>
      <c r="AL347" s="45"/>
      <c r="AM347" s="45"/>
      <c r="AN347" s="45"/>
    </row>
    <row r="348" spans="1:40" hidden="1" outlineLevel="2" x14ac:dyDescent="0.25">
      <c r="A348" s="45"/>
      <c r="B348" s="54"/>
      <c r="C348" s="47">
        <f t="shared" si="58"/>
        <v>3</v>
      </c>
      <c r="D348" s="73"/>
      <c r="E348" s="70"/>
      <c r="F348" s="70" t="s">
        <v>911</v>
      </c>
      <c r="G348" s="73"/>
      <c r="H348" s="76" t="s">
        <v>904</v>
      </c>
      <c r="I348" s="96" t="s">
        <v>500</v>
      </c>
      <c r="J348" s="96"/>
      <c r="K348" s="97">
        <v>0.32200000000000001</v>
      </c>
      <c r="L348" s="97">
        <v>0.32200000000000001</v>
      </c>
      <c r="M348" s="97">
        <v>0.32200000000000001</v>
      </c>
      <c r="N348" s="97">
        <v>0.32200000000000001</v>
      </c>
      <c r="O348" s="97">
        <v>0.32200000000000001</v>
      </c>
      <c r="P348" s="97">
        <v>0.32200000000000001</v>
      </c>
      <c r="Q348" s="76"/>
      <c r="R348" s="76" t="s">
        <v>912</v>
      </c>
      <c r="S348" s="76" t="s">
        <v>510</v>
      </c>
      <c r="T348" s="76"/>
      <c r="U348" s="252">
        <f t="shared" si="59"/>
        <v>0.32200000000000001</v>
      </c>
      <c r="V348" s="252">
        <f t="shared" si="59"/>
        <v>0.32200000000000001</v>
      </c>
      <c r="W348" s="252">
        <f t="shared" si="59"/>
        <v>0.32200000000000001</v>
      </c>
      <c r="X348" s="252">
        <f t="shared" si="59"/>
        <v>0.32200000000000001</v>
      </c>
      <c r="Y348" s="252">
        <v>0.32200000000000001</v>
      </c>
      <c r="Z348" s="252">
        <v>0.32200000000000001</v>
      </c>
      <c r="AA348" s="252">
        <v>0.32200000000000001</v>
      </c>
      <c r="AB348" s="252">
        <v>0.32200000000000001</v>
      </c>
      <c r="AC348" s="252">
        <f t="shared" si="60"/>
        <v>0.32200000000000001</v>
      </c>
      <c r="AD348" s="252">
        <f t="shared" si="60"/>
        <v>0.32200000000000001</v>
      </c>
      <c r="AE348" s="76"/>
      <c r="AF348" s="76"/>
      <c r="AG348" s="76"/>
      <c r="AH348" s="97">
        <v>1</v>
      </c>
      <c r="AI348" s="97">
        <v>1</v>
      </c>
      <c r="AJ348" s="73"/>
      <c r="AK348" s="57"/>
      <c r="AL348" s="45"/>
      <c r="AM348" s="45"/>
      <c r="AN348" s="45"/>
    </row>
    <row r="349" spans="1:40" hidden="1" outlineLevel="2" x14ac:dyDescent="0.25">
      <c r="A349" s="45"/>
      <c r="B349" s="54"/>
      <c r="C349" s="47">
        <f t="shared" si="58"/>
        <v>3</v>
      </c>
      <c r="D349" s="73"/>
      <c r="E349" s="70"/>
      <c r="F349" s="70" t="s">
        <v>913</v>
      </c>
      <c r="G349" s="73"/>
      <c r="H349" s="76" t="s">
        <v>914</v>
      </c>
      <c r="I349" s="96" t="s">
        <v>535</v>
      </c>
      <c r="J349" s="96"/>
      <c r="K349" s="97">
        <v>39</v>
      </c>
      <c r="L349" s="97">
        <v>39</v>
      </c>
      <c r="M349" s="97">
        <v>39</v>
      </c>
      <c r="N349" s="97">
        <v>39</v>
      </c>
      <c r="O349" s="97">
        <v>39</v>
      </c>
      <c r="P349" s="97">
        <v>39</v>
      </c>
      <c r="Q349" s="76"/>
      <c r="R349" s="76" t="s">
        <v>510</v>
      </c>
      <c r="S349" s="76" t="s">
        <v>510</v>
      </c>
      <c r="T349" s="76"/>
      <c r="U349" s="252">
        <f t="shared" si="59"/>
        <v>39</v>
      </c>
      <c r="V349" s="252">
        <f t="shared" si="59"/>
        <v>39</v>
      </c>
      <c r="W349" s="252">
        <f t="shared" si="59"/>
        <v>39</v>
      </c>
      <c r="X349" s="252">
        <f t="shared" si="59"/>
        <v>39</v>
      </c>
      <c r="Y349" s="252">
        <v>39</v>
      </c>
      <c r="Z349" s="252">
        <v>39</v>
      </c>
      <c r="AA349" s="252">
        <v>39</v>
      </c>
      <c r="AB349" s="252">
        <v>39</v>
      </c>
      <c r="AC349" s="252">
        <f t="shared" si="60"/>
        <v>39</v>
      </c>
      <c r="AD349" s="252">
        <f t="shared" si="60"/>
        <v>39</v>
      </c>
      <c r="AE349" s="76"/>
      <c r="AF349" s="76"/>
      <c r="AG349" s="76"/>
      <c r="AH349" s="97">
        <v>1</v>
      </c>
      <c r="AI349" s="97">
        <v>1</v>
      </c>
      <c r="AJ349" s="73"/>
      <c r="AK349" s="57"/>
      <c r="AL349" s="45"/>
      <c r="AM349" s="45"/>
      <c r="AN349" s="45"/>
    </row>
    <row r="350" spans="1:40" hidden="1" outlineLevel="2" x14ac:dyDescent="0.25">
      <c r="A350" s="45"/>
      <c r="B350" s="54"/>
      <c r="C350" s="47">
        <f t="shared" si="58"/>
        <v>3</v>
      </c>
      <c r="D350" s="73"/>
      <c r="E350" s="70"/>
      <c r="F350" s="70" t="s">
        <v>915</v>
      </c>
      <c r="G350" s="73"/>
      <c r="H350" s="76" t="s">
        <v>2893</v>
      </c>
      <c r="I350" s="96" t="s">
        <v>916</v>
      </c>
      <c r="J350" s="96"/>
      <c r="K350" s="97">
        <v>1.3</v>
      </c>
      <c r="L350" s="97">
        <v>1.3</v>
      </c>
      <c r="M350" s="97">
        <v>1.5</v>
      </c>
      <c r="N350" s="97">
        <v>1.5</v>
      </c>
      <c r="O350" s="97">
        <v>1.5</v>
      </c>
      <c r="P350" s="97">
        <v>1.5</v>
      </c>
      <c r="Q350" s="76"/>
      <c r="R350" s="76" t="s">
        <v>510</v>
      </c>
      <c r="S350" s="76" t="s">
        <v>510</v>
      </c>
      <c r="T350" s="76"/>
      <c r="U350" s="252">
        <f t="shared" si="59"/>
        <v>1.3</v>
      </c>
      <c r="V350" s="252">
        <f t="shared" si="59"/>
        <v>1.3</v>
      </c>
      <c r="W350" s="252">
        <f t="shared" si="59"/>
        <v>1.3</v>
      </c>
      <c r="X350" s="252">
        <f t="shared" si="59"/>
        <v>1.3</v>
      </c>
      <c r="Y350" s="252">
        <v>1.3</v>
      </c>
      <c r="Z350" s="252">
        <v>1.3</v>
      </c>
      <c r="AA350" s="252">
        <v>1.3</v>
      </c>
      <c r="AB350" s="252">
        <v>1.3</v>
      </c>
      <c r="AC350" s="252">
        <f t="shared" si="60"/>
        <v>1.3</v>
      </c>
      <c r="AD350" s="252">
        <f t="shared" si="60"/>
        <v>1.3</v>
      </c>
      <c r="AE350" s="76"/>
      <c r="AF350" s="76"/>
      <c r="AG350" s="76"/>
      <c r="AH350" s="97">
        <v>1</v>
      </c>
      <c r="AI350" s="97">
        <v>1</v>
      </c>
      <c r="AJ350" s="73"/>
      <c r="AK350" s="57"/>
      <c r="AL350" s="45"/>
      <c r="AM350" s="45"/>
      <c r="AN350" s="45"/>
    </row>
    <row r="351" spans="1:40" hidden="1" outlineLevel="2" x14ac:dyDescent="0.25">
      <c r="A351" s="45"/>
      <c r="B351" s="54"/>
      <c r="C351" s="47">
        <f t="shared" si="58"/>
        <v>3</v>
      </c>
      <c r="D351" s="73"/>
      <c r="E351" s="70"/>
      <c r="F351" s="70" t="s">
        <v>917</v>
      </c>
      <c r="G351" s="73"/>
      <c r="H351" s="76" t="s">
        <v>918</v>
      </c>
      <c r="I351" s="96" t="s">
        <v>535</v>
      </c>
      <c r="J351" s="96"/>
      <c r="K351" s="97">
        <v>5</v>
      </c>
      <c r="L351" s="97">
        <v>5</v>
      </c>
      <c r="M351" s="97">
        <v>5</v>
      </c>
      <c r="N351" s="97">
        <v>5</v>
      </c>
      <c r="O351" s="97">
        <v>5</v>
      </c>
      <c r="P351" s="97">
        <v>5</v>
      </c>
      <c r="Q351" s="76"/>
      <c r="R351" s="76" t="s">
        <v>510</v>
      </c>
      <c r="S351" s="76" t="s">
        <v>510</v>
      </c>
      <c r="T351" s="76"/>
      <c r="U351" s="252">
        <f t="shared" si="59"/>
        <v>5</v>
      </c>
      <c r="V351" s="252">
        <f t="shared" si="59"/>
        <v>5</v>
      </c>
      <c r="W351" s="252">
        <f t="shared" si="59"/>
        <v>5</v>
      </c>
      <c r="X351" s="252">
        <f t="shared" si="59"/>
        <v>5</v>
      </c>
      <c r="Y351" s="252">
        <v>5</v>
      </c>
      <c r="Z351" s="252">
        <v>5</v>
      </c>
      <c r="AA351" s="252">
        <v>5</v>
      </c>
      <c r="AB351" s="252">
        <v>5</v>
      </c>
      <c r="AC351" s="252">
        <f t="shared" si="60"/>
        <v>5</v>
      </c>
      <c r="AD351" s="252">
        <f t="shared" si="60"/>
        <v>5</v>
      </c>
      <c r="AE351" s="76"/>
      <c r="AF351" s="76"/>
      <c r="AG351" s="76"/>
      <c r="AH351" s="97">
        <v>1</v>
      </c>
      <c r="AI351" s="97">
        <v>1</v>
      </c>
      <c r="AJ351" s="73"/>
      <c r="AK351" s="57"/>
      <c r="AL351" s="45"/>
      <c r="AM351" s="45"/>
      <c r="AN351" s="45"/>
    </row>
    <row r="352" spans="1:40" hidden="1" outlineLevel="2" x14ac:dyDescent="0.25">
      <c r="A352" s="45"/>
      <c r="B352" s="54"/>
      <c r="C352" s="47">
        <f t="shared" si="58"/>
        <v>3</v>
      </c>
      <c r="D352" s="73"/>
      <c r="E352" s="70"/>
      <c r="F352" s="70" t="s">
        <v>919</v>
      </c>
      <c r="G352" s="73"/>
      <c r="H352" s="76" t="s">
        <v>920</v>
      </c>
      <c r="I352" s="96" t="s">
        <v>921</v>
      </c>
      <c r="J352" s="96"/>
      <c r="K352" s="97">
        <v>0.15</v>
      </c>
      <c r="L352" s="97">
        <v>0.15</v>
      </c>
      <c r="M352" s="97">
        <v>0.15</v>
      </c>
      <c r="N352" s="97">
        <v>0.15</v>
      </c>
      <c r="O352" s="97">
        <v>0.15</v>
      </c>
      <c r="P352" s="97">
        <v>0.15</v>
      </c>
      <c r="Q352" s="76"/>
      <c r="R352" s="76" t="s">
        <v>510</v>
      </c>
      <c r="S352" s="76" t="s">
        <v>510</v>
      </c>
      <c r="T352" s="76"/>
      <c r="U352" s="252">
        <f t="shared" si="59"/>
        <v>0.15</v>
      </c>
      <c r="V352" s="252">
        <f t="shared" si="59"/>
        <v>0.15</v>
      </c>
      <c r="W352" s="252">
        <f t="shared" si="59"/>
        <v>0.15</v>
      </c>
      <c r="X352" s="252">
        <f t="shared" si="59"/>
        <v>0.15</v>
      </c>
      <c r="Y352" s="252">
        <v>0.15</v>
      </c>
      <c r="Z352" s="252">
        <v>0.15</v>
      </c>
      <c r="AA352" s="252">
        <v>0.15</v>
      </c>
      <c r="AB352" s="252">
        <v>0.15</v>
      </c>
      <c r="AC352" s="252">
        <f t="shared" si="60"/>
        <v>0.15</v>
      </c>
      <c r="AD352" s="252">
        <f t="shared" si="60"/>
        <v>0.15</v>
      </c>
      <c r="AE352" s="76"/>
      <c r="AF352" s="76"/>
      <c r="AG352" s="76"/>
      <c r="AH352" s="97">
        <v>1</v>
      </c>
      <c r="AI352" s="97">
        <v>1</v>
      </c>
      <c r="AJ352" s="73"/>
      <c r="AK352" s="57"/>
      <c r="AL352" s="45"/>
      <c r="AM352" s="45"/>
      <c r="AN352" s="45"/>
    </row>
    <row r="353" spans="1:40" hidden="1" outlineLevel="2" x14ac:dyDescent="0.25">
      <c r="A353" s="45"/>
      <c r="B353" s="54"/>
      <c r="C353" s="47">
        <f t="shared" si="58"/>
        <v>3</v>
      </c>
      <c r="D353" s="73"/>
      <c r="E353" s="70"/>
      <c r="F353" s="70" t="s">
        <v>922</v>
      </c>
      <c r="G353" s="73"/>
      <c r="H353" s="76" t="s">
        <v>920</v>
      </c>
      <c r="I353" s="96" t="s">
        <v>535</v>
      </c>
      <c r="J353" s="96"/>
      <c r="K353" s="97">
        <v>10</v>
      </c>
      <c r="L353" s="97">
        <v>10</v>
      </c>
      <c r="M353" s="97">
        <v>10</v>
      </c>
      <c r="N353" s="97">
        <v>10</v>
      </c>
      <c r="O353" s="97">
        <v>10</v>
      </c>
      <c r="P353" s="97">
        <v>10</v>
      </c>
      <c r="Q353" s="76"/>
      <c r="R353" s="76" t="s">
        <v>510</v>
      </c>
      <c r="S353" s="76" t="s">
        <v>510</v>
      </c>
      <c r="T353" s="76"/>
      <c r="U353" s="252">
        <f t="shared" si="59"/>
        <v>10</v>
      </c>
      <c r="V353" s="252">
        <f t="shared" si="59"/>
        <v>10</v>
      </c>
      <c r="W353" s="252">
        <f t="shared" si="59"/>
        <v>10</v>
      </c>
      <c r="X353" s="252">
        <f t="shared" si="59"/>
        <v>10</v>
      </c>
      <c r="Y353" s="252">
        <v>10</v>
      </c>
      <c r="Z353" s="252">
        <v>10</v>
      </c>
      <c r="AA353" s="252">
        <v>10</v>
      </c>
      <c r="AB353" s="252">
        <v>10</v>
      </c>
      <c r="AC353" s="252">
        <f t="shared" si="60"/>
        <v>10</v>
      </c>
      <c r="AD353" s="252">
        <f t="shared" si="60"/>
        <v>10</v>
      </c>
      <c r="AE353" s="76"/>
      <c r="AF353" s="76"/>
      <c r="AG353" s="76"/>
      <c r="AH353" s="97">
        <v>1</v>
      </c>
      <c r="AI353" s="97">
        <v>1</v>
      </c>
      <c r="AJ353" s="73"/>
      <c r="AK353" s="57"/>
      <c r="AL353" s="45"/>
      <c r="AM353" s="45"/>
      <c r="AN353" s="45"/>
    </row>
    <row r="354" spans="1:40" hidden="1" outlineLevel="2" x14ac:dyDescent="0.25">
      <c r="A354" s="45"/>
      <c r="B354" s="54"/>
      <c r="C354" s="47">
        <f t="shared" si="58"/>
        <v>3</v>
      </c>
      <c r="D354" s="73"/>
      <c r="E354" s="70"/>
      <c r="F354" s="70" t="s">
        <v>923</v>
      </c>
      <c r="G354" s="73"/>
      <c r="H354" s="76" t="s">
        <v>924</v>
      </c>
      <c r="I354" s="96" t="s">
        <v>925</v>
      </c>
      <c r="J354" s="96"/>
      <c r="K354" s="97">
        <v>0.38</v>
      </c>
      <c r="L354" s="97">
        <v>0.38</v>
      </c>
      <c r="M354" s="97">
        <v>0.38</v>
      </c>
      <c r="N354" s="97">
        <v>0.38</v>
      </c>
      <c r="O354" s="97">
        <v>0.38</v>
      </c>
      <c r="P354" s="97">
        <v>0.38</v>
      </c>
      <c r="Q354" s="76"/>
      <c r="R354" s="76" t="s">
        <v>510</v>
      </c>
      <c r="S354" s="76" t="s">
        <v>510</v>
      </c>
      <c r="T354" s="76"/>
      <c r="U354" s="252">
        <f t="shared" si="59"/>
        <v>0.38</v>
      </c>
      <c r="V354" s="252">
        <f t="shared" si="59"/>
        <v>0.38</v>
      </c>
      <c r="W354" s="252">
        <f t="shared" si="59"/>
        <v>0.38</v>
      </c>
      <c r="X354" s="252">
        <f t="shared" si="59"/>
        <v>0.38</v>
      </c>
      <c r="Y354" s="252">
        <v>0.38</v>
      </c>
      <c r="Z354" s="252">
        <v>0.38</v>
      </c>
      <c r="AA354" s="252">
        <v>0.38</v>
      </c>
      <c r="AB354" s="252">
        <v>0.38</v>
      </c>
      <c r="AC354" s="252">
        <f t="shared" si="60"/>
        <v>0.38</v>
      </c>
      <c r="AD354" s="252">
        <f t="shared" si="60"/>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5" t="s">
        <v>926</v>
      </c>
      <c r="G355" s="73"/>
      <c r="H355" s="246" t="s">
        <v>927</v>
      </c>
      <c r="I355" s="96"/>
      <c r="J355" s="96" t="s">
        <v>517</v>
      </c>
      <c r="K355" s="76"/>
      <c r="L355" s="76"/>
      <c r="M355" s="76"/>
      <c r="N355" s="76"/>
      <c r="O355" s="76"/>
      <c r="P355" s="76"/>
      <c r="Q355" s="76"/>
      <c r="R355" s="76"/>
      <c r="S355" s="76"/>
      <c r="T355" s="76"/>
      <c r="U355" s="79">
        <v>40</v>
      </c>
      <c r="V355" s="76"/>
      <c r="W355" s="79">
        <v>0</v>
      </c>
      <c r="X355" s="76"/>
      <c r="Y355" s="79">
        <v>0</v>
      </c>
      <c r="Z355" s="79">
        <v>0</v>
      </c>
      <c r="AA355" s="79">
        <v>0</v>
      </c>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928</v>
      </c>
      <c r="F356" s="70" t="s">
        <v>929</v>
      </c>
      <c r="G356" s="73"/>
      <c r="H356" s="76" t="s">
        <v>493</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1">INT($C$29)+2</f>
        <v>3</v>
      </c>
      <c r="D357" s="73"/>
      <c r="E357" s="70"/>
      <c r="F357" s="70" t="s">
        <v>930</v>
      </c>
      <c r="G357" s="73"/>
      <c r="H357" s="76" t="s">
        <v>931</v>
      </c>
      <c r="I357" s="96" t="s">
        <v>572</v>
      </c>
      <c r="J357" s="96"/>
      <c r="K357" s="97">
        <v>0.6</v>
      </c>
      <c r="L357" s="97">
        <v>0.6</v>
      </c>
      <c r="M357" s="97">
        <v>0.6</v>
      </c>
      <c r="N357" s="97">
        <v>0.6</v>
      </c>
      <c r="O357" s="97">
        <v>0.6</v>
      </c>
      <c r="P357" s="97">
        <v>0.6</v>
      </c>
      <c r="Q357" s="76"/>
      <c r="R357" s="76" t="s">
        <v>510</v>
      </c>
      <c r="S357" s="76" t="s">
        <v>510</v>
      </c>
      <c r="T357" s="76"/>
      <c r="U357" s="252">
        <f t="shared" ref="U357:X363" si="62">INDEX($K357:$Q357,1,U$43)</f>
        <v>0.6</v>
      </c>
      <c r="V357" s="252">
        <f t="shared" si="62"/>
        <v>0.6</v>
      </c>
      <c r="W357" s="252">
        <f t="shared" si="62"/>
        <v>0.6</v>
      </c>
      <c r="X357" s="252">
        <f t="shared" si="62"/>
        <v>0.6</v>
      </c>
      <c r="Y357" s="252">
        <v>0.6</v>
      </c>
      <c r="Z357" s="252">
        <v>0.6</v>
      </c>
      <c r="AA357" s="252">
        <v>0.6</v>
      </c>
      <c r="AB357" s="252">
        <v>0.6</v>
      </c>
      <c r="AC357" s="252">
        <f t="shared" ref="AC357:AD363" si="63">INDEX($K357:$Q357,1,AC$43)</f>
        <v>0.6</v>
      </c>
      <c r="AD357" s="252">
        <f t="shared" si="63"/>
        <v>0.6</v>
      </c>
      <c r="AE357" s="76"/>
      <c r="AF357" s="76"/>
      <c r="AG357" s="76"/>
      <c r="AH357" s="97">
        <v>1</v>
      </c>
      <c r="AI357" s="97">
        <v>1</v>
      </c>
      <c r="AJ357" s="73"/>
      <c r="AK357" s="57"/>
      <c r="AL357" s="45"/>
      <c r="AM357" s="45"/>
      <c r="AN357" s="45"/>
    </row>
    <row r="358" spans="1:40" hidden="1" outlineLevel="2" x14ac:dyDescent="0.25">
      <c r="A358" s="45"/>
      <c r="B358" s="54"/>
      <c r="C358" s="47">
        <f t="shared" si="61"/>
        <v>3</v>
      </c>
      <c r="D358" s="73"/>
      <c r="E358" s="70"/>
      <c r="F358" s="70" t="s">
        <v>932</v>
      </c>
      <c r="G358" s="73"/>
      <c r="H358" s="76" t="s">
        <v>933</v>
      </c>
      <c r="I358" s="96" t="s">
        <v>572</v>
      </c>
      <c r="J358" s="96"/>
      <c r="K358" s="97">
        <v>0.7</v>
      </c>
      <c r="L358" s="97">
        <v>0.7</v>
      </c>
      <c r="M358" s="97">
        <v>0.7</v>
      </c>
      <c r="N358" s="97">
        <v>0.7</v>
      </c>
      <c r="O358" s="97">
        <v>0.7</v>
      </c>
      <c r="P358" s="97">
        <v>0.7</v>
      </c>
      <c r="Q358" s="76"/>
      <c r="R358" s="76" t="s">
        <v>510</v>
      </c>
      <c r="S358" s="76" t="s">
        <v>510</v>
      </c>
      <c r="T358" s="76"/>
      <c r="U358" s="252">
        <f t="shared" si="62"/>
        <v>0.7</v>
      </c>
      <c r="V358" s="252">
        <f t="shared" si="62"/>
        <v>0.7</v>
      </c>
      <c r="W358" s="252">
        <f t="shared" si="62"/>
        <v>0.7</v>
      </c>
      <c r="X358" s="252">
        <f t="shared" si="62"/>
        <v>0.7</v>
      </c>
      <c r="Y358" s="252">
        <v>0.7</v>
      </c>
      <c r="Z358" s="252">
        <v>0.7</v>
      </c>
      <c r="AA358" s="252">
        <v>0.7</v>
      </c>
      <c r="AB358" s="252">
        <v>0.7</v>
      </c>
      <c r="AC358" s="252">
        <f t="shared" si="63"/>
        <v>0.7</v>
      </c>
      <c r="AD358" s="252">
        <f t="shared" si="63"/>
        <v>0.7</v>
      </c>
      <c r="AE358" s="76"/>
      <c r="AF358" s="76"/>
      <c r="AG358" s="76"/>
      <c r="AH358" s="97">
        <v>1</v>
      </c>
      <c r="AI358" s="97">
        <v>1</v>
      </c>
      <c r="AJ358" s="73"/>
      <c r="AK358" s="57"/>
      <c r="AL358" s="45"/>
      <c r="AM358" s="45"/>
      <c r="AN358" s="45"/>
    </row>
    <row r="359" spans="1:40" hidden="1" outlineLevel="2" x14ac:dyDescent="0.25">
      <c r="A359" s="45"/>
      <c r="B359" s="54"/>
      <c r="C359" s="47">
        <f t="shared" si="61"/>
        <v>3</v>
      </c>
      <c r="D359" s="73"/>
      <c r="E359" s="70"/>
      <c r="F359" s="70" t="s">
        <v>934</v>
      </c>
      <c r="G359" s="73"/>
      <c r="H359" s="76" t="s">
        <v>935</v>
      </c>
      <c r="I359" s="96" t="s">
        <v>572</v>
      </c>
      <c r="J359" s="96"/>
      <c r="K359" s="97">
        <v>0.8</v>
      </c>
      <c r="L359" s="97">
        <v>0.8</v>
      </c>
      <c r="M359" s="97">
        <v>0.8</v>
      </c>
      <c r="N359" s="97">
        <v>0.8</v>
      </c>
      <c r="O359" s="97">
        <v>0.8</v>
      </c>
      <c r="P359" s="97">
        <v>0.8</v>
      </c>
      <c r="Q359" s="76"/>
      <c r="R359" s="76" t="s">
        <v>510</v>
      </c>
      <c r="S359" s="76" t="s">
        <v>510</v>
      </c>
      <c r="T359" s="76"/>
      <c r="U359" s="252">
        <f t="shared" si="62"/>
        <v>0.8</v>
      </c>
      <c r="V359" s="252">
        <f t="shared" si="62"/>
        <v>0.8</v>
      </c>
      <c r="W359" s="252">
        <f t="shared" si="62"/>
        <v>0.8</v>
      </c>
      <c r="X359" s="252">
        <f t="shared" si="62"/>
        <v>0.8</v>
      </c>
      <c r="Y359" s="252">
        <v>0.8</v>
      </c>
      <c r="Z359" s="252">
        <v>0.8</v>
      </c>
      <c r="AA359" s="252">
        <v>0.8</v>
      </c>
      <c r="AB359" s="252">
        <v>0.8</v>
      </c>
      <c r="AC359" s="252">
        <f t="shared" si="63"/>
        <v>0.8</v>
      </c>
      <c r="AD359" s="252">
        <f t="shared" si="63"/>
        <v>0.8</v>
      </c>
      <c r="AE359" s="76"/>
      <c r="AF359" s="76"/>
      <c r="AG359" s="76"/>
      <c r="AH359" s="97">
        <v>1</v>
      </c>
      <c r="AI359" s="97">
        <v>1</v>
      </c>
      <c r="AJ359" s="73"/>
      <c r="AK359" s="57"/>
      <c r="AL359" s="45"/>
      <c r="AM359" s="45"/>
      <c r="AN359" s="45"/>
    </row>
    <row r="360" spans="1:40" hidden="1" outlineLevel="2" x14ac:dyDescent="0.25">
      <c r="A360" s="45"/>
      <c r="B360" s="54"/>
      <c r="C360" s="47">
        <f t="shared" si="61"/>
        <v>3</v>
      </c>
      <c r="D360" s="73"/>
      <c r="E360" s="70"/>
      <c r="F360" s="70" t="s">
        <v>936</v>
      </c>
      <c r="G360" s="73"/>
      <c r="H360" s="76" t="s">
        <v>937</v>
      </c>
      <c r="I360" s="96" t="s">
        <v>500</v>
      </c>
      <c r="J360" s="96"/>
      <c r="K360" s="97">
        <v>6</v>
      </c>
      <c r="L360" s="97">
        <v>6</v>
      </c>
      <c r="M360" s="97">
        <v>6</v>
      </c>
      <c r="N360" s="97">
        <v>6</v>
      </c>
      <c r="O360" s="97">
        <v>6</v>
      </c>
      <c r="P360" s="97">
        <v>6</v>
      </c>
      <c r="Q360" s="76"/>
      <c r="R360" s="76" t="s">
        <v>510</v>
      </c>
      <c r="S360" s="76" t="s">
        <v>510</v>
      </c>
      <c r="T360" s="76"/>
      <c r="U360" s="252">
        <f t="shared" si="62"/>
        <v>6</v>
      </c>
      <c r="V360" s="252">
        <f t="shared" si="62"/>
        <v>6</v>
      </c>
      <c r="W360" s="252">
        <f t="shared" si="62"/>
        <v>6</v>
      </c>
      <c r="X360" s="252">
        <f t="shared" si="62"/>
        <v>6</v>
      </c>
      <c r="Y360" s="252">
        <v>6</v>
      </c>
      <c r="Z360" s="252">
        <v>6</v>
      </c>
      <c r="AA360" s="252">
        <v>6</v>
      </c>
      <c r="AB360" s="252">
        <v>6</v>
      </c>
      <c r="AC360" s="252">
        <f t="shared" si="63"/>
        <v>6</v>
      </c>
      <c r="AD360" s="252">
        <f t="shared" si="63"/>
        <v>6</v>
      </c>
      <c r="AE360" s="76"/>
      <c r="AF360" s="76"/>
      <c r="AG360" s="76"/>
      <c r="AH360" s="97">
        <v>1</v>
      </c>
      <c r="AI360" s="97">
        <v>1</v>
      </c>
      <c r="AJ360" s="73"/>
      <c r="AK360" s="57"/>
      <c r="AL360" s="45"/>
      <c r="AM360" s="45"/>
      <c r="AN360" s="45"/>
    </row>
    <row r="361" spans="1:40" hidden="1" outlineLevel="2" x14ac:dyDescent="0.25">
      <c r="A361" s="45"/>
      <c r="B361" s="54"/>
      <c r="C361" s="47">
        <f t="shared" si="61"/>
        <v>3</v>
      </c>
      <c r="D361" s="73"/>
      <c r="E361" s="70"/>
      <c r="F361" s="70" t="s">
        <v>938</v>
      </c>
      <c r="G361" s="73"/>
      <c r="H361" s="76" t="s">
        <v>939</v>
      </c>
      <c r="I361" s="96" t="s">
        <v>500</v>
      </c>
      <c r="J361" s="96"/>
      <c r="K361" s="97">
        <v>0.4</v>
      </c>
      <c r="L361" s="97">
        <v>0.4</v>
      </c>
      <c r="M361" s="97">
        <v>0.4</v>
      </c>
      <c r="N361" s="97">
        <v>0.4</v>
      </c>
      <c r="O361" s="97">
        <v>0.4</v>
      </c>
      <c r="P361" s="97">
        <v>0.4</v>
      </c>
      <c r="Q361" s="76"/>
      <c r="R361" s="76" t="s">
        <v>510</v>
      </c>
      <c r="S361" s="76" t="s">
        <v>510</v>
      </c>
      <c r="T361" s="76"/>
      <c r="U361" s="252">
        <f t="shared" si="62"/>
        <v>0.4</v>
      </c>
      <c r="V361" s="252">
        <f t="shared" si="62"/>
        <v>0.4</v>
      </c>
      <c r="W361" s="252">
        <f t="shared" si="62"/>
        <v>0.4</v>
      </c>
      <c r="X361" s="252">
        <f t="shared" si="62"/>
        <v>0.4</v>
      </c>
      <c r="Y361" s="252">
        <v>0.4</v>
      </c>
      <c r="Z361" s="252">
        <v>0.4</v>
      </c>
      <c r="AA361" s="252">
        <v>0.4</v>
      </c>
      <c r="AB361" s="252">
        <v>0.4</v>
      </c>
      <c r="AC361" s="252">
        <f t="shared" si="63"/>
        <v>0.4</v>
      </c>
      <c r="AD361" s="252">
        <f t="shared" si="63"/>
        <v>0.4</v>
      </c>
      <c r="AE361" s="76"/>
      <c r="AF361" s="76"/>
      <c r="AG361" s="76"/>
      <c r="AH361" s="97">
        <v>1</v>
      </c>
      <c r="AI361" s="97">
        <v>1</v>
      </c>
      <c r="AJ361" s="73"/>
      <c r="AK361" s="57"/>
      <c r="AL361" s="45"/>
      <c r="AM361" s="45"/>
      <c r="AN361" s="45"/>
    </row>
    <row r="362" spans="1:40" hidden="1" outlineLevel="2" x14ac:dyDescent="0.25">
      <c r="A362" s="45"/>
      <c r="B362" s="54"/>
      <c r="C362" s="47">
        <f t="shared" si="61"/>
        <v>3</v>
      </c>
      <c r="D362" s="73"/>
      <c r="E362" s="70"/>
      <c r="F362" s="70" t="s">
        <v>940</v>
      </c>
      <c r="G362" s="73"/>
      <c r="H362" s="76" t="s">
        <v>941</v>
      </c>
      <c r="I362" s="96" t="s">
        <v>593</v>
      </c>
      <c r="J362" s="96"/>
      <c r="K362" s="97">
        <v>0.9</v>
      </c>
      <c r="L362" s="97">
        <v>0.9</v>
      </c>
      <c r="M362" s="97">
        <v>0.9</v>
      </c>
      <c r="N362" s="97">
        <v>0.9</v>
      </c>
      <c r="O362" s="97">
        <v>0.9</v>
      </c>
      <c r="P362" s="97">
        <v>0.9</v>
      </c>
      <c r="Q362" s="76"/>
      <c r="R362" s="76" t="s">
        <v>510</v>
      </c>
      <c r="S362" s="76" t="s">
        <v>510</v>
      </c>
      <c r="T362" s="76"/>
      <c r="U362" s="252">
        <f t="shared" si="62"/>
        <v>0.9</v>
      </c>
      <c r="V362" s="252">
        <f t="shared" si="62"/>
        <v>0.9</v>
      </c>
      <c r="W362" s="252">
        <f t="shared" si="62"/>
        <v>0.9</v>
      </c>
      <c r="X362" s="252">
        <f t="shared" si="62"/>
        <v>0.9</v>
      </c>
      <c r="Y362" s="252">
        <v>0.9</v>
      </c>
      <c r="Z362" s="252">
        <v>0.9</v>
      </c>
      <c r="AA362" s="252">
        <v>0.9</v>
      </c>
      <c r="AB362" s="252">
        <v>0.9</v>
      </c>
      <c r="AC362" s="252">
        <f t="shared" si="63"/>
        <v>0.9</v>
      </c>
      <c r="AD362" s="252">
        <f t="shared" si="63"/>
        <v>0.9</v>
      </c>
      <c r="AE362" s="76"/>
      <c r="AF362" s="76"/>
      <c r="AG362" s="76"/>
      <c r="AH362" s="97">
        <v>1</v>
      </c>
      <c r="AI362" s="97">
        <v>1</v>
      </c>
      <c r="AJ362" s="73"/>
      <c r="AK362" s="57"/>
      <c r="AL362" s="45"/>
      <c r="AM362" s="45"/>
      <c r="AN362" s="45"/>
    </row>
    <row r="363" spans="1:40" hidden="1" outlineLevel="2" x14ac:dyDescent="0.25">
      <c r="A363" s="45"/>
      <c r="B363" s="54"/>
      <c r="C363" s="47">
        <f t="shared" si="61"/>
        <v>3</v>
      </c>
      <c r="D363" s="73"/>
      <c r="E363" s="70"/>
      <c r="F363" s="70" t="s">
        <v>942</v>
      </c>
      <c r="G363" s="73"/>
      <c r="H363" s="76" t="s">
        <v>943</v>
      </c>
      <c r="I363" s="96" t="s">
        <v>593</v>
      </c>
      <c r="J363" s="96"/>
      <c r="K363" s="97">
        <v>0.97</v>
      </c>
      <c r="L363" s="97">
        <v>0.97</v>
      </c>
      <c r="M363" s="97">
        <v>0.97</v>
      </c>
      <c r="N363" s="97">
        <v>0.97</v>
      </c>
      <c r="O363" s="97">
        <v>0.97</v>
      </c>
      <c r="P363" s="97">
        <v>0.97</v>
      </c>
      <c r="Q363" s="76"/>
      <c r="R363" s="76" t="s">
        <v>510</v>
      </c>
      <c r="S363" s="76" t="s">
        <v>510</v>
      </c>
      <c r="T363" s="76"/>
      <c r="U363" s="252">
        <f t="shared" si="62"/>
        <v>0.97</v>
      </c>
      <c r="V363" s="252">
        <f t="shared" si="62"/>
        <v>0.97</v>
      </c>
      <c r="W363" s="252">
        <f t="shared" si="62"/>
        <v>0.97</v>
      </c>
      <c r="X363" s="252">
        <f t="shared" si="62"/>
        <v>0.97</v>
      </c>
      <c r="Y363" s="252">
        <v>0.97</v>
      </c>
      <c r="Z363" s="252">
        <v>0.97</v>
      </c>
      <c r="AA363" s="252">
        <v>0.97</v>
      </c>
      <c r="AB363" s="252">
        <v>0.97</v>
      </c>
      <c r="AC363" s="252">
        <f t="shared" si="63"/>
        <v>0.97</v>
      </c>
      <c r="AD363" s="252">
        <f t="shared" si="63"/>
        <v>0.97</v>
      </c>
      <c r="AE363" s="76"/>
      <c r="AF363" s="76"/>
      <c r="AG363" s="76"/>
      <c r="AH363" s="97">
        <v>1</v>
      </c>
      <c r="AI363" s="97">
        <v>1</v>
      </c>
      <c r="AJ363" s="73"/>
      <c r="AK363" s="57"/>
      <c r="AL363" s="45"/>
      <c r="AM363" s="45"/>
      <c r="AN363" s="45"/>
    </row>
    <row r="364" spans="1:40" hidden="1" outlineLevel="2" x14ac:dyDescent="0.25">
      <c r="A364" s="45"/>
      <c r="B364" s="54"/>
      <c r="C364" s="47">
        <f t="shared" si="61"/>
        <v>3</v>
      </c>
      <c r="D364" s="73"/>
      <c r="E364" s="70"/>
      <c r="F364" s="70" t="s">
        <v>944</v>
      </c>
      <c r="G364" s="73"/>
      <c r="H364" s="76" t="s">
        <v>945</v>
      </c>
      <c r="I364" s="96" t="s">
        <v>593</v>
      </c>
      <c r="J364" s="96"/>
      <c r="K364" s="97">
        <v>27</v>
      </c>
      <c r="L364" s="97">
        <v>27</v>
      </c>
      <c r="M364" s="97">
        <v>27</v>
      </c>
      <c r="N364" s="97">
        <v>23.2</v>
      </c>
      <c r="O364" s="97">
        <v>23.2</v>
      </c>
      <c r="P364" s="97">
        <v>27</v>
      </c>
      <c r="Q364" s="76"/>
      <c r="R364" s="76" t="s">
        <v>510</v>
      </c>
      <c r="S364" s="76" t="s">
        <v>510</v>
      </c>
      <c r="T364" s="76" t="s">
        <v>3324</v>
      </c>
      <c r="U364" s="252">
        <f t="shared" ref="U364:V371" si="64">INDEX($K364:$Q364,1,U$43)</f>
        <v>27</v>
      </c>
      <c r="V364" s="252">
        <f t="shared" si="64"/>
        <v>27</v>
      </c>
      <c r="W364" s="369">
        <v>23</v>
      </c>
      <c r="X364" s="369">
        <v>23.934247093884402</v>
      </c>
      <c r="Y364" s="369">
        <v>25.5</v>
      </c>
      <c r="Z364" s="369">
        <v>23</v>
      </c>
      <c r="AA364" s="369">
        <v>23</v>
      </c>
      <c r="AB364" s="252">
        <v>27</v>
      </c>
      <c r="AC364" s="252">
        <f t="shared" ref="AC364:AC371" si="65">INDEX($K364:$Q364,1,AC$43)</f>
        <v>27</v>
      </c>
      <c r="AD364" s="369">
        <f>INDEX($K364:$Q364,1,AD$43)-(20.3-11)</f>
        <v>17.7</v>
      </c>
      <c r="AE364" s="311"/>
      <c r="AF364" s="97" t="s">
        <v>2377</v>
      </c>
      <c r="AG364" s="76"/>
      <c r="AH364" s="97">
        <v>1</v>
      </c>
      <c r="AI364" s="97">
        <v>1</v>
      </c>
      <c r="AJ364" s="73"/>
      <c r="AK364" s="57"/>
      <c r="AL364" s="45"/>
      <c r="AM364" s="45"/>
      <c r="AN364" s="45"/>
    </row>
    <row r="365" spans="1:40" hidden="1" outlineLevel="2" x14ac:dyDescent="0.25">
      <c r="A365" s="45"/>
      <c r="B365" s="54"/>
      <c r="C365" s="47">
        <f t="shared" si="61"/>
        <v>3</v>
      </c>
      <c r="D365" s="73"/>
      <c r="E365" s="70"/>
      <c r="F365" s="70" t="s">
        <v>946</v>
      </c>
      <c r="G365" s="73"/>
      <c r="H365" s="76" t="s">
        <v>947</v>
      </c>
      <c r="I365" s="96" t="s">
        <v>593</v>
      </c>
      <c r="J365" s="96"/>
      <c r="K365" s="97">
        <v>20.3</v>
      </c>
      <c r="L365" s="97">
        <v>20.3</v>
      </c>
      <c r="M365" s="97">
        <v>20.3</v>
      </c>
      <c r="N365" s="97">
        <v>16.5</v>
      </c>
      <c r="O365" s="97">
        <v>16.5</v>
      </c>
      <c r="P365" s="97">
        <v>20.3</v>
      </c>
      <c r="Q365" s="76"/>
      <c r="R365" s="76" t="s">
        <v>510</v>
      </c>
      <c r="S365" s="76" t="s">
        <v>510</v>
      </c>
      <c r="T365" s="76" t="s">
        <v>3324</v>
      </c>
      <c r="U365" s="252">
        <f t="shared" si="64"/>
        <v>20.3</v>
      </c>
      <c r="V365" s="252">
        <f t="shared" si="64"/>
        <v>20.3</v>
      </c>
      <c r="W365" s="617">
        <f>INDEX($K365:$Q365,1,W$43)-(INDEX($K364:$Q364,1,W$43)-W364)</f>
        <v>16.3</v>
      </c>
      <c r="X365" s="617">
        <f>INDEX($K365:$Q365,1,X$43)-(INDEX($K364:$Q364,1,X$43)-X364)</f>
        <v>17.234247093884402</v>
      </c>
      <c r="Y365" s="617">
        <f>INDEX($K365:$Q365,1,Y$43)-(INDEX($K364:$Q364,1,Y$43)-Y364)</f>
        <v>18.8</v>
      </c>
      <c r="Z365" s="617">
        <f>INDEX($K365:$Q365,1,Z$43)-(INDEX($K364:$Q364,1,Z$43)-Z364)</f>
        <v>16.3</v>
      </c>
      <c r="AA365" s="617">
        <f>INDEX($K365:$Q365,1,AA$43)-(INDEX($K364:$Q364,1,AA$43)-AA364)</f>
        <v>16.3</v>
      </c>
      <c r="AB365" s="252">
        <v>20.3</v>
      </c>
      <c r="AC365" s="252">
        <f t="shared" si="65"/>
        <v>20.3</v>
      </c>
      <c r="AD365" s="369">
        <v>11</v>
      </c>
      <c r="AE365" s="311"/>
      <c r="AF365" s="97" t="s">
        <v>2377</v>
      </c>
      <c r="AG365" s="76"/>
      <c r="AH365" s="97">
        <v>1</v>
      </c>
      <c r="AI365" s="97">
        <v>1</v>
      </c>
      <c r="AJ365" s="73"/>
      <c r="AK365" s="57"/>
      <c r="AL365" s="45"/>
      <c r="AM365" s="45"/>
      <c r="AN365" s="45"/>
    </row>
    <row r="366" spans="1:40" hidden="1" outlineLevel="2" x14ac:dyDescent="0.25">
      <c r="A366" s="45"/>
      <c r="B366" s="54"/>
      <c r="C366" s="47">
        <f t="shared" si="61"/>
        <v>3</v>
      </c>
      <c r="D366" s="73"/>
      <c r="E366" s="70"/>
      <c r="F366" s="70" t="s">
        <v>948</v>
      </c>
      <c r="G366" s="73"/>
      <c r="H366" s="76" t="s">
        <v>949</v>
      </c>
      <c r="I366" s="96" t="s">
        <v>522</v>
      </c>
      <c r="J366" s="96"/>
      <c r="K366" s="97">
        <v>2</v>
      </c>
      <c r="L366" s="97">
        <v>2</v>
      </c>
      <c r="M366" s="97">
        <v>2</v>
      </c>
      <c r="N366" s="97">
        <v>2</v>
      </c>
      <c r="O366" s="97">
        <v>2</v>
      </c>
      <c r="P366" s="97">
        <v>2</v>
      </c>
      <c r="Q366" s="76"/>
      <c r="R366" s="76" t="s">
        <v>510</v>
      </c>
      <c r="S366" s="76" t="s">
        <v>510</v>
      </c>
      <c r="T366" s="76"/>
      <c r="U366" s="252">
        <f t="shared" si="64"/>
        <v>2</v>
      </c>
      <c r="V366" s="252">
        <f t="shared" si="64"/>
        <v>2</v>
      </c>
      <c r="W366" s="252">
        <f t="shared" ref="W366:X371" si="66">INDEX($K366:$Q366,1,W$43)</f>
        <v>2</v>
      </c>
      <c r="X366" s="252">
        <f t="shared" si="66"/>
        <v>2</v>
      </c>
      <c r="Y366" s="252">
        <v>2</v>
      </c>
      <c r="Z366" s="252">
        <v>2</v>
      </c>
      <c r="AA366" s="252">
        <v>2</v>
      </c>
      <c r="AB366" s="252">
        <v>2</v>
      </c>
      <c r="AC366" s="252">
        <f t="shared" si="65"/>
        <v>2</v>
      </c>
      <c r="AD366" s="252">
        <f t="shared" ref="AD366:AD371" si="67">INDEX($K366:$Q366,1,AD$43)</f>
        <v>2</v>
      </c>
      <c r="AE366" s="76"/>
      <c r="AF366" s="76"/>
      <c r="AG366" s="76"/>
      <c r="AH366" s="97">
        <v>1</v>
      </c>
      <c r="AI366" s="97">
        <v>1</v>
      </c>
      <c r="AJ366" s="73"/>
      <c r="AK366" s="57"/>
      <c r="AL366" s="45"/>
      <c r="AM366" s="45"/>
      <c r="AN366" s="45"/>
    </row>
    <row r="367" spans="1:40" hidden="1" outlineLevel="2" x14ac:dyDescent="0.25">
      <c r="A367" s="45"/>
      <c r="B367" s="54"/>
      <c r="C367" s="47">
        <f t="shared" si="61"/>
        <v>3</v>
      </c>
      <c r="D367" s="73"/>
      <c r="E367" s="70"/>
      <c r="F367" s="70" t="s">
        <v>950</v>
      </c>
      <c r="G367" s="73"/>
      <c r="H367" s="76" t="s">
        <v>951</v>
      </c>
      <c r="I367" s="96" t="s">
        <v>500</v>
      </c>
      <c r="J367" s="96"/>
      <c r="K367" s="97">
        <v>13.8</v>
      </c>
      <c r="L367" s="97">
        <v>13.8</v>
      </c>
      <c r="M367" s="97">
        <v>13.8</v>
      </c>
      <c r="N367" s="97">
        <v>13.8</v>
      </c>
      <c r="O367" s="97">
        <v>13.8</v>
      </c>
      <c r="P367" s="97">
        <v>13.8</v>
      </c>
      <c r="Q367" s="76"/>
      <c r="R367" s="76" t="s">
        <v>548</v>
      </c>
      <c r="S367" s="76" t="s">
        <v>548</v>
      </c>
      <c r="T367" s="76"/>
      <c r="U367" s="252">
        <f t="shared" si="64"/>
        <v>13.8</v>
      </c>
      <c r="V367" s="252">
        <f t="shared" si="64"/>
        <v>13.8</v>
      </c>
      <c r="W367" s="252">
        <f t="shared" si="66"/>
        <v>13.8</v>
      </c>
      <c r="X367" s="252">
        <f t="shared" si="66"/>
        <v>13.8</v>
      </c>
      <c r="Y367" s="252">
        <v>13.8</v>
      </c>
      <c r="Z367" s="252">
        <v>13.8</v>
      </c>
      <c r="AA367" s="252">
        <v>13.8</v>
      </c>
      <c r="AB367" s="252">
        <v>13.8</v>
      </c>
      <c r="AC367" s="252">
        <f t="shared" si="65"/>
        <v>13.8</v>
      </c>
      <c r="AD367" s="252">
        <f t="shared" si="67"/>
        <v>13.8</v>
      </c>
      <c r="AE367" s="76"/>
      <c r="AF367" s="76"/>
      <c r="AG367" s="76"/>
      <c r="AH367" s="97">
        <v>1</v>
      </c>
      <c r="AI367" s="97">
        <v>1</v>
      </c>
      <c r="AJ367" s="73"/>
      <c r="AK367" s="57"/>
      <c r="AL367" s="45"/>
      <c r="AM367" s="45"/>
      <c r="AN367" s="45"/>
    </row>
    <row r="368" spans="1:40" hidden="1" outlineLevel="2" x14ac:dyDescent="0.25">
      <c r="A368" s="45"/>
      <c r="B368" s="54"/>
      <c r="C368" s="47">
        <f t="shared" si="61"/>
        <v>3</v>
      </c>
      <c r="D368" s="73"/>
      <c r="E368" s="70"/>
      <c r="F368" s="70" t="s">
        <v>952</v>
      </c>
      <c r="G368" s="73"/>
      <c r="H368" s="76" t="s">
        <v>953</v>
      </c>
      <c r="I368" s="96" t="s">
        <v>500</v>
      </c>
      <c r="J368" s="96"/>
      <c r="K368" s="97">
        <v>7.1999999999999995E-2</v>
      </c>
      <c r="L368" s="97">
        <v>7.1999999999999995E-2</v>
      </c>
      <c r="M368" s="97">
        <v>7.1999999999999995E-2</v>
      </c>
      <c r="N368" s="97">
        <v>9.1999999999999998E-2</v>
      </c>
      <c r="O368" s="97">
        <v>9.1999999999999998E-2</v>
      </c>
      <c r="P368" s="97">
        <v>7.1999999999999995E-2</v>
      </c>
      <c r="Q368" s="76"/>
      <c r="R368" s="76" t="s">
        <v>548</v>
      </c>
      <c r="S368" s="76" t="s">
        <v>548</v>
      </c>
      <c r="T368" s="76"/>
      <c r="U368" s="252">
        <f t="shared" si="64"/>
        <v>7.1999999999999995E-2</v>
      </c>
      <c r="V368" s="252">
        <f t="shared" si="64"/>
        <v>7.1999999999999995E-2</v>
      </c>
      <c r="W368" s="252">
        <f t="shared" si="66"/>
        <v>7.1999999999999995E-2</v>
      </c>
      <c r="X368" s="252">
        <f t="shared" si="66"/>
        <v>7.1999999999999995E-2</v>
      </c>
      <c r="Y368" s="252">
        <v>7.1999999999999995E-2</v>
      </c>
      <c r="Z368" s="252">
        <v>7.1999999999999995E-2</v>
      </c>
      <c r="AA368" s="252">
        <v>7.1999999999999995E-2</v>
      </c>
      <c r="AB368" s="252">
        <v>7.1999999999999995E-2</v>
      </c>
      <c r="AC368" s="252">
        <f t="shared" si="65"/>
        <v>7.1999999999999995E-2</v>
      </c>
      <c r="AD368" s="252">
        <f t="shared" si="67"/>
        <v>7.1999999999999995E-2</v>
      </c>
      <c r="AE368" s="76"/>
      <c r="AF368" s="76"/>
      <c r="AG368" s="76"/>
      <c r="AH368" s="97">
        <v>1</v>
      </c>
      <c r="AI368" s="97">
        <v>1</v>
      </c>
      <c r="AJ368" s="73"/>
      <c r="AK368" s="57"/>
      <c r="AL368" s="45"/>
      <c r="AM368" s="45"/>
      <c r="AN368" s="45"/>
    </row>
    <row r="369" spans="1:40" hidden="1" outlineLevel="2" x14ac:dyDescent="0.25">
      <c r="A369" s="45"/>
      <c r="B369" s="54"/>
      <c r="C369" s="47">
        <f t="shared" si="61"/>
        <v>3</v>
      </c>
      <c r="D369" s="73"/>
      <c r="E369" s="70"/>
      <c r="F369" s="70" t="s">
        <v>954</v>
      </c>
      <c r="G369" s="73"/>
      <c r="H369" s="76" t="s">
        <v>955</v>
      </c>
      <c r="I369" s="96" t="s">
        <v>500</v>
      </c>
      <c r="J369" s="96"/>
      <c r="K369" s="97">
        <v>0.14000000000000001</v>
      </c>
      <c r="L369" s="97">
        <v>0.14000000000000001</v>
      </c>
      <c r="M369" s="97">
        <v>0.14000000000000001</v>
      </c>
      <c r="N369" s="97">
        <v>0.12</v>
      </c>
      <c r="O369" s="97">
        <v>0.12</v>
      </c>
      <c r="P369" s="97">
        <v>0.14000000000000001</v>
      </c>
      <c r="Q369" s="76"/>
      <c r="R369" s="76" t="s">
        <v>510</v>
      </c>
      <c r="S369" s="76" t="s">
        <v>510</v>
      </c>
      <c r="T369" s="76"/>
      <c r="U369" s="252">
        <f t="shared" si="64"/>
        <v>0.14000000000000001</v>
      </c>
      <c r="V369" s="252">
        <f t="shared" si="64"/>
        <v>0.14000000000000001</v>
      </c>
      <c r="W369" s="252">
        <f t="shared" si="66"/>
        <v>0.14000000000000001</v>
      </c>
      <c r="X369" s="252">
        <f t="shared" si="66"/>
        <v>0.14000000000000001</v>
      </c>
      <c r="Y369" s="252">
        <v>0.14000000000000001</v>
      </c>
      <c r="Z369" s="252">
        <v>0.14000000000000001</v>
      </c>
      <c r="AA369" s="252">
        <v>0.14000000000000001</v>
      </c>
      <c r="AB369" s="252">
        <v>0.14000000000000001</v>
      </c>
      <c r="AC369" s="252">
        <f t="shared" si="65"/>
        <v>0.14000000000000001</v>
      </c>
      <c r="AD369" s="252">
        <f t="shared" si="67"/>
        <v>0.14000000000000001</v>
      </c>
      <c r="AE369" s="76"/>
      <c r="AF369" s="76"/>
      <c r="AG369" s="76"/>
      <c r="AH369" s="97">
        <v>1</v>
      </c>
      <c r="AI369" s="97">
        <v>1</v>
      </c>
      <c r="AJ369" s="73"/>
      <c r="AK369" s="57"/>
      <c r="AL369" s="45"/>
      <c r="AM369" s="45"/>
      <c r="AN369" s="45"/>
    </row>
    <row r="370" spans="1:40" hidden="1" outlineLevel="2" x14ac:dyDescent="0.25">
      <c r="A370" s="45"/>
      <c r="B370" s="54"/>
      <c r="C370" s="47">
        <f t="shared" si="61"/>
        <v>3</v>
      </c>
      <c r="D370" s="73"/>
      <c r="E370" s="70"/>
      <c r="F370" s="70" t="s">
        <v>956</v>
      </c>
      <c r="G370" s="73"/>
      <c r="H370" s="76" t="s">
        <v>957</v>
      </c>
      <c r="I370" s="96" t="s">
        <v>500</v>
      </c>
      <c r="J370" s="96"/>
      <c r="K370" s="97">
        <v>8.0000000000000002E-3</v>
      </c>
      <c r="L370" s="97">
        <v>8.0000000000000002E-3</v>
      </c>
      <c r="M370" s="97">
        <v>8.0000000000000002E-3</v>
      </c>
      <c r="N370" s="97">
        <v>8.0000000000000002E-3</v>
      </c>
      <c r="O370" s="97">
        <v>8.0000000000000002E-3</v>
      </c>
      <c r="P370" s="97">
        <v>8.0000000000000002E-3</v>
      </c>
      <c r="Q370" s="76"/>
      <c r="R370" s="76" t="s">
        <v>510</v>
      </c>
      <c r="S370" s="76" t="s">
        <v>510</v>
      </c>
      <c r="T370" s="76"/>
      <c r="U370" s="252">
        <f t="shared" si="64"/>
        <v>8.0000000000000002E-3</v>
      </c>
      <c r="V370" s="252">
        <f t="shared" si="64"/>
        <v>8.0000000000000002E-3</v>
      </c>
      <c r="W370" s="252">
        <f t="shared" si="66"/>
        <v>8.0000000000000002E-3</v>
      </c>
      <c r="X370" s="252">
        <f t="shared" si="66"/>
        <v>8.0000000000000002E-3</v>
      </c>
      <c r="Y370" s="252">
        <v>8.0000000000000002E-3</v>
      </c>
      <c r="Z370" s="252">
        <v>8.0000000000000002E-3</v>
      </c>
      <c r="AA370" s="252">
        <v>8.0000000000000002E-3</v>
      </c>
      <c r="AB370" s="252">
        <v>8.0000000000000002E-3</v>
      </c>
      <c r="AC370" s="252">
        <f t="shared" si="65"/>
        <v>8.0000000000000002E-3</v>
      </c>
      <c r="AD370" s="252">
        <f t="shared" si="67"/>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1"/>
        <v>3</v>
      </c>
      <c r="D371" s="73"/>
      <c r="E371" s="70"/>
      <c r="F371" s="70" t="s">
        <v>958</v>
      </c>
      <c r="G371" s="73"/>
      <c r="H371" s="76" t="s">
        <v>959</v>
      </c>
      <c r="I371" s="96" t="s">
        <v>500</v>
      </c>
      <c r="J371" s="96"/>
      <c r="K371" s="97">
        <v>0.115</v>
      </c>
      <c r="L371" s="97">
        <v>0.115</v>
      </c>
      <c r="M371" s="97">
        <v>0.115</v>
      </c>
      <c r="N371" s="97">
        <v>0.115</v>
      </c>
      <c r="O371" s="97">
        <v>0.115</v>
      </c>
      <c r="P371" s="97">
        <v>0.115</v>
      </c>
      <c r="Q371" s="76"/>
      <c r="R371" s="76" t="s">
        <v>510</v>
      </c>
      <c r="S371" s="76" t="s">
        <v>510</v>
      </c>
      <c r="T371" s="76"/>
      <c r="U371" s="252">
        <f t="shared" si="64"/>
        <v>0.115</v>
      </c>
      <c r="V371" s="252">
        <f t="shared" si="64"/>
        <v>0.115</v>
      </c>
      <c r="W371" s="252">
        <f t="shared" si="66"/>
        <v>0.115</v>
      </c>
      <c r="X371" s="252">
        <f t="shared" si="66"/>
        <v>0.115</v>
      </c>
      <c r="Y371" s="252">
        <v>0.115</v>
      </c>
      <c r="Z371" s="252">
        <v>0.115</v>
      </c>
      <c r="AA371" s="252">
        <v>0.115</v>
      </c>
      <c r="AB371" s="252">
        <v>0.115</v>
      </c>
      <c r="AC371" s="252">
        <f t="shared" si="65"/>
        <v>0.115</v>
      </c>
      <c r="AD371" s="252">
        <f t="shared" si="67"/>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960</v>
      </c>
      <c r="G372" s="73"/>
      <c r="H372" s="76" t="s">
        <v>554</v>
      </c>
      <c r="I372" s="96" t="s">
        <v>500</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961</v>
      </c>
      <c r="G373" s="73"/>
      <c r="H373" s="76" t="s">
        <v>554</v>
      </c>
      <c r="I373" s="96" t="s">
        <v>500</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68">INT($C$29)+2</f>
        <v>3</v>
      </c>
      <c r="D374" s="73"/>
      <c r="E374" s="70"/>
      <c r="F374" s="70" t="s">
        <v>962</v>
      </c>
      <c r="G374" s="73"/>
      <c r="H374" s="76" t="s">
        <v>963</v>
      </c>
      <c r="I374" s="96" t="s">
        <v>500</v>
      </c>
      <c r="J374" s="96"/>
      <c r="K374" s="97">
        <v>1.0900000000000001</v>
      </c>
      <c r="L374" s="97">
        <v>1.0900000000000001</v>
      </c>
      <c r="M374" s="97">
        <v>1.0900000000000001</v>
      </c>
      <c r="N374" s="97">
        <v>1.0900000000000001</v>
      </c>
      <c r="O374" s="97">
        <v>1.0900000000000001</v>
      </c>
      <c r="P374" s="97">
        <v>1.0900000000000001</v>
      </c>
      <c r="Q374" s="76"/>
      <c r="R374" s="76" t="s">
        <v>510</v>
      </c>
      <c r="S374" s="76" t="s">
        <v>510</v>
      </c>
      <c r="T374" s="76"/>
      <c r="U374" s="252">
        <f>INDEX($K374:$Q374,1,U$43)</f>
        <v>1.0900000000000001</v>
      </c>
      <c r="V374" s="252">
        <f>INDEX($K374:$Q374,1,V$43)</f>
        <v>1.0900000000000001</v>
      </c>
      <c r="W374" s="252">
        <f>INDEX($K374:$Q374,1,W$43)</f>
        <v>1.0900000000000001</v>
      </c>
      <c r="X374" s="252">
        <f>INDEX($K374:$Q374,1,X$43)</f>
        <v>1.0900000000000001</v>
      </c>
      <c r="Y374" s="252">
        <v>1.0900000000000001</v>
      </c>
      <c r="Z374" s="252">
        <v>1.0900000000000001</v>
      </c>
      <c r="AA374" s="252">
        <v>1.0900000000000001</v>
      </c>
      <c r="AB374" s="252">
        <v>1.0900000000000001</v>
      </c>
      <c r="AC374" s="252">
        <f>INDEX($K374:$Q374,1,AC$43)</f>
        <v>1.0900000000000001</v>
      </c>
      <c r="AD374" s="252">
        <f>INDEX($K374:$Q374,1,AD$43)</f>
        <v>1.0900000000000001</v>
      </c>
      <c r="AE374" s="76"/>
      <c r="AF374" s="76"/>
      <c r="AG374" s="76"/>
      <c r="AH374" s="97">
        <v>1</v>
      </c>
      <c r="AI374" s="97">
        <v>1</v>
      </c>
      <c r="AJ374" s="73"/>
      <c r="AK374" s="57"/>
      <c r="AL374" s="45"/>
      <c r="AM374" s="45"/>
      <c r="AN374" s="45"/>
    </row>
    <row r="375" spans="1:40" hidden="1" outlineLevel="2" x14ac:dyDescent="0.25">
      <c r="A375" s="45"/>
      <c r="B375" s="54"/>
      <c r="C375" s="47">
        <f t="shared" si="68"/>
        <v>3</v>
      </c>
      <c r="D375" s="73"/>
      <c r="E375" s="70"/>
      <c r="F375" s="70" t="s">
        <v>964</v>
      </c>
      <c r="G375" s="73"/>
      <c r="H375" s="76" t="s">
        <v>554</v>
      </c>
      <c r="I375" s="96" t="s">
        <v>500</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68"/>
        <v>3</v>
      </c>
      <c r="D376" s="73"/>
      <c r="E376" s="70"/>
      <c r="F376" s="70" t="s">
        <v>968</v>
      </c>
      <c r="G376" s="73"/>
      <c r="H376" s="76" t="s">
        <v>972</v>
      </c>
      <c r="I376" s="96" t="s">
        <v>2993</v>
      </c>
      <c r="J376" s="96"/>
      <c r="K376" s="97">
        <v>39.6</v>
      </c>
      <c r="L376" s="97">
        <v>39.6</v>
      </c>
      <c r="M376" s="97">
        <v>39.6</v>
      </c>
      <c r="N376" s="97">
        <v>39.6</v>
      </c>
      <c r="O376" s="97">
        <v>39.6</v>
      </c>
      <c r="P376" s="97">
        <v>39.6</v>
      </c>
      <c r="Q376" s="76"/>
      <c r="R376" s="76" t="s">
        <v>2242</v>
      </c>
      <c r="S376" s="76" t="s">
        <v>2242</v>
      </c>
      <c r="T376" s="76"/>
      <c r="U376" s="252">
        <f t="shared" ref="U376:X395" si="69">INDEX($K376:$Q376,1,U$43)</f>
        <v>39.6</v>
      </c>
      <c r="V376" s="252">
        <f t="shared" si="69"/>
        <v>39.6</v>
      </c>
      <c r="W376" s="252">
        <f t="shared" si="69"/>
        <v>39.6</v>
      </c>
      <c r="X376" s="252">
        <f t="shared" si="69"/>
        <v>39.6</v>
      </c>
      <c r="Y376" s="252">
        <v>39.6</v>
      </c>
      <c r="Z376" s="252">
        <v>39.6</v>
      </c>
      <c r="AA376" s="252">
        <v>39.6</v>
      </c>
      <c r="AB376" s="252">
        <v>39.6</v>
      </c>
      <c r="AC376" s="252">
        <f t="shared" ref="AC376:AD395" si="70">INDEX($K376:$Q376,1,AC$43)</f>
        <v>39.6</v>
      </c>
      <c r="AD376" s="252">
        <f t="shared" si="70"/>
        <v>39.6</v>
      </c>
      <c r="AE376" s="76"/>
      <c r="AF376" s="76"/>
      <c r="AG376" s="76"/>
      <c r="AH376" s="97">
        <v>1</v>
      </c>
      <c r="AI376" s="97">
        <v>1</v>
      </c>
      <c r="AJ376" s="73"/>
      <c r="AK376" s="57"/>
      <c r="AL376" s="45"/>
      <c r="AM376" s="45"/>
      <c r="AN376" s="45"/>
    </row>
    <row r="377" spans="1:40" hidden="1" outlineLevel="2" x14ac:dyDescent="0.25">
      <c r="A377" s="45"/>
      <c r="B377" s="54"/>
      <c r="C377" s="47">
        <f t="shared" si="68"/>
        <v>3</v>
      </c>
      <c r="D377" s="73"/>
      <c r="E377" s="70"/>
      <c r="F377" s="70" t="s">
        <v>970</v>
      </c>
      <c r="G377" s="73"/>
      <c r="H377" s="76" t="s">
        <v>2831</v>
      </c>
      <c r="I377" s="96" t="s">
        <v>2993</v>
      </c>
      <c r="J377" s="96"/>
      <c r="K377" s="97">
        <v>23.8</v>
      </c>
      <c r="L377" s="97">
        <v>23.8</v>
      </c>
      <c r="M377" s="97">
        <v>23.8</v>
      </c>
      <c r="N377" s="97">
        <v>23.8</v>
      </c>
      <c r="O377" s="97">
        <v>23.8</v>
      </c>
      <c r="P377" s="97">
        <v>23.8</v>
      </c>
      <c r="Q377" s="76"/>
      <c r="R377" s="76" t="s">
        <v>2242</v>
      </c>
      <c r="S377" s="76" t="s">
        <v>2242</v>
      </c>
      <c r="T377" s="76"/>
      <c r="U377" s="252">
        <f t="shared" si="69"/>
        <v>23.8</v>
      </c>
      <c r="V377" s="252">
        <f t="shared" si="69"/>
        <v>23.8</v>
      </c>
      <c r="W377" s="252">
        <f t="shared" si="69"/>
        <v>23.8</v>
      </c>
      <c r="X377" s="252">
        <f t="shared" si="69"/>
        <v>23.8</v>
      </c>
      <c r="Y377" s="252">
        <v>23.8</v>
      </c>
      <c r="Z377" s="252">
        <v>23.8</v>
      </c>
      <c r="AA377" s="252">
        <v>23.8</v>
      </c>
      <c r="AB377" s="252">
        <v>23.8</v>
      </c>
      <c r="AC377" s="252">
        <f t="shared" si="70"/>
        <v>23.8</v>
      </c>
      <c r="AD377" s="252">
        <f t="shared" si="70"/>
        <v>23.8</v>
      </c>
      <c r="AE377" s="76"/>
      <c r="AF377" s="76"/>
      <c r="AG377" s="76"/>
      <c r="AH377" s="97">
        <v>1</v>
      </c>
      <c r="AI377" s="97">
        <v>1</v>
      </c>
      <c r="AJ377" s="73"/>
      <c r="AK377" s="57"/>
      <c r="AL377" s="45"/>
      <c r="AM377" s="45"/>
      <c r="AN377" s="45"/>
    </row>
    <row r="378" spans="1:40" hidden="1" outlineLevel="2" x14ac:dyDescent="0.25">
      <c r="A378" s="45"/>
      <c r="B378" s="54"/>
      <c r="C378" s="47">
        <f t="shared" si="68"/>
        <v>3</v>
      </c>
      <c r="D378" s="73"/>
      <c r="E378" s="70"/>
      <c r="F378" s="70" t="s">
        <v>971</v>
      </c>
      <c r="G378" s="73"/>
      <c r="H378" s="76" t="s">
        <v>2832</v>
      </c>
      <c r="I378" s="96" t="s">
        <v>2993</v>
      </c>
      <c r="J378" s="96"/>
      <c r="K378" s="97">
        <v>23.8</v>
      </c>
      <c r="L378" s="97">
        <v>23.8</v>
      </c>
      <c r="M378" s="97">
        <v>23.8</v>
      </c>
      <c r="N378" s="97">
        <v>23.8</v>
      </c>
      <c r="O378" s="97">
        <v>23.8</v>
      </c>
      <c r="P378" s="97">
        <v>23.8</v>
      </c>
      <c r="Q378" s="76"/>
      <c r="R378" s="76" t="s">
        <v>2242</v>
      </c>
      <c r="S378" s="76" t="s">
        <v>2242</v>
      </c>
      <c r="T378" s="76"/>
      <c r="U378" s="252">
        <f t="shared" si="69"/>
        <v>23.8</v>
      </c>
      <c r="V378" s="252">
        <f t="shared" si="69"/>
        <v>23.8</v>
      </c>
      <c r="W378" s="252">
        <f t="shared" si="69"/>
        <v>23.8</v>
      </c>
      <c r="X378" s="252">
        <f t="shared" si="69"/>
        <v>23.8</v>
      </c>
      <c r="Y378" s="252">
        <v>23.8</v>
      </c>
      <c r="Z378" s="252">
        <v>23.8</v>
      </c>
      <c r="AA378" s="252">
        <v>23.8</v>
      </c>
      <c r="AB378" s="252">
        <v>23.8</v>
      </c>
      <c r="AC378" s="252">
        <f t="shared" si="70"/>
        <v>23.8</v>
      </c>
      <c r="AD378" s="252">
        <f t="shared" si="70"/>
        <v>23.8</v>
      </c>
      <c r="AE378" s="76"/>
      <c r="AF378" s="76"/>
      <c r="AG378" s="76"/>
      <c r="AH378" s="97">
        <v>1</v>
      </c>
      <c r="AI378" s="97">
        <v>1</v>
      </c>
      <c r="AJ378" s="73"/>
      <c r="AK378" s="57"/>
      <c r="AL378" s="45"/>
      <c r="AM378" s="45"/>
      <c r="AN378" s="45"/>
    </row>
    <row r="379" spans="1:40" hidden="1" outlineLevel="2" x14ac:dyDescent="0.25">
      <c r="A379" s="45"/>
      <c r="B379" s="54"/>
      <c r="C379" s="47">
        <f t="shared" si="68"/>
        <v>3</v>
      </c>
      <c r="D379" s="73"/>
      <c r="E379" s="70"/>
      <c r="F379" s="70" t="s">
        <v>2825</v>
      </c>
      <c r="G379" s="73"/>
      <c r="H379" s="76" t="s">
        <v>2833</v>
      </c>
      <c r="I379" s="96" t="s">
        <v>2993</v>
      </c>
      <c r="J379" s="96"/>
      <c r="K379" s="97">
        <v>23.8</v>
      </c>
      <c r="L379" s="97">
        <v>23.8</v>
      </c>
      <c r="M379" s="97"/>
      <c r="N379" s="97"/>
      <c r="O379" s="97"/>
      <c r="P379" s="97"/>
      <c r="Q379" s="76"/>
      <c r="R379" s="76" t="s">
        <v>2242</v>
      </c>
      <c r="S379" s="76" t="s">
        <v>2242</v>
      </c>
      <c r="T379" s="76"/>
      <c r="U379" s="252">
        <f t="shared" si="69"/>
        <v>23.8</v>
      </c>
      <c r="V379" s="252">
        <f t="shared" si="69"/>
        <v>23.8</v>
      </c>
      <c r="W379" s="252">
        <f t="shared" si="69"/>
        <v>23.8</v>
      </c>
      <c r="X379" s="252">
        <f t="shared" si="69"/>
        <v>23.8</v>
      </c>
      <c r="Y379" s="252">
        <v>23.8</v>
      </c>
      <c r="Z379" s="252">
        <v>23.8</v>
      </c>
      <c r="AA379" s="252">
        <v>23.8</v>
      </c>
      <c r="AB379" s="252">
        <v>23.8</v>
      </c>
      <c r="AC379" s="252">
        <f t="shared" si="70"/>
        <v>23.8</v>
      </c>
      <c r="AD379" s="252">
        <f t="shared" si="70"/>
        <v>23.8</v>
      </c>
      <c r="AE379" s="76"/>
      <c r="AF379" s="76"/>
      <c r="AG379" s="76"/>
      <c r="AH379" s="97">
        <v>1</v>
      </c>
      <c r="AI379" s="97">
        <v>1</v>
      </c>
      <c r="AJ379" s="73"/>
      <c r="AK379" s="57"/>
      <c r="AL379" s="45"/>
      <c r="AM379" s="45"/>
      <c r="AN379" s="45"/>
    </row>
    <row r="380" spans="1:40" hidden="1" outlineLevel="2" x14ac:dyDescent="0.25">
      <c r="A380" s="45"/>
      <c r="B380" s="54"/>
      <c r="C380" s="47">
        <f t="shared" si="68"/>
        <v>3</v>
      </c>
      <c r="D380" s="73"/>
      <c r="E380" s="70"/>
      <c r="F380" s="70" t="s">
        <v>2826</v>
      </c>
      <c r="G380" s="73"/>
      <c r="H380" s="76" t="s">
        <v>2840</v>
      </c>
      <c r="I380" s="96" t="s">
        <v>2993</v>
      </c>
      <c r="J380" s="96"/>
      <c r="K380" s="76"/>
      <c r="L380" s="76"/>
      <c r="M380" s="76"/>
      <c r="N380" s="76"/>
      <c r="O380" s="76"/>
      <c r="P380" s="76"/>
      <c r="Q380" s="76"/>
      <c r="R380" s="76"/>
      <c r="S380" s="76"/>
      <c r="T380" s="76"/>
      <c r="U380" s="252">
        <f t="shared" si="69"/>
        <v>0</v>
      </c>
      <c r="V380" s="252">
        <f t="shared" si="69"/>
        <v>0</v>
      </c>
      <c r="W380" s="252">
        <f t="shared" si="69"/>
        <v>0</v>
      </c>
      <c r="X380" s="252">
        <f t="shared" si="69"/>
        <v>0</v>
      </c>
      <c r="Y380" s="252">
        <v>0</v>
      </c>
      <c r="Z380" s="252">
        <v>0</v>
      </c>
      <c r="AA380" s="252">
        <v>0</v>
      </c>
      <c r="AB380" s="252">
        <v>0</v>
      </c>
      <c r="AC380" s="252">
        <f t="shared" si="70"/>
        <v>0</v>
      </c>
      <c r="AD380" s="252">
        <f t="shared" si="70"/>
        <v>0</v>
      </c>
      <c r="AE380" s="76"/>
      <c r="AF380" s="76"/>
      <c r="AG380" s="76"/>
      <c r="AH380" s="76">
        <v>1</v>
      </c>
      <c r="AI380" s="76">
        <v>1</v>
      </c>
      <c r="AJ380" s="73"/>
      <c r="AK380" s="57"/>
      <c r="AL380" s="45"/>
      <c r="AM380" s="45"/>
      <c r="AN380" s="45"/>
    </row>
    <row r="381" spans="1:40" hidden="1" outlineLevel="2" x14ac:dyDescent="0.25">
      <c r="A381" s="45"/>
      <c r="B381" s="54"/>
      <c r="C381" s="47">
        <f t="shared" si="68"/>
        <v>3</v>
      </c>
      <c r="D381" s="73"/>
      <c r="E381" s="70"/>
      <c r="F381" s="70" t="s">
        <v>2827</v>
      </c>
      <c r="G381" s="73"/>
      <c r="H381" s="76" t="s">
        <v>2841</v>
      </c>
      <c r="I381" s="96" t="s">
        <v>2993</v>
      </c>
      <c r="J381" s="96"/>
      <c r="K381" s="76"/>
      <c r="L381" s="76"/>
      <c r="M381" s="76"/>
      <c r="N381" s="76"/>
      <c r="O381" s="76"/>
      <c r="P381" s="76"/>
      <c r="Q381" s="76"/>
      <c r="R381" s="76"/>
      <c r="S381" s="76"/>
      <c r="T381" s="76"/>
      <c r="U381" s="252">
        <f t="shared" si="69"/>
        <v>0</v>
      </c>
      <c r="V381" s="252">
        <f t="shared" si="69"/>
        <v>0</v>
      </c>
      <c r="W381" s="252">
        <f t="shared" si="69"/>
        <v>0</v>
      </c>
      <c r="X381" s="252">
        <f t="shared" si="69"/>
        <v>0</v>
      </c>
      <c r="Y381" s="252">
        <v>0</v>
      </c>
      <c r="Z381" s="252">
        <v>0</v>
      </c>
      <c r="AA381" s="252">
        <v>0</v>
      </c>
      <c r="AB381" s="252">
        <v>0</v>
      </c>
      <c r="AC381" s="252">
        <f t="shared" si="70"/>
        <v>0</v>
      </c>
      <c r="AD381" s="252">
        <f t="shared" si="70"/>
        <v>0</v>
      </c>
      <c r="AE381" s="76"/>
      <c r="AF381" s="76"/>
      <c r="AG381" s="76"/>
      <c r="AH381" s="76">
        <v>1</v>
      </c>
      <c r="AI381" s="76">
        <v>1</v>
      </c>
      <c r="AJ381" s="73"/>
      <c r="AK381" s="57"/>
      <c r="AL381" s="45"/>
      <c r="AM381" s="45"/>
      <c r="AN381" s="45"/>
    </row>
    <row r="382" spans="1:40" hidden="1" outlineLevel="2" x14ac:dyDescent="0.25">
      <c r="A382" s="45"/>
      <c r="B382" s="54"/>
      <c r="C382" s="47">
        <f t="shared" si="68"/>
        <v>3</v>
      </c>
      <c r="D382" s="73"/>
      <c r="E382" s="70"/>
      <c r="F382" s="70" t="s">
        <v>2828</v>
      </c>
      <c r="G382" s="73"/>
      <c r="H382" s="76" t="s">
        <v>969</v>
      </c>
      <c r="I382" s="96" t="s">
        <v>500</v>
      </c>
      <c r="J382" s="96"/>
      <c r="K382" s="97">
        <v>1</v>
      </c>
      <c r="L382" s="97">
        <v>1</v>
      </c>
      <c r="M382" s="97">
        <v>1</v>
      </c>
      <c r="N382" s="97">
        <v>1</v>
      </c>
      <c r="O382" s="97">
        <v>1</v>
      </c>
      <c r="P382" s="97">
        <v>1</v>
      </c>
      <c r="Q382" s="76"/>
      <c r="R382" s="76" t="s">
        <v>2988</v>
      </c>
      <c r="S382" s="76" t="s">
        <v>2989</v>
      </c>
      <c r="T382" s="76"/>
      <c r="U382" s="252">
        <f t="shared" si="69"/>
        <v>1</v>
      </c>
      <c r="V382" s="252">
        <f t="shared" si="69"/>
        <v>1</v>
      </c>
      <c r="W382" s="252">
        <f t="shared" si="69"/>
        <v>1</v>
      </c>
      <c r="X382" s="252">
        <f t="shared" si="69"/>
        <v>1</v>
      </c>
      <c r="Y382" s="252">
        <v>1</v>
      </c>
      <c r="Z382" s="252">
        <v>1</v>
      </c>
      <c r="AA382" s="252">
        <v>1</v>
      </c>
      <c r="AB382" s="252">
        <v>1</v>
      </c>
      <c r="AC382" s="252">
        <f t="shared" si="70"/>
        <v>1</v>
      </c>
      <c r="AD382" s="252">
        <f t="shared" si="70"/>
        <v>1</v>
      </c>
      <c r="AE382" s="76"/>
      <c r="AF382" s="76"/>
      <c r="AG382" s="76"/>
      <c r="AH382" s="97">
        <v>1</v>
      </c>
      <c r="AI382" s="97">
        <v>1</v>
      </c>
      <c r="AJ382" s="73"/>
      <c r="AK382" s="57"/>
      <c r="AL382" s="45"/>
      <c r="AM382" s="45"/>
      <c r="AN382" s="45"/>
    </row>
    <row r="383" spans="1:40" hidden="1" outlineLevel="2" x14ac:dyDescent="0.25">
      <c r="A383" s="45"/>
      <c r="B383" s="54"/>
      <c r="C383" s="47">
        <f t="shared" si="68"/>
        <v>3</v>
      </c>
      <c r="D383" s="73"/>
      <c r="E383" s="70"/>
      <c r="F383" s="70" t="s">
        <v>2829</v>
      </c>
      <c r="G383" s="73"/>
      <c r="H383" s="76" t="s">
        <v>965</v>
      </c>
      <c r="I383" s="96" t="s">
        <v>500</v>
      </c>
      <c r="J383" s="96"/>
      <c r="K383" s="97">
        <v>0.21</v>
      </c>
      <c r="L383" s="97">
        <v>0.21</v>
      </c>
      <c r="M383" s="97">
        <v>0.21</v>
      </c>
      <c r="N383" s="97">
        <v>0.21</v>
      </c>
      <c r="O383" s="97">
        <v>0.21</v>
      </c>
      <c r="P383" s="97">
        <v>0.21</v>
      </c>
      <c r="Q383" s="76"/>
      <c r="R383" s="76" t="s">
        <v>966</v>
      </c>
      <c r="S383" s="76" t="s">
        <v>967</v>
      </c>
      <c r="T383" s="76"/>
      <c r="U383" s="252">
        <f t="shared" si="69"/>
        <v>0.21</v>
      </c>
      <c r="V383" s="252">
        <f t="shared" si="69"/>
        <v>0.21</v>
      </c>
      <c r="W383" s="252">
        <f t="shared" si="69"/>
        <v>0.21</v>
      </c>
      <c r="X383" s="252">
        <f t="shared" si="69"/>
        <v>0.21</v>
      </c>
      <c r="Y383" s="252">
        <v>0.21</v>
      </c>
      <c r="Z383" s="252">
        <v>0.21</v>
      </c>
      <c r="AA383" s="252">
        <v>0.21</v>
      </c>
      <c r="AB383" s="252">
        <v>0.21</v>
      </c>
      <c r="AC383" s="252">
        <f t="shared" si="70"/>
        <v>0.21</v>
      </c>
      <c r="AD383" s="252">
        <f t="shared" si="70"/>
        <v>0.21</v>
      </c>
      <c r="AE383" s="76"/>
      <c r="AF383" s="76"/>
      <c r="AG383" s="76"/>
      <c r="AH383" s="97">
        <v>1</v>
      </c>
      <c r="AI383" s="97">
        <v>1</v>
      </c>
      <c r="AJ383" s="73"/>
      <c r="AK383" s="57"/>
      <c r="AL383" s="45"/>
      <c r="AM383" s="45"/>
      <c r="AN383" s="45"/>
    </row>
    <row r="384" spans="1:40" hidden="1" outlineLevel="2" x14ac:dyDescent="0.25">
      <c r="A384" s="45"/>
      <c r="B384" s="54"/>
      <c r="C384" s="47">
        <f t="shared" si="68"/>
        <v>3</v>
      </c>
      <c r="D384" s="73"/>
      <c r="E384" s="70"/>
      <c r="F384" s="70" t="s">
        <v>2830</v>
      </c>
      <c r="G384" s="73"/>
      <c r="H384" s="76" t="s">
        <v>2835</v>
      </c>
      <c r="I384" s="96" t="s">
        <v>500</v>
      </c>
      <c r="J384" s="96"/>
      <c r="K384" s="97">
        <v>0.157</v>
      </c>
      <c r="L384" s="97">
        <v>0.157</v>
      </c>
      <c r="M384" s="97">
        <v>0.157</v>
      </c>
      <c r="N384" s="97">
        <v>0.157</v>
      </c>
      <c r="O384" s="97">
        <v>0.157</v>
      </c>
      <c r="P384" s="97">
        <v>0.157</v>
      </c>
      <c r="Q384" s="76"/>
      <c r="R384" s="76" t="s">
        <v>2836</v>
      </c>
      <c r="S384" s="76"/>
      <c r="T384" s="76"/>
      <c r="U384" s="252">
        <f t="shared" si="69"/>
        <v>0.157</v>
      </c>
      <c r="V384" s="252">
        <f t="shared" si="69"/>
        <v>0.157</v>
      </c>
      <c r="W384" s="252">
        <f t="shared" si="69"/>
        <v>0.157</v>
      </c>
      <c r="X384" s="252">
        <f t="shared" si="69"/>
        <v>0.157</v>
      </c>
      <c r="Y384" s="252">
        <v>0.157</v>
      </c>
      <c r="Z384" s="252">
        <v>0.157</v>
      </c>
      <c r="AA384" s="252">
        <v>0.157</v>
      </c>
      <c r="AB384" s="252">
        <v>0.157</v>
      </c>
      <c r="AC384" s="252">
        <f t="shared" si="70"/>
        <v>0.157</v>
      </c>
      <c r="AD384" s="252">
        <f t="shared" si="70"/>
        <v>0.157</v>
      </c>
      <c r="AE384" s="76"/>
      <c r="AF384" s="76"/>
      <c r="AG384" s="76"/>
      <c r="AH384" s="97">
        <v>1</v>
      </c>
      <c r="AI384" s="97">
        <v>1</v>
      </c>
      <c r="AJ384" s="73"/>
      <c r="AK384" s="57"/>
      <c r="AL384" s="45"/>
      <c r="AM384" s="45"/>
      <c r="AN384" s="45"/>
    </row>
    <row r="385" spans="1:40" hidden="1" outlineLevel="2" x14ac:dyDescent="0.25">
      <c r="A385" s="45"/>
      <c r="B385" s="54"/>
      <c r="C385" s="47">
        <f t="shared" si="68"/>
        <v>3</v>
      </c>
      <c r="D385" s="73"/>
      <c r="E385" s="70"/>
      <c r="F385" s="70" t="s">
        <v>2839</v>
      </c>
      <c r="G385" s="73"/>
      <c r="H385" s="76" t="s">
        <v>2834</v>
      </c>
      <c r="I385" s="96" t="s">
        <v>500</v>
      </c>
      <c r="J385" s="96"/>
      <c r="K385" s="97">
        <v>0.85</v>
      </c>
      <c r="L385" s="97">
        <v>0.85</v>
      </c>
      <c r="M385" s="97"/>
      <c r="N385" s="97"/>
      <c r="O385" s="97"/>
      <c r="P385" s="97"/>
      <c r="Q385" s="76"/>
      <c r="R385" s="76" t="s">
        <v>2838</v>
      </c>
      <c r="S385" s="76"/>
      <c r="T385" s="76"/>
      <c r="U385" s="252">
        <f t="shared" si="69"/>
        <v>0.85</v>
      </c>
      <c r="V385" s="252">
        <f t="shared" si="69"/>
        <v>0.85</v>
      </c>
      <c r="W385" s="252">
        <f t="shared" si="69"/>
        <v>0.85</v>
      </c>
      <c r="X385" s="252">
        <f t="shared" si="69"/>
        <v>0.85</v>
      </c>
      <c r="Y385" s="252">
        <v>0.85</v>
      </c>
      <c r="Z385" s="252">
        <v>0.85</v>
      </c>
      <c r="AA385" s="252">
        <v>0.85</v>
      </c>
      <c r="AB385" s="252">
        <v>0.85</v>
      </c>
      <c r="AC385" s="252">
        <f t="shared" si="70"/>
        <v>0.85</v>
      </c>
      <c r="AD385" s="252">
        <f t="shared" si="70"/>
        <v>0.85</v>
      </c>
      <c r="AE385" s="76"/>
      <c r="AF385" s="76"/>
      <c r="AG385" s="76"/>
      <c r="AH385" s="97">
        <v>1</v>
      </c>
      <c r="AI385" s="97">
        <v>1</v>
      </c>
      <c r="AJ385" s="73"/>
      <c r="AK385" s="57"/>
      <c r="AL385" s="45"/>
      <c r="AM385" s="45"/>
      <c r="AN385" s="45"/>
    </row>
    <row r="386" spans="1:40" hidden="1" outlineLevel="2" x14ac:dyDescent="0.25">
      <c r="A386" s="45"/>
      <c r="B386" s="54"/>
      <c r="C386" s="47">
        <f t="shared" si="68"/>
        <v>3</v>
      </c>
      <c r="D386" s="73"/>
      <c r="E386" s="70"/>
      <c r="F386" s="70" t="s">
        <v>2866</v>
      </c>
      <c r="G386" s="73"/>
      <c r="H386" s="76" t="s">
        <v>2840</v>
      </c>
      <c r="I386" s="96" t="s">
        <v>500</v>
      </c>
      <c r="J386" s="96"/>
      <c r="K386" s="76"/>
      <c r="L386" s="76"/>
      <c r="M386" s="76"/>
      <c r="N386" s="76"/>
      <c r="O386" s="76"/>
      <c r="P386" s="76"/>
      <c r="Q386" s="76"/>
      <c r="R386" s="76"/>
      <c r="S386" s="76"/>
      <c r="T386" s="76"/>
      <c r="U386" s="252">
        <f t="shared" si="69"/>
        <v>0</v>
      </c>
      <c r="V386" s="252">
        <f t="shared" si="69"/>
        <v>0</v>
      </c>
      <c r="W386" s="252">
        <f t="shared" si="69"/>
        <v>0</v>
      </c>
      <c r="X386" s="252">
        <f t="shared" si="69"/>
        <v>0</v>
      </c>
      <c r="Y386" s="252">
        <v>0</v>
      </c>
      <c r="Z386" s="252">
        <v>0</v>
      </c>
      <c r="AA386" s="252">
        <v>0</v>
      </c>
      <c r="AB386" s="252">
        <v>0</v>
      </c>
      <c r="AC386" s="252">
        <f t="shared" si="70"/>
        <v>0</v>
      </c>
      <c r="AD386" s="252">
        <f t="shared" si="70"/>
        <v>0</v>
      </c>
      <c r="AE386" s="76"/>
      <c r="AF386" s="76"/>
      <c r="AG386" s="76"/>
      <c r="AH386" s="76">
        <v>1</v>
      </c>
      <c r="AI386" s="76">
        <v>1</v>
      </c>
      <c r="AJ386" s="73"/>
      <c r="AK386" s="57"/>
      <c r="AL386" s="45"/>
      <c r="AM386" s="45"/>
      <c r="AN386" s="45"/>
    </row>
    <row r="387" spans="1:40" hidden="1" outlineLevel="2" x14ac:dyDescent="0.25">
      <c r="A387" s="45"/>
      <c r="B387" s="54"/>
      <c r="C387" s="47">
        <f t="shared" si="68"/>
        <v>3</v>
      </c>
      <c r="D387" s="73"/>
      <c r="E387" s="70"/>
      <c r="F387" s="70" t="s">
        <v>2867</v>
      </c>
      <c r="G387" s="73"/>
      <c r="H387" s="76" t="s">
        <v>2841</v>
      </c>
      <c r="I387" s="96" t="s">
        <v>500</v>
      </c>
      <c r="J387" s="96"/>
      <c r="K387" s="76"/>
      <c r="L387" s="76"/>
      <c r="M387" s="76"/>
      <c r="N387" s="76"/>
      <c r="O387" s="76"/>
      <c r="P387" s="76"/>
      <c r="Q387" s="76"/>
      <c r="R387" s="76"/>
      <c r="S387" s="76"/>
      <c r="T387" s="76"/>
      <c r="U387" s="252">
        <f t="shared" si="69"/>
        <v>0</v>
      </c>
      <c r="V387" s="252">
        <f t="shared" si="69"/>
        <v>0</v>
      </c>
      <c r="W387" s="252">
        <f t="shared" si="69"/>
        <v>0</v>
      </c>
      <c r="X387" s="252">
        <f t="shared" si="69"/>
        <v>0</v>
      </c>
      <c r="Y387" s="252">
        <v>0</v>
      </c>
      <c r="Z387" s="252">
        <v>0</v>
      </c>
      <c r="AA387" s="252">
        <v>0</v>
      </c>
      <c r="AB387" s="252">
        <v>0</v>
      </c>
      <c r="AC387" s="252">
        <f t="shared" si="70"/>
        <v>0</v>
      </c>
      <c r="AD387" s="252">
        <f t="shared" si="70"/>
        <v>0</v>
      </c>
      <c r="AE387" s="76"/>
      <c r="AF387" s="76"/>
      <c r="AG387" s="76"/>
      <c r="AH387" s="76">
        <v>1</v>
      </c>
      <c r="AI387" s="76">
        <v>1</v>
      </c>
      <c r="AJ387" s="73"/>
      <c r="AK387" s="57"/>
      <c r="AL387" s="45"/>
      <c r="AM387" s="45"/>
      <c r="AN387" s="45"/>
    </row>
    <row r="388" spans="1:40" hidden="1" outlineLevel="2" x14ac:dyDescent="0.25">
      <c r="A388" s="45"/>
      <c r="B388" s="54"/>
      <c r="C388" s="47">
        <f t="shared" si="68"/>
        <v>3</v>
      </c>
      <c r="D388" s="73"/>
      <c r="E388" s="70"/>
      <c r="F388" s="70" t="s">
        <v>2868</v>
      </c>
      <c r="G388" s="73"/>
      <c r="H388" s="76" t="s">
        <v>2876</v>
      </c>
      <c r="I388" s="96" t="s">
        <v>500</v>
      </c>
      <c r="J388" s="96"/>
      <c r="K388" s="97">
        <v>0.22600000000000001</v>
      </c>
      <c r="L388" s="97">
        <v>0.22600000000000001</v>
      </c>
      <c r="M388" s="97">
        <v>0.22600000000000001</v>
      </c>
      <c r="N388" s="97">
        <v>0.22600000000000001</v>
      </c>
      <c r="O388" s="97">
        <v>0.22600000000000001</v>
      </c>
      <c r="P388" s="97">
        <v>0.22600000000000001</v>
      </c>
      <c r="Q388" s="76"/>
      <c r="R388" s="76" t="s">
        <v>2853</v>
      </c>
      <c r="S388" s="76" t="s">
        <v>2853</v>
      </c>
      <c r="T388" s="76"/>
      <c r="U388" s="252">
        <f t="shared" si="69"/>
        <v>0.22600000000000001</v>
      </c>
      <c r="V388" s="252">
        <f t="shared" si="69"/>
        <v>0.22600000000000001</v>
      </c>
      <c r="W388" s="252">
        <f t="shared" si="69"/>
        <v>0.22600000000000001</v>
      </c>
      <c r="X388" s="252">
        <f t="shared" si="69"/>
        <v>0.22600000000000001</v>
      </c>
      <c r="Y388" s="252">
        <v>0.22600000000000001</v>
      </c>
      <c r="Z388" s="252">
        <v>0.22600000000000001</v>
      </c>
      <c r="AA388" s="252">
        <v>0.22600000000000001</v>
      </c>
      <c r="AB388" s="252">
        <v>0.22600000000000001</v>
      </c>
      <c r="AC388" s="252">
        <f t="shared" si="70"/>
        <v>0.22600000000000001</v>
      </c>
      <c r="AD388" s="252">
        <f t="shared" si="70"/>
        <v>0.22600000000000001</v>
      </c>
      <c r="AE388" s="76"/>
      <c r="AF388" s="76"/>
      <c r="AG388" s="76"/>
      <c r="AH388" s="97">
        <v>1</v>
      </c>
      <c r="AI388" s="97">
        <v>1</v>
      </c>
      <c r="AJ388" s="73"/>
      <c r="AK388" s="57"/>
      <c r="AL388" s="45"/>
      <c r="AM388" s="45"/>
      <c r="AN388" s="45"/>
    </row>
    <row r="389" spans="1:40" hidden="1" outlineLevel="2" x14ac:dyDescent="0.25">
      <c r="A389" s="45"/>
      <c r="B389" s="54"/>
      <c r="C389" s="47">
        <f t="shared" si="68"/>
        <v>3</v>
      </c>
      <c r="D389" s="73"/>
      <c r="E389" s="70"/>
      <c r="F389" s="70" t="s">
        <v>2869</v>
      </c>
      <c r="G389" s="73"/>
      <c r="H389" s="76" t="s">
        <v>2874</v>
      </c>
      <c r="I389" s="96" t="s">
        <v>500</v>
      </c>
      <c r="J389" s="96"/>
      <c r="K389" s="97">
        <v>0.05</v>
      </c>
      <c r="L389" s="97">
        <v>0.05</v>
      </c>
      <c r="M389" s="97">
        <v>0.05</v>
      </c>
      <c r="N389" s="97">
        <v>0.05</v>
      </c>
      <c r="O389" s="97">
        <v>0.05</v>
      </c>
      <c r="P389" s="97">
        <v>0.05</v>
      </c>
      <c r="Q389" s="76"/>
      <c r="R389" s="76" t="s">
        <v>2853</v>
      </c>
      <c r="S389" s="76" t="s">
        <v>2853</v>
      </c>
      <c r="T389" s="76"/>
      <c r="U389" s="252">
        <f t="shared" si="69"/>
        <v>0.05</v>
      </c>
      <c r="V389" s="252">
        <f t="shared" si="69"/>
        <v>0.05</v>
      </c>
      <c r="W389" s="252">
        <f t="shared" si="69"/>
        <v>0.05</v>
      </c>
      <c r="X389" s="252">
        <f t="shared" si="69"/>
        <v>0.05</v>
      </c>
      <c r="Y389" s="252">
        <v>0.05</v>
      </c>
      <c r="Z389" s="252">
        <v>0.05</v>
      </c>
      <c r="AA389" s="252">
        <v>0.05</v>
      </c>
      <c r="AB389" s="252">
        <v>0.05</v>
      </c>
      <c r="AC389" s="252">
        <f t="shared" si="70"/>
        <v>0.05</v>
      </c>
      <c r="AD389" s="252">
        <f t="shared" si="70"/>
        <v>0.05</v>
      </c>
      <c r="AE389" s="76"/>
      <c r="AF389" s="76"/>
      <c r="AG389" s="76"/>
      <c r="AH389" s="97">
        <v>1</v>
      </c>
      <c r="AI389" s="97">
        <v>1</v>
      </c>
      <c r="AJ389" s="73"/>
      <c r="AK389" s="57"/>
      <c r="AL389" s="45"/>
      <c r="AM389" s="45"/>
      <c r="AN389" s="45"/>
    </row>
    <row r="390" spans="1:40" hidden="1" outlineLevel="2" x14ac:dyDescent="0.25">
      <c r="A390" s="45"/>
      <c r="B390" s="54"/>
      <c r="C390" s="47">
        <f t="shared" si="68"/>
        <v>3</v>
      </c>
      <c r="D390" s="73"/>
      <c r="E390" s="70"/>
      <c r="F390" s="70" t="s">
        <v>2870</v>
      </c>
      <c r="G390" s="73"/>
      <c r="H390" s="76" t="s">
        <v>2875</v>
      </c>
      <c r="I390" s="96" t="s">
        <v>500</v>
      </c>
      <c r="J390" s="96"/>
      <c r="K390" s="97">
        <v>0.24859999999999999</v>
      </c>
      <c r="L390" s="97">
        <v>0.24859999999999999</v>
      </c>
      <c r="M390" s="97">
        <v>0.24859999999999999</v>
      </c>
      <c r="N390" s="97">
        <v>0.24859999999999999</v>
      </c>
      <c r="O390" s="97">
        <v>0.24859999999999999</v>
      </c>
      <c r="P390" s="97">
        <v>0.24859999999999999</v>
      </c>
      <c r="Q390" s="76"/>
      <c r="R390" s="76" t="s">
        <v>2853</v>
      </c>
      <c r="S390" s="76" t="s">
        <v>2853</v>
      </c>
      <c r="T390" s="76"/>
      <c r="U390" s="252">
        <f t="shared" si="69"/>
        <v>0.24859999999999999</v>
      </c>
      <c r="V390" s="252">
        <f t="shared" si="69"/>
        <v>0.24859999999999999</v>
      </c>
      <c r="W390" s="252">
        <f t="shared" si="69"/>
        <v>0.24859999999999999</v>
      </c>
      <c r="X390" s="252">
        <f t="shared" si="69"/>
        <v>0.24859999999999999</v>
      </c>
      <c r="Y390" s="252">
        <v>0.24859999999999999</v>
      </c>
      <c r="Z390" s="252">
        <v>0.24859999999999999</v>
      </c>
      <c r="AA390" s="252">
        <v>0.24859999999999999</v>
      </c>
      <c r="AB390" s="252">
        <v>0.24859999999999999</v>
      </c>
      <c r="AC390" s="252">
        <f t="shared" si="70"/>
        <v>0.24859999999999999</v>
      </c>
      <c r="AD390" s="252">
        <f t="shared" si="70"/>
        <v>0.24859999999999999</v>
      </c>
      <c r="AE390" s="76"/>
      <c r="AF390" s="76"/>
      <c r="AG390" s="76"/>
      <c r="AH390" s="97">
        <v>1</v>
      </c>
      <c r="AI390" s="97">
        <v>1</v>
      </c>
      <c r="AJ390" s="73"/>
      <c r="AK390" s="57"/>
      <c r="AL390" s="45"/>
      <c r="AM390" s="45"/>
      <c r="AN390" s="45"/>
    </row>
    <row r="391" spans="1:40" hidden="1" outlineLevel="2" x14ac:dyDescent="0.25">
      <c r="A391" s="45"/>
      <c r="B391" s="54"/>
      <c r="C391" s="47">
        <f t="shared" si="68"/>
        <v>3</v>
      </c>
      <c r="D391" s="73"/>
      <c r="E391" s="70"/>
      <c r="F391" s="70" t="s">
        <v>2871</v>
      </c>
      <c r="G391" s="73"/>
      <c r="H391" s="76" t="s">
        <v>2877</v>
      </c>
      <c r="I391" s="96" t="s">
        <v>500</v>
      </c>
      <c r="J391" s="96"/>
      <c r="K391" s="97">
        <v>0.67600000000000005</v>
      </c>
      <c r="L391" s="97">
        <v>0.67600000000000005</v>
      </c>
      <c r="M391" s="97">
        <v>0.67600000000000005</v>
      </c>
      <c r="N391" s="97">
        <v>0.67600000000000005</v>
      </c>
      <c r="O391" s="97">
        <v>0.67600000000000005</v>
      </c>
      <c r="P391" s="97">
        <v>0.67600000000000005</v>
      </c>
      <c r="Q391" s="76"/>
      <c r="R391" s="76" t="s">
        <v>2853</v>
      </c>
      <c r="S391" s="76" t="s">
        <v>2853</v>
      </c>
      <c r="T391" s="76"/>
      <c r="U391" s="252">
        <f t="shared" si="69"/>
        <v>0.67600000000000005</v>
      </c>
      <c r="V391" s="252">
        <f t="shared" si="69"/>
        <v>0.67600000000000005</v>
      </c>
      <c r="W391" s="252">
        <f t="shared" si="69"/>
        <v>0.67600000000000005</v>
      </c>
      <c r="X391" s="252">
        <f t="shared" si="69"/>
        <v>0.67600000000000005</v>
      </c>
      <c r="Y391" s="252">
        <v>0.67600000000000005</v>
      </c>
      <c r="Z391" s="252">
        <v>0.67600000000000005</v>
      </c>
      <c r="AA391" s="252">
        <v>0.67600000000000005</v>
      </c>
      <c r="AB391" s="252">
        <v>0.67600000000000005</v>
      </c>
      <c r="AC391" s="252">
        <f t="shared" si="70"/>
        <v>0.67600000000000005</v>
      </c>
      <c r="AD391" s="252">
        <f t="shared" si="70"/>
        <v>0.67600000000000005</v>
      </c>
      <c r="AE391" s="76"/>
      <c r="AF391" s="76"/>
      <c r="AG391" s="76"/>
      <c r="AH391" s="97">
        <v>1</v>
      </c>
      <c r="AI391" s="97">
        <v>1</v>
      </c>
      <c r="AJ391" s="73"/>
      <c r="AK391" s="57"/>
      <c r="AL391" s="45"/>
      <c r="AM391" s="45"/>
      <c r="AN391" s="45"/>
    </row>
    <row r="392" spans="1:40" hidden="1" outlineLevel="2" x14ac:dyDescent="0.25">
      <c r="A392" s="45"/>
      <c r="B392" s="54"/>
      <c r="C392" s="47">
        <f t="shared" si="68"/>
        <v>3</v>
      </c>
      <c r="D392" s="73"/>
      <c r="E392" s="70"/>
      <c r="F392" s="70" t="s">
        <v>2872</v>
      </c>
      <c r="G392" s="73"/>
      <c r="H392" s="76" t="s">
        <v>2878</v>
      </c>
      <c r="I392" s="96" t="s">
        <v>500</v>
      </c>
      <c r="J392" s="96"/>
      <c r="K392" s="97">
        <v>2.0609999999999999</v>
      </c>
      <c r="L392" s="97">
        <v>2.0609999999999999</v>
      </c>
      <c r="M392" s="97">
        <v>2.0609999999999999</v>
      </c>
      <c r="N392" s="97">
        <v>2.0609999999999999</v>
      </c>
      <c r="O392" s="97">
        <v>2.0609999999999999</v>
      </c>
      <c r="P392" s="97">
        <v>2.0609999999999999</v>
      </c>
      <c r="Q392" s="76"/>
      <c r="R392" s="76" t="s">
        <v>2853</v>
      </c>
      <c r="S392" s="76" t="s">
        <v>2853</v>
      </c>
      <c r="T392" s="76"/>
      <c r="U392" s="252">
        <f t="shared" si="69"/>
        <v>2.0609999999999999</v>
      </c>
      <c r="V392" s="252">
        <f t="shared" si="69"/>
        <v>2.0609999999999999</v>
      </c>
      <c r="W392" s="252">
        <f t="shared" si="69"/>
        <v>2.0609999999999999</v>
      </c>
      <c r="X392" s="252">
        <f t="shared" si="69"/>
        <v>2.0609999999999999</v>
      </c>
      <c r="Y392" s="252">
        <v>2.0609999999999999</v>
      </c>
      <c r="Z392" s="252">
        <v>2.0609999999999999</v>
      </c>
      <c r="AA392" s="252">
        <v>2.0609999999999999</v>
      </c>
      <c r="AB392" s="252">
        <v>2.0609999999999999</v>
      </c>
      <c r="AC392" s="252">
        <f t="shared" si="70"/>
        <v>2.0609999999999999</v>
      </c>
      <c r="AD392" s="252">
        <f t="shared" si="70"/>
        <v>2.0609999999999999</v>
      </c>
      <c r="AE392" s="76"/>
      <c r="AF392" s="76"/>
      <c r="AG392" s="76"/>
      <c r="AH392" s="97">
        <v>1</v>
      </c>
      <c r="AI392" s="97">
        <v>1</v>
      </c>
      <c r="AJ392" s="73"/>
      <c r="AK392" s="57"/>
      <c r="AL392" s="45"/>
      <c r="AM392" s="45"/>
      <c r="AN392" s="45"/>
    </row>
    <row r="393" spans="1:40" hidden="1" outlineLevel="2" x14ac:dyDescent="0.25">
      <c r="A393" s="45"/>
      <c r="B393" s="54"/>
      <c r="C393" s="47">
        <f t="shared" si="68"/>
        <v>3</v>
      </c>
      <c r="D393" s="73"/>
      <c r="E393" s="70"/>
      <c r="F393" s="70" t="s">
        <v>2873</v>
      </c>
      <c r="G393" s="73"/>
      <c r="H393" s="76" t="s">
        <v>2879</v>
      </c>
      <c r="I393" s="96" t="s">
        <v>500</v>
      </c>
      <c r="J393" s="96"/>
      <c r="K393" s="97">
        <v>-0.53</v>
      </c>
      <c r="L393" s="97">
        <v>-0.53</v>
      </c>
      <c r="M393" s="97">
        <v>-0.53</v>
      </c>
      <c r="N393" s="97">
        <v>-0.53</v>
      </c>
      <c r="O393" s="97">
        <v>-0.53</v>
      </c>
      <c r="P393" s="97">
        <v>-0.53</v>
      </c>
      <c r="Q393" s="76"/>
      <c r="R393" s="76" t="s">
        <v>2853</v>
      </c>
      <c r="S393" s="76" t="s">
        <v>2853</v>
      </c>
      <c r="T393" s="76"/>
      <c r="U393" s="252">
        <f t="shared" si="69"/>
        <v>-0.53</v>
      </c>
      <c r="V393" s="252">
        <f t="shared" si="69"/>
        <v>-0.53</v>
      </c>
      <c r="W393" s="252">
        <f t="shared" si="69"/>
        <v>-0.53</v>
      </c>
      <c r="X393" s="252">
        <f t="shared" si="69"/>
        <v>-0.53</v>
      </c>
      <c r="Y393" s="252">
        <v>-0.53</v>
      </c>
      <c r="Z393" s="252">
        <v>-0.53</v>
      </c>
      <c r="AA393" s="252">
        <v>-0.53</v>
      </c>
      <c r="AB393" s="252">
        <v>-0.53</v>
      </c>
      <c r="AC393" s="252">
        <f t="shared" si="70"/>
        <v>-0.53</v>
      </c>
      <c r="AD393" s="252">
        <f t="shared" si="70"/>
        <v>-0.53</v>
      </c>
      <c r="AE393" s="76"/>
      <c r="AF393" s="76"/>
      <c r="AG393" s="76"/>
      <c r="AH393" s="97">
        <v>1</v>
      </c>
      <c r="AI393" s="97">
        <v>1</v>
      </c>
      <c r="AJ393" s="73"/>
      <c r="AK393" s="57"/>
      <c r="AL393" s="45"/>
      <c r="AM393" s="45"/>
      <c r="AN393" s="45"/>
    </row>
    <row r="394" spans="1:40" hidden="1" outlineLevel="2" x14ac:dyDescent="0.25">
      <c r="A394" s="45"/>
      <c r="B394" s="54"/>
      <c r="C394" s="47">
        <f t="shared" si="68"/>
        <v>3</v>
      </c>
      <c r="D394" s="73"/>
      <c r="E394" s="70"/>
      <c r="F394" s="70" t="s">
        <v>3275</v>
      </c>
      <c r="G394" s="73"/>
      <c r="H394" s="76" t="s">
        <v>3298</v>
      </c>
      <c r="I394" s="96" t="s">
        <v>500</v>
      </c>
      <c r="J394" s="96"/>
      <c r="K394" s="280">
        <v>0.1</v>
      </c>
      <c r="L394" s="280">
        <v>0.1</v>
      </c>
      <c r="M394" s="280">
        <v>0.1</v>
      </c>
      <c r="N394" s="280">
        <v>0.1</v>
      </c>
      <c r="O394" s="280">
        <v>0.1</v>
      </c>
      <c r="P394" s="280">
        <v>0.1</v>
      </c>
      <c r="Q394" s="76"/>
      <c r="R394" s="76" t="s">
        <v>3276</v>
      </c>
      <c r="S394" s="76" t="s">
        <v>3276</v>
      </c>
      <c r="T394" s="76"/>
      <c r="U394" s="252">
        <f t="shared" si="69"/>
        <v>0.1</v>
      </c>
      <c r="V394" s="252">
        <f t="shared" si="69"/>
        <v>0.1</v>
      </c>
      <c r="W394" s="252">
        <f t="shared" si="69"/>
        <v>0.1</v>
      </c>
      <c r="X394" s="252">
        <f t="shared" si="69"/>
        <v>0.1</v>
      </c>
      <c r="Y394" s="252">
        <v>0.1</v>
      </c>
      <c r="Z394" s="252">
        <v>0.1</v>
      </c>
      <c r="AA394" s="252">
        <v>0.1</v>
      </c>
      <c r="AB394" s="252">
        <v>0.1</v>
      </c>
      <c r="AC394" s="252">
        <f t="shared" si="70"/>
        <v>0.1</v>
      </c>
      <c r="AD394" s="252">
        <f t="shared" si="70"/>
        <v>0.1</v>
      </c>
      <c r="AE394" s="76"/>
      <c r="AF394" s="76"/>
      <c r="AG394" s="76"/>
      <c r="AH394" s="97">
        <v>1</v>
      </c>
      <c r="AI394" s="97">
        <v>1</v>
      </c>
      <c r="AJ394" s="73"/>
      <c r="AK394" s="57"/>
      <c r="AL394" s="45"/>
      <c r="AM394" s="45"/>
      <c r="AN394" s="45"/>
    </row>
    <row r="395" spans="1:40" hidden="1" outlineLevel="2" x14ac:dyDescent="0.25">
      <c r="A395" s="45"/>
      <c r="B395" s="54"/>
      <c r="C395" s="47">
        <f t="shared" si="68"/>
        <v>3</v>
      </c>
      <c r="D395" s="73"/>
      <c r="E395" s="70"/>
      <c r="F395" s="70" t="s">
        <v>3300</v>
      </c>
      <c r="G395" s="73"/>
      <c r="H395" s="76" t="s">
        <v>3297</v>
      </c>
      <c r="I395" s="96" t="s">
        <v>500</v>
      </c>
      <c r="J395" s="96"/>
      <c r="K395" s="280">
        <f t="shared" ref="K395:P395" si="71">(K394*K$383*K$377) / (K394*K$383*K$377 + (1-K394)*K$384*K$378)</f>
        <v>0.12939001848428835</v>
      </c>
      <c r="L395" s="280">
        <f t="shared" si="71"/>
        <v>0.12939001848428835</v>
      </c>
      <c r="M395" s="280">
        <f t="shared" si="71"/>
        <v>0.12939001848428835</v>
      </c>
      <c r="N395" s="280">
        <f t="shared" si="71"/>
        <v>0.12939001848428835</v>
      </c>
      <c r="O395" s="280">
        <f t="shared" si="71"/>
        <v>0.12939001848428835</v>
      </c>
      <c r="P395" s="280">
        <f t="shared" si="71"/>
        <v>0.12939001848428835</v>
      </c>
      <c r="Q395" s="76"/>
      <c r="R395" s="76" t="s">
        <v>3299</v>
      </c>
      <c r="S395" s="76" t="s">
        <v>3276</v>
      </c>
      <c r="T395" s="76"/>
      <c r="U395" s="252">
        <f t="shared" si="69"/>
        <v>0.12939001848428835</v>
      </c>
      <c r="V395" s="252">
        <f t="shared" si="69"/>
        <v>0.12939001848428835</v>
      </c>
      <c r="W395" s="252">
        <f t="shared" si="69"/>
        <v>0.12939001848428835</v>
      </c>
      <c r="X395" s="252">
        <f t="shared" si="69"/>
        <v>0.12939001848428835</v>
      </c>
      <c r="Y395" s="252">
        <v>0.12939001848428835</v>
      </c>
      <c r="Z395" s="252">
        <v>0.12939001848428835</v>
      </c>
      <c r="AA395" s="252">
        <v>0.12939001848428835</v>
      </c>
      <c r="AB395" s="252">
        <v>0.12939001848428835</v>
      </c>
      <c r="AC395" s="252">
        <f t="shared" si="70"/>
        <v>0.12939001848428835</v>
      </c>
      <c r="AD395" s="252">
        <f t="shared" si="70"/>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5" t="s">
        <v>973</v>
      </c>
      <c r="G396" s="73"/>
      <c r="H396" s="246" t="s">
        <v>974</v>
      </c>
      <c r="I396" s="96"/>
      <c r="J396" s="96" t="s">
        <v>517</v>
      </c>
      <c r="K396" s="76"/>
      <c r="L396" s="76"/>
      <c r="M396" s="76"/>
      <c r="N396" s="76"/>
      <c r="O396" s="76"/>
      <c r="P396" s="76"/>
      <c r="Q396" s="76"/>
      <c r="R396" s="76"/>
      <c r="S396" s="76"/>
      <c r="T396" s="76"/>
      <c r="U396" s="79">
        <v>6</v>
      </c>
      <c r="V396" s="76"/>
      <c r="W396" s="79">
        <v>0</v>
      </c>
      <c r="X396" s="76"/>
      <c r="Y396" s="79">
        <v>0</v>
      </c>
      <c r="Z396" s="79">
        <v>0</v>
      </c>
      <c r="AA396" s="79">
        <v>0</v>
      </c>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975</v>
      </c>
      <c r="F397" s="70" t="s">
        <v>976</v>
      </c>
      <c r="G397" s="73"/>
      <c r="H397" s="76" t="s">
        <v>493</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977</v>
      </c>
      <c r="G398" s="73"/>
      <c r="H398" s="76" t="s">
        <v>2378</v>
      </c>
      <c r="I398" s="96" t="s">
        <v>3003</v>
      </c>
      <c r="J398" s="96"/>
      <c r="K398" s="97">
        <v>1.84E-2</v>
      </c>
      <c r="L398" s="97">
        <v>1.84E-2</v>
      </c>
      <c r="M398" s="97">
        <v>1.84E-2</v>
      </c>
      <c r="N398" s="97">
        <v>1.84E-2</v>
      </c>
      <c r="O398" s="97">
        <v>1.84E-2</v>
      </c>
      <c r="P398" s="97">
        <v>1.84E-2</v>
      </c>
      <c r="Q398" s="76"/>
      <c r="R398" s="76" t="s">
        <v>3002</v>
      </c>
      <c r="S398" s="76"/>
      <c r="T398" s="76"/>
      <c r="U398" s="252">
        <f t="shared" ref="U398:X402" si="72">INDEX($K398:$Q398,1,U$43)</f>
        <v>1.84E-2</v>
      </c>
      <c r="V398" s="252">
        <f t="shared" si="72"/>
        <v>1.84E-2</v>
      </c>
      <c r="W398" s="252">
        <f t="shared" si="72"/>
        <v>1.84E-2</v>
      </c>
      <c r="X398" s="252">
        <f t="shared" si="72"/>
        <v>1.84E-2</v>
      </c>
      <c r="Y398" s="252">
        <v>1.84E-2</v>
      </c>
      <c r="Z398" s="252">
        <v>1.84E-2</v>
      </c>
      <c r="AA398" s="252">
        <v>1.84E-2</v>
      </c>
      <c r="AB398" s="252">
        <v>1.84E-2</v>
      </c>
      <c r="AC398" s="252">
        <f t="shared" ref="AC398:AD402" si="73">INDEX($K398:$Q398,1,AC$43)</f>
        <v>1.84E-2</v>
      </c>
      <c r="AD398" s="252">
        <f t="shared" si="73"/>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978</v>
      </c>
      <c r="G399" s="73"/>
      <c r="H399" s="76" t="s">
        <v>2382</v>
      </c>
      <c r="I399" s="96" t="s">
        <v>500</v>
      </c>
      <c r="J399" s="96"/>
      <c r="K399" s="97">
        <v>13</v>
      </c>
      <c r="L399" s="97">
        <v>13</v>
      </c>
      <c r="M399" s="97">
        <v>13</v>
      </c>
      <c r="N399" s="97">
        <v>13</v>
      </c>
      <c r="O399" s="97">
        <v>13</v>
      </c>
      <c r="P399" s="97">
        <v>13</v>
      </c>
      <c r="Q399" s="76"/>
      <c r="R399" s="76"/>
      <c r="S399" s="76"/>
      <c r="T399" s="76"/>
      <c r="U399" s="252">
        <f t="shared" si="72"/>
        <v>13</v>
      </c>
      <c r="V399" s="252">
        <f t="shared" si="72"/>
        <v>13</v>
      </c>
      <c r="W399" s="252">
        <f t="shared" si="72"/>
        <v>13</v>
      </c>
      <c r="X399" s="252">
        <f t="shared" si="72"/>
        <v>13</v>
      </c>
      <c r="Y399" s="252">
        <v>13</v>
      </c>
      <c r="Z399" s="252">
        <v>13</v>
      </c>
      <c r="AA399" s="252">
        <v>13</v>
      </c>
      <c r="AB399" s="252">
        <v>13</v>
      </c>
      <c r="AC399" s="252">
        <f t="shared" si="73"/>
        <v>13</v>
      </c>
      <c r="AD399" s="252">
        <f t="shared" si="73"/>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979</v>
      </c>
      <c r="G400" s="73"/>
      <c r="H400" s="76" t="s">
        <v>2379</v>
      </c>
      <c r="I400" s="96" t="s">
        <v>624</v>
      </c>
      <c r="J400" s="96"/>
      <c r="K400" s="97">
        <v>7.52</v>
      </c>
      <c r="L400" s="97">
        <v>7.52</v>
      </c>
      <c r="M400" s="97">
        <v>7.52</v>
      </c>
      <c r="N400" s="97">
        <v>7.52</v>
      </c>
      <c r="O400" s="97">
        <v>7.52</v>
      </c>
      <c r="P400" s="97">
        <v>7.52</v>
      </c>
      <c r="Q400" s="76"/>
      <c r="R400" s="76"/>
      <c r="S400" s="76"/>
      <c r="T400" s="76"/>
      <c r="U400" s="252">
        <f t="shared" si="72"/>
        <v>7.52</v>
      </c>
      <c r="V400" s="252">
        <f t="shared" si="72"/>
        <v>7.52</v>
      </c>
      <c r="W400" s="252">
        <f t="shared" si="72"/>
        <v>7.52</v>
      </c>
      <c r="X400" s="252">
        <f t="shared" si="72"/>
        <v>7.52</v>
      </c>
      <c r="Y400" s="252">
        <v>7.52</v>
      </c>
      <c r="Z400" s="252">
        <v>7.52</v>
      </c>
      <c r="AA400" s="252">
        <v>7.52</v>
      </c>
      <c r="AB400" s="252">
        <v>7.52</v>
      </c>
      <c r="AC400" s="252">
        <f t="shared" si="73"/>
        <v>7.52</v>
      </c>
      <c r="AD400" s="252">
        <f t="shared" si="73"/>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980</v>
      </c>
      <c r="G401" s="73"/>
      <c r="H401" s="76" t="s">
        <v>2380</v>
      </c>
      <c r="I401" s="96" t="s">
        <v>500</v>
      </c>
      <c r="J401" s="96"/>
      <c r="K401" s="97">
        <v>23.7</v>
      </c>
      <c r="L401" s="97">
        <v>23.7</v>
      </c>
      <c r="M401" s="97">
        <v>23.7</v>
      </c>
      <c r="N401" s="97">
        <v>23.7</v>
      </c>
      <c r="O401" s="97">
        <v>23.7</v>
      </c>
      <c r="P401" s="97">
        <v>23.7</v>
      </c>
      <c r="Q401" s="76"/>
      <c r="R401" s="76"/>
      <c r="S401" s="76"/>
      <c r="T401" s="76"/>
      <c r="U401" s="252">
        <f t="shared" si="72"/>
        <v>23.7</v>
      </c>
      <c r="V401" s="252">
        <f t="shared" si="72"/>
        <v>23.7</v>
      </c>
      <c r="W401" s="252">
        <f t="shared" si="72"/>
        <v>23.7</v>
      </c>
      <c r="X401" s="252">
        <f t="shared" si="72"/>
        <v>23.7</v>
      </c>
      <c r="Y401" s="252">
        <v>23.7</v>
      </c>
      <c r="Z401" s="252">
        <v>23.7</v>
      </c>
      <c r="AA401" s="252">
        <v>23.7</v>
      </c>
      <c r="AB401" s="252">
        <v>23.7</v>
      </c>
      <c r="AC401" s="252">
        <f t="shared" si="73"/>
        <v>23.7</v>
      </c>
      <c r="AD401" s="252">
        <f t="shared" si="73"/>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981</v>
      </c>
      <c r="G402" s="73"/>
      <c r="H402" s="76" t="s">
        <v>2381</v>
      </c>
      <c r="I402" s="96" t="s">
        <v>624</v>
      </c>
      <c r="J402" s="96"/>
      <c r="K402" s="97">
        <v>3.36</v>
      </c>
      <c r="L402" s="97">
        <v>3.36</v>
      </c>
      <c r="M402" s="97">
        <v>3.36</v>
      </c>
      <c r="N402" s="97">
        <v>3.36</v>
      </c>
      <c r="O402" s="97">
        <v>3.36</v>
      </c>
      <c r="P402" s="97">
        <v>3.36</v>
      </c>
      <c r="Q402" s="76"/>
      <c r="R402" s="76"/>
      <c r="S402" s="76"/>
      <c r="T402" s="76"/>
      <c r="U402" s="252">
        <f t="shared" si="72"/>
        <v>3.36</v>
      </c>
      <c r="V402" s="252">
        <f t="shared" si="72"/>
        <v>3.36</v>
      </c>
      <c r="W402" s="252">
        <f t="shared" si="72"/>
        <v>3.36</v>
      </c>
      <c r="X402" s="252">
        <f t="shared" si="72"/>
        <v>3.36</v>
      </c>
      <c r="Y402" s="252">
        <v>3.36</v>
      </c>
      <c r="Z402" s="252">
        <v>3.36</v>
      </c>
      <c r="AA402" s="252">
        <v>3.36</v>
      </c>
      <c r="AB402" s="252">
        <v>3.36</v>
      </c>
      <c r="AC402" s="252">
        <f t="shared" si="73"/>
        <v>3.36</v>
      </c>
      <c r="AD402" s="252">
        <f t="shared" si="73"/>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5" t="s">
        <v>410</v>
      </c>
      <c r="G403" s="73"/>
      <c r="H403" s="246" t="s">
        <v>982</v>
      </c>
      <c r="I403" s="96"/>
      <c r="J403" s="96" t="s">
        <v>517</v>
      </c>
      <c r="K403" s="76"/>
      <c r="L403" s="76"/>
      <c r="M403" s="76"/>
      <c r="N403" s="76"/>
      <c r="O403" s="76"/>
      <c r="P403" s="76"/>
      <c r="Q403" s="76"/>
      <c r="R403" s="76"/>
      <c r="S403" s="76"/>
      <c r="T403" s="76"/>
      <c r="U403" s="79">
        <v>6</v>
      </c>
      <c r="V403" s="76"/>
      <c r="W403" s="79">
        <v>0</v>
      </c>
      <c r="X403" s="76"/>
      <c r="Y403" s="79">
        <v>0</v>
      </c>
      <c r="Z403" s="79">
        <v>0</v>
      </c>
      <c r="AA403" s="79">
        <v>0</v>
      </c>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983</v>
      </c>
      <c r="F404" s="70" t="s">
        <v>984</v>
      </c>
      <c r="G404" s="73"/>
      <c r="H404" s="76" t="s">
        <v>493</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2595</v>
      </c>
      <c r="G405" s="73"/>
      <c r="H405" s="76" t="s">
        <v>2385</v>
      </c>
      <c r="I405" s="96" t="s">
        <v>500</v>
      </c>
      <c r="J405" s="96"/>
      <c r="K405" s="97">
        <v>9.375E-2</v>
      </c>
      <c r="L405" s="97">
        <v>0.20499999999999999</v>
      </c>
      <c r="M405" s="97">
        <v>0</v>
      </c>
      <c r="N405" s="97">
        <v>0</v>
      </c>
      <c r="O405" s="97">
        <v>0</v>
      </c>
      <c r="P405" s="97">
        <v>0</v>
      </c>
      <c r="Q405" s="76"/>
      <c r="R405" s="97" t="s">
        <v>2589</v>
      </c>
      <c r="S405" s="76"/>
      <c r="T405" s="76"/>
      <c r="U405" s="252">
        <f>INDEX($K405:$Q405,1,U$43)</f>
        <v>9.375E-2</v>
      </c>
      <c r="V405" s="252">
        <f>INDEX($K405:$Q405,1,V$43)</f>
        <v>9.375E-2</v>
      </c>
      <c r="W405" s="252">
        <f>INDEX($K405:$Q405,1,W$43)</f>
        <v>9.375E-2</v>
      </c>
      <c r="X405" s="252">
        <f>INDEX($K405:$Q405,1,X$43)</f>
        <v>9.375E-2</v>
      </c>
      <c r="Y405" s="252">
        <v>9.375E-2</v>
      </c>
      <c r="Z405" s="252">
        <v>9.375E-2</v>
      </c>
      <c r="AA405" s="252">
        <v>9.375E-2</v>
      </c>
      <c r="AB405" s="252">
        <v>0.20499999999999999</v>
      </c>
      <c r="AC405" s="252">
        <f>INDEX($K405:$Q405,1,AC$43)</f>
        <v>0.20499999999999999</v>
      </c>
      <c r="AD405" s="252">
        <f>INDEX($K405:$Q405,1,AD$43)</f>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985</v>
      </c>
      <c r="G406" s="73"/>
      <c r="H406" s="76" t="s">
        <v>986</v>
      </c>
      <c r="I406" s="96" t="s">
        <v>500</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987</v>
      </c>
      <c r="G407" s="73"/>
      <c r="H407" s="76" t="s">
        <v>988</v>
      </c>
      <c r="I407" s="96" t="s">
        <v>500</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989</v>
      </c>
      <c r="G408" s="73"/>
      <c r="H408" s="76" t="s">
        <v>990</v>
      </c>
      <c r="I408" s="96" t="s">
        <v>529</v>
      </c>
      <c r="J408" s="96"/>
      <c r="K408" s="97">
        <v>17</v>
      </c>
      <c r="L408" s="97">
        <v>17</v>
      </c>
      <c r="M408" s="97">
        <v>21</v>
      </c>
      <c r="N408" s="97">
        <v>21</v>
      </c>
      <c r="O408" s="97">
        <v>21</v>
      </c>
      <c r="P408" s="97">
        <v>21</v>
      </c>
      <c r="Q408" s="76"/>
      <c r="R408" s="76"/>
      <c r="S408" s="76"/>
      <c r="T408" s="76"/>
      <c r="U408" s="252">
        <f>INDEX($K408:$Q408,1,U$43)</f>
        <v>17</v>
      </c>
      <c r="V408" s="252">
        <f>INDEX($K408:$Q408,1,V$43)</f>
        <v>17</v>
      </c>
      <c r="W408" s="252">
        <f>INDEX($K408:$Q408,1,W$43)</f>
        <v>17</v>
      </c>
      <c r="X408" s="252">
        <f>INDEX($K408:$Q408,1,X$43)</f>
        <v>17</v>
      </c>
      <c r="Y408" s="252">
        <v>17</v>
      </c>
      <c r="Z408" s="252">
        <v>17</v>
      </c>
      <c r="AA408" s="252">
        <v>17</v>
      </c>
      <c r="AB408" s="252">
        <v>17</v>
      </c>
      <c r="AC408" s="252">
        <f>INDEX($K408:$Q408,1,AC$43)</f>
        <v>17</v>
      </c>
      <c r="AD408" s="252">
        <f>INDEX($K408:$Q408,1,AD$43)</f>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991</v>
      </c>
      <c r="G409" s="73"/>
      <c r="H409" s="76" t="s">
        <v>992</v>
      </c>
      <c r="I409" s="96" t="s">
        <v>572</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458</v>
      </c>
      <c r="AG409" s="76"/>
      <c r="AH409" s="97">
        <v>1</v>
      </c>
      <c r="AI409" s="97">
        <v>1</v>
      </c>
      <c r="AJ409" s="73"/>
      <c r="AK409" s="57"/>
      <c r="AL409" s="45"/>
      <c r="AM409" s="45"/>
      <c r="AN409" s="45"/>
    </row>
    <row r="410" spans="1:40" outlineLevel="1" collapsed="1" x14ac:dyDescent="0.25">
      <c r="A410" s="45"/>
      <c r="B410" s="54"/>
      <c r="C410" s="47">
        <f>INT($C$29)+1</f>
        <v>2</v>
      </c>
      <c r="D410" s="73"/>
      <c r="E410" s="70"/>
      <c r="F410" s="255" t="s">
        <v>993</v>
      </c>
      <c r="G410" s="73"/>
      <c r="H410" s="246" t="s">
        <v>994</v>
      </c>
      <c r="I410" s="96"/>
      <c r="J410" s="96" t="s">
        <v>517</v>
      </c>
      <c r="K410" s="76"/>
      <c r="L410" s="76"/>
      <c r="M410" s="76"/>
      <c r="N410" s="76"/>
      <c r="O410" s="76"/>
      <c r="P410" s="76"/>
      <c r="Q410" s="76"/>
      <c r="R410" s="76"/>
      <c r="S410" s="76"/>
      <c r="T410" s="76"/>
      <c r="U410" s="79">
        <v>27</v>
      </c>
      <c r="V410" s="76"/>
      <c r="W410" s="79">
        <v>0</v>
      </c>
      <c r="X410" s="76"/>
      <c r="Y410" s="79">
        <v>0</v>
      </c>
      <c r="Z410" s="79">
        <v>0</v>
      </c>
      <c r="AA410" s="79">
        <v>0</v>
      </c>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995</v>
      </c>
      <c r="F411" s="70" t="s">
        <v>996</v>
      </c>
      <c r="G411" s="73"/>
      <c r="H411" s="76" t="s">
        <v>493</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997</v>
      </c>
      <c r="G412" s="73"/>
      <c r="H412" s="76" t="s">
        <v>998</v>
      </c>
      <c r="I412" s="96" t="s">
        <v>2237</v>
      </c>
      <c r="J412" s="96"/>
      <c r="K412" s="259">
        <f>0.03/365</f>
        <v>8.219178082191781E-5</v>
      </c>
      <c r="L412" s="259">
        <f>0.03/365</f>
        <v>8.219178082191781E-5</v>
      </c>
      <c r="M412" s="259">
        <v>5.5300000000000002E-5</v>
      </c>
      <c r="N412" s="259">
        <v>5.5300000000000002E-5</v>
      </c>
      <c r="O412" s="259">
        <v>5.5300000000000002E-5</v>
      </c>
      <c r="P412" s="259">
        <v>5.5300000000000002E-5</v>
      </c>
      <c r="Q412" s="76"/>
      <c r="R412" s="76" t="s">
        <v>2760</v>
      </c>
      <c r="S412" s="76" t="s">
        <v>548</v>
      </c>
      <c r="T412" s="76" t="s">
        <v>3324</v>
      </c>
      <c r="U412" s="252">
        <f t="shared" ref="U412:V414" si="74">INDEX($K412:$Q412,1,U$43)</f>
        <v>8.219178082191781E-5</v>
      </c>
      <c r="V412" s="252">
        <f t="shared" si="74"/>
        <v>8.219178082191781E-5</v>
      </c>
      <c r="W412" s="259">
        <v>6.8016808033027405E-5</v>
      </c>
      <c r="X412" s="259">
        <v>6.1631612609222797E-5</v>
      </c>
      <c r="Y412" s="259">
        <f>0.03/365</f>
        <v>8.219178082191781E-5</v>
      </c>
      <c r="Z412" s="259">
        <v>9.3030167313828003E-5</v>
      </c>
      <c r="AA412" s="259">
        <v>5.8180200000000002E-5</v>
      </c>
      <c r="AB412" s="252">
        <v>8.219178082191781E-5</v>
      </c>
      <c r="AC412" s="252">
        <f t="shared" ref="AC412:AD414" si="75">INDEX($K412:$Q412,1,AC$43)</f>
        <v>8.219178082191781E-5</v>
      </c>
      <c r="AD412" s="252">
        <f t="shared" si="75"/>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999</v>
      </c>
      <c r="G413" s="73"/>
      <c r="H413" s="76" t="s">
        <v>1000</v>
      </c>
      <c r="I413" s="96" t="s">
        <v>500</v>
      </c>
      <c r="J413" s="96"/>
      <c r="K413" s="97">
        <v>0.3</v>
      </c>
      <c r="L413" s="97">
        <v>0.3</v>
      </c>
      <c r="M413" s="97">
        <v>0.3</v>
      </c>
      <c r="N413" s="97">
        <v>0.3</v>
      </c>
      <c r="O413" s="97">
        <v>0.3</v>
      </c>
      <c r="P413" s="97">
        <v>0.3</v>
      </c>
      <c r="Q413" s="76"/>
      <c r="R413" s="76" t="s">
        <v>548</v>
      </c>
      <c r="S413" s="76" t="s">
        <v>548</v>
      </c>
      <c r="T413" s="76"/>
      <c r="U413" s="252">
        <f t="shared" si="74"/>
        <v>0.3</v>
      </c>
      <c r="V413" s="252">
        <f t="shared" si="74"/>
        <v>0.3</v>
      </c>
      <c r="W413" s="252">
        <f>INDEX($K413:$Q413,1,W$43)</f>
        <v>0.3</v>
      </c>
      <c r="X413" s="252">
        <f>INDEX($K413:$Q413,1,X$43)</f>
        <v>0.3</v>
      </c>
      <c r="Y413" s="252">
        <v>0.3</v>
      </c>
      <c r="Z413" s="252">
        <v>0.3</v>
      </c>
      <c r="AA413" s="252">
        <v>0.3</v>
      </c>
      <c r="AB413" s="252">
        <v>0.3</v>
      </c>
      <c r="AC413" s="252">
        <f t="shared" si="75"/>
        <v>0.3</v>
      </c>
      <c r="AD413" s="252">
        <f t="shared" si="75"/>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1001</v>
      </c>
      <c r="G414" s="73"/>
      <c r="H414" s="76" t="s">
        <v>1002</v>
      </c>
      <c r="I414" s="96" t="s">
        <v>500</v>
      </c>
      <c r="J414" s="96"/>
      <c r="K414" s="97">
        <v>0.6</v>
      </c>
      <c r="L414" s="97">
        <v>0.6</v>
      </c>
      <c r="M414" s="97">
        <v>0.6</v>
      </c>
      <c r="N414" s="97">
        <v>0.6</v>
      </c>
      <c r="O414" s="97">
        <v>0.6</v>
      </c>
      <c r="P414" s="97">
        <v>0.6</v>
      </c>
      <c r="Q414" s="76"/>
      <c r="R414" s="76" t="s">
        <v>548</v>
      </c>
      <c r="S414" s="76" t="s">
        <v>548</v>
      </c>
      <c r="T414" s="76"/>
      <c r="U414" s="252">
        <f t="shared" si="74"/>
        <v>0.6</v>
      </c>
      <c r="V414" s="252">
        <f t="shared" si="74"/>
        <v>0.6</v>
      </c>
      <c r="W414" s="252">
        <f>INDEX($K414:$Q414,1,W$43)</f>
        <v>0.6</v>
      </c>
      <c r="X414" s="252">
        <f>INDEX($K414:$Q414,1,X$43)</f>
        <v>0.6</v>
      </c>
      <c r="Y414" s="252">
        <v>0.6</v>
      </c>
      <c r="Z414" s="252">
        <v>0.6</v>
      </c>
      <c r="AA414" s="252">
        <v>0.6</v>
      </c>
      <c r="AB414" s="252">
        <v>0.6</v>
      </c>
      <c r="AC414" s="252">
        <f t="shared" si="75"/>
        <v>0.6</v>
      </c>
      <c r="AD414" s="252">
        <f t="shared" si="75"/>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1003</v>
      </c>
      <c r="G415" s="73"/>
      <c r="H415" s="76" t="s">
        <v>1004</v>
      </c>
      <c r="I415" s="96" t="s">
        <v>500</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1005</v>
      </c>
      <c r="G416" s="73"/>
      <c r="H416" s="76" t="s">
        <v>1006</v>
      </c>
      <c r="I416" s="96" t="s">
        <v>500</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1007</v>
      </c>
      <c r="G417" s="73"/>
      <c r="H417" s="76" t="s">
        <v>1008</v>
      </c>
      <c r="I417" s="96" t="s">
        <v>500</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1009</v>
      </c>
      <c r="G418" s="73"/>
      <c r="H418" s="76" t="s">
        <v>1010</v>
      </c>
      <c r="I418" s="96" t="s">
        <v>500</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1011</v>
      </c>
      <c r="G419" s="73"/>
      <c r="H419" s="76" t="s">
        <v>1012</v>
      </c>
      <c r="I419" s="96" t="s">
        <v>500</v>
      </c>
      <c r="J419" s="96"/>
      <c r="K419" s="76"/>
      <c r="L419" s="76"/>
      <c r="M419" s="97">
        <v>-40</v>
      </c>
      <c r="N419" s="97">
        <v>-40</v>
      </c>
      <c r="O419" s="97">
        <v>-40</v>
      </c>
      <c r="P419" s="97">
        <v>-40</v>
      </c>
      <c r="Q419" s="76"/>
      <c r="R419" s="76"/>
      <c r="S419" s="76" t="s">
        <v>557</v>
      </c>
      <c r="T419" s="76"/>
      <c r="U419" s="97">
        <v>-9.9499999999999993</v>
      </c>
      <c r="V419" s="97">
        <v>-9.9499999999999993</v>
      </c>
      <c r="W419" s="97">
        <v>-9.9499999999999993</v>
      </c>
      <c r="X419" s="97">
        <v>-9.9499999999999993</v>
      </c>
      <c r="Y419" s="97">
        <v>-9.9499999999999993</v>
      </c>
      <c r="Z419" s="97">
        <v>-9.9499999999999993</v>
      </c>
      <c r="AA419" s="97">
        <v>-9.9499999999999993</v>
      </c>
      <c r="AB419" s="97">
        <v>-8.9</v>
      </c>
      <c r="AC419" s="97">
        <v>-8.9</v>
      </c>
      <c r="AD419" s="97">
        <v>-8.9</v>
      </c>
      <c r="AE419" s="76"/>
      <c r="AF419" s="97" t="s">
        <v>1013</v>
      </c>
      <c r="AG419" s="76"/>
      <c r="AH419" s="97">
        <v>1</v>
      </c>
      <c r="AI419" s="97">
        <v>1</v>
      </c>
      <c r="AJ419" s="73"/>
      <c r="AK419" s="57"/>
      <c r="AL419" s="45"/>
      <c r="AM419" s="45"/>
      <c r="AN419" s="45"/>
    </row>
    <row r="420" spans="1:40" hidden="1" outlineLevel="2" x14ac:dyDescent="0.25">
      <c r="A420" s="45"/>
      <c r="B420" s="54"/>
      <c r="C420" s="47">
        <f>INT($C$29)+2</f>
        <v>3</v>
      </c>
      <c r="D420" s="73"/>
      <c r="E420" s="70"/>
      <c r="F420" s="70" t="s">
        <v>1014</v>
      </c>
      <c r="G420" s="73"/>
      <c r="H420" s="76" t="s">
        <v>1015</v>
      </c>
      <c r="I420" s="96" t="s">
        <v>500</v>
      </c>
      <c r="J420" s="96"/>
      <c r="K420" s="76"/>
      <c r="L420" s="76"/>
      <c r="M420" s="97">
        <v>0</v>
      </c>
      <c r="N420" s="97">
        <v>0</v>
      </c>
      <c r="O420" s="97">
        <v>0</v>
      </c>
      <c r="P420" s="97">
        <v>0</v>
      </c>
      <c r="Q420" s="76"/>
      <c r="R420" s="76"/>
      <c r="S420" s="76"/>
      <c r="T420" s="76"/>
      <c r="U420" s="97">
        <v>1.71</v>
      </c>
      <c r="V420" s="97">
        <v>1.71</v>
      </c>
      <c r="W420" s="97">
        <v>1.71</v>
      </c>
      <c r="X420" s="97">
        <v>1.71</v>
      </c>
      <c r="Y420" s="97">
        <v>1.71</v>
      </c>
      <c r="Z420" s="97">
        <v>1.71</v>
      </c>
      <c r="AA420" s="97">
        <v>1.71</v>
      </c>
      <c r="AB420" s="97">
        <v>1.49</v>
      </c>
      <c r="AC420" s="97">
        <v>1.49</v>
      </c>
      <c r="AD420" s="97">
        <v>1.49</v>
      </c>
      <c r="AE420" s="76"/>
      <c r="AF420" s="97" t="s">
        <v>1013</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1016</v>
      </c>
      <c r="G421" s="73"/>
      <c r="H421" s="76" t="s">
        <v>1017</v>
      </c>
      <c r="I421" s="96" t="s">
        <v>500</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9.7999999999999997E-3</v>
      </c>
      <c r="AA421" s="97">
        <v>9.7999999999999997E-3</v>
      </c>
      <c r="AB421" s="97">
        <v>8.0999999999999996E-3</v>
      </c>
      <c r="AC421" s="97">
        <v>8.0999999999999996E-3</v>
      </c>
      <c r="AD421" s="97">
        <v>8.0999999999999996E-3</v>
      </c>
      <c r="AE421" s="76"/>
      <c r="AF421" s="97" t="s">
        <v>1013</v>
      </c>
      <c r="AG421" s="76"/>
      <c r="AH421" s="97">
        <v>1</v>
      </c>
      <c r="AI421" s="97">
        <v>1</v>
      </c>
      <c r="AJ421" s="73"/>
      <c r="AK421" s="57"/>
      <c r="AL421" s="45"/>
      <c r="AM421" s="45"/>
      <c r="AN421" s="45"/>
    </row>
    <row r="422" spans="1:40" hidden="1" outlineLevel="3" x14ac:dyDescent="0.25">
      <c r="A422" s="45"/>
      <c r="B422" s="54"/>
      <c r="C422" s="47">
        <f>INT($C$29)+3</f>
        <v>4</v>
      </c>
      <c r="D422" s="73"/>
      <c r="E422" s="70"/>
      <c r="F422" s="70" t="s">
        <v>1018</v>
      </c>
      <c r="G422" s="73"/>
      <c r="H422" s="76" t="s">
        <v>1019</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76">INT($C$29)+2</f>
        <v>3</v>
      </c>
      <c r="D423" s="73"/>
      <c r="E423" s="70"/>
      <c r="F423" s="70" t="s">
        <v>1020</v>
      </c>
      <c r="G423" s="73"/>
      <c r="H423" s="76" t="s">
        <v>1021</v>
      </c>
      <c r="I423" s="96" t="s">
        <v>500</v>
      </c>
      <c r="J423" s="96"/>
      <c r="K423" s="97">
        <v>0.1</v>
      </c>
      <c r="L423" s="97">
        <v>0.1</v>
      </c>
      <c r="M423" s="97">
        <v>0.1</v>
      </c>
      <c r="N423" s="97">
        <v>0.1</v>
      </c>
      <c r="O423" s="97">
        <v>0.1</v>
      </c>
      <c r="P423" s="97">
        <v>0.1</v>
      </c>
      <c r="Q423" s="76"/>
      <c r="R423" s="76" t="s">
        <v>1022</v>
      </c>
      <c r="S423" s="76"/>
      <c r="T423" s="76"/>
      <c r="U423" s="252">
        <f>INDEX($K423:$Q423,1,U$43)</f>
        <v>0.1</v>
      </c>
      <c r="V423" s="252">
        <f>INDEX($K423:$Q423,1,V$43)</f>
        <v>0.1</v>
      </c>
      <c r="W423" s="252">
        <f>INDEX($K423:$Q423,1,W$43)</f>
        <v>0.1</v>
      </c>
      <c r="X423" s="252">
        <f>INDEX($K423:$Q423,1,X$43)</f>
        <v>0.1</v>
      </c>
      <c r="Y423" s="252">
        <v>0.1</v>
      </c>
      <c r="Z423" s="252">
        <v>0.1</v>
      </c>
      <c r="AA423" s="252">
        <v>0.1</v>
      </c>
      <c r="AB423" s="252">
        <v>0.1</v>
      </c>
      <c r="AC423" s="252">
        <f>INDEX($K423:$Q423,1,AC$43)</f>
        <v>0.1</v>
      </c>
      <c r="AD423" s="252">
        <f>INDEX($K423:$Q423,1,AD$43)</f>
        <v>0.1</v>
      </c>
      <c r="AE423" s="76"/>
      <c r="AF423" s="76"/>
      <c r="AG423" s="76"/>
      <c r="AH423" s="97">
        <v>1</v>
      </c>
      <c r="AI423" s="97">
        <v>1</v>
      </c>
      <c r="AJ423" s="73"/>
      <c r="AK423" s="57"/>
      <c r="AL423" s="45"/>
      <c r="AM423" s="45"/>
      <c r="AN423" s="45"/>
    </row>
    <row r="424" spans="1:40" hidden="1" outlineLevel="2" x14ac:dyDescent="0.25">
      <c r="A424" s="45"/>
      <c r="B424" s="54"/>
      <c r="C424" s="47">
        <f t="shared" si="76"/>
        <v>3</v>
      </c>
      <c r="D424" s="73"/>
      <c r="E424" s="70"/>
      <c r="F424" s="70" t="s">
        <v>1023</v>
      </c>
      <c r="G424" s="73"/>
      <c r="H424" s="377" t="s">
        <v>2761</v>
      </c>
      <c r="I424" s="96" t="s">
        <v>500</v>
      </c>
      <c r="J424" s="96"/>
      <c r="K424" s="76"/>
      <c r="L424" s="76"/>
      <c r="M424" s="76"/>
      <c r="N424" s="76"/>
      <c r="O424" s="76"/>
      <c r="P424" s="76"/>
      <c r="Q424" s="76"/>
      <c r="R424" s="76"/>
      <c r="S424" s="76"/>
      <c r="T424" s="76"/>
      <c r="U424" s="97">
        <f>0.1/365</f>
        <v>2.7397260273972606E-4</v>
      </c>
      <c r="V424" s="97">
        <f>0.1/365</f>
        <v>2.7397260273972606E-4</v>
      </c>
      <c r="W424" s="97">
        <f>0.1/365</f>
        <v>2.7397260273972606E-4</v>
      </c>
      <c r="X424" s="97">
        <f>0.1/365</f>
        <v>2.7397260273972606E-4</v>
      </c>
      <c r="Y424" s="97">
        <v>2.7397260273972606E-4</v>
      </c>
      <c r="Z424" s="97">
        <v>2.7397260273972606E-4</v>
      </c>
      <c r="AA424" s="97">
        <v>2.7397260273972606E-4</v>
      </c>
      <c r="AB424" s="97">
        <v>2.7397260273972606E-4</v>
      </c>
      <c r="AC424" s="97">
        <f>0.1/365</f>
        <v>2.7397260273972606E-4</v>
      </c>
      <c r="AD424" s="97">
        <f>0.1/365</f>
        <v>2.7397260273972606E-4</v>
      </c>
      <c r="AE424" s="76"/>
      <c r="AF424" s="97" t="s">
        <v>1024</v>
      </c>
      <c r="AG424" s="76"/>
      <c r="AH424" s="97">
        <v>1</v>
      </c>
      <c r="AI424" s="97">
        <v>1</v>
      </c>
      <c r="AJ424" s="73"/>
      <c r="AK424" s="57"/>
      <c r="AL424" s="45"/>
      <c r="AM424" s="45"/>
      <c r="AN424" s="45"/>
    </row>
    <row r="425" spans="1:40" hidden="1" outlineLevel="2" x14ac:dyDescent="0.25">
      <c r="A425" s="45"/>
      <c r="B425" s="54"/>
      <c r="C425" s="47">
        <f t="shared" si="76"/>
        <v>3</v>
      </c>
      <c r="D425" s="73"/>
      <c r="E425" s="70"/>
      <c r="F425" s="70" t="s">
        <v>1025</v>
      </c>
      <c r="G425" s="73"/>
      <c r="H425" s="76" t="s">
        <v>1026</v>
      </c>
      <c r="I425" s="96" t="s">
        <v>500</v>
      </c>
      <c r="J425" s="96"/>
      <c r="K425" s="97">
        <v>300</v>
      </c>
      <c r="L425" s="97">
        <v>300</v>
      </c>
      <c r="M425" s="97">
        <v>300</v>
      </c>
      <c r="N425" s="97">
        <v>300</v>
      </c>
      <c r="O425" s="97">
        <v>300</v>
      </c>
      <c r="P425" s="97">
        <v>300</v>
      </c>
      <c r="Q425" s="76"/>
      <c r="R425" s="76"/>
      <c r="S425" s="76"/>
      <c r="T425" s="76"/>
      <c r="U425" s="252">
        <f t="shared" ref="U425:X432" si="77">INDEX($K425:$Q425,1,U$43)</f>
        <v>300</v>
      </c>
      <c r="V425" s="252">
        <f t="shared" si="77"/>
        <v>300</v>
      </c>
      <c r="W425" s="252">
        <f t="shared" si="77"/>
        <v>300</v>
      </c>
      <c r="X425" s="252">
        <f t="shared" si="77"/>
        <v>300</v>
      </c>
      <c r="Y425" s="252">
        <v>300</v>
      </c>
      <c r="Z425" s="252">
        <v>300</v>
      </c>
      <c r="AA425" s="252">
        <v>300</v>
      </c>
      <c r="AB425" s="252">
        <v>300</v>
      </c>
      <c r="AC425" s="252">
        <f t="shared" ref="AC425:AD432" si="78">INDEX($K425:$Q425,1,AC$43)</f>
        <v>300</v>
      </c>
      <c r="AD425" s="252">
        <f t="shared" si="78"/>
        <v>300</v>
      </c>
      <c r="AE425" s="76"/>
      <c r="AF425" s="76"/>
      <c r="AG425" s="76"/>
      <c r="AH425" s="97">
        <v>1</v>
      </c>
      <c r="AI425" s="97">
        <v>1</v>
      </c>
      <c r="AJ425" s="73"/>
      <c r="AK425" s="57"/>
      <c r="AL425" s="45"/>
      <c r="AM425" s="45"/>
      <c r="AN425" s="45"/>
    </row>
    <row r="426" spans="1:40" hidden="1" outlineLevel="2" x14ac:dyDescent="0.25">
      <c r="A426" s="45"/>
      <c r="B426" s="54"/>
      <c r="C426" s="47">
        <f t="shared" si="76"/>
        <v>3</v>
      </c>
      <c r="D426" s="73"/>
      <c r="E426" s="70"/>
      <c r="F426" s="70" t="s">
        <v>1027</v>
      </c>
      <c r="G426" s="73"/>
      <c r="H426" s="76" t="s">
        <v>1028</v>
      </c>
      <c r="I426" s="96" t="s">
        <v>500</v>
      </c>
      <c r="J426" s="96"/>
      <c r="K426" s="97">
        <v>365</v>
      </c>
      <c r="L426" s="97">
        <v>365</v>
      </c>
      <c r="M426" s="97">
        <v>365</v>
      </c>
      <c r="N426" s="97">
        <v>365</v>
      </c>
      <c r="O426" s="97">
        <v>365</v>
      </c>
      <c r="P426" s="97">
        <v>365</v>
      </c>
      <c r="Q426" s="76"/>
      <c r="R426" s="76"/>
      <c r="S426" s="76"/>
      <c r="T426" s="76"/>
      <c r="U426" s="252">
        <f t="shared" si="77"/>
        <v>365</v>
      </c>
      <c r="V426" s="252">
        <f t="shared" si="77"/>
        <v>365</v>
      </c>
      <c r="W426" s="252">
        <f t="shared" si="77"/>
        <v>365</v>
      </c>
      <c r="X426" s="252">
        <f t="shared" si="77"/>
        <v>365</v>
      </c>
      <c r="Y426" s="252">
        <v>365</v>
      </c>
      <c r="Z426" s="252">
        <v>365</v>
      </c>
      <c r="AA426" s="252">
        <v>365</v>
      </c>
      <c r="AB426" s="252">
        <v>365</v>
      </c>
      <c r="AC426" s="252">
        <f t="shared" si="78"/>
        <v>365</v>
      </c>
      <c r="AD426" s="252">
        <f t="shared" si="78"/>
        <v>365</v>
      </c>
      <c r="AE426" s="76"/>
      <c r="AF426" s="76"/>
      <c r="AG426" s="76"/>
      <c r="AH426" s="97">
        <v>1</v>
      </c>
      <c r="AI426" s="97">
        <v>1</v>
      </c>
      <c r="AJ426" s="73"/>
      <c r="AK426" s="57"/>
      <c r="AL426" s="45"/>
      <c r="AM426" s="45"/>
      <c r="AN426" s="45"/>
    </row>
    <row r="427" spans="1:40" hidden="1" outlineLevel="2" x14ac:dyDescent="0.25">
      <c r="A427" s="45"/>
      <c r="B427" s="54"/>
      <c r="C427" s="47">
        <f t="shared" si="76"/>
        <v>3</v>
      </c>
      <c r="D427" s="73"/>
      <c r="E427" s="70"/>
      <c r="F427" s="70" t="s">
        <v>1029</v>
      </c>
      <c r="G427" s="73"/>
      <c r="H427" s="76" t="s">
        <v>1030</v>
      </c>
      <c r="I427" s="96" t="s">
        <v>500</v>
      </c>
      <c r="J427" s="96"/>
      <c r="K427" s="97">
        <v>0.2</v>
      </c>
      <c r="L427" s="97">
        <v>0.2</v>
      </c>
      <c r="M427" s="97"/>
      <c r="N427" s="97"/>
      <c r="O427" s="97"/>
      <c r="P427" s="97"/>
      <c r="Q427" s="76"/>
      <c r="R427" s="76"/>
      <c r="S427" s="76"/>
      <c r="T427" s="76"/>
      <c r="U427" s="252">
        <f t="shared" si="77"/>
        <v>0.2</v>
      </c>
      <c r="V427" s="252">
        <f t="shared" si="77"/>
        <v>0.2</v>
      </c>
      <c r="W427" s="252">
        <f t="shared" si="77"/>
        <v>0.2</v>
      </c>
      <c r="X427" s="252">
        <f t="shared" si="77"/>
        <v>0.2</v>
      </c>
      <c r="Y427" s="252">
        <v>0.2</v>
      </c>
      <c r="Z427" s="252">
        <v>0.2</v>
      </c>
      <c r="AA427" s="252">
        <v>0.2</v>
      </c>
      <c r="AB427" s="252">
        <v>0.2</v>
      </c>
      <c r="AC427" s="252">
        <f t="shared" si="78"/>
        <v>0.2</v>
      </c>
      <c r="AD427" s="252">
        <f t="shared" si="78"/>
        <v>0.2</v>
      </c>
      <c r="AE427" s="76"/>
      <c r="AF427" s="76"/>
      <c r="AG427" s="76"/>
      <c r="AH427" s="97">
        <v>1</v>
      </c>
      <c r="AI427" s="97">
        <v>1</v>
      </c>
      <c r="AJ427" s="73"/>
      <c r="AK427" s="57"/>
      <c r="AL427" s="45"/>
      <c r="AM427" s="45"/>
      <c r="AN427" s="45"/>
    </row>
    <row r="428" spans="1:40" hidden="1" outlineLevel="2" x14ac:dyDescent="0.25">
      <c r="A428" s="45"/>
      <c r="B428" s="54"/>
      <c r="C428" s="47">
        <f t="shared" si="76"/>
        <v>3</v>
      </c>
      <c r="D428" s="73"/>
      <c r="E428" s="70"/>
      <c r="F428" s="70" t="s">
        <v>1031</v>
      </c>
      <c r="G428" s="73"/>
      <c r="H428" s="76" t="s">
        <v>1032</v>
      </c>
      <c r="I428" s="96" t="s">
        <v>500</v>
      </c>
      <c r="J428" s="96"/>
      <c r="K428" s="97">
        <v>0.5</v>
      </c>
      <c r="L428" s="97">
        <v>0.5</v>
      </c>
      <c r="M428" s="97"/>
      <c r="N428" s="97"/>
      <c r="O428" s="97"/>
      <c r="P428" s="97"/>
      <c r="Q428" s="76"/>
      <c r="R428" s="76" t="s">
        <v>458</v>
      </c>
      <c r="S428" s="76"/>
      <c r="T428" s="76"/>
      <c r="U428" s="252">
        <f t="shared" si="77"/>
        <v>0.5</v>
      </c>
      <c r="V428" s="252">
        <f t="shared" si="77"/>
        <v>0.5</v>
      </c>
      <c r="W428" s="252">
        <f t="shared" si="77"/>
        <v>0.5</v>
      </c>
      <c r="X428" s="252">
        <f t="shared" si="77"/>
        <v>0.5</v>
      </c>
      <c r="Y428" s="252">
        <v>0.5</v>
      </c>
      <c r="Z428" s="252">
        <v>0.5</v>
      </c>
      <c r="AA428" s="252">
        <v>0.5</v>
      </c>
      <c r="AB428" s="252">
        <v>0.5</v>
      </c>
      <c r="AC428" s="252">
        <f t="shared" si="78"/>
        <v>0.5</v>
      </c>
      <c r="AD428" s="252">
        <f t="shared" si="78"/>
        <v>0.5</v>
      </c>
      <c r="AE428" s="76"/>
      <c r="AF428" s="76"/>
      <c r="AG428" s="76"/>
      <c r="AH428" s="97">
        <v>1</v>
      </c>
      <c r="AI428" s="97">
        <v>1</v>
      </c>
      <c r="AJ428" s="73"/>
      <c r="AK428" s="57"/>
      <c r="AL428" s="45"/>
      <c r="AM428" s="45"/>
      <c r="AN428" s="45"/>
    </row>
    <row r="429" spans="1:40" hidden="1" outlineLevel="2" x14ac:dyDescent="0.25">
      <c r="A429" s="45"/>
      <c r="B429" s="54"/>
      <c r="C429" s="47">
        <f t="shared" si="76"/>
        <v>3</v>
      </c>
      <c r="D429" s="73"/>
      <c r="E429" s="70"/>
      <c r="F429" s="70" t="s">
        <v>1033</v>
      </c>
      <c r="G429" s="73"/>
      <c r="H429" s="76" t="s">
        <v>1034</v>
      </c>
      <c r="I429" s="96" t="s">
        <v>500</v>
      </c>
      <c r="J429" s="96"/>
      <c r="K429" s="118">
        <v>0.1</v>
      </c>
      <c r="L429" s="97"/>
      <c r="M429" s="76"/>
      <c r="N429" s="76"/>
      <c r="O429" s="76"/>
      <c r="P429" s="76"/>
      <c r="Q429" s="76"/>
      <c r="R429" s="76"/>
      <c r="S429" s="76"/>
      <c r="T429" s="76"/>
      <c r="U429" s="252">
        <f t="shared" si="77"/>
        <v>0.1</v>
      </c>
      <c r="V429" s="252">
        <f t="shared" si="77"/>
        <v>0.1</v>
      </c>
      <c r="W429" s="252">
        <f t="shared" si="77"/>
        <v>0.1</v>
      </c>
      <c r="X429" s="252">
        <f t="shared" si="77"/>
        <v>0.1</v>
      </c>
      <c r="Y429" s="252">
        <v>0.1</v>
      </c>
      <c r="Z429" s="252">
        <v>0.1</v>
      </c>
      <c r="AA429" s="252">
        <v>0.1</v>
      </c>
      <c r="AB429" s="252">
        <v>0</v>
      </c>
      <c r="AC429" s="252">
        <f t="shared" si="78"/>
        <v>0</v>
      </c>
      <c r="AD429" s="252">
        <f t="shared" si="78"/>
        <v>0</v>
      </c>
      <c r="AE429" s="76"/>
      <c r="AF429" s="76"/>
      <c r="AG429" s="76"/>
      <c r="AH429" s="97">
        <v>1</v>
      </c>
      <c r="AI429" s="97">
        <v>1</v>
      </c>
      <c r="AJ429" s="73"/>
      <c r="AK429" s="57"/>
      <c r="AL429" s="45"/>
      <c r="AM429" s="45"/>
      <c r="AN429" s="45"/>
    </row>
    <row r="430" spans="1:40" hidden="1" outlineLevel="2" x14ac:dyDescent="0.25">
      <c r="A430" s="45"/>
      <c r="B430" s="54"/>
      <c r="C430" s="47">
        <f t="shared" si="76"/>
        <v>3</v>
      </c>
      <c r="D430" s="73"/>
      <c r="E430" s="70"/>
      <c r="F430" s="70" t="s">
        <v>1035</v>
      </c>
      <c r="G430" s="73"/>
      <c r="H430" s="76" t="s">
        <v>1036</v>
      </c>
      <c r="I430" s="96" t="s">
        <v>500</v>
      </c>
      <c r="J430" s="96"/>
      <c r="K430" s="118">
        <v>0.03</v>
      </c>
      <c r="L430" s="97"/>
      <c r="M430" s="76"/>
      <c r="N430" s="76"/>
      <c r="O430" s="76"/>
      <c r="P430" s="76"/>
      <c r="Q430" s="76"/>
      <c r="R430" s="76"/>
      <c r="S430" s="76"/>
      <c r="T430" s="76"/>
      <c r="U430" s="252">
        <f t="shared" si="77"/>
        <v>0.03</v>
      </c>
      <c r="V430" s="252">
        <f t="shared" si="77"/>
        <v>0.03</v>
      </c>
      <c r="W430" s="252">
        <f t="shared" si="77"/>
        <v>0.03</v>
      </c>
      <c r="X430" s="252">
        <f t="shared" si="77"/>
        <v>0.03</v>
      </c>
      <c r="Y430" s="252">
        <v>0.03</v>
      </c>
      <c r="Z430" s="252">
        <v>0.03</v>
      </c>
      <c r="AA430" s="252">
        <v>0.03</v>
      </c>
      <c r="AB430" s="252">
        <v>0</v>
      </c>
      <c r="AC430" s="252">
        <f t="shared" si="78"/>
        <v>0</v>
      </c>
      <c r="AD430" s="252">
        <f t="shared" si="78"/>
        <v>0</v>
      </c>
      <c r="AE430" s="76"/>
      <c r="AF430" s="76"/>
      <c r="AG430" s="76"/>
      <c r="AH430" s="97">
        <v>1</v>
      </c>
      <c r="AI430" s="97">
        <v>1</v>
      </c>
      <c r="AJ430" s="73"/>
      <c r="AK430" s="57"/>
      <c r="AL430" s="45"/>
      <c r="AM430" s="45"/>
      <c r="AN430" s="45"/>
    </row>
    <row r="431" spans="1:40" hidden="1" outlineLevel="2" x14ac:dyDescent="0.25">
      <c r="A431" s="45"/>
      <c r="B431" s="54"/>
      <c r="C431" s="47">
        <f t="shared" si="76"/>
        <v>3</v>
      </c>
      <c r="D431" s="73"/>
      <c r="E431" s="70"/>
      <c r="F431" s="70" t="s">
        <v>1037</v>
      </c>
      <c r="G431" s="73"/>
      <c r="H431" s="76" t="s">
        <v>1038</v>
      </c>
      <c r="I431" s="96" t="s">
        <v>500</v>
      </c>
      <c r="J431" s="96"/>
      <c r="K431" s="118">
        <v>0.01</v>
      </c>
      <c r="L431" s="97"/>
      <c r="M431" s="76"/>
      <c r="N431" s="76"/>
      <c r="O431" s="76"/>
      <c r="P431" s="76"/>
      <c r="Q431" s="76"/>
      <c r="R431" s="76"/>
      <c r="S431" s="76"/>
      <c r="T431" s="76"/>
      <c r="U431" s="252">
        <f t="shared" si="77"/>
        <v>0.01</v>
      </c>
      <c r="V431" s="252">
        <f t="shared" si="77"/>
        <v>0.01</v>
      </c>
      <c r="W431" s="252">
        <f t="shared" si="77"/>
        <v>0.01</v>
      </c>
      <c r="X431" s="252">
        <f t="shared" si="77"/>
        <v>0.01</v>
      </c>
      <c r="Y431" s="252">
        <v>0.01</v>
      </c>
      <c r="Z431" s="252">
        <v>0.01</v>
      </c>
      <c r="AA431" s="252">
        <v>0.01</v>
      </c>
      <c r="AB431" s="252">
        <v>0</v>
      </c>
      <c r="AC431" s="252">
        <f t="shared" si="78"/>
        <v>0</v>
      </c>
      <c r="AD431" s="252">
        <f t="shared" si="78"/>
        <v>0</v>
      </c>
      <c r="AE431" s="76"/>
      <c r="AF431" s="76"/>
      <c r="AG431" s="76"/>
      <c r="AH431" s="97">
        <v>1</v>
      </c>
      <c r="AI431" s="97">
        <v>1</v>
      </c>
      <c r="AJ431" s="73"/>
      <c r="AK431" s="57"/>
      <c r="AL431" s="45"/>
      <c r="AM431" s="45"/>
      <c r="AN431" s="45"/>
    </row>
    <row r="432" spans="1:40" hidden="1" outlineLevel="2" x14ac:dyDescent="0.25">
      <c r="A432" s="45"/>
      <c r="B432" s="54"/>
      <c r="C432" s="47">
        <f t="shared" si="76"/>
        <v>3</v>
      </c>
      <c r="D432" s="73"/>
      <c r="E432" s="70"/>
      <c r="F432" s="70" t="s">
        <v>1039</v>
      </c>
      <c r="G432" s="73"/>
      <c r="H432" s="76" t="s">
        <v>1040</v>
      </c>
      <c r="I432" s="96" t="s">
        <v>500</v>
      </c>
      <c r="J432" s="96"/>
      <c r="K432" s="118">
        <v>0</v>
      </c>
      <c r="L432" s="97"/>
      <c r="M432" s="76"/>
      <c r="N432" s="76"/>
      <c r="O432" s="76"/>
      <c r="P432" s="76"/>
      <c r="Q432" s="76"/>
      <c r="R432" s="76"/>
      <c r="S432" s="76"/>
      <c r="T432" s="76"/>
      <c r="U432" s="252">
        <f t="shared" si="77"/>
        <v>0</v>
      </c>
      <c r="V432" s="252">
        <f t="shared" si="77"/>
        <v>0</v>
      </c>
      <c r="W432" s="252">
        <f t="shared" si="77"/>
        <v>0</v>
      </c>
      <c r="X432" s="252">
        <f t="shared" si="77"/>
        <v>0</v>
      </c>
      <c r="Y432" s="252">
        <v>0</v>
      </c>
      <c r="Z432" s="252">
        <v>0</v>
      </c>
      <c r="AA432" s="252">
        <v>0</v>
      </c>
      <c r="AB432" s="252">
        <v>0</v>
      </c>
      <c r="AC432" s="252">
        <f t="shared" si="78"/>
        <v>0</v>
      </c>
      <c r="AD432" s="252">
        <f t="shared" si="78"/>
        <v>0</v>
      </c>
      <c r="AE432" s="76"/>
      <c r="AF432" s="76"/>
      <c r="AG432" s="76"/>
      <c r="AH432" s="97">
        <v>1</v>
      </c>
      <c r="AI432" s="97">
        <v>1</v>
      </c>
      <c r="AJ432" s="73"/>
      <c r="AK432" s="57"/>
      <c r="AL432" s="45"/>
      <c r="AM432" s="45"/>
      <c r="AN432" s="45"/>
    </row>
    <row r="433" spans="1:40" hidden="1" outlineLevel="2" x14ac:dyDescent="0.25">
      <c r="A433" s="45"/>
      <c r="B433" s="54"/>
      <c r="C433" s="47">
        <f t="shared" si="76"/>
        <v>3</v>
      </c>
      <c r="D433" s="73"/>
      <c r="E433" s="70"/>
      <c r="F433" s="70" t="s">
        <v>2229</v>
      </c>
      <c r="G433" s="73"/>
      <c r="H433" s="76" t="s">
        <v>2234</v>
      </c>
      <c r="I433" s="96" t="s">
        <v>2237</v>
      </c>
      <c r="J433" s="96"/>
      <c r="K433" s="76"/>
      <c r="L433" s="76"/>
      <c r="M433" s="76"/>
      <c r="N433" s="76"/>
      <c r="O433" s="76"/>
      <c r="P433" s="76"/>
      <c r="Q433" s="76"/>
      <c r="R433" s="76"/>
      <c r="S433" s="76"/>
      <c r="T433" s="76"/>
      <c r="U433" s="97">
        <f>0.1/365</f>
        <v>2.7397260273972606E-4</v>
      </c>
      <c r="V433" s="97">
        <f>0.1/365</f>
        <v>2.7397260273972606E-4</v>
      </c>
      <c r="W433" s="97">
        <f>0.1/365</f>
        <v>2.7397260273972606E-4</v>
      </c>
      <c r="X433" s="97">
        <f>0.1/365</f>
        <v>2.7397260273972606E-4</v>
      </c>
      <c r="Y433" s="97">
        <v>2.7397260273972606E-4</v>
      </c>
      <c r="Z433" s="97">
        <v>2.7397260273972606E-4</v>
      </c>
      <c r="AA433" s="97">
        <v>2.7397260273972606E-4</v>
      </c>
      <c r="AB433" s="97">
        <v>2.7397260273972606E-4</v>
      </c>
      <c r="AC433" s="97">
        <f>0.1/365</f>
        <v>2.7397260273972606E-4</v>
      </c>
      <c r="AD433" s="97">
        <f>0.1/365</f>
        <v>2.7397260273972606E-4</v>
      </c>
      <c r="AE433" s="76"/>
      <c r="AF433" s="97" t="s">
        <v>1024</v>
      </c>
      <c r="AG433" s="76"/>
      <c r="AH433" s="97">
        <v>1</v>
      </c>
      <c r="AI433" s="97">
        <v>1</v>
      </c>
      <c r="AJ433" s="73"/>
      <c r="AK433" s="57"/>
      <c r="AL433" s="45"/>
      <c r="AM433" s="45"/>
      <c r="AN433" s="45"/>
    </row>
    <row r="434" spans="1:40" hidden="1" outlineLevel="2" x14ac:dyDescent="0.25">
      <c r="A434" s="45"/>
      <c r="B434" s="54"/>
      <c r="C434" s="47">
        <f t="shared" si="76"/>
        <v>3</v>
      </c>
      <c r="D434" s="73"/>
      <c r="E434" s="70"/>
      <c r="F434" s="70" t="s">
        <v>2230</v>
      </c>
      <c r="G434" s="73"/>
      <c r="H434" s="76" t="s">
        <v>2238</v>
      </c>
      <c r="I434" s="96" t="s">
        <v>500</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458</v>
      </c>
      <c r="AG434" s="76"/>
      <c r="AH434" s="97">
        <v>1</v>
      </c>
      <c r="AI434" s="97">
        <v>1</v>
      </c>
      <c r="AJ434" s="73"/>
      <c r="AK434" s="57"/>
      <c r="AL434" s="45"/>
      <c r="AM434" s="45"/>
      <c r="AN434" s="45"/>
    </row>
    <row r="435" spans="1:40" hidden="1" outlineLevel="2" x14ac:dyDescent="0.25">
      <c r="A435" s="45"/>
      <c r="B435" s="54"/>
      <c r="C435" s="47">
        <f t="shared" si="76"/>
        <v>3</v>
      </c>
      <c r="D435" s="73"/>
      <c r="E435" s="70"/>
      <c r="F435" s="70" t="s">
        <v>2231</v>
      </c>
      <c r="G435" s="73"/>
      <c r="H435" s="76" t="s">
        <v>2235</v>
      </c>
      <c r="I435" s="96" t="s">
        <v>500</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458</v>
      </c>
      <c r="AG435" s="76"/>
      <c r="AH435" s="97">
        <v>1</v>
      </c>
      <c r="AI435" s="97">
        <v>1</v>
      </c>
      <c r="AJ435" s="73"/>
      <c r="AK435" s="57"/>
      <c r="AL435" s="45"/>
      <c r="AM435" s="45"/>
      <c r="AN435" s="45"/>
    </row>
    <row r="436" spans="1:40" hidden="1" outlineLevel="2" x14ac:dyDescent="0.25">
      <c r="A436" s="45"/>
      <c r="B436" s="54"/>
      <c r="C436" s="47">
        <f t="shared" si="76"/>
        <v>3</v>
      </c>
      <c r="D436" s="73"/>
      <c r="E436" s="70"/>
      <c r="F436" s="70" t="s">
        <v>2232</v>
      </c>
      <c r="G436" s="73"/>
      <c r="H436" s="76" t="s">
        <v>2239</v>
      </c>
      <c r="I436" s="96" t="s">
        <v>2240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458</v>
      </c>
      <c r="AG436" s="76"/>
      <c r="AH436" s="97">
        <v>1</v>
      </c>
      <c r="AI436" s="97">
        <v>1</v>
      </c>
      <c r="AJ436" s="73"/>
      <c r="AK436" s="57"/>
      <c r="AL436" s="45"/>
      <c r="AM436" s="45"/>
      <c r="AN436" s="45"/>
    </row>
    <row r="437" spans="1:40" hidden="1" outlineLevel="2" x14ac:dyDescent="0.25">
      <c r="A437" s="45"/>
      <c r="B437" s="54"/>
      <c r="C437" s="47">
        <f t="shared" si="76"/>
        <v>3</v>
      </c>
      <c r="D437" s="73"/>
      <c r="E437" s="70"/>
      <c r="F437" s="70" t="s">
        <v>2233</v>
      </c>
      <c r="G437" s="73"/>
      <c r="H437" s="76" t="s">
        <v>2236</v>
      </c>
      <c r="I437" s="96" t="s">
        <v>2240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458</v>
      </c>
      <c r="AG437" s="76"/>
      <c r="AH437" s="97">
        <v>1</v>
      </c>
      <c r="AI437" s="97">
        <v>1</v>
      </c>
      <c r="AJ437" s="73"/>
      <c r="AK437" s="57"/>
      <c r="AL437" s="45"/>
      <c r="AM437" s="45"/>
      <c r="AN437" s="45"/>
    </row>
    <row r="438" spans="1:40" outlineLevel="1" collapsed="1" x14ac:dyDescent="0.25">
      <c r="A438" s="45"/>
      <c r="B438" s="54"/>
      <c r="C438" s="47">
        <f>INT($C$29)+1</f>
        <v>2</v>
      </c>
      <c r="D438" s="73"/>
      <c r="E438" s="70"/>
      <c r="F438" s="255" t="s">
        <v>1041</v>
      </c>
      <c r="G438" s="73"/>
      <c r="H438" s="246" t="s">
        <v>1042</v>
      </c>
      <c r="I438" s="129"/>
      <c r="J438" s="129" t="s">
        <v>1043</v>
      </c>
      <c r="K438" s="76"/>
      <c r="L438" s="76"/>
      <c r="M438" s="76"/>
      <c r="N438" s="76"/>
      <c r="O438" s="76"/>
      <c r="P438" s="76"/>
      <c r="Q438" s="76"/>
      <c r="R438" s="76"/>
      <c r="S438" s="76"/>
      <c r="T438" s="76"/>
      <c r="U438" s="79">
        <v>24</v>
      </c>
      <c r="V438" s="79">
        <v>8</v>
      </c>
      <c r="W438" s="79">
        <v>-7</v>
      </c>
      <c r="X438" s="76"/>
      <c r="Y438" s="79">
        <v>-7</v>
      </c>
      <c r="Z438" s="79">
        <v>-7</v>
      </c>
      <c r="AA438" s="79">
        <v>-7</v>
      </c>
      <c r="AB438" s="76"/>
      <c r="AC438" s="76"/>
      <c r="AD438" s="76"/>
      <c r="AE438" s="76"/>
      <c r="AF438" s="76"/>
      <c r="AG438" s="76"/>
      <c r="AH438" s="76"/>
      <c r="AI438" s="76"/>
      <c r="AJ438" s="73"/>
      <c r="AK438" s="57"/>
      <c r="AL438" s="45"/>
      <c r="AM438" s="45"/>
      <c r="AN438" s="45"/>
    </row>
    <row r="439" spans="1:40" hidden="1" outlineLevel="3" x14ac:dyDescent="0.25">
      <c r="A439" s="45"/>
      <c r="B439" s="54"/>
      <c r="C439" s="47">
        <f t="shared" ref="C439:C470" si="79">INT($C$29)+2</f>
        <v>3</v>
      </c>
      <c r="D439" s="73"/>
      <c r="E439" s="70"/>
      <c r="F439" s="70" t="s">
        <v>1044</v>
      </c>
      <c r="G439" s="73"/>
      <c r="H439" s="76" t="s">
        <v>602</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25">
      <c r="A440" s="45"/>
      <c r="B440" s="54"/>
      <c r="C440" s="47">
        <f t="shared" si="79"/>
        <v>3</v>
      </c>
      <c r="D440" s="73"/>
      <c r="E440" s="70"/>
      <c r="F440" s="70" t="s">
        <v>1045</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25">
      <c r="A441" s="45"/>
      <c r="B441" s="54"/>
      <c r="C441" s="47">
        <f t="shared" si="79"/>
        <v>3</v>
      </c>
      <c r="D441" s="73"/>
      <c r="E441" s="70"/>
      <c r="F441" s="70" t="s">
        <v>1046</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25">
      <c r="A442" s="45"/>
      <c r="B442" s="54"/>
      <c r="C442" s="47">
        <f t="shared" si="79"/>
        <v>3</v>
      </c>
      <c r="D442" s="73"/>
      <c r="E442" s="70"/>
      <c r="F442" s="70" t="s">
        <v>1047</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25">
      <c r="A443" s="45"/>
      <c r="B443" s="54"/>
      <c r="C443" s="47">
        <f t="shared" si="79"/>
        <v>3</v>
      </c>
      <c r="D443" s="73"/>
      <c r="E443" s="70"/>
      <c r="F443" s="70" t="s">
        <v>1048</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25">
      <c r="A444" s="45"/>
      <c r="B444" s="54"/>
      <c r="C444" s="47">
        <f t="shared" si="79"/>
        <v>3</v>
      </c>
      <c r="D444" s="73"/>
      <c r="E444" s="70"/>
      <c r="F444" s="70" t="s">
        <v>1049</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25">
      <c r="A445" s="45"/>
      <c r="B445" s="54"/>
      <c r="C445" s="47">
        <f t="shared" si="79"/>
        <v>3</v>
      </c>
      <c r="D445" s="73"/>
      <c r="E445" s="70"/>
      <c r="F445" s="70" t="s">
        <v>1050</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25">
      <c r="A446" s="45"/>
      <c r="B446" s="54"/>
      <c r="C446" s="47">
        <f t="shared" si="79"/>
        <v>3</v>
      </c>
      <c r="D446" s="73"/>
      <c r="E446" s="70"/>
      <c r="F446" s="70" t="s">
        <v>1051</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25">
      <c r="A447" s="45"/>
      <c r="B447" s="54"/>
      <c r="C447" s="47">
        <f t="shared" si="79"/>
        <v>3</v>
      </c>
      <c r="D447" s="73"/>
      <c r="E447" s="70"/>
      <c r="F447" s="70" t="s">
        <v>1052</v>
      </c>
      <c r="G447" s="73"/>
      <c r="H447" s="76" t="s">
        <v>602</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79"/>
        <v>3</v>
      </c>
      <c r="D448" s="73"/>
      <c r="E448" s="70"/>
      <c r="F448" s="70" t="s">
        <v>1053</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79"/>
        <v>3</v>
      </c>
      <c r="D449" s="73"/>
      <c r="E449" s="70"/>
      <c r="F449" s="70" t="s">
        <v>1054</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79"/>
        <v>3</v>
      </c>
      <c r="D450" s="73"/>
      <c r="E450" s="70"/>
      <c r="F450" s="70" t="s">
        <v>1055</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79"/>
        <v>3</v>
      </c>
      <c r="D451" s="73"/>
      <c r="E451" s="70"/>
      <c r="F451" s="70" t="s">
        <v>1056</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79"/>
        <v>3</v>
      </c>
      <c r="D452" s="73"/>
      <c r="E452" s="70"/>
      <c r="F452" s="70" t="s">
        <v>1057</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79"/>
        <v>3</v>
      </c>
      <c r="D453" s="73"/>
      <c r="E453" s="70"/>
      <c r="F453" s="70" t="s">
        <v>1058</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79"/>
        <v>3</v>
      </c>
      <c r="D454" s="73"/>
      <c r="E454" s="70"/>
      <c r="F454" s="70" t="s">
        <v>1059</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25">
      <c r="A455" s="45"/>
      <c r="B455" s="54"/>
      <c r="C455" s="47">
        <f t="shared" si="79"/>
        <v>3</v>
      </c>
      <c r="D455" s="73"/>
      <c r="E455" s="70"/>
      <c r="F455" s="70" t="s">
        <v>1060</v>
      </c>
      <c r="G455" s="73"/>
      <c r="H455" s="76" t="s">
        <v>2264</v>
      </c>
      <c r="I455" s="96"/>
      <c r="J455" s="96"/>
      <c r="K455" s="76"/>
      <c r="L455" s="76"/>
      <c r="M455" s="76"/>
      <c r="N455" s="76"/>
      <c r="O455" s="76"/>
      <c r="P455" s="76"/>
      <c r="Q455" s="76"/>
      <c r="R455" s="76"/>
      <c r="S455" s="76"/>
      <c r="T455" s="76"/>
      <c r="U455" s="330">
        <v>0</v>
      </c>
      <c r="V455" s="330">
        <v>0</v>
      </c>
      <c r="W455" s="330">
        <v>0</v>
      </c>
      <c r="X455" s="330">
        <v>0</v>
      </c>
      <c r="Y455" s="330">
        <v>0</v>
      </c>
      <c r="Z455" s="330">
        <v>0</v>
      </c>
      <c r="AA455" s="330">
        <v>0</v>
      </c>
      <c r="AB455" s="330">
        <v>0</v>
      </c>
      <c r="AC455" s="330">
        <v>0</v>
      </c>
      <c r="AD455" s="330">
        <v>0</v>
      </c>
      <c r="AE455" s="76"/>
      <c r="AF455" s="76"/>
      <c r="AG455" s="76"/>
      <c r="AH455" s="76">
        <v>1</v>
      </c>
      <c r="AI455" s="76">
        <v>1</v>
      </c>
      <c r="AJ455" s="73"/>
      <c r="AK455" s="57"/>
      <c r="AL455" s="45"/>
      <c r="AM455" s="45"/>
      <c r="AN455" s="45"/>
    </row>
    <row r="456" spans="1:40" hidden="1" outlineLevel="2" x14ac:dyDescent="0.25">
      <c r="A456" s="45"/>
      <c r="B456" s="54"/>
      <c r="C456" s="47">
        <f t="shared" si="79"/>
        <v>3</v>
      </c>
      <c r="D456" s="73"/>
      <c r="E456" s="70"/>
      <c r="F456" s="70" t="s">
        <v>1061</v>
      </c>
      <c r="G456" s="73"/>
      <c r="H456" s="76" t="s">
        <v>2592</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2271</v>
      </c>
      <c r="AG456" s="76"/>
      <c r="AH456" s="97">
        <v>1</v>
      </c>
      <c r="AI456" s="97">
        <v>1</v>
      </c>
      <c r="AJ456" s="73"/>
      <c r="AK456" s="57"/>
      <c r="AL456" s="45"/>
      <c r="AM456" s="45"/>
      <c r="AN456" s="45"/>
    </row>
    <row r="457" spans="1:40" hidden="1" outlineLevel="2" x14ac:dyDescent="0.25">
      <c r="A457" s="45"/>
      <c r="B457" s="54"/>
      <c r="C457" s="47">
        <f t="shared" si="79"/>
        <v>3</v>
      </c>
      <c r="D457" s="73"/>
      <c r="E457" s="70"/>
      <c r="F457" s="70" t="s">
        <v>1062</v>
      </c>
      <c r="G457" s="73"/>
      <c r="H457" s="76" t="s">
        <v>2265</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25">
      <c r="A458" s="45"/>
      <c r="B458" s="54"/>
      <c r="C458" s="47">
        <f t="shared" si="79"/>
        <v>3</v>
      </c>
      <c r="D458" s="73"/>
      <c r="E458" s="70"/>
      <c r="F458" s="70" t="s">
        <v>1063</v>
      </c>
      <c r="G458" s="73"/>
      <c r="H458" s="76" t="s">
        <v>2266</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25">
      <c r="A459" s="45"/>
      <c r="B459" s="54"/>
      <c r="C459" s="47">
        <f t="shared" si="79"/>
        <v>3</v>
      </c>
      <c r="D459" s="73"/>
      <c r="E459" s="70"/>
      <c r="F459" s="70" t="s">
        <v>1064</v>
      </c>
      <c r="G459" s="73"/>
      <c r="H459" s="76" t="s">
        <v>2267</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25">
      <c r="A460" s="45"/>
      <c r="B460" s="54"/>
      <c r="C460" s="47">
        <f t="shared" si="79"/>
        <v>3</v>
      </c>
      <c r="D460" s="73"/>
      <c r="E460" s="70"/>
      <c r="F460" s="70" t="s">
        <v>1065</v>
      </c>
      <c r="G460" s="73"/>
      <c r="H460" s="76" t="s">
        <v>2268</v>
      </c>
      <c r="I460" s="96"/>
      <c r="J460" s="96"/>
      <c r="K460" s="76"/>
      <c r="L460" s="76"/>
      <c r="M460" s="76"/>
      <c r="N460" s="76"/>
      <c r="O460" s="76"/>
      <c r="P460" s="76"/>
      <c r="Q460" s="76"/>
      <c r="R460" s="76"/>
      <c r="S460" s="76"/>
      <c r="T460" s="76"/>
      <c r="U460" s="260">
        <f t="shared" ref="U460:X462" si="80">U459</f>
        <v>0.33</v>
      </c>
      <c r="V460" s="260">
        <f t="shared" si="80"/>
        <v>0.33</v>
      </c>
      <c r="W460" s="260">
        <f t="shared" si="80"/>
        <v>0.33</v>
      </c>
      <c r="X460" s="260">
        <f t="shared" si="80"/>
        <v>0.33</v>
      </c>
      <c r="Y460" s="260">
        <v>0.33</v>
      </c>
      <c r="Z460" s="260">
        <v>0.33</v>
      </c>
      <c r="AA460" s="260">
        <v>0.33</v>
      </c>
      <c r="AB460" s="260">
        <v>0.33</v>
      </c>
      <c r="AC460" s="260">
        <f t="shared" ref="AC460:AD462" si="81">AC459</f>
        <v>0.33</v>
      </c>
      <c r="AD460" s="260">
        <f t="shared" si="81"/>
        <v>0.33</v>
      </c>
      <c r="AE460" s="76"/>
      <c r="AF460" s="76"/>
      <c r="AG460" s="76"/>
      <c r="AH460" s="76">
        <v>1</v>
      </c>
      <c r="AI460" s="76">
        <v>1</v>
      </c>
      <c r="AJ460" s="73"/>
      <c r="AK460" s="57"/>
      <c r="AL460" s="45"/>
      <c r="AM460" s="45"/>
      <c r="AN460" s="45"/>
    </row>
    <row r="461" spans="1:40" hidden="1" outlineLevel="2" x14ac:dyDescent="0.25">
      <c r="A461" s="45"/>
      <c r="B461" s="54"/>
      <c r="C461" s="47">
        <f t="shared" si="79"/>
        <v>3</v>
      </c>
      <c r="D461" s="73"/>
      <c r="E461" s="70"/>
      <c r="F461" s="70" t="s">
        <v>1066</v>
      </c>
      <c r="G461" s="73"/>
      <c r="H461" s="76" t="s">
        <v>2269</v>
      </c>
      <c r="I461" s="96"/>
      <c r="J461" s="96"/>
      <c r="K461" s="76"/>
      <c r="L461" s="76"/>
      <c r="M461" s="76"/>
      <c r="N461" s="76"/>
      <c r="O461" s="76"/>
      <c r="P461" s="76"/>
      <c r="Q461" s="76"/>
      <c r="R461" s="76"/>
      <c r="S461" s="76"/>
      <c r="T461" s="76"/>
      <c r="U461" s="260">
        <f t="shared" si="80"/>
        <v>0.33</v>
      </c>
      <c r="V461" s="260">
        <f t="shared" si="80"/>
        <v>0.33</v>
      </c>
      <c r="W461" s="260">
        <f t="shared" si="80"/>
        <v>0.33</v>
      </c>
      <c r="X461" s="260">
        <f t="shared" si="80"/>
        <v>0.33</v>
      </c>
      <c r="Y461" s="260">
        <v>0.33</v>
      </c>
      <c r="Z461" s="260">
        <v>0.33</v>
      </c>
      <c r="AA461" s="260">
        <v>0.33</v>
      </c>
      <c r="AB461" s="260">
        <v>0.33</v>
      </c>
      <c r="AC461" s="260">
        <f t="shared" si="81"/>
        <v>0.33</v>
      </c>
      <c r="AD461" s="260">
        <f t="shared" si="81"/>
        <v>0.33</v>
      </c>
      <c r="AE461" s="76"/>
      <c r="AF461" s="76"/>
      <c r="AG461" s="76"/>
      <c r="AH461" s="76">
        <v>1</v>
      </c>
      <c r="AI461" s="76">
        <v>1</v>
      </c>
      <c r="AJ461" s="73"/>
      <c r="AK461" s="57"/>
      <c r="AL461" s="45"/>
      <c r="AM461" s="45"/>
      <c r="AN461" s="45"/>
    </row>
    <row r="462" spans="1:40" hidden="1" outlineLevel="2" collapsed="1" x14ac:dyDescent="0.25">
      <c r="A462" s="45"/>
      <c r="B462" s="54"/>
      <c r="C462" s="47">
        <f t="shared" si="79"/>
        <v>3</v>
      </c>
      <c r="D462" s="73"/>
      <c r="E462" s="70"/>
      <c r="F462" s="70" t="s">
        <v>1067</v>
      </c>
      <c r="G462" s="73"/>
      <c r="H462" s="76" t="s">
        <v>2270</v>
      </c>
      <c r="I462" s="96"/>
      <c r="J462" s="96"/>
      <c r="K462" s="76"/>
      <c r="L462" s="76"/>
      <c r="M462" s="76"/>
      <c r="N462" s="76"/>
      <c r="O462" s="76"/>
      <c r="P462" s="76"/>
      <c r="Q462" s="76"/>
      <c r="R462" s="76"/>
      <c r="S462" s="76"/>
      <c r="T462" s="76"/>
      <c r="U462" s="260">
        <f t="shared" si="80"/>
        <v>0.33</v>
      </c>
      <c r="V462" s="260">
        <f t="shared" si="80"/>
        <v>0.33</v>
      </c>
      <c r="W462" s="260">
        <f t="shared" si="80"/>
        <v>0.33</v>
      </c>
      <c r="X462" s="260">
        <f t="shared" si="80"/>
        <v>0.33</v>
      </c>
      <c r="Y462" s="260">
        <v>0.33</v>
      </c>
      <c r="Z462" s="260">
        <v>0.33</v>
      </c>
      <c r="AA462" s="260">
        <v>0.33</v>
      </c>
      <c r="AB462" s="260">
        <v>0.33</v>
      </c>
      <c r="AC462" s="260">
        <f t="shared" si="81"/>
        <v>0.33</v>
      </c>
      <c r="AD462" s="260">
        <f t="shared" si="81"/>
        <v>0.33</v>
      </c>
      <c r="AE462" s="76"/>
      <c r="AF462" s="76"/>
      <c r="AG462" s="76"/>
      <c r="AH462" s="76">
        <v>1</v>
      </c>
      <c r="AI462" s="76">
        <v>1</v>
      </c>
      <c r="AJ462" s="73"/>
      <c r="AK462" s="57"/>
      <c r="AL462" s="45"/>
      <c r="AM462" s="45"/>
      <c r="AN462" s="45"/>
    </row>
    <row r="463" spans="1:40" hidden="1" outlineLevel="3" x14ac:dyDescent="0.25">
      <c r="A463" s="45"/>
      <c r="B463" s="54"/>
      <c r="C463" s="47">
        <f t="shared" si="79"/>
        <v>3</v>
      </c>
      <c r="D463" s="73"/>
      <c r="E463" s="70"/>
      <c r="F463" s="70" t="s">
        <v>1068</v>
      </c>
      <c r="G463" s="73"/>
      <c r="H463" s="76" t="s">
        <v>602</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79"/>
        <v>3</v>
      </c>
      <c r="D464" s="73"/>
      <c r="E464" s="70"/>
      <c r="F464" s="70" t="s">
        <v>1069</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79"/>
        <v>3</v>
      </c>
      <c r="D465" s="73"/>
      <c r="E465" s="70"/>
      <c r="F465" s="70" t="s">
        <v>1070</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79"/>
        <v>3</v>
      </c>
      <c r="D466" s="73"/>
      <c r="E466" s="70"/>
      <c r="F466" s="70" t="s">
        <v>1071</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79"/>
        <v>3</v>
      </c>
      <c r="D467" s="73"/>
      <c r="E467" s="70"/>
      <c r="F467" s="70" t="s">
        <v>1072</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79"/>
        <v>3</v>
      </c>
      <c r="D468" s="73"/>
      <c r="E468" s="70"/>
      <c r="F468" s="70" t="s">
        <v>1073</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79"/>
        <v>3</v>
      </c>
      <c r="D469" s="73"/>
      <c r="E469" s="70"/>
      <c r="F469" s="70" t="s">
        <v>1074</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79"/>
        <v>3</v>
      </c>
      <c r="D470" s="73"/>
      <c r="E470" s="70"/>
      <c r="F470" s="70" t="s">
        <v>1075</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82">INT($C$29)+2</f>
        <v>3</v>
      </c>
      <c r="D471" s="73"/>
      <c r="E471" s="70"/>
      <c r="F471" s="70" t="s">
        <v>1076</v>
      </c>
      <c r="G471" s="73"/>
      <c r="H471" s="76" t="s">
        <v>602</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82"/>
        <v>3</v>
      </c>
      <c r="D472" s="73"/>
      <c r="E472" s="70"/>
      <c r="F472" s="70" t="s">
        <v>1077</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82"/>
        <v>3</v>
      </c>
      <c r="D473" s="73"/>
      <c r="E473" s="70"/>
      <c r="F473" s="70" t="s">
        <v>1078</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82"/>
        <v>3</v>
      </c>
      <c r="D474" s="73"/>
      <c r="E474" s="70"/>
      <c r="F474" s="70" t="s">
        <v>1079</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82"/>
        <v>3</v>
      </c>
      <c r="D475" s="73"/>
      <c r="E475" s="70"/>
      <c r="F475" s="70" t="s">
        <v>1080</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82"/>
        <v>3</v>
      </c>
      <c r="D476" s="73"/>
      <c r="E476" s="70"/>
      <c r="F476" s="70" t="s">
        <v>1081</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82"/>
        <v>3</v>
      </c>
      <c r="D477" s="73"/>
      <c r="E477" s="70"/>
      <c r="F477" s="70" t="s">
        <v>1082</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82"/>
        <v>3</v>
      </c>
      <c r="D478" s="73"/>
      <c r="E478" s="70"/>
      <c r="F478" s="70" t="s">
        <v>1083</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82"/>
        <v>3</v>
      </c>
      <c r="D479" s="73"/>
      <c r="E479" s="70"/>
      <c r="F479" s="70" t="s">
        <v>1084</v>
      </c>
      <c r="G479" s="73"/>
      <c r="H479" s="76" t="s">
        <v>602</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82"/>
        <v>3</v>
      </c>
      <c r="D480" s="73"/>
      <c r="E480" s="70"/>
      <c r="F480" s="70" t="s">
        <v>1085</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82"/>
        <v>3</v>
      </c>
      <c r="D481" s="73"/>
      <c r="E481" s="70"/>
      <c r="F481" s="70" t="s">
        <v>1086</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82"/>
        <v>3</v>
      </c>
      <c r="D482" s="73"/>
      <c r="E482" s="70"/>
      <c r="F482" s="70" t="s">
        <v>1087</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82"/>
        <v>3</v>
      </c>
      <c r="D483" s="73"/>
      <c r="E483" s="70"/>
      <c r="F483" s="70" t="s">
        <v>1088</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82"/>
        <v>3</v>
      </c>
      <c r="D484" s="73"/>
      <c r="E484" s="70"/>
      <c r="F484" s="70" t="s">
        <v>1089</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82"/>
        <v>3</v>
      </c>
      <c r="D485" s="73"/>
      <c r="E485" s="70"/>
      <c r="F485" s="70" t="s">
        <v>1090</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82"/>
        <v>3</v>
      </c>
      <c r="D486" s="73"/>
      <c r="E486" s="70"/>
      <c r="F486" s="70" t="s">
        <v>1091</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82"/>
        <v>3</v>
      </c>
      <c r="D487" s="73"/>
      <c r="E487" s="70"/>
      <c r="F487" s="70" t="s">
        <v>1092</v>
      </c>
      <c r="G487" s="73"/>
      <c r="H487" s="76" t="s">
        <v>602</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82"/>
        <v>3</v>
      </c>
      <c r="D488" s="73"/>
      <c r="E488" s="70"/>
      <c r="F488" s="70" t="s">
        <v>1093</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82"/>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82"/>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82"/>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82"/>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82"/>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82"/>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82"/>
        <v>3</v>
      </c>
      <c r="D495" s="73"/>
      <c r="E495" s="70"/>
      <c r="F495" s="70" t="s">
        <v>1100</v>
      </c>
      <c r="G495" s="73"/>
      <c r="H495" s="76" t="s">
        <v>602</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82"/>
        <v>3</v>
      </c>
      <c r="D496" s="73"/>
      <c r="E496" s="70"/>
      <c r="F496" s="70" t="s">
        <v>1101</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82"/>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82"/>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82"/>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82"/>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82"/>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82"/>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83">INT($C$29)+2</f>
        <v>3</v>
      </c>
      <c r="D503" s="73"/>
      <c r="E503" s="70"/>
      <c r="F503" s="70" t="s">
        <v>1108</v>
      </c>
      <c r="G503" s="73"/>
      <c r="H503" s="76" t="s">
        <v>2174</v>
      </c>
      <c r="I503" s="96"/>
      <c r="J503" s="96"/>
      <c r="K503" s="76"/>
      <c r="L503" s="76"/>
      <c r="M503" s="76"/>
      <c r="N503" s="76"/>
      <c r="O503" s="76"/>
      <c r="P503" s="76"/>
      <c r="Q503" s="76"/>
      <c r="R503" s="76"/>
      <c r="S503" s="76"/>
      <c r="T503" s="76"/>
      <c r="U503" s="97">
        <f>-1+0.4</f>
        <v>-0.6</v>
      </c>
      <c r="V503" s="254">
        <f>U503</f>
        <v>-0.6</v>
      </c>
      <c r="W503" s="254">
        <f>U503</f>
        <v>-0.6</v>
      </c>
      <c r="X503" s="254">
        <f>V503</f>
        <v>-0.6</v>
      </c>
      <c r="Y503" s="254">
        <v>-0.6</v>
      </c>
      <c r="Z503" s="254">
        <v>-0.6</v>
      </c>
      <c r="AA503" s="254">
        <v>-0.6</v>
      </c>
      <c r="AB503" s="254">
        <v>-1</v>
      </c>
      <c r="AC503" s="254">
        <f>AB503</f>
        <v>-1</v>
      </c>
      <c r="AD503" s="254">
        <f>AC503</f>
        <v>-1</v>
      </c>
      <c r="AE503" s="76"/>
      <c r="AF503" s="97" t="s">
        <v>2588</v>
      </c>
      <c r="AG503" s="76"/>
      <c r="AH503" s="97">
        <v>1</v>
      </c>
      <c r="AI503" s="97">
        <v>1</v>
      </c>
      <c r="AJ503" s="73"/>
      <c r="AK503" s="57"/>
      <c r="AL503" s="45"/>
      <c r="AM503" s="45"/>
      <c r="AN503" s="45"/>
    </row>
    <row r="504" spans="1:40" hidden="1" outlineLevel="2" x14ac:dyDescent="0.25">
      <c r="A504" s="45"/>
      <c r="B504" s="54"/>
      <c r="C504" s="47">
        <f t="shared" si="83"/>
        <v>3</v>
      </c>
      <c r="D504" s="73"/>
      <c r="E504" s="70"/>
      <c r="F504" s="70" t="s">
        <v>1109</v>
      </c>
      <c r="G504" s="73"/>
      <c r="H504" s="76" t="s">
        <v>2598</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83"/>
        <v>3</v>
      </c>
      <c r="D505" s="73"/>
      <c r="E505" s="70"/>
      <c r="F505" s="70" t="s">
        <v>1110</v>
      </c>
      <c r="G505" s="73"/>
      <c r="H505" s="76" t="s">
        <v>2599</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83"/>
        <v>3</v>
      </c>
      <c r="D506" s="73"/>
      <c r="E506" s="70"/>
      <c r="F506" s="70" t="s">
        <v>1111</v>
      </c>
      <c r="G506" s="73"/>
      <c r="H506" s="76" t="s">
        <v>2600</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83"/>
        <v>3</v>
      </c>
      <c r="D507" s="73"/>
      <c r="E507" s="70"/>
      <c r="F507" s="70" t="s">
        <v>1112</v>
      </c>
      <c r="G507" s="73"/>
      <c r="H507" s="76" t="s">
        <v>2601</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83"/>
        <v>3</v>
      </c>
      <c r="D508" s="73"/>
      <c r="E508" s="70"/>
      <c r="F508" s="70" t="s">
        <v>1113</v>
      </c>
      <c r="G508" s="73"/>
      <c r="H508" s="76" t="s">
        <v>2602</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83"/>
        <v>3</v>
      </c>
      <c r="D509" s="73"/>
      <c r="E509" s="70"/>
      <c r="F509" s="70" t="s">
        <v>1114</v>
      </c>
      <c r="G509" s="73"/>
      <c r="H509" s="76" t="s">
        <v>2603</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83"/>
        <v>3</v>
      </c>
      <c r="D510" s="73"/>
      <c r="E510" s="70"/>
      <c r="F510" s="70" t="s">
        <v>1115</v>
      </c>
      <c r="G510" s="73"/>
      <c r="H510" s="76" t="s">
        <v>2604</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83"/>
        <v>3</v>
      </c>
      <c r="D511" s="73"/>
      <c r="E511" s="70"/>
      <c r="F511" s="70" t="s">
        <v>1116</v>
      </c>
      <c r="G511" s="73"/>
      <c r="H511" s="76" t="s">
        <v>602</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83"/>
        <v>3</v>
      </c>
      <c r="D512" s="73"/>
      <c r="E512" s="70"/>
      <c r="F512" s="70" t="s">
        <v>1117</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83"/>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83"/>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83"/>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83"/>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83"/>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83"/>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83"/>
        <v>3</v>
      </c>
      <c r="D519" s="73"/>
      <c r="E519" s="70"/>
      <c r="F519" s="70" t="s">
        <v>1124</v>
      </c>
      <c r="G519" s="73"/>
      <c r="H519" s="76" t="s">
        <v>602</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83"/>
        <v>3</v>
      </c>
      <c r="D520" s="73"/>
      <c r="E520" s="70"/>
      <c r="F520" s="70" t="s">
        <v>1125</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83"/>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83"/>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83"/>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83"/>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83"/>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83"/>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83"/>
        <v>3</v>
      </c>
      <c r="D527" s="73"/>
      <c r="E527" s="70"/>
      <c r="F527" s="70" t="s">
        <v>1132</v>
      </c>
      <c r="G527" s="73"/>
      <c r="H527" s="76" t="s">
        <v>602</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83"/>
        <v>3</v>
      </c>
      <c r="D528" s="73"/>
      <c r="E528" s="70"/>
      <c r="F528" s="70" t="s">
        <v>1133</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83"/>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83"/>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83"/>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83"/>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83"/>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83"/>
        <v>3</v>
      </c>
      <c r="D534" s="73"/>
      <c r="E534" s="70"/>
      <c r="F534" s="70" t="s">
        <v>1139</v>
      </c>
      <c r="G534" s="73"/>
      <c r="H534" s="76"/>
      <c r="I534" s="96"/>
      <c r="J534" s="96"/>
      <c r="K534" s="76"/>
      <c r="L534" s="76"/>
      <c r="M534" s="76"/>
      <c r="N534" s="76"/>
      <c r="O534" s="76"/>
      <c r="P534" s="76"/>
      <c r="Q534" s="76"/>
      <c r="R534" s="76"/>
      <c r="S534" s="76"/>
      <c r="T534" s="96" t="s">
        <v>1140</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84">INT($C$29)+2</f>
        <v>3</v>
      </c>
      <c r="D535" s="73"/>
      <c r="E535" s="70"/>
      <c r="F535" s="70" t="s">
        <v>1141</v>
      </c>
      <c r="G535" s="73"/>
      <c r="H535" s="76" t="s">
        <v>1142</v>
      </c>
      <c r="I535" s="96" t="s">
        <v>500</v>
      </c>
      <c r="J535" s="96" t="s">
        <v>1143</v>
      </c>
      <c r="K535" s="76"/>
      <c r="L535" s="76"/>
      <c r="M535" s="76"/>
      <c r="N535" s="76"/>
      <c r="O535" s="76"/>
      <c r="P535" s="76"/>
      <c r="Q535" s="76"/>
      <c r="R535" s="76"/>
      <c r="S535" s="76"/>
      <c r="T535" s="76">
        <v>-0.1</v>
      </c>
      <c r="U535" s="97">
        <v>-0.2</v>
      </c>
      <c r="V535" s="97">
        <v>-0.2</v>
      </c>
      <c r="W535" s="97">
        <v>-0.2</v>
      </c>
      <c r="X535" s="97">
        <v>-0.2</v>
      </c>
      <c r="Y535" s="97">
        <v>-0.2</v>
      </c>
      <c r="Z535" s="97">
        <v>-0.2</v>
      </c>
      <c r="AA535" s="97">
        <v>-0.2</v>
      </c>
      <c r="AB535" s="254">
        <v>-0.2</v>
      </c>
      <c r="AC535" s="254">
        <f t="shared" ref="AC535:AD539" si="85">AB535</f>
        <v>-0.2</v>
      </c>
      <c r="AD535" s="254">
        <f t="shared" si="85"/>
        <v>-0.2</v>
      </c>
      <c r="AE535" s="76"/>
      <c r="AF535" s="97" t="s">
        <v>1144</v>
      </c>
      <c r="AG535" s="76"/>
      <c r="AH535" s="97">
        <v>1</v>
      </c>
      <c r="AI535" s="97">
        <v>1</v>
      </c>
      <c r="AJ535" s="73"/>
      <c r="AK535" s="57"/>
      <c r="AL535" s="45"/>
      <c r="AM535" s="45"/>
      <c r="AN535" s="45"/>
    </row>
    <row r="536" spans="1:40" hidden="1" outlineLevel="2" x14ac:dyDescent="0.25">
      <c r="A536" s="45"/>
      <c r="B536" s="54"/>
      <c r="C536" s="47">
        <f t="shared" si="84"/>
        <v>3</v>
      </c>
      <c r="D536" s="73"/>
      <c r="E536" s="70"/>
      <c r="F536" s="70" t="s">
        <v>1145</v>
      </c>
      <c r="G536" s="73"/>
      <c r="H536" s="76" t="s">
        <v>2605</v>
      </c>
      <c r="I536" s="96" t="s">
        <v>500</v>
      </c>
      <c r="J536" s="96" t="s">
        <v>1143</v>
      </c>
      <c r="K536" s="76"/>
      <c r="L536" s="76"/>
      <c r="M536" s="76"/>
      <c r="N536" s="76"/>
      <c r="O536" s="76"/>
      <c r="P536" s="76"/>
      <c r="Q536" s="76"/>
      <c r="R536" s="76"/>
      <c r="S536" s="76"/>
      <c r="T536" s="76">
        <v>0</v>
      </c>
      <c r="U536" s="97">
        <v>-0.1</v>
      </c>
      <c r="V536" s="97">
        <v>-0.1</v>
      </c>
      <c r="W536" s="97">
        <v>-0.1</v>
      </c>
      <c r="X536" s="97">
        <v>-0.1</v>
      </c>
      <c r="Y536" s="97">
        <v>-0.1</v>
      </c>
      <c r="Z536" s="97">
        <v>-0.1</v>
      </c>
      <c r="AA536" s="97">
        <v>-0.1</v>
      </c>
      <c r="AB536" s="254">
        <v>-0.1</v>
      </c>
      <c r="AC536" s="254">
        <f t="shared" si="85"/>
        <v>-0.1</v>
      </c>
      <c r="AD536" s="254">
        <f t="shared" si="85"/>
        <v>-0.1</v>
      </c>
      <c r="AE536" s="76"/>
      <c r="AF536" s="97" t="s">
        <v>2593</v>
      </c>
      <c r="AG536" s="76"/>
      <c r="AH536" s="97">
        <v>1</v>
      </c>
      <c r="AI536" s="97">
        <v>1</v>
      </c>
      <c r="AJ536" s="73"/>
      <c r="AK536" s="57"/>
      <c r="AL536" s="45"/>
      <c r="AM536" s="45"/>
      <c r="AN536" s="45"/>
    </row>
    <row r="537" spans="1:40" hidden="1" outlineLevel="2" x14ac:dyDescent="0.25">
      <c r="A537" s="45"/>
      <c r="B537" s="54"/>
      <c r="C537" s="47">
        <f t="shared" si="84"/>
        <v>3</v>
      </c>
      <c r="D537" s="73"/>
      <c r="E537" s="70"/>
      <c r="F537" s="70" t="s">
        <v>1146</v>
      </c>
      <c r="G537" s="73"/>
      <c r="H537" s="76" t="s">
        <v>2606</v>
      </c>
      <c r="I537" s="96" t="s">
        <v>500</v>
      </c>
      <c r="J537" s="96" t="s">
        <v>1143</v>
      </c>
      <c r="K537" s="76"/>
      <c r="L537" s="76"/>
      <c r="M537" s="76"/>
      <c r="N537" s="76"/>
      <c r="O537" s="76"/>
      <c r="P537" s="76"/>
      <c r="Q537" s="76"/>
      <c r="R537" s="76"/>
      <c r="S537" s="76"/>
      <c r="T537" s="76">
        <v>-1.4E-2</v>
      </c>
      <c r="U537" s="97">
        <v>0</v>
      </c>
      <c r="V537" s="97">
        <v>0</v>
      </c>
      <c r="W537" s="97">
        <v>0</v>
      </c>
      <c r="X537" s="97">
        <v>0</v>
      </c>
      <c r="Y537" s="97">
        <v>0</v>
      </c>
      <c r="Z537" s="97">
        <v>0</v>
      </c>
      <c r="AA537" s="97">
        <v>0</v>
      </c>
      <c r="AB537" s="254">
        <v>0</v>
      </c>
      <c r="AC537" s="254">
        <f t="shared" si="85"/>
        <v>0</v>
      </c>
      <c r="AD537" s="254">
        <f t="shared" si="85"/>
        <v>0</v>
      </c>
      <c r="AE537" s="76"/>
      <c r="AF537" s="97"/>
      <c r="AG537" s="76"/>
      <c r="AH537" s="97">
        <v>1</v>
      </c>
      <c r="AI537" s="97">
        <v>1</v>
      </c>
      <c r="AJ537" s="73"/>
      <c r="AK537" s="57"/>
      <c r="AL537" s="45"/>
      <c r="AM537" s="45"/>
      <c r="AN537" s="45"/>
    </row>
    <row r="538" spans="1:40" hidden="1" outlineLevel="2" x14ac:dyDescent="0.25">
      <c r="A538" s="45"/>
      <c r="B538" s="54"/>
      <c r="C538" s="47">
        <f t="shared" si="84"/>
        <v>3</v>
      </c>
      <c r="D538" s="73"/>
      <c r="E538" s="70"/>
      <c r="F538" s="70" t="s">
        <v>1147</v>
      </c>
      <c r="G538" s="73"/>
      <c r="H538" s="76" t="s">
        <v>2607</v>
      </c>
      <c r="I538" s="96" t="s">
        <v>500</v>
      </c>
      <c r="J538" s="96" t="s">
        <v>1143</v>
      </c>
      <c r="K538" s="76"/>
      <c r="L538" s="76"/>
      <c r="M538" s="76"/>
      <c r="N538" s="76"/>
      <c r="O538" s="76"/>
      <c r="P538" s="76"/>
      <c r="Q538" s="76"/>
      <c r="R538" s="76"/>
      <c r="S538" s="76"/>
      <c r="T538" s="76">
        <v>-0.104</v>
      </c>
      <c r="U538" s="97">
        <v>0</v>
      </c>
      <c r="V538" s="97">
        <v>0</v>
      </c>
      <c r="W538" s="97">
        <v>0</v>
      </c>
      <c r="X538" s="97">
        <v>0</v>
      </c>
      <c r="Y538" s="97">
        <v>0</v>
      </c>
      <c r="Z538" s="97">
        <v>0</v>
      </c>
      <c r="AA538" s="97">
        <v>0</v>
      </c>
      <c r="AB538" s="254">
        <v>0</v>
      </c>
      <c r="AC538" s="254">
        <f t="shared" si="85"/>
        <v>0</v>
      </c>
      <c r="AD538" s="254">
        <f t="shared" si="85"/>
        <v>0</v>
      </c>
      <c r="AE538" s="76"/>
      <c r="AF538" s="97"/>
      <c r="AG538" s="76"/>
      <c r="AH538" s="97">
        <v>1</v>
      </c>
      <c r="AI538" s="97">
        <v>1</v>
      </c>
      <c r="AJ538" s="73"/>
      <c r="AK538" s="57"/>
      <c r="AL538" s="45"/>
      <c r="AM538" s="45"/>
      <c r="AN538" s="45"/>
    </row>
    <row r="539" spans="1:40" hidden="1" outlineLevel="2" collapsed="1" x14ac:dyDescent="0.25">
      <c r="A539" s="45"/>
      <c r="B539" s="54"/>
      <c r="C539" s="47">
        <f t="shared" si="84"/>
        <v>3</v>
      </c>
      <c r="D539" s="73"/>
      <c r="E539" s="70"/>
      <c r="F539" s="70" t="s">
        <v>1148</v>
      </c>
      <c r="G539" s="73"/>
      <c r="H539" s="76" t="s">
        <v>2608</v>
      </c>
      <c r="I539" s="96" t="s">
        <v>500</v>
      </c>
      <c r="J539" s="96" t="s">
        <v>1143</v>
      </c>
      <c r="K539" s="76"/>
      <c r="L539" s="76"/>
      <c r="M539" s="76"/>
      <c r="N539" s="76"/>
      <c r="O539" s="76"/>
      <c r="P539" s="76"/>
      <c r="Q539" s="76"/>
      <c r="R539" s="76"/>
      <c r="S539" s="76"/>
      <c r="T539" s="76">
        <v>-0.32100000000000001</v>
      </c>
      <c r="U539" s="97">
        <v>0</v>
      </c>
      <c r="V539" s="97">
        <v>0</v>
      </c>
      <c r="W539" s="97">
        <v>0</v>
      </c>
      <c r="X539" s="97">
        <v>0</v>
      </c>
      <c r="Y539" s="97">
        <v>0</v>
      </c>
      <c r="Z539" s="97">
        <v>0</v>
      </c>
      <c r="AA539" s="97">
        <v>0</v>
      </c>
      <c r="AB539" s="254">
        <v>0</v>
      </c>
      <c r="AC539" s="254">
        <f t="shared" si="85"/>
        <v>0</v>
      </c>
      <c r="AD539" s="254">
        <f t="shared" si="85"/>
        <v>0</v>
      </c>
      <c r="AE539" s="76"/>
      <c r="AF539" s="97"/>
      <c r="AG539" s="76"/>
      <c r="AH539" s="97">
        <v>1</v>
      </c>
      <c r="AI539" s="97">
        <v>1</v>
      </c>
      <c r="AJ539" s="73"/>
      <c r="AK539" s="57"/>
      <c r="AL539" s="45"/>
      <c r="AM539" s="45"/>
      <c r="AN539" s="45"/>
    </row>
    <row r="540" spans="1:40" hidden="1" outlineLevel="3" x14ac:dyDescent="0.25">
      <c r="A540" s="45"/>
      <c r="B540" s="54"/>
      <c r="C540" s="47">
        <f t="shared" si="84"/>
        <v>3</v>
      </c>
      <c r="D540" s="73"/>
      <c r="E540" s="70"/>
      <c r="F540" s="70" t="s">
        <v>1149</v>
      </c>
      <c r="G540" s="73"/>
      <c r="H540" s="76" t="s">
        <v>2609</v>
      </c>
      <c r="I540" s="96" t="s">
        <v>500</v>
      </c>
      <c r="J540" s="96" t="s">
        <v>1143</v>
      </c>
      <c r="K540" s="76"/>
      <c r="L540" s="76"/>
      <c r="M540" s="76"/>
      <c r="N540" s="76"/>
      <c r="O540" s="76"/>
      <c r="P540" s="76"/>
      <c r="Q540" s="76"/>
      <c r="R540" s="76"/>
      <c r="S540" s="76"/>
      <c r="T540" s="76">
        <v>-0.32100000000000001</v>
      </c>
      <c r="U540" s="260">
        <f t="shared" ref="U540:X542" si="86">U539</f>
        <v>0</v>
      </c>
      <c r="V540" s="260">
        <f t="shared" si="86"/>
        <v>0</v>
      </c>
      <c r="W540" s="260">
        <f t="shared" si="86"/>
        <v>0</v>
      </c>
      <c r="X540" s="260">
        <f t="shared" si="86"/>
        <v>0</v>
      </c>
      <c r="Y540" s="260">
        <v>0</v>
      </c>
      <c r="Z540" s="260">
        <v>0</v>
      </c>
      <c r="AA540" s="260">
        <v>0</v>
      </c>
      <c r="AB540" s="260">
        <v>0</v>
      </c>
      <c r="AC540" s="260">
        <f t="shared" ref="AC540:AD542" si="87">AC539</f>
        <v>0</v>
      </c>
      <c r="AD540" s="260">
        <f t="shared" si="87"/>
        <v>0</v>
      </c>
      <c r="AE540" s="76"/>
      <c r="AF540" s="97"/>
      <c r="AG540" s="76"/>
      <c r="AH540" s="97">
        <v>1</v>
      </c>
      <c r="AI540" s="97">
        <v>1</v>
      </c>
      <c r="AJ540" s="73"/>
      <c r="AK540" s="57"/>
      <c r="AL540" s="45"/>
      <c r="AM540" s="45"/>
      <c r="AN540" s="45"/>
    </row>
    <row r="541" spans="1:40" hidden="1" outlineLevel="3" x14ac:dyDescent="0.25">
      <c r="A541" s="45"/>
      <c r="B541" s="54"/>
      <c r="C541" s="47">
        <f t="shared" si="84"/>
        <v>3</v>
      </c>
      <c r="D541" s="73"/>
      <c r="E541" s="70"/>
      <c r="F541" s="70" t="s">
        <v>1150</v>
      </c>
      <c r="G541" s="73"/>
      <c r="H541" s="76" t="s">
        <v>2610</v>
      </c>
      <c r="I541" s="96" t="s">
        <v>500</v>
      </c>
      <c r="J541" s="96" t="s">
        <v>1143</v>
      </c>
      <c r="K541" s="76"/>
      <c r="L541" s="76"/>
      <c r="M541" s="76"/>
      <c r="N541" s="76"/>
      <c r="O541" s="76"/>
      <c r="P541" s="76"/>
      <c r="Q541" s="76"/>
      <c r="R541" s="76"/>
      <c r="S541" s="76"/>
      <c r="T541" s="76">
        <v>-0.32100000000000001</v>
      </c>
      <c r="U541" s="260">
        <f t="shared" si="86"/>
        <v>0</v>
      </c>
      <c r="V541" s="260">
        <f t="shared" si="86"/>
        <v>0</v>
      </c>
      <c r="W541" s="260">
        <f t="shared" si="86"/>
        <v>0</v>
      </c>
      <c r="X541" s="260">
        <f t="shared" si="86"/>
        <v>0</v>
      </c>
      <c r="Y541" s="260">
        <v>0</v>
      </c>
      <c r="Z541" s="260">
        <v>0</v>
      </c>
      <c r="AA541" s="260">
        <v>0</v>
      </c>
      <c r="AB541" s="260">
        <v>0</v>
      </c>
      <c r="AC541" s="260">
        <f t="shared" si="87"/>
        <v>0</v>
      </c>
      <c r="AD541" s="260">
        <f t="shared" si="87"/>
        <v>0</v>
      </c>
      <c r="AE541" s="76"/>
      <c r="AF541" s="97"/>
      <c r="AG541" s="76"/>
      <c r="AH541" s="97">
        <v>1</v>
      </c>
      <c r="AI541" s="97">
        <v>1</v>
      </c>
      <c r="AJ541" s="73"/>
      <c r="AK541" s="57"/>
      <c r="AL541" s="45"/>
      <c r="AM541" s="45"/>
      <c r="AN541" s="45"/>
    </row>
    <row r="542" spans="1:40" hidden="1" outlineLevel="3" x14ac:dyDescent="0.25">
      <c r="A542" s="45"/>
      <c r="B542" s="54"/>
      <c r="C542" s="47">
        <f t="shared" si="84"/>
        <v>3</v>
      </c>
      <c r="D542" s="73"/>
      <c r="E542" s="70"/>
      <c r="F542" s="70" t="s">
        <v>1151</v>
      </c>
      <c r="G542" s="73"/>
      <c r="H542" s="76" t="s">
        <v>2611</v>
      </c>
      <c r="I542" s="96" t="s">
        <v>500</v>
      </c>
      <c r="J542" s="96" t="s">
        <v>1143</v>
      </c>
      <c r="K542" s="76"/>
      <c r="L542" s="76"/>
      <c r="M542" s="76"/>
      <c r="N542" s="76"/>
      <c r="O542" s="76"/>
      <c r="P542" s="76"/>
      <c r="Q542" s="76"/>
      <c r="R542" s="76"/>
      <c r="S542" s="76"/>
      <c r="T542" s="76">
        <v>-0.32100000000000001</v>
      </c>
      <c r="U542" s="260">
        <f t="shared" si="86"/>
        <v>0</v>
      </c>
      <c r="V542" s="260">
        <f t="shared" si="86"/>
        <v>0</v>
      </c>
      <c r="W542" s="260">
        <f t="shared" si="86"/>
        <v>0</v>
      </c>
      <c r="X542" s="260">
        <f t="shared" si="86"/>
        <v>0</v>
      </c>
      <c r="Y542" s="260">
        <v>0</v>
      </c>
      <c r="Z542" s="260">
        <v>0</v>
      </c>
      <c r="AA542" s="260">
        <v>0</v>
      </c>
      <c r="AB542" s="260">
        <v>0</v>
      </c>
      <c r="AC542" s="260">
        <f t="shared" si="87"/>
        <v>0</v>
      </c>
      <c r="AD542" s="260">
        <f t="shared" si="87"/>
        <v>0</v>
      </c>
      <c r="AE542" s="76"/>
      <c r="AF542" s="97"/>
      <c r="AG542" s="76"/>
      <c r="AH542" s="97">
        <v>1</v>
      </c>
      <c r="AI542" s="97">
        <v>1</v>
      </c>
      <c r="AJ542" s="73"/>
      <c r="AK542" s="57"/>
      <c r="AL542" s="45"/>
      <c r="AM542" s="45"/>
      <c r="AN542" s="45"/>
    </row>
    <row r="543" spans="1:40" hidden="1" outlineLevel="2" x14ac:dyDescent="0.25">
      <c r="A543" s="45"/>
      <c r="B543" s="54"/>
      <c r="C543" s="47">
        <f t="shared" si="84"/>
        <v>3</v>
      </c>
      <c r="D543" s="73"/>
      <c r="E543" s="70"/>
      <c r="F543" s="70" t="s">
        <v>1152</v>
      </c>
      <c r="G543" s="73"/>
      <c r="H543" s="76" t="s">
        <v>1153</v>
      </c>
      <c r="I543" s="96" t="s">
        <v>500</v>
      </c>
      <c r="J543" s="96" t="s">
        <v>1143</v>
      </c>
      <c r="K543" s="76"/>
      <c r="L543" s="76"/>
      <c r="M543" s="76"/>
      <c r="N543" s="76"/>
      <c r="O543" s="76"/>
      <c r="P543" s="76"/>
      <c r="Q543" s="76"/>
      <c r="R543" s="76"/>
      <c r="S543" s="76"/>
      <c r="T543" s="76">
        <v>0</v>
      </c>
      <c r="U543" s="97">
        <v>0</v>
      </c>
      <c r="V543" s="97">
        <v>0</v>
      </c>
      <c r="W543" s="97">
        <v>0</v>
      </c>
      <c r="X543" s="97">
        <v>0</v>
      </c>
      <c r="Y543" s="97">
        <v>0</v>
      </c>
      <c r="Z543" s="97">
        <v>0</v>
      </c>
      <c r="AA543" s="97">
        <v>0</v>
      </c>
      <c r="AB543" s="254">
        <v>0</v>
      </c>
      <c r="AC543" s="254">
        <f t="shared" ref="AC543:AD547" si="88">AB543</f>
        <v>0</v>
      </c>
      <c r="AD543" s="254">
        <f t="shared" si="88"/>
        <v>0</v>
      </c>
      <c r="AE543" s="76"/>
      <c r="AF543" s="97"/>
      <c r="AG543" s="76"/>
      <c r="AH543" s="97">
        <v>1</v>
      </c>
      <c r="AI543" s="97">
        <v>1</v>
      </c>
      <c r="AJ543" s="73"/>
      <c r="AK543" s="57"/>
      <c r="AL543" s="45"/>
      <c r="AM543" s="45"/>
      <c r="AN543" s="45"/>
    </row>
    <row r="544" spans="1:40" hidden="1" outlineLevel="2" x14ac:dyDescent="0.25">
      <c r="A544" s="45"/>
      <c r="B544" s="54"/>
      <c r="C544" s="47">
        <f t="shared" si="84"/>
        <v>3</v>
      </c>
      <c r="D544" s="73"/>
      <c r="E544" s="70"/>
      <c r="F544" s="70" t="s">
        <v>1154</v>
      </c>
      <c r="G544" s="73"/>
      <c r="H544" s="76" t="s">
        <v>2612</v>
      </c>
      <c r="I544" s="96" t="s">
        <v>500</v>
      </c>
      <c r="J544" s="96" t="s">
        <v>1143</v>
      </c>
      <c r="K544" s="76"/>
      <c r="L544" s="76"/>
      <c r="M544" s="76"/>
      <c r="N544" s="76"/>
      <c r="O544" s="76"/>
      <c r="P544" s="76"/>
      <c r="Q544" s="76"/>
      <c r="R544" s="76"/>
      <c r="S544" s="76"/>
      <c r="T544" s="76">
        <v>0</v>
      </c>
      <c r="U544" s="97">
        <v>0</v>
      </c>
      <c r="V544" s="97">
        <v>0</v>
      </c>
      <c r="W544" s="97">
        <v>0</v>
      </c>
      <c r="X544" s="97">
        <v>0</v>
      </c>
      <c r="Y544" s="97">
        <v>0</v>
      </c>
      <c r="Z544" s="97">
        <v>0</v>
      </c>
      <c r="AA544" s="97">
        <v>0</v>
      </c>
      <c r="AB544" s="254">
        <v>0</v>
      </c>
      <c r="AC544" s="254">
        <f t="shared" si="88"/>
        <v>0</v>
      </c>
      <c r="AD544" s="254">
        <f t="shared" si="88"/>
        <v>0</v>
      </c>
      <c r="AE544" s="76"/>
      <c r="AF544" s="97"/>
      <c r="AG544" s="76"/>
      <c r="AH544" s="97">
        <v>1</v>
      </c>
      <c r="AI544" s="97">
        <v>1</v>
      </c>
      <c r="AJ544" s="73"/>
      <c r="AK544" s="57"/>
      <c r="AL544" s="45"/>
      <c r="AM544" s="45"/>
      <c r="AN544" s="45"/>
    </row>
    <row r="545" spans="1:40" hidden="1" outlineLevel="2" x14ac:dyDescent="0.25">
      <c r="A545" s="45"/>
      <c r="B545" s="54"/>
      <c r="C545" s="47">
        <f t="shared" si="84"/>
        <v>3</v>
      </c>
      <c r="D545" s="73"/>
      <c r="E545" s="70"/>
      <c r="F545" s="70" t="s">
        <v>1155</v>
      </c>
      <c r="G545" s="73"/>
      <c r="H545" s="76" t="s">
        <v>2613</v>
      </c>
      <c r="I545" s="96" t="s">
        <v>500</v>
      </c>
      <c r="J545" s="96" t="s">
        <v>1143</v>
      </c>
      <c r="K545" s="76"/>
      <c r="L545" s="76"/>
      <c r="M545" s="76"/>
      <c r="N545" s="76"/>
      <c r="O545" s="76"/>
      <c r="P545" s="76"/>
      <c r="Q545" s="76"/>
      <c r="R545" s="76"/>
      <c r="S545" s="76"/>
      <c r="T545" s="76">
        <v>-1.7000000000000001E-2</v>
      </c>
      <c r="U545" s="97">
        <v>0</v>
      </c>
      <c r="V545" s="97">
        <v>0</v>
      </c>
      <c r="W545" s="97">
        <v>0</v>
      </c>
      <c r="X545" s="97">
        <v>0</v>
      </c>
      <c r="Y545" s="97">
        <v>0</v>
      </c>
      <c r="Z545" s="97">
        <v>0</v>
      </c>
      <c r="AA545" s="97">
        <v>0</v>
      </c>
      <c r="AB545" s="254">
        <v>0</v>
      </c>
      <c r="AC545" s="254">
        <f t="shared" si="88"/>
        <v>0</v>
      </c>
      <c r="AD545" s="254">
        <f t="shared" si="88"/>
        <v>0</v>
      </c>
      <c r="AE545" s="76"/>
      <c r="AF545" s="97"/>
      <c r="AG545" s="76"/>
      <c r="AH545" s="97">
        <v>1</v>
      </c>
      <c r="AI545" s="97">
        <v>1</v>
      </c>
      <c r="AJ545" s="73"/>
      <c r="AK545" s="57"/>
      <c r="AL545" s="45"/>
      <c r="AM545" s="45"/>
      <c r="AN545" s="45"/>
    </row>
    <row r="546" spans="1:40" hidden="1" outlineLevel="2" x14ac:dyDescent="0.25">
      <c r="A546" s="45"/>
      <c r="B546" s="54"/>
      <c r="C546" s="47">
        <f t="shared" si="84"/>
        <v>3</v>
      </c>
      <c r="D546" s="73"/>
      <c r="E546" s="70"/>
      <c r="F546" s="70" t="s">
        <v>1156</v>
      </c>
      <c r="G546" s="73"/>
      <c r="H546" s="76" t="s">
        <v>2614</v>
      </c>
      <c r="I546" s="96" t="s">
        <v>500</v>
      </c>
      <c r="J546" s="96" t="s">
        <v>1143</v>
      </c>
      <c r="K546" s="76"/>
      <c r="L546" s="76"/>
      <c r="M546" s="76"/>
      <c r="N546" s="76"/>
      <c r="O546" s="76"/>
      <c r="P546" s="76"/>
      <c r="Q546" s="76"/>
      <c r="R546" s="76"/>
      <c r="S546" s="76"/>
      <c r="T546" s="76">
        <v>-0.39700000000000002</v>
      </c>
      <c r="U546" s="97">
        <v>0</v>
      </c>
      <c r="V546" s="97">
        <v>0</v>
      </c>
      <c r="W546" s="97">
        <v>0</v>
      </c>
      <c r="X546" s="97">
        <v>0</v>
      </c>
      <c r="Y546" s="97">
        <v>0</v>
      </c>
      <c r="Z546" s="97">
        <v>0</v>
      </c>
      <c r="AA546" s="97">
        <v>0</v>
      </c>
      <c r="AB546" s="254">
        <v>0</v>
      </c>
      <c r="AC546" s="254">
        <f t="shared" si="88"/>
        <v>0</v>
      </c>
      <c r="AD546" s="254">
        <f t="shared" si="88"/>
        <v>0</v>
      </c>
      <c r="AE546" s="76"/>
      <c r="AF546" s="97"/>
      <c r="AG546" s="76"/>
      <c r="AH546" s="97">
        <v>1</v>
      </c>
      <c r="AI546" s="97">
        <v>1</v>
      </c>
      <c r="AJ546" s="73"/>
      <c r="AK546" s="57"/>
      <c r="AL546" s="45"/>
      <c r="AM546" s="45"/>
      <c r="AN546" s="45"/>
    </row>
    <row r="547" spans="1:40" hidden="1" outlineLevel="2" collapsed="1" x14ac:dyDescent="0.25">
      <c r="A547" s="45"/>
      <c r="B547" s="54"/>
      <c r="C547" s="47">
        <f t="shared" si="84"/>
        <v>3</v>
      </c>
      <c r="D547" s="73"/>
      <c r="E547" s="70"/>
      <c r="F547" s="70" t="s">
        <v>1157</v>
      </c>
      <c r="G547" s="73"/>
      <c r="H547" s="76" t="s">
        <v>2615</v>
      </c>
      <c r="I547" s="96" t="s">
        <v>500</v>
      </c>
      <c r="J547" s="96" t="s">
        <v>1143</v>
      </c>
      <c r="K547" s="76"/>
      <c r="L547" s="76"/>
      <c r="M547" s="76"/>
      <c r="N547" s="76"/>
      <c r="O547" s="76"/>
      <c r="P547" s="76"/>
      <c r="Q547" s="76"/>
      <c r="R547" s="76"/>
      <c r="S547" s="76"/>
      <c r="T547" s="76">
        <v>-0.74199999999999999</v>
      </c>
      <c r="U547" s="97">
        <v>0</v>
      </c>
      <c r="V547" s="97">
        <v>0</v>
      </c>
      <c r="W547" s="97">
        <v>0</v>
      </c>
      <c r="X547" s="97">
        <v>0</v>
      </c>
      <c r="Y547" s="97">
        <v>0</v>
      </c>
      <c r="Z547" s="97">
        <v>0</v>
      </c>
      <c r="AA547" s="97">
        <v>0</v>
      </c>
      <c r="AB547" s="254">
        <v>0</v>
      </c>
      <c r="AC547" s="254">
        <f t="shared" si="88"/>
        <v>0</v>
      </c>
      <c r="AD547" s="254">
        <f t="shared" si="88"/>
        <v>0</v>
      </c>
      <c r="AE547" s="76"/>
      <c r="AF547" s="97"/>
      <c r="AG547" s="76"/>
      <c r="AH547" s="97">
        <v>1</v>
      </c>
      <c r="AI547" s="97">
        <v>1</v>
      </c>
      <c r="AJ547" s="73"/>
      <c r="AK547" s="57"/>
      <c r="AL547" s="45"/>
      <c r="AM547" s="45"/>
      <c r="AN547" s="45"/>
    </row>
    <row r="548" spans="1:40" hidden="1" outlineLevel="3" x14ac:dyDescent="0.25">
      <c r="A548" s="45"/>
      <c r="B548" s="54"/>
      <c r="C548" s="47">
        <f t="shared" si="84"/>
        <v>3</v>
      </c>
      <c r="D548" s="73"/>
      <c r="E548" s="70"/>
      <c r="F548" s="70" t="s">
        <v>1158</v>
      </c>
      <c r="G548" s="73"/>
      <c r="H548" s="76" t="s">
        <v>2616</v>
      </c>
      <c r="I548" s="96" t="s">
        <v>500</v>
      </c>
      <c r="J548" s="96" t="s">
        <v>1143</v>
      </c>
      <c r="K548" s="76"/>
      <c r="L548" s="76"/>
      <c r="M548" s="76"/>
      <c r="N548" s="76"/>
      <c r="O548" s="76"/>
      <c r="P548" s="76"/>
      <c r="Q548" s="76"/>
      <c r="R548" s="76"/>
      <c r="S548" s="76"/>
      <c r="T548" s="76">
        <v>-0.74199999999999999</v>
      </c>
      <c r="U548" s="260">
        <f t="shared" ref="U548:X550" si="89">U547</f>
        <v>0</v>
      </c>
      <c r="V548" s="260">
        <f t="shared" si="89"/>
        <v>0</v>
      </c>
      <c r="W548" s="260">
        <f t="shared" si="89"/>
        <v>0</v>
      </c>
      <c r="X548" s="260">
        <f t="shared" si="89"/>
        <v>0</v>
      </c>
      <c r="Y548" s="260">
        <v>0</v>
      </c>
      <c r="Z548" s="260">
        <v>0</v>
      </c>
      <c r="AA548" s="260">
        <v>0</v>
      </c>
      <c r="AB548" s="260">
        <v>0</v>
      </c>
      <c r="AC548" s="260">
        <f t="shared" ref="AC548:AD550" si="90">AC547</f>
        <v>0</v>
      </c>
      <c r="AD548" s="260">
        <f t="shared" si="90"/>
        <v>0</v>
      </c>
      <c r="AE548" s="76"/>
      <c r="AF548" s="97"/>
      <c r="AG548" s="76"/>
      <c r="AH548" s="97">
        <v>1</v>
      </c>
      <c r="AI548" s="97">
        <v>1</v>
      </c>
      <c r="AJ548" s="73"/>
      <c r="AK548" s="57"/>
      <c r="AL548" s="45"/>
      <c r="AM548" s="45"/>
      <c r="AN548" s="45"/>
    </row>
    <row r="549" spans="1:40" hidden="1" outlineLevel="3" x14ac:dyDescent="0.25">
      <c r="A549" s="45"/>
      <c r="B549" s="54"/>
      <c r="C549" s="47">
        <f t="shared" si="84"/>
        <v>3</v>
      </c>
      <c r="D549" s="73"/>
      <c r="E549" s="70"/>
      <c r="F549" s="70" t="s">
        <v>1159</v>
      </c>
      <c r="G549" s="73"/>
      <c r="H549" s="76" t="s">
        <v>2617</v>
      </c>
      <c r="I549" s="96" t="s">
        <v>500</v>
      </c>
      <c r="J549" s="96" t="s">
        <v>1143</v>
      </c>
      <c r="K549" s="76"/>
      <c r="L549" s="76"/>
      <c r="M549" s="76"/>
      <c r="N549" s="76"/>
      <c r="O549" s="76"/>
      <c r="P549" s="76"/>
      <c r="Q549" s="76"/>
      <c r="R549" s="76"/>
      <c r="S549" s="76"/>
      <c r="T549" s="76">
        <v>-0.74199999999999999</v>
      </c>
      <c r="U549" s="260">
        <f t="shared" si="89"/>
        <v>0</v>
      </c>
      <c r="V549" s="260">
        <f t="shared" si="89"/>
        <v>0</v>
      </c>
      <c r="W549" s="260">
        <f t="shared" si="89"/>
        <v>0</v>
      </c>
      <c r="X549" s="260">
        <f t="shared" si="89"/>
        <v>0</v>
      </c>
      <c r="Y549" s="260">
        <v>0</v>
      </c>
      <c r="Z549" s="260">
        <v>0</v>
      </c>
      <c r="AA549" s="260">
        <v>0</v>
      </c>
      <c r="AB549" s="260">
        <v>0</v>
      </c>
      <c r="AC549" s="260">
        <f t="shared" si="90"/>
        <v>0</v>
      </c>
      <c r="AD549" s="260">
        <f t="shared" si="90"/>
        <v>0</v>
      </c>
      <c r="AE549" s="76"/>
      <c r="AF549" s="97"/>
      <c r="AG549" s="76"/>
      <c r="AH549" s="97">
        <v>1</v>
      </c>
      <c r="AI549" s="97">
        <v>1</v>
      </c>
      <c r="AJ549" s="73"/>
      <c r="AK549" s="57"/>
      <c r="AL549" s="45"/>
      <c r="AM549" s="45"/>
      <c r="AN549" s="45"/>
    </row>
    <row r="550" spans="1:40" hidden="1" outlineLevel="3" collapsed="1" x14ac:dyDescent="0.25">
      <c r="A550" s="45"/>
      <c r="B550" s="54"/>
      <c r="C550" s="47">
        <f t="shared" si="84"/>
        <v>3</v>
      </c>
      <c r="D550" s="73"/>
      <c r="E550" s="70"/>
      <c r="F550" s="70" t="s">
        <v>1160</v>
      </c>
      <c r="G550" s="73"/>
      <c r="H550" s="76" t="s">
        <v>2618</v>
      </c>
      <c r="I550" s="96" t="s">
        <v>500</v>
      </c>
      <c r="J550" s="96" t="s">
        <v>1143</v>
      </c>
      <c r="K550" s="76"/>
      <c r="L550" s="76"/>
      <c r="M550" s="76"/>
      <c r="N550" s="76"/>
      <c r="O550" s="76"/>
      <c r="P550" s="76"/>
      <c r="Q550" s="76"/>
      <c r="R550" s="76"/>
      <c r="S550" s="76"/>
      <c r="T550" s="76">
        <v>-0.74199999999999999</v>
      </c>
      <c r="U550" s="260">
        <f t="shared" si="89"/>
        <v>0</v>
      </c>
      <c r="V550" s="260">
        <f t="shared" si="89"/>
        <v>0</v>
      </c>
      <c r="W550" s="260">
        <f t="shared" si="89"/>
        <v>0</v>
      </c>
      <c r="X550" s="260">
        <f t="shared" si="89"/>
        <v>0</v>
      </c>
      <c r="Y550" s="260">
        <v>0</v>
      </c>
      <c r="Z550" s="260">
        <v>0</v>
      </c>
      <c r="AA550" s="260">
        <v>0</v>
      </c>
      <c r="AB550" s="260">
        <v>0</v>
      </c>
      <c r="AC550" s="260">
        <f t="shared" si="90"/>
        <v>0</v>
      </c>
      <c r="AD550" s="260">
        <f t="shared" si="90"/>
        <v>0</v>
      </c>
      <c r="AE550" s="76"/>
      <c r="AF550" s="97"/>
      <c r="AG550" s="76"/>
      <c r="AH550" s="97">
        <v>1</v>
      </c>
      <c r="AI550" s="97">
        <v>1</v>
      </c>
      <c r="AJ550" s="73"/>
      <c r="AK550" s="57"/>
      <c r="AL550" s="45"/>
      <c r="AM550" s="45"/>
      <c r="AN550" s="45"/>
    </row>
    <row r="551" spans="1:40" hidden="1" outlineLevel="3" x14ac:dyDescent="0.25">
      <c r="A551" s="45"/>
      <c r="B551" s="54"/>
      <c r="C551" s="47">
        <f t="shared" si="84"/>
        <v>3</v>
      </c>
      <c r="D551" s="73"/>
      <c r="E551" s="70"/>
      <c r="F551" s="70" t="s">
        <v>1161</v>
      </c>
      <c r="G551" s="73"/>
      <c r="H551" s="76" t="s">
        <v>602</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84"/>
        <v>3</v>
      </c>
      <c r="D552" s="73"/>
      <c r="E552" s="70"/>
      <c r="F552" s="70" t="s">
        <v>1162</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84"/>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84"/>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84"/>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84"/>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84"/>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84"/>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84"/>
        <v>3</v>
      </c>
      <c r="D559" s="73"/>
      <c r="E559" s="70"/>
      <c r="F559" s="70" t="s">
        <v>1169</v>
      </c>
      <c r="G559" s="73"/>
      <c r="H559" s="76" t="s">
        <v>1170</v>
      </c>
      <c r="I559" s="96" t="s">
        <v>500</v>
      </c>
      <c r="J559" s="96" t="s">
        <v>1171</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1172</v>
      </c>
      <c r="AG559" s="76"/>
      <c r="AH559" s="97">
        <v>1</v>
      </c>
      <c r="AI559" s="97">
        <v>1</v>
      </c>
      <c r="AJ559" s="73"/>
      <c r="AK559" s="57"/>
      <c r="AL559" s="45"/>
      <c r="AM559" s="45"/>
      <c r="AN559" s="45"/>
    </row>
    <row r="560" spans="1:40" hidden="1" outlineLevel="2" x14ac:dyDescent="0.25">
      <c r="A560" s="45"/>
      <c r="B560" s="54"/>
      <c r="C560" s="47">
        <f t="shared" si="84"/>
        <v>3</v>
      </c>
      <c r="D560" s="73"/>
      <c r="E560" s="70"/>
      <c r="F560" s="70" t="s">
        <v>1173</v>
      </c>
      <c r="G560" s="73"/>
      <c r="H560" s="76" t="s">
        <v>2619</v>
      </c>
      <c r="I560" s="96" t="s">
        <v>500</v>
      </c>
      <c r="J560" s="96" t="s">
        <v>1171</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84"/>
        <v>3</v>
      </c>
      <c r="D561" s="73"/>
      <c r="E561" s="70"/>
      <c r="F561" s="70" t="s">
        <v>1174</v>
      </c>
      <c r="G561" s="73"/>
      <c r="H561" s="76" t="s">
        <v>2620</v>
      </c>
      <c r="I561" s="96" t="s">
        <v>500</v>
      </c>
      <c r="J561" s="96" t="s">
        <v>1171</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84"/>
        <v>3</v>
      </c>
      <c r="D562" s="73"/>
      <c r="E562" s="70"/>
      <c r="F562" s="70" t="s">
        <v>1175</v>
      </c>
      <c r="G562" s="73"/>
      <c r="H562" s="76" t="s">
        <v>2621</v>
      </c>
      <c r="I562" s="96" t="s">
        <v>500</v>
      </c>
      <c r="J562" s="96" t="s">
        <v>1171</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84"/>
        <v>3</v>
      </c>
      <c r="D563" s="73"/>
      <c r="E563" s="70"/>
      <c r="F563" s="70" t="s">
        <v>1176</v>
      </c>
      <c r="G563" s="73"/>
      <c r="H563" s="76" t="s">
        <v>2622</v>
      </c>
      <c r="I563" s="96" t="s">
        <v>500</v>
      </c>
      <c r="J563" s="96" t="s">
        <v>1171</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84"/>
        <v>3</v>
      </c>
      <c r="D564" s="73"/>
      <c r="E564" s="70"/>
      <c r="F564" s="70" t="s">
        <v>1177</v>
      </c>
      <c r="G564" s="73"/>
      <c r="H564" s="76" t="s">
        <v>2623</v>
      </c>
      <c r="I564" s="96" t="s">
        <v>500</v>
      </c>
      <c r="J564" s="96" t="s">
        <v>1171</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84"/>
        <v>3</v>
      </c>
      <c r="D565" s="73"/>
      <c r="E565" s="70"/>
      <c r="F565" s="70" t="s">
        <v>1178</v>
      </c>
      <c r="G565" s="73"/>
      <c r="H565" s="76" t="s">
        <v>2624</v>
      </c>
      <c r="I565" s="96" t="s">
        <v>500</v>
      </c>
      <c r="J565" s="96" t="s">
        <v>1171</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84"/>
        <v>3</v>
      </c>
      <c r="D566" s="73"/>
      <c r="E566" s="70"/>
      <c r="F566" s="70" t="s">
        <v>1179</v>
      </c>
      <c r="G566" s="73"/>
      <c r="H566" s="76" t="s">
        <v>2625</v>
      </c>
      <c r="I566" s="96" t="s">
        <v>500</v>
      </c>
      <c r="J566" s="96" t="s">
        <v>1171</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91">INT($C$29)+2</f>
        <v>3</v>
      </c>
      <c r="D567" s="73"/>
      <c r="E567" s="70"/>
      <c r="F567" s="70" t="s">
        <v>1180</v>
      </c>
      <c r="G567" s="73"/>
      <c r="H567" s="76" t="s">
        <v>2178</v>
      </c>
      <c r="I567" s="96" t="s">
        <v>500</v>
      </c>
      <c r="J567" s="96" t="s">
        <v>1143</v>
      </c>
      <c r="K567" s="76"/>
      <c r="L567" s="76"/>
      <c r="M567" s="76"/>
      <c r="N567" s="76"/>
      <c r="O567" s="76"/>
      <c r="P567" s="76"/>
      <c r="Q567" s="76"/>
      <c r="R567" s="76"/>
      <c r="S567" s="76"/>
      <c r="T567" s="76"/>
      <c r="U567" s="333">
        <v>-0.4</v>
      </c>
      <c r="V567" s="333">
        <v>-0.5</v>
      </c>
      <c r="W567" s="333">
        <v>-0.5</v>
      </c>
      <c r="X567" s="333">
        <v>-0.5</v>
      </c>
      <c r="Y567" s="333">
        <v>-0.5</v>
      </c>
      <c r="Z567" s="333">
        <v>-0.5</v>
      </c>
      <c r="AA567" s="333">
        <v>-0.5</v>
      </c>
      <c r="AB567" s="97">
        <v>-0.55000000000000004</v>
      </c>
      <c r="AC567" s="254">
        <f t="shared" ref="AC567:AD590" si="92">AB567</f>
        <v>-0.55000000000000004</v>
      </c>
      <c r="AD567" s="254">
        <f t="shared" si="92"/>
        <v>-0.55000000000000004</v>
      </c>
      <c r="AE567" s="76"/>
      <c r="AF567" s="97" t="s">
        <v>2697</v>
      </c>
      <c r="AG567" s="76"/>
      <c r="AH567" s="97">
        <v>1</v>
      </c>
      <c r="AI567" s="97">
        <v>1</v>
      </c>
      <c r="AJ567" s="73"/>
      <c r="AK567" s="57"/>
      <c r="AL567" s="45"/>
      <c r="AM567" s="45"/>
      <c r="AN567" s="45"/>
    </row>
    <row r="568" spans="1:40" hidden="1" outlineLevel="2" x14ac:dyDescent="0.25">
      <c r="A568" s="45"/>
      <c r="B568" s="54"/>
      <c r="C568" s="47">
        <f t="shared" si="91"/>
        <v>3</v>
      </c>
      <c r="D568" s="73"/>
      <c r="E568" s="70"/>
      <c r="F568" s="70" t="s">
        <v>1181</v>
      </c>
      <c r="G568" s="73"/>
      <c r="H568" s="76" t="s">
        <v>2626</v>
      </c>
      <c r="I568" s="96" t="s">
        <v>500</v>
      </c>
      <c r="J568" s="96" t="s">
        <v>1143</v>
      </c>
      <c r="K568" s="76"/>
      <c r="L568" s="76"/>
      <c r="M568" s="76"/>
      <c r="N568" s="76"/>
      <c r="O568" s="76"/>
      <c r="P568" s="76"/>
      <c r="Q568" s="76"/>
      <c r="R568" s="76"/>
      <c r="S568" s="76"/>
      <c r="T568" s="76"/>
      <c r="U568" s="261">
        <v>0</v>
      </c>
      <c r="V568" s="261">
        <v>0</v>
      </c>
      <c r="W568" s="261">
        <v>0</v>
      </c>
      <c r="X568" s="261">
        <v>0</v>
      </c>
      <c r="Y568" s="261">
        <v>0</v>
      </c>
      <c r="Z568" s="261">
        <v>0</v>
      </c>
      <c r="AA568" s="261">
        <v>0</v>
      </c>
      <c r="AB568" s="97">
        <v>-0.2</v>
      </c>
      <c r="AC568" s="254">
        <f t="shared" si="92"/>
        <v>-0.2</v>
      </c>
      <c r="AD568" s="254">
        <f t="shared" si="92"/>
        <v>-0.2</v>
      </c>
      <c r="AE568" s="76"/>
      <c r="AF568" s="97" t="s">
        <v>2724</v>
      </c>
      <c r="AG568" s="76"/>
      <c r="AH568" s="97">
        <v>1</v>
      </c>
      <c r="AI568" s="97">
        <v>1</v>
      </c>
      <c r="AJ568" s="73"/>
      <c r="AK568" s="57"/>
      <c r="AL568" s="45"/>
      <c r="AM568" s="45"/>
      <c r="AN568" s="45"/>
    </row>
    <row r="569" spans="1:40" hidden="1" outlineLevel="2" x14ac:dyDescent="0.25">
      <c r="A569" s="45"/>
      <c r="B569" s="54"/>
      <c r="C569" s="47">
        <f t="shared" si="91"/>
        <v>3</v>
      </c>
      <c r="D569" s="73"/>
      <c r="E569" s="70"/>
      <c r="F569" s="70" t="s">
        <v>1182</v>
      </c>
      <c r="G569" s="73"/>
      <c r="H569" s="76" t="s">
        <v>2627</v>
      </c>
      <c r="I569" s="96" t="s">
        <v>500</v>
      </c>
      <c r="J569" s="96" t="s">
        <v>1143</v>
      </c>
      <c r="K569" s="76"/>
      <c r="L569" s="76"/>
      <c r="M569" s="76"/>
      <c r="N569" s="76"/>
      <c r="O569" s="76"/>
      <c r="P569" s="76"/>
      <c r="Q569" s="76"/>
      <c r="R569" s="76"/>
      <c r="S569" s="76"/>
      <c r="T569" s="76"/>
      <c r="U569" s="261">
        <v>0</v>
      </c>
      <c r="V569" s="261">
        <v>0</v>
      </c>
      <c r="W569" s="261">
        <v>0</v>
      </c>
      <c r="X569" s="261">
        <v>0</v>
      </c>
      <c r="Y569" s="261">
        <v>0</v>
      </c>
      <c r="Z569" s="261">
        <v>0</v>
      </c>
      <c r="AA569" s="261">
        <v>0</v>
      </c>
      <c r="AB569" s="97">
        <v>0</v>
      </c>
      <c r="AC569" s="254">
        <f t="shared" si="92"/>
        <v>0</v>
      </c>
      <c r="AD569" s="254">
        <f t="shared" si="92"/>
        <v>0</v>
      </c>
      <c r="AE569" s="76"/>
      <c r="AF569" s="97"/>
      <c r="AG569" s="76"/>
      <c r="AH569" s="97">
        <v>1</v>
      </c>
      <c r="AI569" s="97">
        <v>1</v>
      </c>
      <c r="AJ569" s="73"/>
      <c r="AK569" s="57"/>
      <c r="AL569" s="45"/>
      <c r="AM569" s="45"/>
      <c r="AN569" s="45"/>
    </row>
    <row r="570" spans="1:40" hidden="1" outlineLevel="2" x14ac:dyDescent="0.25">
      <c r="A570" s="45"/>
      <c r="B570" s="54"/>
      <c r="C570" s="47">
        <f t="shared" si="91"/>
        <v>3</v>
      </c>
      <c r="D570" s="73"/>
      <c r="E570" s="70"/>
      <c r="F570" s="70" t="s">
        <v>1183</v>
      </c>
      <c r="G570" s="73"/>
      <c r="H570" s="76" t="s">
        <v>2628</v>
      </c>
      <c r="I570" s="96" t="s">
        <v>500</v>
      </c>
      <c r="J570" s="96" t="s">
        <v>1143</v>
      </c>
      <c r="K570" s="76"/>
      <c r="L570" s="76"/>
      <c r="M570" s="76"/>
      <c r="N570" s="76"/>
      <c r="O570" s="76"/>
      <c r="P570" s="76"/>
      <c r="Q570" s="76"/>
      <c r="R570" s="76"/>
      <c r="S570" s="76"/>
      <c r="T570" s="76"/>
      <c r="U570" s="261">
        <v>0</v>
      </c>
      <c r="V570" s="261">
        <v>0</v>
      </c>
      <c r="W570" s="261">
        <v>0</v>
      </c>
      <c r="X570" s="261">
        <v>0</v>
      </c>
      <c r="Y570" s="261">
        <v>0</v>
      </c>
      <c r="Z570" s="261">
        <v>0</v>
      </c>
      <c r="AA570" s="261">
        <v>0</v>
      </c>
      <c r="AB570" s="97">
        <v>0</v>
      </c>
      <c r="AC570" s="254">
        <f t="shared" si="92"/>
        <v>0</v>
      </c>
      <c r="AD570" s="254">
        <f t="shared" si="92"/>
        <v>0</v>
      </c>
      <c r="AE570" s="76"/>
      <c r="AF570" s="97"/>
      <c r="AG570" s="76"/>
      <c r="AH570" s="97">
        <v>1</v>
      </c>
      <c r="AI570" s="97">
        <v>1</v>
      </c>
      <c r="AJ570" s="73"/>
      <c r="AK570" s="57"/>
      <c r="AL570" s="45"/>
      <c r="AM570" s="45"/>
      <c r="AN570" s="45"/>
    </row>
    <row r="571" spans="1:40" hidden="1" outlineLevel="2" x14ac:dyDescent="0.25">
      <c r="A571" s="45"/>
      <c r="B571" s="54"/>
      <c r="C571" s="47">
        <f t="shared" si="91"/>
        <v>3</v>
      </c>
      <c r="D571" s="73"/>
      <c r="E571" s="70"/>
      <c r="F571" s="70" t="s">
        <v>1184</v>
      </c>
      <c r="G571" s="73"/>
      <c r="H571" s="76" t="s">
        <v>2629</v>
      </c>
      <c r="I571" s="96" t="s">
        <v>500</v>
      </c>
      <c r="J571" s="96" t="s">
        <v>1143</v>
      </c>
      <c r="K571" s="76"/>
      <c r="L571" s="76"/>
      <c r="M571" s="76"/>
      <c r="N571" s="76"/>
      <c r="O571" s="76"/>
      <c r="P571" s="76"/>
      <c r="Q571" s="76"/>
      <c r="R571" s="76"/>
      <c r="S571" s="76"/>
      <c r="T571" s="76"/>
      <c r="U571" s="261">
        <v>0</v>
      </c>
      <c r="V571" s="261">
        <v>0</v>
      </c>
      <c r="W571" s="261">
        <v>0</v>
      </c>
      <c r="X571" s="261">
        <v>0</v>
      </c>
      <c r="Y571" s="261">
        <v>0</v>
      </c>
      <c r="Z571" s="261">
        <v>0</v>
      </c>
      <c r="AA571" s="261">
        <v>0</v>
      </c>
      <c r="AB571" s="97">
        <v>0</v>
      </c>
      <c r="AC571" s="254">
        <f t="shared" si="92"/>
        <v>0</v>
      </c>
      <c r="AD571" s="254">
        <f t="shared" si="92"/>
        <v>0</v>
      </c>
      <c r="AE571" s="76"/>
      <c r="AF571" s="97"/>
      <c r="AG571" s="76"/>
      <c r="AH571" s="97">
        <v>1</v>
      </c>
      <c r="AI571" s="97">
        <v>1</v>
      </c>
      <c r="AJ571" s="73"/>
      <c r="AK571" s="57"/>
      <c r="AL571" s="45"/>
      <c r="AM571" s="45"/>
      <c r="AN571" s="45"/>
    </row>
    <row r="572" spans="1:40" hidden="1" outlineLevel="2" x14ac:dyDescent="0.25">
      <c r="A572" s="45"/>
      <c r="B572" s="54"/>
      <c r="C572" s="47">
        <f t="shared" si="91"/>
        <v>3</v>
      </c>
      <c r="D572" s="73"/>
      <c r="E572" s="70"/>
      <c r="F572" s="70" t="s">
        <v>1185</v>
      </c>
      <c r="G572" s="73"/>
      <c r="H572" s="76" t="s">
        <v>2630</v>
      </c>
      <c r="I572" s="96" t="s">
        <v>500</v>
      </c>
      <c r="J572" s="96" t="s">
        <v>1143</v>
      </c>
      <c r="K572" s="76"/>
      <c r="L572" s="76"/>
      <c r="M572" s="76"/>
      <c r="N572" s="76"/>
      <c r="O572" s="76"/>
      <c r="P572" s="76"/>
      <c r="Q572" s="76"/>
      <c r="R572" s="76"/>
      <c r="S572" s="76"/>
      <c r="T572" s="76"/>
      <c r="U572" s="261">
        <v>0</v>
      </c>
      <c r="V572" s="261">
        <v>0</v>
      </c>
      <c r="W572" s="261">
        <v>0</v>
      </c>
      <c r="X572" s="261">
        <v>0</v>
      </c>
      <c r="Y572" s="261">
        <v>0</v>
      </c>
      <c r="Z572" s="261">
        <v>0</v>
      </c>
      <c r="AA572" s="261">
        <v>0</v>
      </c>
      <c r="AB572" s="97">
        <v>0</v>
      </c>
      <c r="AC572" s="254">
        <f t="shared" si="92"/>
        <v>0</v>
      </c>
      <c r="AD572" s="254">
        <f t="shared" si="92"/>
        <v>0</v>
      </c>
      <c r="AE572" s="76"/>
      <c r="AF572" s="97"/>
      <c r="AG572" s="76"/>
      <c r="AH572" s="97">
        <v>1</v>
      </c>
      <c r="AI572" s="97">
        <v>1</v>
      </c>
      <c r="AJ572" s="73"/>
      <c r="AK572" s="57"/>
      <c r="AL572" s="45"/>
      <c r="AM572" s="45"/>
      <c r="AN572" s="45"/>
    </row>
    <row r="573" spans="1:40" hidden="1" outlineLevel="2" x14ac:dyDescent="0.25">
      <c r="A573" s="45"/>
      <c r="B573" s="54"/>
      <c r="C573" s="47">
        <f t="shared" si="91"/>
        <v>3</v>
      </c>
      <c r="D573" s="73"/>
      <c r="E573" s="70"/>
      <c r="F573" s="70" t="s">
        <v>1186</v>
      </c>
      <c r="G573" s="73"/>
      <c r="H573" s="76" t="s">
        <v>2631</v>
      </c>
      <c r="I573" s="96" t="s">
        <v>500</v>
      </c>
      <c r="J573" s="96" t="s">
        <v>1143</v>
      </c>
      <c r="K573" s="76"/>
      <c r="L573" s="76"/>
      <c r="M573" s="76"/>
      <c r="N573" s="76"/>
      <c r="O573" s="76"/>
      <c r="P573" s="76"/>
      <c r="Q573" s="76"/>
      <c r="R573" s="76"/>
      <c r="S573" s="76"/>
      <c r="T573" s="76"/>
      <c r="U573" s="261">
        <v>0</v>
      </c>
      <c r="V573" s="261">
        <v>0</v>
      </c>
      <c r="W573" s="261">
        <v>0</v>
      </c>
      <c r="X573" s="261">
        <v>0</v>
      </c>
      <c r="Y573" s="261">
        <v>0</v>
      </c>
      <c r="Z573" s="261">
        <v>0</v>
      </c>
      <c r="AA573" s="261">
        <v>0</v>
      </c>
      <c r="AB573" s="97">
        <v>0</v>
      </c>
      <c r="AC573" s="254">
        <f t="shared" si="92"/>
        <v>0</v>
      </c>
      <c r="AD573" s="254">
        <f t="shared" si="92"/>
        <v>0</v>
      </c>
      <c r="AE573" s="76"/>
      <c r="AF573" s="97"/>
      <c r="AG573" s="76"/>
      <c r="AH573" s="97">
        <v>1</v>
      </c>
      <c r="AI573" s="97">
        <v>1</v>
      </c>
      <c r="AJ573" s="73"/>
      <c r="AK573" s="57"/>
      <c r="AL573" s="45"/>
      <c r="AM573" s="45"/>
      <c r="AN573" s="45"/>
    </row>
    <row r="574" spans="1:40" hidden="1" outlineLevel="2" x14ac:dyDescent="0.25">
      <c r="A574" s="45"/>
      <c r="B574" s="54"/>
      <c r="C574" s="47">
        <f t="shared" si="91"/>
        <v>3</v>
      </c>
      <c r="D574" s="73"/>
      <c r="E574" s="70"/>
      <c r="F574" s="70" t="s">
        <v>1187</v>
      </c>
      <c r="G574" s="73"/>
      <c r="H574" s="76" t="s">
        <v>2632</v>
      </c>
      <c r="I574" s="96" t="s">
        <v>500</v>
      </c>
      <c r="J574" s="96" t="s">
        <v>1143</v>
      </c>
      <c r="K574" s="76"/>
      <c r="L574" s="76"/>
      <c r="M574" s="76"/>
      <c r="N574" s="76"/>
      <c r="O574" s="76"/>
      <c r="P574" s="76"/>
      <c r="Q574" s="76"/>
      <c r="R574" s="76"/>
      <c r="S574" s="76"/>
      <c r="T574" s="76"/>
      <c r="U574" s="261">
        <v>0</v>
      </c>
      <c r="V574" s="261">
        <v>0</v>
      </c>
      <c r="W574" s="261">
        <v>0</v>
      </c>
      <c r="X574" s="261">
        <v>0</v>
      </c>
      <c r="Y574" s="261">
        <v>0</v>
      </c>
      <c r="Z574" s="261">
        <v>0</v>
      </c>
      <c r="AA574" s="261">
        <v>0</v>
      </c>
      <c r="AB574" s="97">
        <v>-0.2</v>
      </c>
      <c r="AC574" s="254">
        <f t="shared" si="92"/>
        <v>-0.2</v>
      </c>
      <c r="AD574" s="254">
        <f t="shared" si="92"/>
        <v>-0.2</v>
      </c>
      <c r="AE574" s="76"/>
      <c r="AF574" s="97"/>
      <c r="AG574" s="76"/>
      <c r="AH574" s="97">
        <v>1</v>
      </c>
      <c r="AI574" s="97">
        <v>1</v>
      </c>
      <c r="AJ574" s="73"/>
      <c r="AK574" s="57"/>
      <c r="AL574" s="45"/>
      <c r="AM574" s="45"/>
      <c r="AN574" s="45"/>
    </row>
    <row r="575" spans="1:40" hidden="1" outlineLevel="2" x14ac:dyDescent="0.25">
      <c r="A575" s="45"/>
      <c r="B575" s="54"/>
      <c r="C575" s="47">
        <f t="shared" si="91"/>
        <v>3</v>
      </c>
      <c r="D575" s="73"/>
      <c r="E575" s="70"/>
      <c r="F575" s="70" t="s">
        <v>1188</v>
      </c>
      <c r="G575" s="73"/>
      <c r="H575" s="76" t="s">
        <v>1189</v>
      </c>
      <c r="I575" s="96" t="s">
        <v>500</v>
      </c>
      <c r="J575" s="96" t="s">
        <v>1143</v>
      </c>
      <c r="K575" s="76"/>
      <c r="L575" s="76"/>
      <c r="M575" s="76"/>
      <c r="N575" s="76"/>
      <c r="O575" s="76"/>
      <c r="P575" s="76"/>
      <c r="Q575" s="76"/>
      <c r="R575" s="76"/>
      <c r="S575" s="76"/>
      <c r="T575" s="76"/>
      <c r="U575" s="261">
        <v>0</v>
      </c>
      <c r="V575" s="261">
        <v>0</v>
      </c>
      <c r="W575" s="261">
        <v>0</v>
      </c>
      <c r="X575" s="261">
        <v>0</v>
      </c>
      <c r="Y575" s="261">
        <v>0</v>
      </c>
      <c r="Z575" s="261">
        <v>0</v>
      </c>
      <c r="AA575" s="261">
        <v>0</v>
      </c>
      <c r="AB575" s="254">
        <v>0</v>
      </c>
      <c r="AC575" s="254">
        <f t="shared" si="92"/>
        <v>0</v>
      </c>
      <c r="AD575" s="254">
        <f t="shared" si="92"/>
        <v>0</v>
      </c>
      <c r="AE575" s="76"/>
      <c r="AF575" s="97"/>
      <c r="AG575" s="76"/>
      <c r="AH575" s="97">
        <v>1</v>
      </c>
      <c r="AI575" s="97">
        <v>1</v>
      </c>
      <c r="AJ575" s="73"/>
      <c r="AK575" s="57"/>
      <c r="AL575" s="45"/>
      <c r="AM575" s="45"/>
      <c r="AN575" s="45"/>
    </row>
    <row r="576" spans="1:40" hidden="1" outlineLevel="2" x14ac:dyDescent="0.25">
      <c r="A576" s="45"/>
      <c r="B576" s="54"/>
      <c r="C576" s="47">
        <f t="shared" si="91"/>
        <v>3</v>
      </c>
      <c r="D576" s="73"/>
      <c r="E576" s="70"/>
      <c r="F576" s="70" t="s">
        <v>1190</v>
      </c>
      <c r="G576" s="73"/>
      <c r="H576" s="76" t="s">
        <v>2633</v>
      </c>
      <c r="I576" s="96" t="s">
        <v>500</v>
      </c>
      <c r="J576" s="96" t="s">
        <v>1143</v>
      </c>
      <c r="K576" s="76"/>
      <c r="L576" s="76"/>
      <c r="M576" s="76"/>
      <c r="N576" s="76"/>
      <c r="O576" s="76"/>
      <c r="P576" s="76"/>
      <c r="Q576" s="76"/>
      <c r="R576" s="76"/>
      <c r="S576" s="76"/>
      <c r="T576" s="76"/>
      <c r="U576" s="261">
        <v>0</v>
      </c>
      <c r="V576" s="261">
        <v>0</v>
      </c>
      <c r="W576" s="261">
        <v>0</v>
      </c>
      <c r="X576" s="261">
        <v>0</v>
      </c>
      <c r="Y576" s="261">
        <v>0</v>
      </c>
      <c r="Z576" s="261">
        <v>0</v>
      </c>
      <c r="AA576" s="261">
        <v>0</v>
      </c>
      <c r="AB576" s="254">
        <v>0</v>
      </c>
      <c r="AC576" s="254">
        <f t="shared" si="92"/>
        <v>0</v>
      </c>
      <c r="AD576" s="254">
        <f t="shared" si="92"/>
        <v>0</v>
      </c>
      <c r="AE576" s="76"/>
      <c r="AF576" s="97"/>
      <c r="AG576" s="76"/>
      <c r="AH576" s="97">
        <v>1</v>
      </c>
      <c r="AI576" s="97">
        <v>1</v>
      </c>
      <c r="AJ576" s="73"/>
      <c r="AK576" s="57"/>
      <c r="AL576" s="45"/>
      <c r="AM576" s="45"/>
      <c r="AN576" s="45"/>
    </row>
    <row r="577" spans="1:40" hidden="1" outlineLevel="2" collapsed="1" x14ac:dyDescent="0.25">
      <c r="A577" s="45"/>
      <c r="B577" s="54"/>
      <c r="C577" s="47">
        <f t="shared" si="91"/>
        <v>3</v>
      </c>
      <c r="D577" s="73"/>
      <c r="E577" s="70"/>
      <c r="F577" s="70" t="s">
        <v>1191</v>
      </c>
      <c r="G577" s="73"/>
      <c r="H577" s="76" t="s">
        <v>2634</v>
      </c>
      <c r="I577" s="96" t="s">
        <v>500</v>
      </c>
      <c r="J577" s="96" t="s">
        <v>1143</v>
      </c>
      <c r="K577" s="76"/>
      <c r="L577" s="76"/>
      <c r="M577" s="76"/>
      <c r="N577" s="76"/>
      <c r="O577" s="76"/>
      <c r="P577" s="76"/>
      <c r="Q577" s="76"/>
      <c r="R577" s="76"/>
      <c r="S577" s="76"/>
      <c r="T577" s="76"/>
      <c r="U577" s="261">
        <v>0</v>
      </c>
      <c r="V577" s="261">
        <v>0</v>
      </c>
      <c r="W577" s="261">
        <v>0</v>
      </c>
      <c r="X577" s="261">
        <v>0</v>
      </c>
      <c r="Y577" s="261">
        <v>0</v>
      </c>
      <c r="Z577" s="261">
        <v>0</v>
      </c>
      <c r="AA577" s="261">
        <v>0</v>
      </c>
      <c r="AB577" s="254">
        <v>0</v>
      </c>
      <c r="AC577" s="254">
        <f t="shared" si="92"/>
        <v>0</v>
      </c>
      <c r="AD577" s="254">
        <f t="shared" si="92"/>
        <v>0</v>
      </c>
      <c r="AE577" s="76"/>
      <c r="AF577" s="97"/>
      <c r="AG577" s="76"/>
      <c r="AH577" s="97">
        <v>1</v>
      </c>
      <c r="AI577" s="97">
        <v>1</v>
      </c>
      <c r="AJ577" s="73"/>
      <c r="AK577" s="57"/>
      <c r="AL577" s="45"/>
      <c r="AM577" s="45"/>
      <c r="AN577" s="45"/>
    </row>
    <row r="578" spans="1:40" hidden="1" outlineLevel="3" x14ac:dyDescent="0.25">
      <c r="A578" s="45"/>
      <c r="B578" s="54"/>
      <c r="C578" s="47">
        <f t="shared" si="91"/>
        <v>3</v>
      </c>
      <c r="D578" s="73"/>
      <c r="E578" s="70"/>
      <c r="F578" s="70" t="s">
        <v>1192</v>
      </c>
      <c r="G578" s="73"/>
      <c r="H578" s="76" t="s">
        <v>2635</v>
      </c>
      <c r="I578" s="96" t="s">
        <v>500</v>
      </c>
      <c r="J578" s="96" t="s">
        <v>1143</v>
      </c>
      <c r="K578" s="76"/>
      <c r="L578" s="76"/>
      <c r="M578" s="76"/>
      <c r="N578" s="76"/>
      <c r="O578" s="76"/>
      <c r="P578" s="76"/>
      <c r="Q578" s="76"/>
      <c r="R578" s="76"/>
      <c r="S578" s="76"/>
      <c r="T578" s="76"/>
      <c r="U578" s="261">
        <v>0</v>
      </c>
      <c r="V578" s="261">
        <v>0</v>
      </c>
      <c r="W578" s="261">
        <v>0</v>
      </c>
      <c r="X578" s="261">
        <v>0</v>
      </c>
      <c r="Y578" s="261">
        <v>0</v>
      </c>
      <c r="Z578" s="261">
        <v>0</v>
      </c>
      <c r="AA578" s="261">
        <v>0</v>
      </c>
      <c r="AB578" s="254">
        <v>0</v>
      </c>
      <c r="AC578" s="254">
        <f t="shared" si="92"/>
        <v>0</v>
      </c>
      <c r="AD578" s="254">
        <f t="shared" si="92"/>
        <v>0</v>
      </c>
      <c r="AE578" s="76"/>
      <c r="AF578" s="97"/>
      <c r="AG578" s="76"/>
      <c r="AH578" s="97">
        <v>1</v>
      </c>
      <c r="AI578" s="97">
        <v>1</v>
      </c>
      <c r="AJ578" s="73"/>
      <c r="AK578" s="57"/>
      <c r="AL578" s="45"/>
      <c r="AM578" s="45"/>
      <c r="AN578" s="45"/>
    </row>
    <row r="579" spans="1:40" hidden="1" outlineLevel="3" x14ac:dyDescent="0.25">
      <c r="A579" s="45"/>
      <c r="B579" s="54"/>
      <c r="C579" s="47">
        <f t="shared" si="91"/>
        <v>3</v>
      </c>
      <c r="D579" s="73"/>
      <c r="E579" s="70"/>
      <c r="F579" s="70" t="s">
        <v>1193</v>
      </c>
      <c r="G579" s="73"/>
      <c r="H579" s="76" t="s">
        <v>2636</v>
      </c>
      <c r="I579" s="96" t="s">
        <v>500</v>
      </c>
      <c r="J579" s="96" t="s">
        <v>1143</v>
      </c>
      <c r="K579" s="76"/>
      <c r="L579" s="76"/>
      <c r="M579" s="76"/>
      <c r="N579" s="76"/>
      <c r="O579" s="76"/>
      <c r="P579" s="76"/>
      <c r="Q579" s="76"/>
      <c r="R579" s="76"/>
      <c r="S579" s="76"/>
      <c r="T579" s="76"/>
      <c r="U579" s="261">
        <v>0</v>
      </c>
      <c r="V579" s="261">
        <v>0</v>
      </c>
      <c r="W579" s="261">
        <v>0</v>
      </c>
      <c r="X579" s="261">
        <v>0</v>
      </c>
      <c r="Y579" s="261">
        <v>0</v>
      </c>
      <c r="Z579" s="261">
        <v>0</v>
      </c>
      <c r="AA579" s="261">
        <v>0</v>
      </c>
      <c r="AB579" s="254">
        <v>0</v>
      </c>
      <c r="AC579" s="254">
        <f t="shared" si="92"/>
        <v>0</v>
      </c>
      <c r="AD579" s="254">
        <f t="shared" si="92"/>
        <v>0</v>
      </c>
      <c r="AE579" s="76"/>
      <c r="AF579" s="97"/>
      <c r="AG579" s="76"/>
      <c r="AH579" s="97">
        <v>1</v>
      </c>
      <c r="AI579" s="97">
        <v>1</v>
      </c>
      <c r="AJ579" s="73"/>
      <c r="AK579" s="57"/>
      <c r="AL579" s="45"/>
      <c r="AM579" s="45"/>
      <c r="AN579" s="45"/>
    </row>
    <row r="580" spans="1:40" hidden="1" outlineLevel="3" x14ac:dyDescent="0.25">
      <c r="A580" s="45"/>
      <c r="B580" s="54"/>
      <c r="C580" s="47">
        <f t="shared" si="91"/>
        <v>3</v>
      </c>
      <c r="D580" s="73"/>
      <c r="E580" s="70"/>
      <c r="F580" s="70" t="s">
        <v>1194</v>
      </c>
      <c r="G580" s="73"/>
      <c r="H580" s="76" t="s">
        <v>2637</v>
      </c>
      <c r="I580" s="96" t="s">
        <v>500</v>
      </c>
      <c r="J580" s="96" t="s">
        <v>1143</v>
      </c>
      <c r="K580" s="76"/>
      <c r="L580" s="76"/>
      <c r="M580" s="76"/>
      <c r="N580" s="76"/>
      <c r="O580" s="76"/>
      <c r="P580" s="76"/>
      <c r="Q580" s="76"/>
      <c r="R580" s="76"/>
      <c r="S580" s="76"/>
      <c r="T580" s="76"/>
      <c r="U580" s="261">
        <v>0</v>
      </c>
      <c r="V580" s="261">
        <v>0</v>
      </c>
      <c r="W580" s="261">
        <v>0</v>
      </c>
      <c r="X580" s="261">
        <v>0</v>
      </c>
      <c r="Y580" s="261">
        <v>0</v>
      </c>
      <c r="Z580" s="261">
        <v>0</v>
      </c>
      <c r="AA580" s="261">
        <v>0</v>
      </c>
      <c r="AB580" s="254">
        <v>0</v>
      </c>
      <c r="AC580" s="254">
        <f t="shared" si="92"/>
        <v>0</v>
      </c>
      <c r="AD580" s="254">
        <f t="shared" si="92"/>
        <v>0</v>
      </c>
      <c r="AE580" s="76"/>
      <c r="AF580" s="97"/>
      <c r="AG580" s="76"/>
      <c r="AH580" s="97">
        <v>1</v>
      </c>
      <c r="AI580" s="97">
        <v>1</v>
      </c>
      <c r="AJ580" s="73"/>
      <c r="AK580" s="57"/>
      <c r="AL580" s="45"/>
      <c r="AM580" s="45"/>
      <c r="AN580" s="45"/>
    </row>
    <row r="581" spans="1:40" hidden="1" outlineLevel="3" x14ac:dyDescent="0.25">
      <c r="A581" s="45"/>
      <c r="B581" s="54"/>
      <c r="C581" s="47">
        <f t="shared" si="91"/>
        <v>3</v>
      </c>
      <c r="D581" s="73"/>
      <c r="E581" s="70"/>
      <c r="F581" s="70" t="s">
        <v>1195</v>
      </c>
      <c r="G581" s="73"/>
      <c r="H581" s="76" t="s">
        <v>2638</v>
      </c>
      <c r="I581" s="96" t="s">
        <v>500</v>
      </c>
      <c r="J581" s="96" t="s">
        <v>1143</v>
      </c>
      <c r="K581" s="76"/>
      <c r="L581" s="76"/>
      <c r="M581" s="76"/>
      <c r="N581" s="76"/>
      <c r="O581" s="76"/>
      <c r="P581" s="76"/>
      <c r="Q581" s="76"/>
      <c r="R581" s="76"/>
      <c r="S581" s="76"/>
      <c r="T581" s="76"/>
      <c r="U581" s="261">
        <v>0</v>
      </c>
      <c r="V581" s="261">
        <v>0</v>
      </c>
      <c r="W581" s="261">
        <v>0</v>
      </c>
      <c r="X581" s="261">
        <v>0</v>
      </c>
      <c r="Y581" s="261">
        <v>0</v>
      </c>
      <c r="Z581" s="261">
        <v>0</v>
      </c>
      <c r="AA581" s="261">
        <v>0</v>
      </c>
      <c r="AB581" s="254">
        <v>0</v>
      </c>
      <c r="AC581" s="254">
        <f t="shared" si="92"/>
        <v>0</v>
      </c>
      <c r="AD581" s="254">
        <f t="shared" si="92"/>
        <v>0</v>
      </c>
      <c r="AE581" s="76"/>
      <c r="AF581" s="97"/>
      <c r="AG581" s="76"/>
      <c r="AH581" s="97">
        <v>1</v>
      </c>
      <c r="AI581" s="97">
        <v>1</v>
      </c>
      <c r="AJ581" s="73"/>
      <c r="AK581" s="57"/>
      <c r="AL581" s="45"/>
      <c r="AM581" s="45"/>
      <c r="AN581" s="45"/>
    </row>
    <row r="582" spans="1:40" hidden="1" outlineLevel="3" x14ac:dyDescent="0.25">
      <c r="A582" s="45"/>
      <c r="B582" s="54"/>
      <c r="C582" s="47">
        <f t="shared" si="91"/>
        <v>3</v>
      </c>
      <c r="D582" s="73"/>
      <c r="E582" s="70"/>
      <c r="F582" s="70" t="s">
        <v>1196</v>
      </c>
      <c r="G582" s="73"/>
      <c r="H582" s="76" t="s">
        <v>2639</v>
      </c>
      <c r="I582" s="96" t="s">
        <v>500</v>
      </c>
      <c r="J582" s="96" t="s">
        <v>1143</v>
      </c>
      <c r="K582" s="76"/>
      <c r="L582" s="76"/>
      <c r="M582" s="76"/>
      <c r="N582" s="76"/>
      <c r="O582" s="76"/>
      <c r="P582" s="76"/>
      <c r="Q582" s="76"/>
      <c r="R582" s="76"/>
      <c r="S582" s="76"/>
      <c r="T582" s="76"/>
      <c r="U582" s="261">
        <v>0</v>
      </c>
      <c r="V582" s="261">
        <v>0</v>
      </c>
      <c r="W582" s="261">
        <v>0</v>
      </c>
      <c r="X582" s="261">
        <v>0</v>
      </c>
      <c r="Y582" s="261">
        <v>0</v>
      </c>
      <c r="Z582" s="261">
        <v>0</v>
      </c>
      <c r="AA582" s="261">
        <v>0</v>
      </c>
      <c r="AB582" s="254">
        <v>0</v>
      </c>
      <c r="AC582" s="254">
        <f t="shared" si="92"/>
        <v>0</v>
      </c>
      <c r="AD582" s="254">
        <f t="shared" si="92"/>
        <v>0</v>
      </c>
      <c r="AE582" s="76"/>
      <c r="AF582" s="97"/>
      <c r="AG582" s="76"/>
      <c r="AH582" s="97">
        <v>1</v>
      </c>
      <c r="AI582" s="97">
        <v>1</v>
      </c>
      <c r="AJ582" s="73"/>
      <c r="AK582" s="57"/>
      <c r="AL582" s="45"/>
      <c r="AM582" s="45"/>
      <c r="AN582" s="45"/>
    </row>
    <row r="583" spans="1:40" hidden="1" outlineLevel="2" x14ac:dyDescent="0.25">
      <c r="A583" s="45"/>
      <c r="B583" s="54"/>
      <c r="C583" s="47">
        <f t="shared" si="91"/>
        <v>3</v>
      </c>
      <c r="D583" s="73"/>
      <c r="E583" s="70"/>
      <c r="F583" s="70" t="s">
        <v>1197</v>
      </c>
      <c r="G583" s="73"/>
      <c r="H583" s="76" t="s">
        <v>1198</v>
      </c>
      <c r="I583" s="96" t="s">
        <v>500</v>
      </c>
      <c r="J583" s="96" t="s">
        <v>1143</v>
      </c>
      <c r="K583" s="76"/>
      <c r="L583" s="76"/>
      <c r="M583" s="76"/>
      <c r="N583" s="76"/>
      <c r="O583" s="76"/>
      <c r="P583" s="76"/>
      <c r="Q583" s="76"/>
      <c r="R583" s="76"/>
      <c r="S583" s="76"/>
      <c r="T583" s="76"/>
      <c r="U583" s="261">
        <v>0</v>
      </c>
      <c r="V583" s="261">
        <v>0</v>
      </c>
      <c r="W583" s="261">
        <v>0</v>
      </c>
      <c r="X583" s="261">
        <v>0</v>
      </c>
      <c r="Y583" s="261">
        <v>0</v>
      </c>
      <c r="Z583" s="261">
        <v>0</v>
      </c>
      <c r="AA583" s="261">
        <v>0</v>
      </c>
      <c r="AB583" s="254">
        <v>0</v>
      </c>
      <c r="AC583" s="254">
        <f t="shared" si="92"/>
        <v>0</v>
      </c>
      <c r="AD583" s="254">
        <f t="shared" si="92"/>
        <v>0</v>
      </c>
      <c r="AE583" s="76"/>
      <c r="AF583" s="97"/>
      <c r="AG583" s="76"/>
      <c r="AH583" s="97">
        <v>1</v>
      </c>
      <c r="AI583" s="97">
        <v>1</v>
      </c>
      <c r="AJ583" s="73"/>
      <c r="AK583" s="57"/>
      <c r="AL583" s="45"/>
      <c r="AM583" s="45"/>
      <c r="AN583" s="45"/>
    </row>
    <row r="584" spans="1:40" hidden="1" outlineLevel="2" x14ac:dyDescent="0.25">
      <c r="A584" s="45"/>
      <c r="B584" s="54"/>
      <c r="C584" s="47">
        <f t="shared" si="91"/>
        <v>3</v>
      </c>
      <c r="D584" s="73"/>
      <c r="E584" s="70"/>
      <c r="F584" s="70" t="s">
        <v>1199</v>
      </c>
      <c r="G584" s="73"/>
      <c r="H584" s="76" t="s">
        <v>2640</v>
      </c>
      <c r="I584" s="96" t="s">
        <v>500</v>
      </c>
      <c r="J584" s="96" t="s">
        <v>1143</v>
      </c>
      <c r="K584" s="76"/>
      <c r="L584" s="76"/>
      <c r="M584" s="76"/>
      <c r="N584" s="76"/>
      <c r="O584" s="76"/>
      <c r="P584" s="76"/>
      <c r="Q584" s="76"/>
      <c r="R584" s="76"/>
      <c r="S584" s="76"/>
      <c r="T584" s="76"/>
      <c r="U584" s="261">
        <v>0</v>
      </c>
      <c r="V584" s="261">
        <v>0</v>
      </c>
      <c r="W584" s="261">
        <v>0</v>
      </c>
      <c r="X584" s="261">
        <v>0</v>
      </c>
      <c r="Y584" s="261">
        <v>0</v>
      </c>
      <c r="Z584" s="261">
        <v>0</v>
      </c>
      <c r="AA584" s="261">
        <v>0</v>
      </c>
      <c r="AB584" s="254">
        <v>0</v>
      </c>
      <c r="AC584" s="254">
        <f t="shared" si="92"/>
        <v>0</v>
      </c>
      <c r="AD584" s="254">
        <f t="shared" si="92"/>
        <v>0</v>
      </c>
      <c r="AE584" s="76"/>
      <c r="AF584" s="97"/>
      <c r="AG584" s="76"/>
      <c r="AH584" s="97">
        <v>1</v>
      </c>
      <c r="AI584" s="97">
        <v>1</v>
      </c>
      <c r="AJ584" s="73"/>
      <c r="AK584" s="57"/>
      <c r="AL584" s="45"/>
      <c r="AM584" s="45"/>
      <c r="AN584" s="45"/>
    </row>
    <row r="585" spans="1:40" hidden="1" outlineLevel="2" collapsed="1" x14ac:dyDescent="0.25">
      <c r="A585" s="45"/>
      <c r="B585" s="54"/>
      <c r="C585" s="47">
        <f t="shared" si="91"/>
        <v>3</v>
      </c>
      <c r="D585" s="73"/>
      <c r="E585" s="70"/>
      <c r="F585" s="70" t="s">
        <v>1200</v>
      </c>
      <c r="G585" s="73"/>
      <c r="H585" s="76" t="s">
        <v>2641</v>
      </c>
      <c r="I585" s="96" t="s">
        <v>500</v>
      </c>
      <c r="J585" s="96" t="s">
        <v>1143</v>
      </c>
      <c r="K585" s="76"/>
      <c r="L585" s="76"/>
      <c r="M585" s="76"/>
      <c r="N585" s="76"/>
      <c r="O585" s="76"/>
      <c r="P585" s="76"/>
      <c r="Q585" s="76"/>
      <c r="R585" s="76"/>
      <c r="S585" s="76"/>
      <c r="T585" s="76"/>
      <c r="U585" s="261">
        <v>0</v>
      </c>
      <c r="V585" s="261">
        <v>0</v>
      </c>
      <c r="W585" s="261">
        <v>0</v>
      </c>
      <c r="X585" s="261">
        <v>0</v>
      </c>
      <c r="Y585" s="261">
        <v>0</v>
      </c>
      <c r="Z585" s="261">
        <v>0</v>
      </c>
      <c r="AA585" s="261">
        <v>0</v>
      </c>
      <c r="AB585" s="254">
        <v>0</v>
      </c>
      <c r="AC585" s="254">
        <f t="shared" si="92"/>
        <v>0</v>
      </c>
      <c r="AD585" s="254">
        <f t="shared" si="92"/>
        <v>0</v>
      </c>
      <c r="AE585" s="76"/>
      <c r="AF585" s="97"/>
      <c r="AG585" s="76"/>
      <c r="AH585" s="97">
        <v>1</v>
      </c>
      <c r="AI585" s="97">
        <v>1</v>
      </c>
      <c r="AJ585" s="73"/>
      <c r="AK585" s="57"/>
      <c r="AL585" s="45"/>
      <c r="AM585" s="45"/>
      <c r="AN585" s="45"/>
    </row>
    <row r="586" spans="1:40" hidden="1" outlineLevel="3" x14ac:dyDescent="0.25">
      <c r="A586" s="45"/>
      <c r="B586" s="54"/>
      <c r="C586" s="47">
        <f t="shared" si="91"/>
        <v>3</v>
      </c>
      <c r="D586" s="73"/>
      <c r="E586" s="70"/>
      <c r="F586" s="70" t="s">
        <v>1201</v>
      </c>
      <c r="G586" s="73"/>
      <c r="H586" s="76" t="s">
        <v>2642</v>
      </c>
      <c r="I586" s="96" t="s">
        <v>500</v>
      </c>
      <c r="J586" s="96" t="s">
        <v>1143</v>
      </c>
      <c r="K586" s="76"/>
      <c r="L586" s="76"/>
      <c r="M586" s="76"/>
      <c r="N586" s="76"/>
      <c r="O586" s="76"/>
      <c r="P586" s="76"/>
      <c r="Q586" s="76"/>
      <c r="R586" s="76"/>
      <c r="S586" s="76"/>
      <c r="T586" s="76"/>
      <c r="U586" s="261">
        <v>0</v>
      </c>
      <c r="V586" s="261">
        <v>0</v>
      </c>
      <c r="W586" s="261">
        <v>0</v>
      </c>
      <c r="X586" s="261">
        <v>0</v>
      </c>
      <c r="Y586" s="261">
        <v>0</v>
      </c>
      <c r="Z586" s="261">
        <v>0</v>
      </c>
      <c r="AA586" s="261">
        <v>0</v>
      </c>
      <c r="AB586" s="254">
        <v>0</v>
      </c>
      <c r="AC586" s="254">
        <f t="shared" si="92"/>
        <v>0</v>
      </c>
      <c r="AD586" s="254">
        <f t="shared" si="92"/>
        <v>0</v>
      </c>
      <c r="AE586" s="76"/>
      <c r="AF586" s="97"/>
      <c r="AG586" s="76"/>
      <c r="AH586" s="97">
        <v>1</v>
      </c>
      <c r="AI586" s="97">
        <v>1</v>
      </c>
      <c r="AJ586" s="73"/>
      <c r="AK586" s="57"/>
      <c r="AL586" s="45"/>
      <c r="AM586" s="45"/>
      <c r="AN586" s="45"/>
    </row>
    <row r="587" spans="1:40" hidden="1" outlineLevel="3" x14ac:dyDescent="0.25">
      <c r="A587" s="45"/>
      <c r="B587" s="54"/>
      <c r="C587" s="47">
        <f t="shared" si="91"/>
        <v>3</v>
      </c>
      <c r="D587" s="73"/>
      <c r="E587" s="70"/>
      <c r="F587" s="70" t="s">
        <v>1202</v>
      </c>
      <c r="G587" s="73"/>
      <c r="H587" s="76" t="s">
        <v>2643</v>
      </c>
      <c r="I587" s="96" t="s">
        <v>500</v>
      </c>
      <c r="J587" s="96" t="s">
        <v>1143</v>
      </c>
      <c r="K587" s="76"/>
      <c r="L587" s="76"/>
      <c r="M587" s="76"/>
      <c r="N587" s="76"/>
      <c r="O587" s="76"/>
      <c r="P587" s="76"/>
      <c r="Q587" s="76"/>
      <c r="R587" s="76"/>
      <c r="S587" s="76"/>
      <c r="T587" s="76"/>
      <c r="U587" s="261">
        <v>0</v>
      </c>
      <c r="V587" s="261">
        <v>0</v>
      </c>
      <c r="W587" s="261">
        <v>0</v>
      </c>
      <c r="X587" s="261">
        <v>0</v>
      </c>
      <c r="Y587" s="261">
        <v>0</v>
      </c>
      <c r="Z587" s="261">
        <v>0</v>
      </c>
      <c r="AA587" s="261">
        <v>0</v>
      </c>
      <c r="AB587" s="254">
        <v>0</v>
      </c>
      <c r="AC587" s="254">
        <f t="shared" si="92"/>
        <v>0</v>
      </c>
      <c r="AD587" s="254">
        <f t="shared" si="92"/>
        <v>0</v>
      </c>
      <c r="AE587" s="76"/>
      <c r="AF587" s="97"/>
      <c r="AG587" s="76"/>
      <c r="AH587" s="97">
        <v>1</v>
      </c>
      <c r="AI587" s="97">
        <v>1</v>
      </c>
      <c r="AJ587" s="73"/>
      <c r="AK587" s="57"/>
      <c r="AL587" s="45"/>
      <c r="AM587" s="45"/>
      <c r="AN587" s="45"/>
    </row>
    <row r="588" spans="1:40" hidden="1" outlineLevel="3" x14ac:dyDescent="0.25">
      <c r="A588" s="45"/>
      <c r="B588" s="54"/>
      <c r="C588" s="47">
        <f t="shared" si="91"/>
        <v>3</v>
      </c>
      <c r="D588" s="73"/>
      <c r="E588" s="70"/>
      <c r="F588" s="70" t="s">
        <v>1203</v>
      </c>
      <c r="G588" s="73"/>
      <c r="H588" s="76" t="s">
        <v>2644</v>
      </c>
      <c r="I588" s="96" t="s">
        <v>500</v>
      </c>
      <c r="J588" s="96" t="s">
        <v>1143</v>
      </c>
      <c r="K588" s="76"/>
      <c r="L588" s="76"/>
      <c r="M588" s="76"/>
      <c r="N588" s="76"/>
      <c r="O588" s="76"/>
      <c r="P588" s="76"/>
      <c r="Q588" s="76"/>
      <c r="R588" s="76"/>
      <c r="S588" s="76"/>
      <c r="T588" s="76"/>
      <c r="U588" s="261">
        <v>0</v>
      </c>
      <c r="V588" s="261">
        <v>0</v>
      </c>
      <c r="W588" s="261">
        <v>0</v>
      </c>
      <c r="X588" s="261">
        <v>0</v>
      </c>
      <c r="Y588" s="261">
        <v>0</v>
      </c>
      <c r="Z588" s="261">
        <v>0</v>
      </c>
      <c r="AA588" s="261">
        <v>0</v>
      </c>
      <c r="AB588" s="254">
        <v>0</v>
      </c>
      <c r="AC588" s="254">
        <f t="shared" si="92"/>
        <v>0</v>
      </c>
      <c r="AD588" s="254">
        <f t="shared" si="92"/>
        <v>0</v>
      </c>
      <c r="AE588" s="76"/>
      <c r="AF588" s="97"/>
      <c r="AG588" s="76"/>
      <c r="AH588" s="97">
        <v>1</v>
      </c>
      <c r="AI588" s="97">
        <v>1</v>
      </c>
      <c r="AJ588" s="73"/>
      <c r="AK588" s="57"/>
      <c r="AL588" s="45"/>
      <c r="AM588" s="45"/>
      <c r="AN588" s="45"/>
    </row>
    <row r="589" spans="1:40" hidden="1" outlineLevel="3" x14ac:dyDescent="0.25">
      <c r="A589" s="45"/>
      <c r="B589" s="54"/>
      <c r="C589" s="47">
        <f t="shared" si="91"/>
        <v>3</v>
      </c>
      <c r="D589" s="73"/>
      <c r="E589" s="70"/>
      <c r="F589" s="70" t="s">
        <v>1204</v>
      </c>
      <c r="G589" s="73"/>
      <c r="H589" s="76" t="s">
        <v>2645</v>
      </c>
      <c r="I589" s="96" t="s">
        <v>500</v>
      </c>
      <c r="J589" s="96" t="s">
        <v>1143</v>
      </c>
      <c r="K589" s="76"/>
      <c r="L589" s="76"/>
      <c r="M589" s="76"/>
      <c r="N589" s="76"/>
      <c r="O589" s="76"/>
      <c r="P589" s="76"/>
      <c r="Q589" s="76"/>
      <c r="R589" s="76"/>
      <c r="S589" s="76"/>
      <c r="T589" s="76"/>
      <c r="U589" s="261">
        <v>0</v>
      </c>
      <c r="V589" s="261">
        <v>0</v>
      </c>
      <c r="W589" s="261">
        <v>0</v>
      </c>
      <c r="X589" s="261">
        <v>0</v>
      </c>
      <c r="Y589" s="261">
        <v>0</v>
      </c>
      <c r="Z589" s="261">
        <v>0</v>
      </c>
      <c r="AA589" s="261">
        <v>0</v>
      </c>
      <c r="AB589" s="254">
        <v>0</v>
      </c>
      <c r="AC589" s="254">
        <f t="shared" si="92"/>
        <v>0</v>
      </c>
      <c r="AD589" s="254">
        <f t="shared" si="92"/>
        <v>0</v>
      </c>
      <c r="AE589" s="76"/>
      <c r="AF589" s="97"/>
      <c r="AG589" s="76"/>
      <c r="AH589" s="97">
        <v>1</v>
      </c>
      <c r="AI589" s="97">
        <v>1</v>
      </c>
      <c r="AJ589" s="73"/>
      <c r="AK589" s="57"/>
      <c r="AL589" s="45"/>
      <c r="AM589" s="45"/>
      <c r="AN589" s="45"/>
    </row>
    <row r="590" spans="1:40" hidden="1" outlineLevel="3" x14ac:dyDescent="0.25">
      <c r="A590" s="45"/>
      <c r="B590" s="54"/>
      <c r="C590" s="47">
        <f t="shared" si="91"/>
        <v>3</v>
      </c>
      <c r="D590" s="73"/>
      <c r="E590" s="70"/>
      <c r="F590" s="70" t="s">
        <v>1205</v>
      </c>
      <c r="G590" s="73"/>
      <c r="H590" s="76" t="s">
        <v>2646</v>
      </c>
      <c r="I590" s="96" t="s">
        <v>500</v>
      </c>
      <c r="J590" s="96" t="s">
        <v>1143</v>
      </c>
      <c r="K590" s="76"/>
      <c r="L590" s="76"/>
      <c r="M590" s="76"/>
      <c r="N590" s="76"/>
      <c r="O590" s="76"/>
      <c r="P590" s="76"/>
      <c r="Q590" s="76"/>
      <c r="R590" s="76"/>
      <c r="S590" s="76"/>
      <c r="T590" s="76"/>
      <c r="U590" s="261">
        <v>0</v>
      </c>
      <c r="V590" s="261">
        <v>0</v>
      </c>
      <c r="W590" s="261">
        <v>0</v>
      </c>
      <c r="X590" s="261">
        <v>0</v>
      </c>
      <c r="Y590" s="261">
        <v>0</v>
      </c>
      <c r="Z590" s="261">
        <v>0</v>
      </c>
      <c r="AA590" s="261">
        <v>0</v>
      </c>
      <c r="AB590" s="254">
        <v>0</v>
      </c>
      <c r="AC590" s="254">
        <f t="shared" si="92"/>
        <v>0</v>
      </c>
      <c r="AD590" s="254">
        <f t="shared" si="92"/>
        <v>0</v>
      </c>
      <c r="AE590" s="76"/>
      <c r="AF590" s="97"/>
      <c r="AG590" s="76"/>
      <c r="AH590" s="97">
        <v>1</v>
      </c>
      <c r="AI590" s="97">
        <v>1</v>
      </c>
      <c r="AJ590" s="73"/>
      <c r="AK590" s="57"/>
      <c r="AL590" s="45"/>
      <c r="AM590" s="45"/>
      <c r="AN590" s="45"/>
    </row>
    <row r="591" spans="1:40" hidden="1" outlineLevel="3" x14ac:dyDescent="0.25">
      <c r="A591" s="45"/>
      <c r="B591" s="54"/>
      <c r="C591" s="47">
        <f t="shared" si="91"/>
        <v>3</v>
      </c>
      <c r="D591" s="73"/>
      <c r="E591" s="70"/>
      <c r="F591" s="70" t="s">
        <v>2656</v>
      </c>
      <c r="G591" s="73"/>
      <c r="H591" s="76" t="s">
        <v>602</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91"/>
        <v>3</v>
      </c>
      <c r="D592" s="73"/>
      <c r="E592" s="70"/>
      <c r="F592" s="70" t="s">
        <v>2657</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91"/>
        <v>3</v>
      </c>
      <c r="D593" s="73"/>
      <c r="E593" s="70"/>
      <c r="F593" s="70" t="s">
        <v>2658</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91"/>
        <v>3</v>
      </c>
      <c r="D594" s="73"/>
      <c r="E594" s="70"/>
      <c r="F594" s="70" t="s">
        <v>2659</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91"/>
        <v>3</v>
      </c>
      <c r="D595" s="73"/>
      <c r="E595" s="70"/>
      <c r="F595" s="70" t="s">
        <v>2660</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91"/>
        <v>3</v>
      </c>
      <c r="D596" s="73"/>
      <c r="E596" s="70"/>
      <c r="F596" s="70" t="s">
        <v>2661</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91"/>
        <v>3</v>
      </c>
      <c r="D597" s="73"/>
      <c r="E597" s="70"/>
      <c r="F597" s="70" t="s">
        <v>2662</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91"/>
        <v>3</v>
      </c>
      <c r="D598" s="73"/>
      <c r="E598" s="70"/>
      <c r="F598" s="70" t="s">
        <v>2663</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93">INT($C$29)+2</f>
        <v>3</v>
      </c>
      <c r="D599" s="73"/>
      <c r="E599" s="70"/>
      <c r="F599" s="70" t="s">
        <v>2664</v>
      </c>
      <c r="G599" s="73"/>
      <c r="H599" s="76" t="s">
        <v>2688</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93"/>
        <v>3</v>
      </c>
      <c r="D600" s="73"/>
      <c r="E600" s="70"/>
      <c r="F600" s="70" t="s">
        <v>2665</v>
      </c>
      <c r="G600" s="73"/>
      <c r="H600" s="76" t="s">
        <v>2689</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93"/>
        <v>3</v>
      </c>
      <c r="D601" s="73"/>
      <c r="E601" s="70"/>
      <c r="F601" s="70" t="s">
        <v>2666</v>
      </c>
      <c r="G601" s="73"/>
      <c r="H601" s="76" t="s">
        <v>2690</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93"/>
        <v>3</v>
      </c>
      <c r="D602" s="73"/>
      <c r="E602" s="70"/>
      <c r="F602" s="70" t="s">
        <v>2667</v>
      </c>
      <c r="G602" s="73"/>
      <c r="H602" s="76" t="s">
        <v>2691</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93"/>
        <v>3</v>
      </c>
      <c r="D603" s="73"/>
      <c r="E603" s="70"/>
      <c r="F603" s="70" t="s">
        <v>2668</v>
      </c>
      <c r="G603" s="73"/>
      <c r="H603" s="76" t="s">
        <v>2692</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93"/>
        <v>3</v>
      </c>
      <c r="D604" s="73"/>
      <c r="E604" s="70"/>
      <c r="F604" s="70" t="s">
        <v>2669</v>
      </c>
      <c r="G604" s="73"/>
      <c r="H604" s="76" t="s">
        <v>2693</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93"/>
        <v>3</v>
      </c>
      <c r="D605" s="73"/>
      <c r="E605" s="70"/>
      <c r="F605" s="70" t="s">
        <v>2670</v>
      </c>
      <c r="G605" s="73"/>
      <c r="H605" s="76" t="s">
        <v>2694</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93"/>
        <v>3</v>
      </c>
      <c r="D606" s="73"/>
      <c r="E606" s="70"/>
      <c r="F606" s="70" t="s">
        <v>2671</v>
      </c>
      <c r="G606" s="73"/>
      <c r="H606" s="76" t="s">
        <v>2695</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93"/>
        <v>3</v>
      </c>
      <c r="D607" s="73"/>
      <c r="E607" s="70"/>
      <c r="F607" s="70" t="s">
        <v>2672</v>
      </c>
      <c r="G607" s="73"/>
      <c r="H607" s="76" t="s">
        <v>602</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93"/>
        <v>3</v>
      </c>
      <c r="D608" s="73"/>
      <c r="E608" s="70"/>
      <c r="F608" s="70" t="s">
        <v>2673</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93"/>
        <v>3</v>
      </c>
      <c r="D609" s="73"/>
      <c r="E609" s="70"/>
      <c r="F609" s="70" t="s">
        <v>2674</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93"/>
        <v>3</v>
      </c>
      <c r="D610" s="73"/>
      <c r="E610" s="70"/>
      <c r="F610" s="70" t="s">
        <v>2675</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93"/>
        <v>3</v>
      </c>
      <c r="D611" s="73"/>
      <c r="E611" s="70"/>
      <c r="F611" s="70" t="s">
        <v>2676</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93"/>
        <v>3</v>
      </c>
      <c r="D612" s="73"/>
      <c r="E612" s="70"/>
      <c r="F612" s="70" t="s">
        <v>2677</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93"/>
        <v>3</v>
      </c>
      <c r="D613" s="73"/>
      <c r="E613" s="70"/>
      <c r="F613" s="70" t="s">
        <v>2678</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93"/>
        <v>3</v>
      </c>
      <c r="D614" s="73"/>
      <c r="E614" s="70"/>
      <c r="F614" s="70" t="s">
        <v>2679</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93"/>
        <v>3</v>
      </c>
      <c r="D615" s="73"/>
      <c r="E615" s="70"/>
      <c r="F615" s="70" t="s">
        <v>2680</v>
      </c>
      <c r="G615" s="73"/>
      <c r="H615" s="76" t="s">
        <v>2774</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93"/>
        <v>3</v>
      </c>
      <c r="D616" s="73"/>
      <c r="E616" s="70"/>
      <c r="F616" s="70" t="s">
        <v>2681</v>
      </c>
      <c r="G616" s="73"/>
      <c r="H616" s="76" t="s">
        <v>2689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93"/>
        <v>3</v>
      </c>
      <c r="D617" s="73"/>
      <c r="E617" s="70"/>
      <c r="F617" s="70" t="s">
        <v>2682</v>
      </c>
      <c r="G617" s="73"/>
      <c r="H617" s="76" t="s">
        <v>2690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93"/>
        <v>3</v>
      </c>
      <c r="D618" s="73"/>
      <c r="E618" s="70"/>
      <c r="F618" s="70" t="s">
        <v>2683</v>
      </c>
      <c r="G618" s="73"/>
      <c r="H618" s="76" t="s">
        <v>2691</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93"/>
        <v>3</v>
      </c>
      <c r="D619" s="73"/>
      <c r="E619" s="70"/>
      <c r="F619" s="70" t="s">
        <v>2684</v>
      </c>
      <c r="G619" s="73"/>
      <c r="H619" s="76" t="s">
        <v>2692</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93"/>
        <v>3</v>
      </c>
      <c r="D620" s="73"/>
      <c r="E620" s="70"/>
      <c r="F620" s="70" t="s">
        <v>2685</v>
      </c>
      <c r="G620" s="73"/>
      <c r="H620" s="76" t="s">
        <v>2693</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93"/>
        <v>3</v>
      </c>
      <c r="D621" s="73"/>
      <c r="E621" s="70"/>
      <c r="F621" s="70" t="s">
        <v>2686</v>
      </c>
      <c r="G621" s="73"/>
      <c r="H621" s="76" t="s">
        <v>2694</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93"/>
        <v>3</v>
      </c>
      <c r="D622" s="73"/>
      <c r="E622" s="70"/>
      <c r="F622" s="70" t="s">
        <v>2687</v>
      </c>
      <c r="G622" s="73"/>
      <c r="H622" s="76" t="s">
        <v>2695</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93"/>
        <v>3</v>
      </c>
      <c r="D623" s="73"/>
      <c r="E623" s="70"/>
      <c r="F623" s="70" t="s">
        <v>2776</v>
      </c>
      <c r="G623" s="73"/>
      <c r="H623" s="76" t="s">
        <v>2775</v>
      </c>
      <c r="I623" s="96">
        <v>1</v>
      </c>
      <c r="J623" s="96"/>
      <c r="K623" s="76"/>
      <c r="L623" s="76"/>
      <c r="M623" s="76"/>
      <c r="N623" s="76"/>
      <c r="O623" s="76"/>
      <c r="P623" s="76"/>
      <c r="Q623" s="76"/>
      <c r="R623" s="76"/>
      <c r="S623" s="76"/>
      <c r="T623" s="76"/>
      <c r="U623" s="97">
        <f t="shared" ref="U623:U630" si="94">AA623-($I623*-0.3347)</f>
        <v>0.72563</v>
      </c>
      <c r="V623" s="254">
        <f t="shared" ref="V623:V630" si="95">U623</f>
        <v>0.72563</v>
      </c>
      <c r="W623" s="254">
        <f t="shared" ref="W623:X630" si="96">U623</f>
        <v>0.72563</v>
      </c>
      <c r="X623" s="254">
        <f t="shared" si="96"/>
        <v>0.72563</v>
      </c>
      <c r="Y623" s="254">
        <v>0.39093</v>
      </c>
      <c r="Z623" s="254">
        <v>0.39093</v>
      </c>
      <c r="AA623" s="254">
        <v>0.39093</v>
      </c>
      <c r="AB623" s="254">
        <v>5.6230000000000002E-2</v>
      </c>
      <c r="AC623" s="254">
        <f t="shared" ref="AC623:AD630" si="97">AB623</f>
        <v>5.6230000000000002E-2</v>
      </c>
      <c r="AD623" s="254">
        <f t="shared" si="97"/>
        <v>5.6230000000000002E-2</v>
      </c>
      <c r="AE623" s="76"/>
      <c r="AF623" s="97" t="s">
        <v>2765</v>
      </c>
      <c r="AG623" s="76"/>
      <c r="AH623" s="97">
        <v>1</v>
      </c>
      <c r="AI623" s="97">
        <v>1</v>
      </c>
      <c r="AJ623" s="73"/>
      <c r="AK623" s="57"/>
      <c r="AL623" s="45"/>
      <c r="AM623" s="45"/>
      <c r="AN623" s="45"/>
    </row>
    <row r="624" spans="1:40" hidden="1" outlineLevel="2" x14ac:dyDescent="0.25">
      <c r="A624" s="45"/>
      <c r="B624" s="54"/>
      <c r="C624" s="47">
        <f t="shared" si="93"/>
        <v>3</v>
      </c>
      <c r="D624" s="73"/>
      <c r="E624" s="70"/>
      <c r="F624" s="70" t="s">
        <v>2777</v>
      </c>
      <c r="G624" s="73"/>
      <c r="H624" s="76" t="s">
        <v>2689</v>
      </c>
      <c r="I624" s="96">
        <v>2</v>
      </c>
      <c r="J624" s="96"/>
      <c r="K624" s="76"/>
      <c r="L624" s="76"/>
      <c r="M624" s="76"/>
      <c r="N624" s="76"/>
      <c r="O624" s="76"/>
      <c r="P624" s="76"/>
      <c r="Q624" s="76"/>
      <c r="R624" s="76"/>
      <c r="S624" s="76"/>
      <c r="T624" s="76"/>
      <c r="U624" s="97">
        <f t="shared" si="94"/>
        <v>1.45126</v>
      </c>
      <c r="V624" s="254">
        <f t="shared" si="95"/>
        <v>1.45126</v>
      </c>
      <c r="W624" s="254">
        <f t="shared" si="96"/>
        <v>1.45126</v>
      </c>
      <c r="X624" s="254">
        <f t="shared" si="96"/>
        <v>1.45126</v>
      </c>
      <c r="Y624" s="254">
        <v>0.78186</v>
      </c>
      <c r="Z624" s="254">
        <v>0.78186</v>
      </c>
      <c r="AA624" s="254">
        <v>0.78186</v>
      </c>
      <c r="AB624" s="254">
        <v>0.11246</v>
      </c>
      <c r="AC624" s="254">
        <f t="shared" si="97"/>
        <v>0.11246</v>
      </c>
      <c r="AD624" s="254">
        <f t="shared" si="97"/>
        <v>0.11246</v>
      </c>
      <c r="AE624" s="76"/>
      <c r="AF624" s="76"/>
      <c r="AG624" s="76"/>
      <c r="AH624" s="97">
        <v>1</v>
      </c>
      <c r="AI624" s="97">
        <v>1</v>
      </c>
      <c r="AJ624" s="73"/>
      <c r="AK624" s="57"/>
      <c r="AL624" s="45"/>
      <c r="AM624" s="45"/>
      <c r="AN624" s="45"/>
    </row>
    <row r="625" spans="1:40" hidden="1" outlineLevel="2" x14ac:dyDescent="0.25">
      <c r="A625" s="45"/>
      <c r="B625" s="54"/>
      <c r="C625" s="47">
        <f t="shared" si="93"/>
        <v>3</v>
      </c>
      <c r="D625" s="73"/>
      <c r="E625" s="70"/>
      <c r="F625" s="70" t="s">
        <v>2778</v>
      </c>
      <c r="G625" s="73"/>
      <c r="H625" s="76" t="s">
        <v>2690</v>
      </c>
      <c r="I625" s="96">
        <v>3</v>
      </c>
      <c r="J625" s="96"/>
      <c r="K625" s="76"/>
      <c r="L625" s="76"/>
      <c r="M625" s="76"/>
      <c r="N625" s="76"/>
      <c r="O625" s="76"/>
      <c r="P625" s="76"/>
      <c r="Q625" s="76"/>
      <c r="R625" s="76"/>
      <c r="S625" s="76"/>
      <c r="T625" s="76"/>
      <c r="U625" s="97">
        <f t="shared" si="94"/>
        <v>2.1768900000000002</v>
      </c>
      <c r="V625" s="254">
        <f t="shared" si="95"/>
        <v>2.1768900000000002</v>
      </c>
      <c r="W625" s="254">
        <f t="shared" si="96"/>
        <v>2.1768900000000002</v>
      </c>
      <c r="X625" s="254">
        <f t="shared" si="96"/>
        <v>2.1768900000000002</v>
      </c>
      <c r="Y625" s="254">
        <v>1.17279</v>
      </c>
      <c r="Z625" s="254">
        <v>1.17279</v>
      </c>
      <c r="AA625" s="254">
        <v>1.17279</v>
      </c>
      <c r="AB625" s="254">
        <v>0.16869000000000001</v>
      </c>
      <c r="AC625" s="254">
        <f t="shared" si="97"/>
        <v>0.16869000000000001</v>
      </c>
      <c r="AD625" s="254">
        <f t="shared" si="97"/>
        <v>0.16869000000000001</v>
      </c>
      <c r="AE625" s="76"/>
      <c r="AF625" s="76"/>
      <c r="AG625" s="76"/>
      <c r="AH625" s="97">
        <v>1</v>
      </c>
      <c r="AI625" s="97">
        <v>1</v>
      </c>
      <c r="AJ625" s="73"/>
      <c r="AK625" s="57"/>
      <c r="AL625" s="45"/>
      <c r="AM625" s="45"/>
      <c r="AN625" s="45"/>
    </row>
    <row r="626" spans="1:40" hidden="1" outlineLevel="2" x14ac:dyDescent="0.25">
      <c r="A626" s="45"/>
      <c r="B626" s="54"/>
      <c r="C626" s="47">
        <f t="shared" si="93"/>
        <v>3</v>
      </c>
      <c r="D626" s="73"/>
      <c r="E626" s="70"/>
      <c r="F626" s="70" t="s">
        <v>2779</v>
      </c>
      <c r="G626" s="73"/>
      <c r="H626" s="76" t="s">
        <v>2691</v>
      </c>
      <c r="I626" s="96">
        <v>4</v>
      </c>
      <c r="J626" s="96"/>
      <c r="K626" s="76"/>
      <c r="L626" s="76"/>
      <c r="M626" s="76"/>
      <c r="N626" s="76"/>
      <c r="O626" s="76"/>
      <c r="P626" s="76"/>
      <c r="Q626" s="76"/>
      <c r="R626" s="76"/>
      <c r="S626" s="76"/>
      <c r="T626" s="76"/>
      <c r="U626" s="97">
        <f t="shared" si="94"/>
        <v>2.90252</v>
      </c>
      <c r="V626" s="254">
        <f t="shared" si="95"/>
        <v>2.90252</v>
      </c>
      <c r="W626" s="254">
        <f t="shared" si="96"/>
        <v>2.90252</v>
      </c>
      <c r="X626" s="254">
        <f t="shared" si="96"/>
        <v>2.90252</v>
      </c>
      <c r="Y626" s="254">
        <v>1.56372</v>
      </c>
      <c r="Z626" s="254">
        <v>1.56372</v>
      </c>
      <c r="AA626" s="254">
        <v>1.56372</v>
      </c>
      <c r="AB626" s="254">
        <v>0.22492000000000001</v>
      </c>
      <c r="AC626" s="254">
        <f t="shared" si="97"/>
        <v>0.22492000000000001</v>
      </c>
      <c r="AD626" s="254">
        <f t="shared" si="97"/>
        <v>0.22492000000000001</v>
      </c>
      <c r="AE626" s="76"/>
      <c r="AF626" s="76"/>
      <c r="AG626" s="76"/>
      <c r="AH626" s="97">
        <v>1</v>
      </c>
      <c r="AI626" s="97">
        <v>1</v>
      </c>
      <c r="AJ626" s="73"/>
      <c r="AK626" s="57"/>
      <c r="AL626" s="45"/>
      <c r="AM626" s="45"/>
      <c r="AN626" s="45"/>
    </row>
    <row r="627" spans="1:40" hidden="1" outlineLevel="2" x14ac:dyDescent="0.25">
      <c r="A627" s="45"/>
      <c r="B627" s="54"/>
      <c r="C627" s="47">
        <f t="shared" si="93"/>
        <v>3</v>
      </c>
      <c r="D627" s="73"/>
      <c r="E627" s="70"/>
      <c r="F627" s="70" t="s">
        <v>2780</v>
      </c>
      <c r="G627" s="73"/>
      <c r="H627" s="76" t="s">
        <v>2692</v>
      </c>
      <c r="I627" s="96">
        <v>5</v>
      </c>
      <c r="J627" s="96"/>
      <c r="K627" s="76"/>
      <c r="L627" s="76"/>
      <c r="M627" s="76"/>
      <c r="N627" s="76"/>
      <c r="O627" s="76"/>
      <c r="P627" s="76"/>
      <c r="Q627" s="76"/>
      <c r="R627" s="76"/>
      <c r="S627" s="76"/>
      <c r="T627" s="76"/>
      <c r="U627" s="97">
        <f t="shared" si="94"/>
        <v>3.6281499999999998</v>
      </c>
      <c r="V627" s="254">
        <f t="shared" si="95"/>
        <v>3.6281499999999998</v>
      </c>
      <c r="W627" s="254">
        <f t="shared" si="96"/>
        <v>3.6281499999999998</v>
      </c>
      <c r="X627" s="254">
        <f t="shared" si="96"/>
        <v>3.6281499999999998</v>
      </c>
      <c r="Y627" s="254">
        <v>1.95465</v>
      </c>
      <c r="Z627" s="254">
        <v>1.95465</v>
      </c>
      <c r="AA627" s="254">
        <v>1.95465</v>
      </c>
      <c r="AB627" s="254">
        <v>0.28115000000000001</v>
      </c>
      <c r="AC627" s="254">
        <f t="shared" si="97"/>
        <v>0.28115000000000001</v>
      </c>
      <c r="AD627" s="254">
        <f t="shared" si="97"/>
        <v>0.28115000000000001</v>
      </c>
      <c r="AE627" s="76"/>
      <c r="AF627" s="76"/>
      <c r="AG627" s="76"/>
      <c r="AH627" s="97">
        <v>1</v>
      </c>
      <c r="AI627" s="97">
        <v>1</v>
      </c>
      <c r="AJ627" s="73"/>
      <c r="AK627" s="57"/>
      <c r="AL627" s="45"/>
      <c r="AM627" s="45"/>
      <c r="AN627" s="45"/>
    </row>
    <row r="628" spans="1:40" hidden="1" outlineLevel="2" x14ac:dyDescent="0.25">
      <c r="A628" s="45"/>
      <c r="B628" s="54"/>
      <c r="C628" s="47">
        <f t="shared" si="93"/>
        <v>3</v>
      </c>
      <c r="D628" s="73"/>
      <c r="E628" s="70"/>
      <c r="F628" s="70" t="s">
        <v>2781</v>
      </c>
      <c r="G628" s="73"/>
      <c r="H628" s="76" t="s">
        <v>2693</v>
      </c>
      <c r="I628" s="96">
        <v>6</v>
      </c>
      <c r="J628" s="96"/>
      <c r="K628" s="76"/>
      <c r="L628" s="76"/>
      <c r="M628" s="76"/>
      <c r="N628" s="76"/>
      <c r="O628" s="76"/>
      <c r="P628" s="76"/>
      <c r="Q628" s="76"/>
      <c r="R628" s="76"/>
      <c r="S628" s="76"/>
      <c r="T628" s="76"/>
      <c r="U628" s="97">
        <f t="shared" si="94"/>
        <v>4.3537800000000004</v>
      </c>
      <c r="V628" s="254">
        <f t="shared" si="95"/>
        <v>4.3537800000000004</v>
      </c>
      <c r="W628" s="254">
        <f t="shared" si="96"/>
        <v>4.3537800000000004</v>
      </c>
      <c r="X628" s="254">
        <f t="shared" si="96"/>
        <v>4.3537800000000004</v>
      </c>
      <c r="Y628" s="254">
        <v>2.34558</v>
      </c>
      <c r="Z628" s="254">
        <v>2.34558</v>
      </c>
      <c r="AA628" s="254">
        <v>2.34558</v>
      </c>
      <c r="AB628" s="254">
        <v>0.33738000000000001</v>
      </c>
      <c r="AC628" s="254">
        <f t="shared" si="97"/>
        <v>0.33738000000000001</v>
      </c>
      <c r="AD628" s="254">
        <f t="shared" si="97"/>
        <v>0.33738000000000001</v>
      </c>
      <c r="AE628" s="76"/>
      <c r="AF628" s="76"/>
      <c r="AG628" s="76"/>
      <c r="AH628" s="97">
        <v>1</v>
      </c>
      <c r="AI628" s="97">
        <v>1</v>
      </c>
      <c r="AJ628" s="73"/>
      <c r="AK628" s="57"/>
      <c r="AL628" s="45"/>
      <c r="AM628" s="45"/>
      <c r="AN628" s="45"/>
    </row>
    <row r="629" spans="1:40" hidden="1" outlineLevel="2" x14ac:dyDescent="0.25">
      <c r="A629" s="45"/>
      <c r="B629" s="54"/>
      <c r="C629" s="47">
        <f t="shared" si="93"/>
        <v>3</v>
      </c>
      <c r="D629" s="73"/>
      <c r="E629" s="70"/>
      <c r="F629" s="70" t="s">
        <v>2782</v>
      </c>
      <c r="G629" s="73"/>
      <c r="H629" s="76" t="s">
        <v>2694</v>
      </c>
      <c r="I629" s="96">
        <v>7</v>
      </c>
      <c r="J629" s="96"/>
      <c r="K629" s="76"/>
      <c r="L629" s="76"/>
      <c r="M629" s="76"/>
      <c r="N629" s="76"/>
      <c r="O629" s="76"/>
      <c r="P629" s="76"/>
      <c r="Q629" s="76"/>
      <c r="R629" s="76"/>
      <c r="S629" s="76"/>
      <c r="T629" s="76"/>
      <c r="U629" s="97">
        <f t="shared" si="94"/>
        <v>5.0794100000000002</v>
      </c>
      <c r="V629" s="254">
        <f t="shared" si="95"/>
        <v>5.0794100000000002</v>
      </c>
      <c r="W629" s="254">
        <f t="shared" si="96"/>
        <v>5.0794100000000002</v>
      </c>
      <c r="X629" s="254">
        <f t="shared" si="96"/>
        <v>5.0794100000000002</v>
      </c>
      <c r="Y629" s="254">
        <v>2.73651</v>
      </c>
      <c r="Z629" s="254">
        <v>2.73651</v>
      </c>
      <c r="AA629" s="254">
        <v>2.73651</v>
      </c>
      <c r="AB629" s="254">
        <v>0.39361000000000002</v>
      </c>
      <c r="AC629" s="254">
        <f t="shared" si="97"/>
        <v>0.39361000000000002</v>
      </c>
      <c r="AD629" s="254">
        <f t="shared" si="97"/>
        <v>0.39361000000000002</v>
      </c>
      <c r="AE629" s="76"/>
      <c r="AF629" s="76"/>
      <c r="AG629" s="76"/>
      <c r="AH629" s="97">
        <v>1</v>
      </c>
      <c r="AI629" s="97">
        <v>1</v>
      </c>
      <c r="AJ629" s="73"/>
      <c r="AK629" s="57"/>
      <c r="AL629" s="45"/>
      <c r="AM629" s="45"/>
      <c r="AN629" s="45"/>
    </row>
    <row r="630" spans="1:40" hidden="1" outlineLevel="2" x14ac:dyDescent="0.25">
      <c r="A630" s="45"/>
      <c r="B630" s="54"/>
      <c r="C630" s="47">
        <f t="shared" si="93"/>
        <v>3</v>
      </c>
      <c r="D630" s="73"/>
      <c r="E630" s="70"/>
      <c r="F630" s="70" t="s">
        <v>2783</v>
      </c>
      <c r="G630" s="73"/>
      <c r="H630" s="76" t="s">
        <v>2695</v>
      </c>
      <c r="I630" s="96">
        <v>8</v>
      </c>
      <c r="J630" s="96"/>
      <c r="K630" s="76"/>
      <c r="L630" s="76"/>
      <c r="M630" s="76"/>
      <c r="N630" s="76"/>
      <c r="O630" s="76"/>
      <c r="P630" s="76"/>
      <c r="Q630" s="76"/>
      <c r="R630" s="76"/>
      <c r="S630" s="76"/>
      <c r="T630" s="76"/>
      <c r="U630" s="97">
        <f t="shared" si="94"/>
        <v>5.80504</v>
      </c>
      <c r="V630" s="254">
        <f t="shared" si="95"/>
        <v>5.80504</v>
      </c>
      <c r="W630" s="254">
        <f t="shared" si="96"/>
        <v>5.80504</v>
      </c>
      <c r="X630" s="254">
        <f t="shared" si="96"/>
        <v>5.80504</v>
      </c>
      <c r="Y630" s="254">
        <v>3.12744</v>
      </c>
      <c r="Z630" s="254">
        <v>3.12744</v>
      </c>
      <c r="AA630" s="254">
        <v>3.12744</v>
      </c>
      <c r="AB630" s="254">
        <v>0.44984000000000002</v>
      </c>
      <c r="AC630" s="254">
        <f t="shared" si="97"/>
        <v>0.44984000000000002</v>
      </c>
      <c r="AD630" s="254">
        <f t="shared" si="97"/>
        <v>0.44984000000000002</v>
      </c>
      <c r="AE630" s="76"/>
      <c r="AF630" s="76"/>
      <c r="AG630" s="76"/>
      <c r="AH630" s="97">
        <v>1</v>
      </c>
      <c r="AI630" s="97">
        <v>1</v>
      </c>
      <c r="AJ630" s="73"/>
      <c r="AK630" s="57"/>
      <c r="AL630" s="45"/>
      <c r="AM630" s="45"/>
      <c r="AN630" s="45"/>
    </row>
    <row r="631" spans="1:40" outlineLevel="1" x14ac:dyDescent="0.25">
      <c r="A631" s="45"/>
      <c r="B631" s="54"/>
      <c r="C631" s="47">
        <f>INT($C$29)+1</f>
        <v>2</v>
      </c>
      <c r="D631" s="73"/>
      <c r="E631" s="70"/>
      <c r="F631" s="255" t="s">
        <v>1206</v>
      </c>
      <c r="G631" s="73"/>
      <c r="H631" s="246" t="s">
        <v>1207</v>
      </c>
      <c r="I631" s="129"/>
      <c r="J631" s="129" t="s">
        <v>1043</v>
      </c>
      <c r="K631" s="76"/>
      <c r="L631" s="76"/>
      <c r="M631" s="76"/>
      <c r="N631" s="76"/>
      <c r="O631" s="76"/>
      <c r="P631" s="76"/>
      <c r="Q631" s="76"/>
      <c r="R631" s="76"/>
      <c r="S631" s="76"/>
      <c r="T631" s="76"/>
      <c r="U631" s="79">
        <f>COUNTA($F$632:$F$703)/V631</f>
        <v>24</v>
      </c>
      <c r="V631" s="79">
        <v>3</v>
      </c>
      <c r="W631" s="79">
        <v>-3</v>
      </c>
      <c r="X631" s="76"/>
      <c r="Y631" s="79">
        <v>-3</v>
      </c>
      <c r="Z631" s="79">
        <v>-3</v>
      </c>
      <c r="AA631" s="79">
        <v>-3</v>
      </c>
      <c r="AB631" s="76"/>
      <c r="AC631" s="76"/>
      <c r="AD631" s="76"/>
      <c r="AE631" s="76"/>
      <c r="AF631" s="76"/>
      <c r="AG631" s="76"/>
      <c r="AH631" s="76"/>
      <c r="AI631" s="76"/>
      <c r="AJ631" s="73"/>
      <c r="AK631" s="57"/>
      <c r="AL631" s="45"/>
      <c r="AM631" s="45"/>
      <c r="AN631" s="45"/>
    </row>
    <row r="632" spans="1:40" outlineLevel="3" x14ac:dyDescent="0.25">
      <c r="A632" s="45"/>
      <c r="B632" s="54"/>
      <c r="C632" s="47">
        <f t="shared" ref="C632:C649" si="98">INT($C$29)+2</f>
        <v>3</v>
      </c>
      <c r="D632" s="73"/>
      <c r="E632" s="70"/>
      <c r="F632" s="70" t="s">
        <v>1208</v>
      </c>
      <c r="G632" s="73"/>
      <c r="H632" s="76" t="s">
        <v>602</v>
      </c>
      <c r="I632" s="96" t="s">
        <v>500</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outlineLevel="3" x14ac:dyDescent="0.25">
      <c r="A633" s="45"/>
      <c r="B633" s="54"/>
      <c r="C633" s="47">
        <f t="shared" si="98"/>
        <v>3</v>
      </c>
      <c r="D633" s="73"/>
      <c r="E633" s="70"/>
      <c r="F633" s="70" t="s">
        <v>1209</v>
      </c>
      <c r="G633" s="73"/>
      <c r="H633" s="76"/>
      <c r="I633" s="96" t="s">
        <v>500</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outlineLevel="3" x14ac:dyDescent="0.25">
      <c r="A634" s="45"/>
      <c r="B634" s="54"/>
      <c r="C634" s="47">
        <f t="shared" si="98"/>
        <v>3</v>
      </c>
      <c r="D634" s="73"/>
      <c r="E634" s="70"/>
      <c r="F634" s="70" t="s">
        <v>1210</v>
      </c>
      <c r="G634" s="73"/>
      <c r="H634" s="76"/>
      <c r="I634" s="96" t="s">
        <v>500</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outlineLevel="2" x14ac:dyDescent="0.25">
      <c r="A635" s="45"/>
      <c r="B635" s="54"/>
      <c r="C635" s="47">
        <f t="shared" si="98"/>
        <v>3</v>
      </c>
      <c r="D635" s="73"/>
      <c r="E635" s="70"/>
      <c r="F635" s="70" t="s">
        <v>1211</v>
      </c>
      <c r="G635" s="73"/>
      <c r="H635" s="76" t="s">
        <v>1312</v>
      </c>
      <c r="I635" s="96" t="s">
        <v>500</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outlineLevel="2" x14ac:dyDescent="0.25">
      <c r="A636" s="45"/>
      <c r="B636" s="54"/>
      <c r="C636" s="47">
        <f t="shared" si="98"/>
        <v>3</v>
      </c>
      <c r="D636" s="73"/>
      <c r="E636" s="70"/>
      <c r="F636" s="70" t="s">
        <v>1212</v>
      </c>
      <c r="G636" s="73"/>
      <c r="H636" s="76" t="s">
        <v>1314</v>
      </c>
      <c r="I636" s="96" t="s">
        <v>500</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1315</v>
      </c>
      <c r="AG636" s="76"/>
      <c r="AH636" s="97">
        <v>1</v>
      </c>
      <c r="AI636" s="97">
        <v>1</v>
      </c>
      <c r="AJ636" s="73"/>
      <c r="AK636" s="57"/>
      <c r="AL636" s="45"/>
      <c r="AM636" s="45"/>
      <c r="AN636" s="45"/>
    </row>
    <row r="637" spans="1:40" outlineLevel="2" collapsed="1" x14ac:dyDescent="0.25">
      <c r="A637" s="45"/>
      <c r="B637" s="54"/>
      <c r="C637" s="47">
        <f t="shared" si="98"/>
        <v>3</v>
      </c>
      <c r="D637" s="73"/>
      <c r="E637" s="70"/>
      <c r="F637" s="70" t="s">
        <v>1213</v>
      </c>
      <c r="G637" s="73"/>
      <c r="H637" s="76" t="s">
        <v>1317</v>
      </c>
      <c r="I637" s="96" t="s">
        <v>500</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98"/>
        <v>3</v>
      </c>
      <c r="D638" s="73"/>
      <c r="E638" s="70"/>
      <c r="F638" s="70" t="s">
        <v>1214</v>
      </c>
      <c r="G638" s="73"/>
      <c r="H638" s="76" t="s">
        <v>602</v>
      </c>
      <c r="I638" s="96" t="s">
        <v>500</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98"/>
        <v>3</v>
      </c>
      <c r="D639" s="73"/>
      <c r="E639" s="70"/>
      <c r="F639" s="70" t="s">
        <v>1215</v>
      </c>
      <c r="G639" s="73"/>
      <c r="H639" s="76"/>
      <c r="I639" s="96" t="s">
        <v>500</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98"/>
        <v>3</v>
      </c>
      <c r="D640" s="73"/>
      <c r="E640" s="70"/>
      <c r="F640" s="70" t="s">
        <v>1216</v>
      </c>
      <c r="G640" s="73"/>
      <c r="H640" s="76"/>
      <c r="I640" s="96" t="s">
        <v>500</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98"/>
        <v>3</v>
      </c>
      <c r="D641" s="73"/>
      <c r="E641" s="70"/>
      <c r="F641" s="70" t="s">
        <v>1217</v>
      </c>
      <c r="G641" s="73"/>
      <c r="H641" s="76" t="s">
        <v>602</v>
      </c>
      <c r="I641" s="96" t="s">
        <v>500</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98"/>
        <v>3</v>
      </c>
      <c r="D642" s="73"/>
      <c r="E642" s="70"/>
      <c r="F642" s="70" t="s">
        <v>1218</v>
      </c>
      <c r="G642" s="73"/>
      <c r="H642" s="76"/>
      <c r="I642" s="96" t="s">
        <v>500</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98"/>
        <v>3</v>
      </c>
      <c r="D643" s="73"/>
      <c r="E643" s="70"/>
      <c r="F643" s="70" t="s">
        <v>1219</v>
      </c>
      <c r="G643" s="73"/>
      <c r="H643" s="76"/>
      <c r="I643" s="96" t="s">
        <v>500</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98"/>
        <v>3</v>
      </c>
      <c r="D644" s="73"/>
      <c r="E644" s="70"/>
      <c r="F644" s="70" t="s">
        <v>1220</v>
      </c>
      <c r="G644" s="73"/>
      <c r="H644" s="76" t="s">
        <v>602</v>
      </c>
      <c r="I644" s="96" t="s">
        <v>500</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98"/>
        <v>3</v>
      </c>
      <c r="D645" s="73"/>
      <c r="E645" s="70"/>
      <c r="F645" s="70" t="s">
        <v>1221</v>
      </c>
      <c r="G645" s="73"/>
      <c r="H645" s="76"/>
      <c r="I645" s="96" t="s">
        <v>500</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98"/>
        <v>3</v>
      </c>
      <c r="D646" s="73"/>
      <c r="E646" s="70"/>
      <c r="F646" s="70" t="s">
        <v>1222</v>
      </c>
      <c r="G646" s="73"/>
      <c r="H646" s="76"/>
      <c r="I646" s="96" t="s">
        <v>500</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98"/>
        <v>3</v>
      </c>
      <c r="D647" s="73"/>
      <c r="E647" s="70"/>
      <c r="F647" s="70" t="s">
        <v>1223</v>
      </c>
      <c r="G647" s="73"/>
      <c r="H647" s="76" t="s">
        <v>602</v>
      </c>
      <c r="I647" s="96" t="s">
        <v>500</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98"/>
        <v>3</v>
      </c>
      <c r="D648" s="73"/>
      <c r="E648" s="70"/>
      <c r="F648" s="70" t="s">
        <v>1224</v>
      </c>
      <c r="G648" s="73"/>
      <c r="H648" s="76"/>
      <c r="I648" s="96" t="s">
        <v>500</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98"/>
        <v>3</v>
      </c>
      <c r="D649" s="73"/>
      <c r="E649" s="70"/>
      <c r="F649" s="70" t="s">
        <v>1225</v>
      </c>
      <c r="G649" s="73"/>
      <c r="H649" s="76"/>
      <c r="I649" s="96" t="s">
        <v>500</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99">INT($C$29)+3</f>
        <v>4</v>
      </c>
      <c r="D650" s="73"/>
      <c r="E650" s="70"/>
      <c r="F650" s="70" t="s">
        <v>1226</v>
      </c>
      <c r="G650" s="73"/>
      <c r="H650" s="76" t="s">
        <v>602</v>
      </c>
      <c r="I650" s="96" t="s">
        <v>500</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99"/>
        <v>4</v>
      </c>
      <c r="D651" s="73"/>
      <c r="E651" s="70"/>
      <c r="F651" s="70" t="s">
        <v>1227</v>
      </c>
      <c r="G651" s="73"/>
      <c r="H651" s="76"/>
      <c r="I651" s="96" t="s">
        <v>500</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99"/>
        <v>4</v>
      </c>
      <c r="D652" s="73"/>
      <c r="E652" s="70"/>
      <c r="F652" s="70" t="s">
        <v>1228</v>
      </c>
      <c r="G652" s="73"/>
      <c r="H652" s="76"/>
      <c r="I652" s="96" t="s">
        <v>500</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99"/>
        <v>4</v>
      </c>
      <c r="D653" s="73"/>
      <c r="E653" s="70"/>
      <c r="F653" s="70" t="s">
        <v>1229</v>
      </c>
      <c r="G653" s="73"/>
      <c r="H653" s="76" t="s">
        <v>602</v>
      </c>
      <c r="I653" s="96" t="s">
        <v>500</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99"/>
        <v>4</v>
      </c>
      <c r="D654" s="73"/>
      <c r="E654" s="70"/>
      <c r="F654" s="70" t="s">
        <v>1230</v>
      </c>
      <c r="G654" s="73"/>
      <c r="H654" s="76"/>
      <c r="I654" s="96" t="s">
        <v>500</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99"/>
        <v>4</v>
      </c>
      <c r="D655" s="73"/>
      <c r="E655" s="70"/>
      <c r="F655" s="70" t="s">
        <v>1231</v>
      </c>
      <c r="G655" s="73"/>
      <c r="H655" s="76"/>
      <c r="I655" s="96" t="s">
        <v>500</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outlineLevel="2" x14ac:dyDescent="0.25">
      <c r="A656" s="45"/>
      <c r="B656" s="54"/>
      <c r="C656" s="47">
        <f t="shared" ref="C656:C703" si="100">INT($C$29)+2</f>
        <v>3</v>
      </c>
      <c r="D656" s="73"/>
      <c r="E656" s="70"/>
      <c r="F656" s="70" t="s">
        <v>1232</v>
      </c>
      <c r="G656" s="73"/>
      <c r="H656" s="76" t="s">
        <v>1233</v>
      </c>
      <c r="I656" s="96" t="s">
        <v>500</v>
      </c>
      <c r="J656" s="96"/>
      <c r="K656" s="76"/>
      <c r="L656" s="76"/>
      <c r="M656" s="76"/>
      <c r="N656" s="76"/>
      <c r="O656" s="76"/>
      <c r="P656" s="76"/>
      <c r="Q656" s="76"/>
      <c r="R656" s="76"/>
      <c r="S656" s="76"/>
      <c r="T656" s="76"/>
      <c r="U656" s="97">
        <v>0</v>
      </c>
      <c r="V656" s="254">
        <f>U656</f>
        <v>0</v>
      </c>
      <c r="W656" s="254">
        <f>U656</f>
        <v>0</v>
      </c>
      <c r="X656" s="254">
        <f>V656</f>
        <v>0</v>
      </c>
      <c r="Y656" s="254">
        <v>0</v>
      </c>
      <c r="Z656" s="254">
        <v>0</v>
      </c>
      <c r="AA656" s="254">
        <v>0</v>
      </c>
      <c r="AB656" s="254">
        <v>-0.26729999999999998</v>
      </c>
      <c r="AC656" s="254">
        <f>AB656</f>
        <v>-0.26729999999999998</v>
      </c>
      <c r="AD656" s="254">
        <f>AC656</f>
        <v>-0.26729999999999998</v>
      </c>
      <c r="AE656" s="76"/>
      <c r="AF656" s="76" t="s">
        <v>1234</v>
      </c>
      <c r="AG656" s="76"/>
      <c r="AH656" s="97">
        <v>1</v>
      </c>
      <c r="AI656" s="97">
        <v>1</v>
      </c>
      <c r="AJ656" s="73"/>
      <c r="AK656" s="57"/>
      <c r="AL656" s="45"/>
      <c r="AM656" s="45"/>
      <c r="AN656" s="45"/>
    </row>
    <row r="657" spans="1:40" outlineLevel="2" x14ac:dyDescent="0.25">
      <c r="A657" s="45"/>
      <c r="B657" s="54"/>
      <c r="C657" s="47">
        <f t="shared" si="100"/>
        <v>3</v>
      </c>
      <c r="D657" s="73"/>
      <c r="E657" s="70"/>
      <c r="F657" s="70" t="s">
        <v>1235</v>
      </c>
      <c r="G657" s="73"/>
      <c r="H657" s="76" t="s">
        <v>2647</v>
      </c>
      <c r="I657" s="96" t="s">
        <v>500</v>
      </c>
      <c r="J657" s="96"/>
      <c r="K657" s="76"/>
      <c r="L657" s="76"/>
      <c r="M657" s="76"/>
      <c r="N657" s="76"/>
      <c r="O657" s="76"/>
      <c r="P657" s="76"/>
      <c r="Q657" s="76"/>
      <c r="R657" s="76"/>
      <c r="S657" s="76"/>
      <c r="T657" s="76"/>
      <c r="U657" s="97">
        <v>-2.38</v>
      </c>
      <c r="V657" s="254">
        <f>U657</f>
        <v>-2.38</v>
      </c>
      <c r="W657" s="254">
        <f>U657</f>
        <v>-2.38</v>
      </c>
      <c r="X657" s="254">
        <f>V657</f>
        <v>-2.38</v>
      </c>
      <c r="Y657" s="254">
        <v>-2.38</v>
      </c>
      <c r="Z657" s="254">
        <v>-2.38</v>
      </c>
      <c r="AA657" s="254">
        <v>-2.38</v>
      </c>
      <c r="AB657" s="254">
        <v>0</v>
      </c>
      <c r="AC657" s="254">
        <f>AB657</f>
        <v>0</v>
      </c>
      <c r="AD657" s="254">
        <f>AC657</f>
        <v>0</v>
      </c>
      <c r="AE657" s="76"/>
      <c r="AF657" s="76" t="s">
        <v>2585</v>
      </c>
      <c r="AG657" s="76"/>
      <c r="AH657" s="97">
        <v>1</v>
      </c>
      <c r="AI657" s="97">
        <v>1</v>
      </c>
      <c r="AJ657" s="73"/>
      <c r="AK657" s="57"/>
      <c r="AL657" s="45"/>
      <c r="AM657" s="45"/>
      <c r="AN657" s="45"/>
    </row>
    <row r="658" spans="1:40" outlineLevel="2" x14ac:dyDescent="0.25">
      <c r="A658" s="45"/>
      <c r="B658" s="54"/>
      <c r="C658" s="47">
        <f t="shared" si="100"/>
        <v>3</v>
      </c>
      <c r="D658" s="73"/>
      <c r="E658" s="70"/>
      <c r="F658" s="70" t="s">
        <v>1236</v>
      </c>
      <c r="G658" s="73"/>
      <c r="H658" s="76" t="s">
        <v>2648</v>
      </c>
      <c r="I658" s="96" t="s">
        <v>500</v>
      </c>
      <c r="J658" s="96"/>
      <c r="K658" s="76"/>
      <c r="L658" s="76"/>
      <c r="M658" s="76"/>
      <c r="N658" s="76"/>
      <c r="O658" s="76"/>
      <c r="P658" s="76"/>
      <c r="Q658" s="76"/>
      <c r="R658" s="76"/>
      <c r="S658" s="76"/>
      <c r="T658" s="76"/>
      <c r="U658" s="252">
        <f>U656</f>
        <v>0</v>
      </c>
      <c r="V658" s="252">
        <f>V656</f>
        <v>0</v>
      </c>
      <c r="W658" s="252">
        <f>W656</f>
        <v>0</v>
      </c>
      <c r="X658" s="252">
        <f>X656</f>
        <v>0</v>
      </c>
      <c r="Y658" s="252">
        <v>0</v>
      </c>
      <c r="Z658" s="252">
        <v>0</v>
      </c>
      <c r="AA658" s="252">
        <v>0</v>
      </c>
      <c r="AB658" s="252">
        <v>-0.26729999999999998</v>
      </c>
      <c r="AC658" s="252">
        <f>AC656</f>
        <v>-0.26729999999999998</v>
      </c>
      <c r="AD658" s="252">
        <f>AD656</f>
        <v>-0.26729999999999998</v>
      </c>
      <c r="AE658" s="76"/>
      <c r="AF658" s="76"/>
      <c r="AG658" s="76"/>
      <c r="AH658" s="97">
        <v>1</v>
      </c>
      <c r="AI658" s="97">
        <v>1</v>
      </c>
      <c r="AJ658" s="73"/>
      <c r="AK658" s="57"/>
      <c r="AL658" s="45"/>
      <c r="AM658" s="45"/>
      <c r="AN658" s="45"/>
    </row>
    <row r="659" spans="1:40" outlineLevel="2" x14ac:dyDescent="0.25">
      <c r="A659" s="45"/>
      <c r="B659" s="54"/>
      <c r="C659" s="47">
        <f t="shared" si="100"/>
        <v>3</v>
      </c>
      <c r="D659" s="73"/>
      <c r="E659" s="70"/>
      <c r="F659" s="70" t="s">
        <v>1237</v>
      </c>
      <c r="G659" s="73"/>
      <c r="H659" s="76" t="s">
        <v>1238</v>
      </c>
      <c r="I659" s="96" t="s">
        <v>500</v>
      </c>
      <c r="J659" s="96"/>
      <c r="K659" s="76"/>
      <c r="L659" s="76"/>
      <c r="M659" s="76"/>
      <c r="N659" s="76"/>
      <c r="O659" s="76"/>
      <c r="P659" s="76"/>
      <c r="Q659" s="76"/>
      <c r="R659" s="76"/>
      <c r="S659" s="76"/>
      <c r="T659" s="76"/>
      <c r="U659" s="97">
        <v>0</v>
      </c>
      <c r="V659" s="254">
        <f>U659</f>
        <v>0</v>
      </c>
      <c r="W659" s="254">
        <f>U659</f>
        <v>0</v>
      </c>
      <c r="X659" s="254">
        <f>V659</f>
        <v>0</v>
      </c>
      <c r="Y659" s="254">
        <v>0</v>
      </c>
      <c r="Z659" s="254">
        <v>0</v>
      </c>
      <c r="AA659" s="254">
        <v>0</v>
      </c>
      <c r="AB659" s="254">
        <v>0</v>
      </c>
      <c r="AC659" s="254">
        <f t="shared" ref="AC659:AD661" si="101">AB659</f>
        <v>0</v>
      </c>
      <c r="AD659" s="254">
        <f t="shared" si="101"/>
        <v>0</v>
      </c>
      <c r="AE659" s="76"/>
      <c r="AF659" s="76" t="s">
        <v>1234</v>
      </c>
      <c r="AG659" s="76"/>
      <c r="AH659" s="97">
        <v>1</v>
      </c>
      <c r="AI659" s="97">
        <v>1</v>
      </c>
      <c r="AJ659" s="73"/>
      <c r="AK659" s="57"/>
      <c r="AL659" s="45"/>
      <c r="AM659" s="45"/>
      <c r="AN659" s="45"/>
    </row>
    <row r="660" spans="1:40" outlineLevel="2" x14ac:dyDescent="0.25">
      <c r="A660" s="45"/>
      <c r="B660" s="54"/>
      <c r="C660" s="47">
        <f t="shared" si="100"/>
        <v>3</v>
      </c>
      <c r="D660" s="73"/>
      <c r="E660" s="70"/>
      <c r="F660" s="70" t="s">
        <v>1239</v>
      </c>
      <c r="G660" s="73"/>
      <c r="H660" s="76" t="s">
        <v>2649</v>
      </c>
      <c r="I660" s="96" t="s">
        <v>500</v>
      </c>
      <c r="J660" s="96"/>
      <c r="K660" s="76"/>
      <c r="L660" s="76"/>
      <c r="M660" s="76"/>
      <c r="N660" s="76"/>
      <c r="O660" s="76"/>
      <c r="P660" s="76"/>
      <c r="Q660" s="76"/>
      <c r="R660" s="76"/>
      <c r="S660" s="76"/>
      <c r="T660" s="76"/>
      <c r="U660" s="97">
        <v>2.673E-3</v>
      </c>
      <c r="V660" s="254">
        <f>U660</f>
        <v>2.673E-3</v>
      </c>
      <c r="W660" s="254">
        <f>U660</f>
        <v>2.673E-3</v>
      </c>
      <c r="X660" s="254">
        <f>V660</f>
        <v>2.673E-3</v>
      </c>
      <c r="Y660" s="254">
        <v>2.673E-3</v>
      </c>
      <c r="Z660" s="254">
        <v>2.673E-3</v>
      </c>
      <c r="AA660" s="254">
        <v>2.673E-3</v>
      </c>
      <c r="AB660" s="254">
        <v>0</v>
      </c>
      <c r="AC660" s="254">
        <f t="shared" si="101"/>
        <v>0</v>
      </c>
      <c r="AD660" s="254">
        <f t="shared" si="101"/>
        <v>0</v>
      </c>
      <c r="AE660" s="76"/>
      <c r="AF660" s="76"/>
      <c r="AG660" s="76"/>
      <c r="AH660" s="97">
        <v>1</v>
      </c>
      <c r="AI660" s="97">
        <v>1</v>
      </c>
      <c r="AJ660" s="73"/>
      <c r="AK660" s="57"/>
      <c r="AL660" s="45"/>
      <c r="AM660" s="45"/>
      <c r="AN660" s="45"/>
    </row>
    <row r="661" spans="1:40" outlineLevel="2" x14ac:dyDescent="0.25">
      <c r="A661" s="45"/>
      <c r="B661" s="54"/>
      <c r="C661" s="47">
        <f t="shared" si="100"/>
        <v>3</v>
      </c>
      <c r="D661" s="73"/>
      <c r="E661" s="70"/>
      <c r="F661" s="70" t="s">
        <v>1240</v>
      </c>
      <c r="G661" s="73"/>
      <c r="H661" s="76" t="s">
        <v>2650</v>
      </c>
      <c r="I661" s="96" t="s">
        <v>500</v>
      </c>
      <c r="J661" s="96"/>
      <c r="K661" s="76"/>
      <c r="L661" s="76"/>
      <c r="M661" s="76"/>
      <c r="N661" s="76"/>
      <c r="O661" s="76"/>
      <c r="P661" s="76"/>
      <c r="Q661" s="76"/>
      <c r="R661" s="76"/>
      <c r="S661" s="76"/>
      <c r="T661" s="76"/>
      <c r="U661" s="76">
        <v>0</v>
      </c>
      <c r="V661" s="76">
        <v>0</v>
      </c>
      <c r="W661" s="76">
        <v>0</v>
      </c>
      <c r="X661" s="76">
        <v>0</v>
      </c>
      <c r="Y661" s="76">
        <v>0</v>
      </c>
      <c r="Z661" s="76">
        <v>0</v>
      </c>
      <c r="AA661" s="76">
        <v>0</v>
      </c>
      <c r="AB661" s="254">
        <v>0</v>
      </c>
      <c r="AC661" s="254">
        <f t="shared" si="101"/>
        <v>0</v>
      </c>
      <c r="AD661" s="254">
        <f t="shared" si="101"/>
        <v>0</v>
      </c>
      <c r="AE661" s="76"/>
      <c r="AF661" s="76"/>
      <c r="AG661" s="76"/>
      <c r="AH661" s="97">
        <v>1</v>
      </c>
      <c r="AI661" s="97">
        <v>1</v>
      </c>
      <c r="AJ661" s="73"/>
      <c r="AK661" s="57"/>
      <c r="AL661" s="45"/>
      <c r="AM661" s="45"/>
      <c r="AN661" s="45"/>
    </row>
    <row r="662" spans="1:40" outlineLevel="2" x14ac:dyDescent="0.25">
      <c r="A662" s="45"/>
      <c r="B662" s="54"/>
      <c r="C662" s="47">
        <f t="shared" si="100"/>
        <v>3</v>
      </c>
      <c r="D662" s="73"/>
      <c r="E662" s="70"/>
      <c r="F662" s="70" t="s">
        <v>1241</v>
      </c>
      <c r="G662" s="73"/>
      <c r="H662" s="76" t="s">
        <v>1242</v>
      </c>
      <c r="I662" s="96"/>
      <c r="J662" s="96" t="s">
        <v>1171</v>
      </c>
      <c r="K662" s="97">
        <v>1.1499999999999999</v>
      </c>
      <c r="L662" s="97">
        <v>1.1499999999999999</v>
      </c>
      <c r="M662" s="97">
        <v>1.1499999999999999</v>
      </c>
      <c r="N662" s="97">
        <v>1.1499999999999999</v>
      </c>
      <c r="O662" s="97">
        <v>1.1499999999999999</v>
      </c>
      <c r="P662" s="97">
        <v>1.1499999999999999</v>
      </c>
      <c r="Q662" s="76"/>
      <c r="R662" s="76" t="s">
        <v>510</v>
      </c>
      <c r="S662" s="76" t="s">
        <v>510</v>
      </c>
      <c r="T662" s="76"/>
      <c r="U662" s="252">
        <f t="shared" ref="U662:X667" si="102">INDEX($K662:$Q662,1,U$43)</f>
        <v>1.1499999999999999</v>
      </c>
      <c r="V662" s="252">
        <f t="shared" si="102"/>
        <v>1.1499999999999999</v>
      </c>
      <c r="W662" s="252">
        <f t="shared" si="102"/>
        <v>1.1499999999999999</v>
      </c>
      <c r="X662" s="252">
        <f t="shared" si="102"/>
        <v>1.1499999999999999</v>
      </c>
      <c r="Y662" s="252">
        <v>1.1499999999999999</v>
      </c>
      <c r="Z662" s="252">
        <v>1.1499999999999999</v>
      </c>
      <c r="AA662" s="252">
        <v>1.1499999999999999</v>
      </c>
      <c r="AB662" s="252">
        <v>1.1499999999999999</v>
      </c>
      <c r="AC662" s="252">
        <f t="shared" ref="AC662:AD667" si="103">INDEX($K662:$Q662,1,AC$43)</f>
        <v>1.1499999999999999</v>
      </c>
      <c r="AD662" s="252">
        <f t="shared" si="103"/>
        <v>1.1499999999999999</v>
      </c>
      <c r="AE662" s="76"/>
      <c r="AF662" s="76"/>
      <c r="AG662" s="76"/>
      <c r="AH662" s="97">
        <v>1</v>
      </c>
      <c r="AI662" s="97">
        <v>1</v>
      </c>
      <c r="AJ662" s="73"/>
      <c r="AK662" s="57"/>
      <c r="AL662" s="45"/>
      <c r="AM662" s="45"/>
      <c r="AN662" s="45"/>
    </row>
    <row r="663" spans="1:40" outlineLevel="2" x14ac:dyDescent="0.25">
      <c r="A663" s="45"/>
      <c r="B663" s="54"/>
      <c r="C663" s="47">
        <f t="shared" si="100"/>
        <v>3</v>
      </c>
      <c r="D663" s="73"/>
      <c r="E663" s="70"/>
      <c r="F663" s="70" t="s">
        <v>1243</v>
      </c>
      <c r="G663" s="73"/>
      <c r="H663" s="76" t="s">
        <v>2651</v>
      </c>
      <c r="I663" s="96"/>
      <c r="J663" s="96" t="s">
        <v>1171</v>
      </c>
      <c r="K663" s="97">
        <v>1</v>
      </c>
      <c r="L663" s="97">
        <v>1</v>
      </c>
      <c r="M663" s="97">
        <v>1</v>
      </c>
      <c r="N663" s="97">
        <v>1</v>
      </c>
      <c r="O663" s="97">
        <v>1</v>
      </c>
      <c r="P663" s="97">
        <v>1</v>
      </c>
      <c r="Q663" s="76"/>
      <c r="R663" s="76" t="s">
        <v>510</v>
      </c>
      <c r="S663" s="76" t="s">
        <v>510</v>
      </c>
      <c r="T663" s="76"/>
      <c r="U663" s="252">
        <f t="shared" si="102"/>
        <v>1</v>
      </c>
      <c r="V663" s="252">
        <f t="shared" si="102"/>
        <v>1</v>
      </c>
      <c r="W663" s="252">
        <f t="shared" si="102"/>
        <v>1</v>
      </c>
      <c r="X663" s="252">
        <f t="shared" si="102"/>
        <v>1</v>
      </c>
      <c r="Y663" s="252">
        <v>1</v>
      </c>
      <c r="Z663" s="252">
        <v>1</v>
      </c>
      <c r="AA663" s="252">
        <v>1</v>
      </c>
      <c r="AB663" s="252">
        <v>1</v>
      </c>
      <c r="AC663" s="252">
        <f t="shared" si="103"/>
        <v>1</v>
      </c>
      <c r="AD663" s="252">
        <f t="shared" si="103"/>
        <v>1</v>
      </c>
      <c r="AE663" s="76"/>
      <c r="AF663" s="76"/>
      <c r="AG663" s="76"/>
      <c r="AH663" s="97">
        <v>1</v>
      </c>
      <c r="AI663" s="97">
        <v>1</v>
      </c>
      <c r="AJ663" s="73"/>
      <c r="AK663" s="57"/>
      <c r="AL663" s="45"/>
      <c r="AM663" s="45"/>
      <c r="AN663" s="45"/>
    </row>
    <row r="664" spans="1:40" outlineLevel="2" x14ac:dyDescent="0.25">
      <c r="A664" s="45"/>
      <c r="B664" s="54"/>
      <c r="C664" s="47">
        <f t="shared" si="100"/>
        <v>3</v>
      </c>
      <c r="D664" s="73"/>
      <c r="E664" s="70"/>
      <c r="F664" s="70" t="s">
        <v>1244</v>
      </c>
      <c r="G664" s="73"/>
      <c r="H664" s="76" t="s">
        <v>2652</v>
      </c>
      <c r="I664" s="96"/>
      <c r="J664" s="96" t="s">
        <v>1171</v>
      </c>
      <c r="K664" s="97">
        <v>1</v>
      </c>
      <c r="L664" s="97">
        <v>1</v>
      </c>
      <c r="M664" s="97">
        <v>1</v>
      </c>
      <c r="N664" s="97">
        <v>1</v>
      </c>
      <c r="O664" s="97">
        <v>1</v>
      </c>
      <c r="P664" s="97">
        <v>1</v>
      </c>
      <c r="Q664" s="76"/>
      <c r="R664" s="76" t="s">
        <v>510</v>
      </c>
      <c r="S664" s="76" t="s">
        <v>510</v>
      </c>
      <c r="T664" s="76"/>
      <c r="U664" s="252">
        <f t="shared" si="102"/>
        <v>1</v>
      </c>
      <c r="V664" s="252">
        <f t="shared" si="102"/>
        <v>1</v>
      </c>
      <c r="W664" s="252">
        <f t="shared" si="102"/>
        <v>1</v>
      </c>
      <c r="X664" s="252">
        <f t="shared" si="102"/>
        <v>1</v>
      </c>
      <c r="Y664" s="252">
        <v>1</v>
      </c>
      <c r="Z664" s="252">
        <v>1</v>
      </c>
      <c r="AA664" s="252">
        <v>1</v>
      </c>
      <c r="AB664" s="252">
        <v>1</v>
      </c>
      <c r="AC664" s="252">
        <f t="shared" si="103"/>
        <v>1</v>
      </c>
      <c r="AD664" s="252">
        <f t="shared" si="103"/>
        <v>1</v>
      </c>
      <c r="AE664" s="76"/>
      <c r="AF664" s="76"/>
      <c r="AG664" s="76"/>
      <c r="AH664" s="97">
        <v>1</v>
      </c>
      <c r="AI664" s="97">
        <v>1</v>
      </c>
      <c r="AJ664" s="73"/>
      <c r="AK664" s="57"/>
      <c r="AL664" s="45"/>
      <c r="AM664" s="45"/>
      <c r="AN664" s="45"/>
    </row>
    <row r="665" spans="1:40" outlineLevel="2" x14ac:dyDescent="0.25">
      <c r="A665" s="45"/>
      <c r="B665" s="54"/>
      <c r="C665" s="47">
        <f t="shared" si="100"/>
        <v>3</v>
      </c>
      <c r="D665" s="73"/>
      <c r="E665" s="70"/>
      <c r="F665" s="70" t="s">
        <v>1245</v>
      </c>
      <c r="G665" s="73"/>
      <c r="H665" s="76" t="s">
        <v>2979</v>
      </c>
      <c r="I665" s="96"/>
      <c r="J665" s="96" t="s">
        <v>1171</v>
      </c>
      <c r="K665" s="97">
        <v>1.4</v>
      </c>
      <c r="L665" s="97">
        <v>1.4</v>
      </c>
      <c r="M665" s="97">
        <v>1.4</v>
      </c>
      <c r="N665" s="97">
        <v>1.4</v>
      </c>
      <c r="O665" s="97">
        <v>1.4</v>
      </c>
      <c r="P665" s="97">
        <v>1.4</v>
      </c>
      <c r="Q665" s="76"/>
      <c r="R665" s="76" t="s">
        <v>510</v>
      </c>
      <c r="S665" s="76" t="s">
        <v>510</v>
      </c>
      <c r="T665" s="76"/>
      <c r="U665" s="252">
        <f t="shared" si="102"/>
        <v>1.4</v>
      </c>
      <c r="V665" s="252">
        <f t="shared" si="102"/>
        <v>1.4</v>
      </c>
      <c r="W665" s="252">
        <f t="shared" si="102"/>
        <v>1.4</v>
      </c>
      <c r="X665" s="252">
        <f t="shared" si="102"/>
        <v>1.4</v>
      </c>
      <c r="Y665" s="252">
        <v>1.4</v>
      </c>
      <c r="Z665" s="252">
        <v>1.4</v>
      </c>
      <c r="AA665" s="252">
        <v>1.4</v>
      </c>
      <c r="AB665" s="252">
        <v>1.4</v>
      </c>
      <c r="AC665" s="252">
        <f t="shared" si="103"/>
        <v>1.4</v>
      </c>
      <c r="AD665" s="252">
        <f t="shared" si="103"/>
        <v>1.4</v>
      </c>
      <c r="AE665" s="76"/>
      <c r="AF665" s="76"/>
      <c r="AG665" s="76"/>
      <c r="AH665" s="97">
        <v>1</v>
      </c>
      <c r="AI665" s="97">
        <v>1</v>
      </c>
      <c r="AJ665" s="73"/>
      <c r="AK665" s="57"/>
      <c r="AL665" s="45"/>
      <c r="AM665" s="45"/>
      <c r="AN665" s="45"/>
    </row>
    <row r="666" spans="1:40" outlineLevel="2" x14ac:dyDescent="0.25">
      <c r="A666" s="45"/>
      <c r="B666" s="54"/>
      <c r="C666" s="47">
        <f t="shared" si="100"/>
        <v>3</v>
      </c>
      <c r="D666" s="73"/>
      <c r="E666" s="70"/>
      <c r="F666" s="70" t="s">
        <v>1246</v>
      </c>
      <c r="G666" s="73"/>
      <c r="H666" s="76" t="s">
        <v>2980</v>
      </c>
      <c r="I666" s="96"/>
      <c r="J666" s="96" t="s">
        <v>1171</v>
      </c>
      <c r="K666" s="97">
        <v>1</v>
      </c>
      <c r="L666" s="97">
        <v>1</v>
      </c>
      <c r="M666" s="97">
        <v>1</v>
      </c>
      <c r="N666" s="97">
        <v>1</v>
      </c>
      <c r="O666" s="97">
        <v>1</v>
      </c>
      <c r="P666" s="97">
        <v>1</v>
      </c>
      <c r="Q666" s="76"/>
      <c r="R666" s="76" t="s">
        <v>510</v>
      </c>
      <c r="S666" s="76" t="s">
        <v>510</v>
      </c>
      <c r="T666" s="76"/>
      <c r="U666" s="252">
        <f t="shared" si="102"/>
        <v>1</v>
      </c>
      <c r="V666" s="252">
        <f t="shared" si="102"/>
        <v>1</v>
      </c>
      <c r="W666" s="252">
        <f t="shared" si="102"/>
        <v>1</v>
      </c>
      <c r="X666" s="252">
        <f t="shared" si="102"/>
        <v>1</v>
      </c>
      <c r="Y666" s="252">
        <v>1</v>
      </c>
      <c r="Z666" s="252">
        <v>1</v>
      </c>
      <c r="AA666" s="252">
        <v>1</v>
      </c>
      <c r="AB666" s="252">
        <v>1</v>
      </c>
      <c r="AC666" s="252">
        <f t="shared" si="103"/>
        <v>1</v>
      </c>
      <c r="AD666" s="252">
        <f t="shared" si="103"/>
        <v>1</v>
      </c>
      <c r="AE666" s="76"/>
      <c r="AF666" s="76"/>
      <c r="AG666" s="76"/>
      <c r="AH666" s="97">
        <v>1</v>
      </c>
      <c r="AI666" s="97">
        <v>1</v>
      </c>
      <c r="AJ666" s="73"/>
      <c r="AK666" s="57"/>
      <c r="AL666" s="45"/>
      <c r="AM666" s="45"/>
      <c r="AN666" s="45"/>
    </row>
    <row r="667" spans="1:40" outlineLevel="2" x14ac:dyDescent="0.25">
      <c r="A667" s="45"/>
      <c r="B667" s="54"/>
      <c r="C667" s="47">
        <f t="shared" si="100"/>
        <v>3</v>
      </c>
      <c r="D667" s="73"/>
      <c r="E667" s="70"/>
      <c r="F667" s="70" t="s">
        <v>1247</v>
      </c>
      <c r="G667" s="73"/>
      <c r="H667" s="76" t="s">
        <v>2981</v>
      </c>
      <c r="I667" s="96"/>
      <c r="J667" s="96" t="s">
        <v>1171</v>
      </c>
      <c r="K667" s="97">
        <v>1.2</v>
      </c>
      <c r="L667" s="97">
        <v>1.2</v>
      </c>
      <c r="M667" s="97">
        <v>1.2</v>
      </c>
      <c r="N667" s="97">
        <v>1.2</v>
      </c>
      <c r="O667" s="97">
        <v>1.2</v>
      </c>
      <c r="P667" s="97">
        <v>1.2</v>
      </c>
      <c r="Q667" s="76"/>
      <c r="R667" s="76" t="s">
        <v>510</v>
      </c>
      <c r="S667" s="76" t="s">
        <v>510</v>
      </c>
      <c r="T667" s="76"/>
      <c r="U667" s="252">
        <f t="shared" si="102"/>
        <v>1.2</v>
      </c>
      <c r="V667" s="252">
        <f t="shared" si="102"/>
        <v>1.2</v>
      </c>
      <c r="W667" s="252">
        <f t="shared" si="102"/>
        <v>1.2</v>
      </c>
      <c r="X667" s="252">
        <f t="shared" si="102"/>
        <v>1.2</v>
      </c>
      <c r="Y667" s="252">
        <v>1.2</v>
      </c>
      <c r="Z667" s="252">
        <v>1.2</v>
      </c>
      <c r="AA667" s="252">
        <v>1.2</v>
      </c>
      <c r="AB667" s="252">
        <v>1.2</v>
      </c>
      <c r="AC667" s="252">
        <f t="shared" si="103"/>
        <v>1.2</v>
      </c>
      <c r="AD667" s="252">
        <f t="shared" si="103"/>
        <v>1.2</v>
      </c>
      <c r="AE667" s="76"/>
      <c r="AF667" s="76"/>
      <c r="AG667" s="76"/>
      <c r="AH667" s="97">
        <v>1</v>
      </c>
      <c r="AI667" s="97">
        <v>1</v>
      </c>
      <c r="AJ667" s="73"/>
      <c r="AK667" s="57"/>
      <c r="AL667" s="45"/>
      <c r="AM667" s="45"/>
      <c r="AN667" s="45"/>
    </row>
    <row r="668" spans="1:40" outlineLevel="2" x14ac:dyDescent="0.25">
      <c r="A668" s="45"/>
      <c r="B668" s="54"/>
      <c r="C668" s="47">
        <f t="shared" si="100"/>
        <v>3</v>
      </c>
      <c r="D668" s="73"/>
      <c r="E668" s="70"/>
      <c r="F668" s="70" t="s">
        <v>1248</v>
      </c>
      <c r="G668" s="73"/>
      <c r="H668" s="76" t="s">
        <v>1249</v>
      </c>
      <c r="I668" s="96" t="s">
        <v>500</v>
      </c>
      <c r="J668" s="96" t="s">
        <v>1143</v>
      </c>
      <c r="K668" s="76"/>
      <c r="L668" s="76"/>
      <c r="M668" s="76"/>
      <c r="N668" s="76"/>
      <c r="O668" s="76"/>
      <c r="P668" s="76"/>
      <c r="Q668" s="76"/>
      <c r="R668" s="76"/>
      <c r="S668" s="76"/>
      <c r="T668" s="76"/>
      <c r="U668" s="97">
        <v>0</v>
      </c>
      <c r="V668" s="97">
        <v>0</v>
      </c>
      <c r="W668" s="97">
        <v>0</v>
      </c>
      <c r="X668" s="97">
        <v>0</v>
      </c>
      <c r="Y668" s="97">
        <v>0</v>
      </c>
      <c r="Z668" s="97">
        <v>0</v>
      </c>
      <c r="AA668" s="97">
        <v>0</v>
      </c>
      <c r="AB668" s="254">
        <v>0</v>
      </c>
      <c r="AC668" s="254">
        <f t="shared" ref="AC668:AD673" si="104">AB668</f>
        <v>0</v>
      </c>
      <c r="AD668" s="254">
        <f t="shared" si="104"/>
        <v>0</v>
      </c>
      <c r="AE668" s="76"/>
      <c r="AF668" s="76"/>
      <c r="AG668" s="76"/>
      <c r="AH668" s="97">
        <v>1</v>
      </c>
      <c r="AI668" s="97">
        <v>1</v>
      </c>
      <c r="AJ668" s="73"/>
      <c r="AK668" s="57"/>
      <c r="AL668" s="45"/>
      <c r="AM668" s="45"/>
      <c r="AN668" s="45"/>
    </row>
    <row r="669" spans="1:40" outlineLevel="2" x14ac:dyDescent="0.25">
      <c r="A669" s="45"/>
      <c r="B669" s="54"/>
      <c r="C669" s="47">
        <f t="shared" si="100"/>
        <v>3</v>
      </c>
      <c r="D669" s="73"/>
      <c r="E669" s="70"/>
      <c r="F669" s="70" t="s">
        <v>1250</v>
      </c>
      <c r="G669" s="73"/>
      <c r="H669" s="76" t="s">
        <v>1251</v>
      </c>
      <c r="I669" s="96" t="s">
        <v>500</v>
      </c>
      <c r="J669" s="96" t="s">
        <v>1143</v>
      </c>
      <c r="K669" s="76"/>
      <c r="L669" s="76"/>
      <c r="M669" s="76"/>
      <c r="N669" s="76"/>
      <c r="O669" s="76"/>
      <c r="P669" s="76"/>
      <c r="Q669" s="76"/>
      <c r="R669" s="76"/>
      <c r="S669" s="76"/>
      <c r="T669" s="76"/>
      <c r="U669" s="97">
        <v>0</v>
      </c>
      <c r="V669" s="97">
        <v>0</v>
      </c>
      <c r="W669" s="97">
        <v>0</v>
      </c>
      <c r="X669" s="97">
        <v>0</v>
      </c>
      <c r="Y669" s="97">
        <v>0</v>
      </c>
      <c r="Z669" s="97">
        <v>0</v>
      </c>
      <c r="AA669" s="97">
        <v>0</v>
      </c>
      <c r="AB669" s="254">
        <v>0</v>
      </c>
      <c r="AC669" s="254">
        <f t="shared" si="104"/>
        <v>0</v>
      </c>
      <c r="AD669" s="254">
        <f t="shared" si="104"/>
        <v>0</v>
      </c>
      <c r="AE669" s="76"/>
      <c r="AF669" s="76"/>
      <c r="AG669" s="76"/>
      <c r="AH669" s="97">
        <v>1</v>
      </c>
      <c r="AI669" s="97">
        <v>1</v>
      </c>
      <c r="AJ669" s="73"/>
      <c r="AK669" s="57"/>
      <c r="AL669" s="45"/>
      <c r="AM669" s="45"/>
      <c r="AN669" s="45"/>
    </row>
    <row r="670" spans="1:40" outlineLevel="2" x14ac:dyDescent="0.25">
      <c r="A670" s="45"/>
      <c r="B670" s="54"/>
      <c r="C670" s="47">
        <f t="shared" si="100"/>
        <v>3</v>
      </c>
      <c r="D670" s="73"/>
      <c r="E670" s="70"/>
      <c r="F670" s="70" t="s">
        <v>1252</v>
      </c>
      <c r="G670" s="73"/>
      <c r="H670" s="76" t="s">
        <v>1253</v>
      </c>
      <c r="I670" s="96" t="s">
        <v>500</v>
      </c>
      <c r="J670" s="96" t="s">
        <v>1143</v>
      </c>
      <c r="K670" s="76"/>
      <c r="L670" s="76"/>
      <c r="M670" s="76"/>
      <c r="N670" s="76"/>
      <c r="O670" s="76"/>
      <c r="P670" s="76"/>
      <c r="Q670" s="76"/>
      <c r="R670" s="76"/>
      <c r="S670" s="76"/>
      <c r="T670" s="76"/>
      <c r="U670" s="97">
        <v>0</v>
      </c>
      <c r="V670" s="97">
        <v>0</v>
      </c>
      <c r="W670" s="97">
        <v>0</v>
      </c>
      <c r="X670" s="97">
        <v>0</v>
      </c>
      <c r="Y670" s="97">
        <v>0</v>
      </c>
      <c r="Z670" s="97">
        <v>0</v>
      </c>
      <c r="AA670" s="97">
        <v>0</v>
      </c>
      <c r="AB670" s="254">
        <v>0</v>
      </c>
      <c r="AC670" s="254">
        <f t="shared" si="104"/>
        <v>0</v>
      </c>
      <c r="AD670" s="254">
        <f t="shared" si="104"/>
        <v>0</v>
      </c>
      <c r="AE670" s="76"/>
      <c r="AF670" s="76"/>
      <c r="AG670" s="76"/>
      <c r="AH670" s="97">
        <v>1</v>
      </c>
      <c r="AI670" s="97">
        <v>1</v>
      </c>
      <c r="AJ670" s="73"/>
      <c r="AK670" s="57"/>
      <c r="AL670" s="45"/>
      <c r="AM670" s="45"/>
      <c r="AN670" s="45"/>
    </row>
    <row r="671" spans="1:40" outlineLevel="2" x14ac:dyDescent="0.25">
      <c r="A671" s="45"/>
      <c r="B671" s="54"/>
      <c r="C671" s="47">
        <f t="shared" si="100"/>
        <v>3</v>
      </c>
      <c r="D671" s="73"/>
      <c r="E671" s="70"/>
      <c r="F671" s="70" t="s">
        <v>1254</v>
      </c>
      <c r="G671" s="73"/>
      <c r="H671" s="76" t="s">
        <v>1255</v>
      </c>
      <c r="I671" s="96" t="s">
        <v>500</v>
      </c>
      <c r="J671" s="96" t="s">
        <v>1143</v>
      </c>
      <c r="K671" s="76"/>
      <c r="L671" s="76"/>
      <c r="M671" s="76"/>
      <c r="N671" s="76"/>
      <c r="O671" s="76"/>
      <c r="P671" s="76"/>
      <c r="Q671" s="76"/>
      <c r="R671" s="76"/>
      <c r="S671" s="76"/>
      <c r="T671" s="76"/>
      <c r="U671" s="97">
        <v>0</v>
      </c>
      <c r="V671" s="97">
        <v>0</v>
      </c>
      <c r="W671" s="97">
        <v>0</v>
      </c>
      <c r="X671" s="97">
        <v>0</v>
      </c>
      <c r="Y671" s="97">
        <v>0</v>
      </c>
      <c r="Z671" s="97">
        <v>0</v>
      </c>
      <c r="AA671" s="97">
        <v>0</v>
      </c>
      <c r="AB671" s="254">
        <v>0</v>
      </c>
      <c r="AC671" s="254">
        <f t="shared" si="104"/>
        <v>0</v>
      </c>
      <c r="AD671" s="254">
        <f t="shared" si="104"/>
        <v>0</v>
      </c>
      <c r="AE671" s="76"/>
      <c r="AF671" s="76"/>
      <c r="AG671" s="76"/>
      <c r="AH671" s="97">
        <v>1</v>
      </c>
      <c r="AI671" s="97">
        <v>1</v>
      </c>
      <c r="AJ671" s="73"/>
      <c r="AK671" s="57"/>
      <c r="AL671" s="45"/>
      <c r="AM671" s="45"/>
      <c r="AN671" s="45"/>
    </row>
    <row r="672" spans="1:40" outlineLevel="2" x14ac:dyDescent="0.25">
      <c r="A672" s="45"/>
      <c r="B672" s="54"/>
      <c r="C672" s="47">
        <f t="shared" si="100"/>
        <v>3</v>
      </c>
      <c r="D672" s="73"/>
      <c r="E672" s="70"/>
      <c r="F672" s="70" t="s">
        <v>1256</v>
      </c>
      <c r="G672" s="73"/>
      <c r="H672" s="76" t="s">
        <v>1257</v>
      </c>
      <c r="I672" s="96" t="s">
        <v>500</v>
      </c>
      <c r="J672" s="96" t="s">
        <v>1143</v>
      </c>
      <c r="K672" s="76"/>
      <c r="L672" s="76"/>
      <c r="M672" s="76"/>
      <c r="N672" s="76"/>
      <c r="O672" s="76"/>
      <c r="P672" s="76"/>
      <c r="Q672" s="76"/>
      <c r="R672" s="76"/>
      <c r="S672" s="76"/>
      <c r="T672" s="76"/>
      <c r="U672" s="97">
        <v>0.26</v>
      </c>
      <c r="V672" s="97">
        <v>0.26</v>
      </c>
      <c r="W672" s="97">
        <v>0.26</v>
      </c>
      <c r="X672" s="97">
        <v>0.26</v>
      </c>
      <c r="Y672" s="97">
        <v>0.26</v>
      </c>
      <c r="Z672" s="97">
        <v>0.26</v>
      </c>
      <c r="AA672" s="97">
        <v>0.26</v>
      </c>
      <c r="AB672" s="254">
        <v>0.26</v>
      </c>
      <c r="AC672" s="254">
        <f t="shared" si="104"/>
        <v>0.26</v>
      </c>
      <c r="AD672" s="254">
        <f t="shared" si="104"/>
        <v>0.26</v>
      </c>
      <c r="AE672" s="76"/>
      <c r="AF672" s="97" t="s">
        <v>1258</v>
      </c>
      <c r="AG672" s="76"/>
      <c r="AH672" s="97">
        <v>1</v>
      </c>
      <c r="AI672" s="97">
        <v>1</v>
      </c>
      <c r="AJ672" s="73"/>
      <c r="AK672" s="57"/>
      <c r="AL672" s="45"/>
      <c r="AM672" s="45"/>
      <c r="AN672" s="45"/>
    </row>
    <row r="673" spans="1:40" outlineLevel="2" collapsed="1" x14ac:dyDescent="0.25">
      <c r="A673" s="45"/>
      <c r="B673" s="54"/>
      <c r="C673" s="47">
        <f t="shared" si="100"/>
        <v>3</v>
      </c>
      <c r="D673" s="73"/>
      <c r="E673" s="70"/>
      <c r="F673" s="70" t="s">
        <v>1259</v>
      </c>
      <c r="G673" s="73"/>
      <c r="H673" s="76" t="s">
        <v>1260</v>
      </c>
      <c r="I673" s="96" t="s">
        <v>500</v>
      </c>
      <c r="J673" s="96" t="s">
        <v>1143</v>
      </c>
      <c r="K673" s="76"/>
      <c r="L673" s="76"/>
      <c r="M673" s="76"/>
      <c r="N673" s="76"/>
      <c r="O673" s="76"/>
      <c r="P673" s="76"/>
      <c r="Q673" s="76"/>
      <c r="R673" s="76"/>
      <c r="S673" s="76"/>
      <c r="T673" s="76"/>
      <c r="U673" s="97">
        <v>0</v>
      </c>
      <c r="V673" s="97">
        <v>0</v>
      </c>
      <c r="W673" s="97">
        <v>0</v>
      </c>
      <c r="X673" s="97">
        <v>0</v>
      </c>
      <c r="Y673" s="97">
        <v>0</v>
      </c>
      <c r="Z673" s="97">
        <v>0</v>
      </c>
      <c r="AA673" s="97">
        <v>0</v>
      </c>
      <c r="AB673" s="254">
        <v>0</v>
      </c>
      <c r="AC673" s="254">
        <f t="shared" si="104"/>
        <v>0</v>
      </c>
      <c r="AD673" s="254">
        <f t="shared" si="104"/>
        <v>0</v>
      </c>
      <c r="AE673" s="76"/>
      <c r="AF673" s="76"/>
      <c r="AG673" s="76"/>
      <c r="AH673" s="97">
        <v>1</v>
      </c>
      <c r="AI673" s="97">
        <v>1</v>
      </c>
      <c r="AJ673" s="73"/>
      <c r="AK673" s="57"/>
      <c r="AL673" s="45"/>
      <c r="AM673" s="45"/>
      <c r="AN673" s="45"/>
    </row>
    <row r="674" spans="1:40" hidden="1" outlineLevel="3" x14ac:dyDescent="0.25">
      <c r="A674" s="45"/>
      <c r="B674" s="54"/>
      <c r="C674" s="47">
        <f t="shared" si="100"/>
        <v>3</v>
      </c>
      <c r="D674" s="73"/>
      <c r="E674" s="70"/>
      <c r="F674" s="70" t="s">
        <v>1261</v>
      </c>
      <c r="G674" s="73"/>
      <c r="H674" s="76" t="s">
        <v>602</v>
      </c>
      <c r="I674" s="96" t="s">
        <v>500</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00"/>
        <v>3</v>
      </c>
      <c r="D675" s="73"/>
      <c r="E675" s="70"/>
      <c r="F675" s="70" t="s">
        <v>1262</v>
      </c>
      <c r="G675" s="73"/>
      <c r="H675" s="76"/>
      <c r="I675" s="96" t="s">
        <v>500</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00"/>
        <v>3</v>
      </c>
      <c r="D676" s="73"/>
      <c r="E676" s="70"/>
      <c r="F676" s="70" t="s">
        <v>1263</v>
      </c>
      <c r="G676" s="73"/>
      <c r="H676" s="76"/>
      <c r="I676" s="96" t="s">
        <v>500</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outlineLevel="2" x14ac:dyDescent="0.25">
      <c r="A677" s="45"/>
      <c r="B677" s="54"/>
      <c r="C677" s="47">
        <f t="shared" si="100"/>
        <v>3</v>
      </c>
      <c r="D677" s="73"/>
      <c r="E677" s="70"/>
      <c r="F677" s="70" t="s">
        <v>1264</v>
      </c>
      <c r="G677" s="73"/>
      <c r="H677" s="76" t="s">
        <v>1265</v>
      </c>
      <c r="I677" s="96"/>
      <c r="J677" s="96" t="s">
        <v>1171</v>
      </c>
      <c r="K677" s="97">
        <f>5.1/5</f>
        <v>1.02</v>
      </c>
      <c r="L677" s="97">
        <f>5.1/5</f>
        <v>1.02</v>
      </c>
      <c r="M677" s="97">
        <v>1</v>
      </c>
      <c r="N677" s="97">
        <v>1</v>
      </c>
      <c r="O677" s="97">
        <v>1</v>
      </c>
      <c r="P677" s="97">
        <v>1</v>
      </c>
      <c r="Q677" s="76"/>
      <c r="R677" s="76" t="s">
        <v>1266</v>
      </c>
      <c r="S677" s="76"/>
      <c r="T677" s="76"/>
      <c r="U677" s="252">
        <f t="shared" ref="U677:X679" si="105">INDEX($K677:$Q677,1,U$43)</f>
        <v>1.02</v>
      </c>
      <c r="V677" s="252">
        <f t="shared" si="105"/>
        <v>1.02</v>
      </c>
      <c r="W677" s="252">
        <f t="shared" si="105"/>
        <v>1.02</v>
      </c>
      <c r="X677" s="252">
        <f t="shared" si="105"/>
        <v>1.02</v>
      </c>
      <c r="Y677" s="252">
        <v>1.02</v>
      </c>
      <c r="Z677" s="252">
        <v>1.02</v>
      </c>
      <c r="AA677" s="252">
        <v>1.02</v>
      </c>
      <c r="AB677" s="252">
        <v>1.02</v>
      </c>
      <c r="AC677" s="252">
        <f t="shared" ref="AC677:AD679" si="106">INDEX($K677:$Q677,1,AC$43)</f>
        <v>1.02</v>
      </c>
      <c r="AD677" s="252">
        <f t="shared" si="106"/>
        <v>1.02</v>
      </c>
      <c r="AE677" s="76"/>
      <c r="AF677" s="76"/>
      <c r="AG677" s="76"/>
      <c r="AH677" s="97">
        <v>1</v>
      </c>
      <c r="AI677" s="97">
        <v>1</v>
      </c>
      <c r="AJ677" s="73"/>
      <c r="AK677" s="57"/>
      <c r="AL677" s="45"/>
      <c r="AM677" s="45"/>
      <c r="AN677" s="45"/>
    </row>
    <row r="678" spans="1:40" outlineLevel="2" x14ac:dyDescent="0.25">
      <c r="A678" s="45"/>
      <c r="B678" s="54"/>
      <c r="C678" s="47">
        <f t="shared" si="100"/>
        <v>3</v>
      </c>
      <c r="D678" s="73"/>
      <c r="E678" s="70"/>
      <c r="F678" s="70" t="s">
        <v>1267</v>
      </c>
      <c r="G678" s="73"/>
      <c r="H678" s="76" t="s">
        <v>1268</v>
      </c>
      <c r="I678" s="96"/>
      <c r="J678" s="96" t="s">
        <v>1171</v>
      </c>
      <c r="K678" s="97">
        <f>4.9/5</f>
        <v>0.98000000000000009</v>
      </c>
      <c r="L678" s="97">
        <f>4.9/5</f>
        <v>0.98000000000000009</v>
      </c>
      <c r="M678" s="97">
        <v>1</v>
      </c>
      <c r="N678" s="97">
        <v>1</v>
      </c>
      <c r="O678" s="97">
        <v>1</v>
      </c>
      <c r="P678" s="97">
        <v>1</v>
      </c>
      <c r="Q678" s="76"/>
      <c r="R678" s="76" t="s">
        <v>1269</v>
      </c>
      <c r="S678" s="76"/>
      <c r="T678" s="76"/>
      <c r="U678" s="252">
        <f t="shared" si="105"/>
        <v>0.98000000000000009</v>
      </c>
      <c r="V678" s="252">
        <f t="shared" si="105"/>
        <v>0.98000000000000009</v>
      </c>
      <c r="W678" s="252">
        <f t="shared" si="105"/>
        <v>0.98000000000000009</v>
      </c>
      <c r="X678" s="252">
        <f t="shared" si="105"/>
        <v>0.98000000000000009</v>
      </c>
      <c r="Y678" s="252">
        <v>0.98000000000000009</v>
      </c>
      <c r="Z678" s="252">
        <v>0.98000000000000009</v>
      </c>
      <c r="AA678" s="252">
        <v>0.98000000000000009</v>
      </c>
      <c r="AB678" s="252">
        <v>0.98000000000000009</v>
      </c>
      <c r="AC678" s="252">
        <f t="shared" si="106"/>
        <v>0.98000000000000009</v>
      </c>
      <c r="AD678" s="252">
        <f t="shared" si="106"/>
        <v>0.98000000000000009</v>
      </c>
      <c r="AE678" s="76"/>
      <c r="AF678" s="76"/>
      <c r="AG678" s="76"/>
      <c r="AH678" s="97">
        <v>1</v>
      </c>
      <c r="AI678" s="97">
        <v>1</v>
      </c>
      <c r="AJ678" s="73"/>
      <c r="AK678" s="57"/>
      <c r="AL678" s="45"/>
      <c r="AM678" s="45"/>
      <c r="AN678" s="45"/>
    </row>
    <row r="679" spans="1:40" outlineLevel="2" x14ac:dyDescent="0.25">
      <c r="A679" s="45"/>
      <c r="B679" s="54"/>
      <c r="C679" s="47">
        <f t="shared" si="100"/>
        <v>3</v>
      </c>
      <c r="D679" s="73"/>
      <c r="E679" s="70"/>
      <c r="F679" s="70" t="s">
        <v>1270</v>
      </c>
      <c r="G679" s="73"/>
      <c r="H679" s="76" t="s">
        <v>2349</v>
      </c>
      <c r="I679" s="96"/>
      <c r="J679" s="96" t="s">
        <v>1171</v>
      </c>
      <c r="K679" s="252">
        <f t="shared" ref="K679:P679" si="107">K677</f>
        <v>1.02</v>
      </c>
      <c r="L679" s="252">
        <f t="shared" si="107"/>
        <v>1.02</v>
      </c>
      <c r="M679" s="252">
        <f t="shared" si="107"/>
        <v>1</v>
      </c>
      <c r="N679" s="252">
        <f t="shared" si="107"/>
        <v>1</v>
      </c>
      <c r="O679" s="252">
        <f t="shared" si="107"/>
        <v>1</v>
      </c>
      <c r="P679" s="252">
        <f t="shared" si="107"/>
        <v>1</v>
      </c>
      <c r="Q679" s="76"/>
      <c r="R679" s="76"/>
      <c r="S679" s="76"/>
      <c r="T679" s="76"/>
      <c r="U679" s="252">
        <f t="shared" si="105"/>
        <v>1.02</v>
      </c>
      <c r="V679" s="252">
        <f t="shared" si="105"/>
        <v>1.02</v>
      </c>
      <c r="W679" s="252">
        <f t="shared" si="105"/>
        <v>1.02</v>
      </c>
      <c r="X679" s="252">
        <f t="shared" si="105"/>
        <v>1.02</v>
      </c>
      <c r="Y679" s="252">
        <v>1.02</v>
      </c>
      <c r="Z679" s="252">
        <v>1.02</v>
      </c>
      <c r="AA679" s="252">
        <v>1.02</v>
      </c>
      <c r="AB679" s="252">
        <v>1.02</v>
      </c>
      <c r="AC679" s="252">
        <f t="shared" si="106"/>
        <v>1.02</v>
      </c>
      <c r="AD679" s="252">
        <f t="shared" si="106"/>
        <v>1.02</v>
      </c>
      <c r="AE679" s="76"/>
      <c r="AF679" s="76"/>
      <c r="AG679" s="76"/>
      <c r="AH679" s="97">
        <v>1</v>
      </c>
      <c r="AI679" s="97">
        <v>1</v>
      </c>
      <c r="AJ679" s="73"/>
      <c r="AK679" s="57"/>
      <c r="AL679" s="45"/>
      <c r="AM679" s="45"/>
      <c r="AN679" s="45"/>
    </row>
    <row r="680" spans="1:40" outlineLevel="2" x14ac:dyDescent="0.25">
      <c r="A680" s="45"/>
      <c r="B680" s="54"/>
      <c r="C680" s="47">
        <f t="shared" si="100"/>
        <v>3</v>
      </c>
      <c r="D680" s="73"/>
      <c r="E680" s="70"/>
      <c r="F680" s="70" t="s">
        <v>1271</v>
      </c>
      <c r="G680" s="73"/>
      <c r="H680" s="76" t="s">
        <v>1272</v>
      </c>
      <c r="I680" s="96" t="s">
        <v>500</v>
      </c>
      <c r="J680" s="96" t="s">
        <v>1143</v>
      </c>
      <c r="K680" s="76"/>
      <c r="L680" s="76"/>
      <c r="M680" s="76"/>
      <c r="N680" s="76"/>
      <c r="O680" s="76"/>
      <c r="P680" s="76"/>
      <c r="Q680" s="76"/>
      <c r="R680" s="76"/>
      <c r="S680" s="76"/>
      <c r="T680" s="76"/>
      <c r="U680" s="97">
        <v>0</v>
      </c>
      <c r="V680" s="97">
        <v>0</v>
      </c>
      <c r="W680" s="97">
        <v>0</v>
      </c>
      <c r="X680" s="97">
        <v>0</v>
      </c>
      <c r="Y680" s="97">
        <v>0</v>
      </c>
      <c r="Z680" s="97">
        <v>0</v>
      </c>
      <c r="AA680" s="97">
        <v>0</v>
      </c>
      <c r="AB680" s="97">
        <v>0.35589999999999999</v>
      </c>
      <c r="AC680" s="254">
        <f t="shared" ref="AC680:AD688" si="108">AB680</f>
        <v>0.35589999999999999</v>
      </c>
      <c r="AD680" s="254">
        <f t="shared" si="108"/>
        <v>0.35589999999999999</v>
      </c>
      <c r="AE680" s="76"/>
      <c r="AF680" s="97" t="s">
        <v>2180</v>
      </c>
      <c r="AG680" s="76"/>
      <c r="AH680" s="97">
        <v>1</v>
      </c>
      <c r="AI680" s="97">
        <v>1</v>
      </c>
      <c r="AJ680" s="73"/>
      <c r="AK680" s="57"/>
      <c r="AL680" s="45"/>
      <c r="AM680" s="45"/>
      <c r="AN680" s="45"/>
    </row>
    <row r="681" spans="1:40" outlineLevel="2" x14ac:dyDescent="0.25">
      <c r="A681" s="45"/>
      <c r="B681" s="54"/>
      <c r="C681" s="47">
        <f t="shared" si="100"/>
        <v>3</v>
      </c>
      <c r="D681" s="73"/>
      <c r="E681" s="70"/>
      <c r="F681" s="70" t="s">
        <v>1273</v>
      </c>
      <c r="G681" s="73"/>
      <c r="H681" s="76" t="s">
        <v>1274</v>
      </c>
      <c r="I681" s="96" t="s">
        <v>500</v>
      </c>
      <c r="J681" s="96" t="s">
        <v>1143</v>
      </c>
      <c r="K681" s="76"/>
      <c r="L681" s="76"/>
      <c r="M681" s="76"/>
      <c r="N681" s="76"/>
      <c r="O681" s="76"/>
      <c r="P681" s="76"/>
      <c r="Q681" s="76"/>
      <c r="R681" s="76"/>
      <c r="S681" s="76"/>
      <c r="T681" s="76"/>
      <c r="U681" s="97">
        <v>-0.19574</v>
      </c>
      <c r="V681" s="254">
        <f>U681</f>
        <v>-0.19574</v>
      </c>
      <c r="W681" s="254">
        <f>U681</f>
        <v>-0.19574</v>
      </c>
      <c r="X681" s="254">
        <f>V681</f>
        <v>-0.19574</v>
      </c>
      <c r="Y681" s="254">
        <v>-0.19574</v>
      </c>
      <c r="Z681" s="254">
        <v>-0.19574</v>
      </c>
      <c r="AA681" s="254">
        <v>-0.19574</v>
      </c>
      <c r="AB681" s="97">
        <v>0</v>
      </c>
      <c r="AC681" s="254">
        <f t="shared" si="108"/>
        <v>0</v>
      </c>
      <c r="AD681" s="254">
        <f t="shared" si="108"/>
        <v>0</v>
      </c>
      <c r="AE681" s="76"/>
      <c r="AF681" s="76"/>
      <c r="AG681" s="76"/>
      <c r="AH681" s="97">
        <v>1</v>
      </c>
      <c r="AI681" s="97">
        <v>1</v>
      </c>
      <c r="AJ681" s="73"/>
      <c r="AK681" s="57"/>
      <c r="AL681" s="45"/>
      <c r="AM681" s="45"/>
      <c r="AN681" s="45"/>
    </row>
    <row r="682" spans="1:40" outlineLevel="2" x14ac:dyDescent="0.25">
      <c r="A682" s="45"/>
      <c r="B682" s="54"/>
      <c r="C682" s="47">
        <f t="shared" si="100"/>
        <v>3</v>
      </c>
      <c r="D682" s="73"/>
      <c r="E682" s="70"/>
      <c r="F682" s="70" t="s">
        <v>1275</v>
      </c>
      <c r="G682" s="73"/>
      <c r="H682" s="76" t="s">
        <v>1276</v>
      </c>
      <c r="I682" s="96" t="s">
        <v>500</v>
      </c>
      <c r="J682" s="96" t="s">
        <v>1143</v>
      </c>
      <c r="K682" s="76"/>
      <c r="L682" s="76"/>
      <c r="M682" s="76"/>
      <c r="N682" s="76"/>
      <c r="O682" s="76"/>
      <c r="P682" s="76"/>
      <c r="Q682" s="76"/>
      <c r="R682" s="76"/>
      <c r="S682" s="76"/>
      <c r="T682" s="76"/>
      <c r="U682" s="97">
        <v>0</v>
      </c>
      <c r="V682" s="97">
        <v>0</v>
      </c>
      <c r="W682" s="97">
        <v>0</v>
      </c>
      <c r="X682" s="97">
        <v>0</v>
      </c>
      <c r="Y682" s="97">
        <v>0</v>
      </c>
      <c r="Z682" s="97">
        <v>0</v>
      </c>
      <c r="AA682" s="97">
        <v>0</v>
      </c>
      <c r="AB682" s="252">
        <v>0.35589999999999999</v>
      </c>
      <c r="AC682" s="254">
        <f t="shared" si="108"/>
        <v>0.35589999999999999</v>
      </c>
      <c r="AD682" s="254">
        <f t="shared" si="108"/>
        <v>0.35589999999999999</v>
      </c>
      <c r="AE682" s="76"/>
      <c r="AF682" s="76"/>
      <c r="AG682" s="76"/>
      <c r="AH682" s="97">
        <v>1</v>
      </c>
      <c r="AI682" s="97">
        <v>1</v>
      </c>
      <c r="AJ682" s="73"/>
      <c r="AK682" s="57"/>
      <c r="AL682" s="45"/>
      <c r="AM682" s="45"/>
      <c r="AN682" s="45"/>
    </row>
    <row r="683" spans="1:40" outlineLevel="2" x14ac:dyDescent="0.25">
      <c r="A683" s="45"/>
      <c r="B683" s="54"/>
      <c r="C683" s="47">
        <f t="shared" si="100"/>
        <v>3</v>
      </c>
      <c r="D683" s="73"/>
      <c r="E683" s="70"/>
      <c r="F683" s="70" t="s">
        <v>1277</v>
      </c>
      <c r="G683" s="73"/>
      <c r="H683" s="76" t="s">
        <v>1278</v>
      </c>
      <c r="I683" s="96" t="s">
        <v>500</v>
      </c>
      <c r="J683" s="96" t="s">
        <v>1143</v>
      </c>
      <c r="K683" s="76"/>
      <c r="L683" s="76"/>
      <c r="M683" s="76"/>
      <c r="N683" s="76"/>
      <c r="O683" s="76"/>
      <c r="P683" s="76"/>
      <c r="Q683" s="76"/>
      <c r="R683" s="76"/>
      <c r="S683" s="76"/>
      <c r="T683" s="76"/>
      <c r="U683" s="97">
        <v>0</v>
      </c>
      <c r="V683" s="97">
        <v>0</v>
      </c>
      <c r="W683" s="97">
        <v>0</v>
      </c>
      <c r="X683" s="97">
        <v>0</v>
      </c>
      <c r="Y683" s="97">
        <v>0</v>
      </c>
      <c r="Z683" s="97">
        <v>0</v>
      </c>
      <c r="AA683" s="97">
        <v>0</v>
      </c>
      <c r="AB683" s="254">
        <v>1.42</v>
      </c>
      <c r="AC683" s="254">
        <f t="shared" si="108"/>
        <v>1.42</v>
      </c>
      <c r="AD683" s="254">
        <f t="shared" si="108"/>
        <v>1.42</v>
      </c>
      <c r="AE683" s="76"/>
      <c r="AF683" s="97" t="s">
        <v>2180</v>
      </c>
      <c r="AG683" s="76"/>
      <c r="AH683" s="97">
        <v>1</v>
      </c>
      <c r="AI683" s="97">
        <v>1</v>
      </c>
      <c r="AJ683" s="73"/>
      <c r="AK683" s="57"/>
      <c r="AL683" s="45"/>
      <c r="AM683" s="45"/>
      <c r="AN683" s="45"/>
    </row>
    <row r="684" spans="1:40" outlineLevel="2" x14ac:dyDescent="0.25">
      <c r="A684" s="45"/>
      <c r="B684" s="54"/>
      <c r="C684" s="47">
        <f t="shared" si="100"/>
        <v>3</v>
      </c>
      <c r="D684" s="73"/>
      <c r="E684" s="70"/>
      <c r="F684" s="70" t="s">
        <v>1279</v>
      </c>
      <c r="G684" s="73"/>
      <c r="H684" s="76" t="s">
        <v>1280</v>
      </c>
      <c r="I684" s="96" t="s">
        <v>500</v>
      </c>
      <c r="J684" s="96" t="s">
        <v>1143</v>
      </c>
      <c r="K684" s="76"/>
      <c r="L684" s="76"/>
      <c r="M684" s="76"/>
      <c r="N684" s="76"/>
      <c r="O684" s="76"/>
      <c r="P684" s="76"/>
      <c r="Q684" s="76"/>
      <c r="R684" s="76"/>
      <c r="S684" s="76"/>
      <c r="T684" s="76"/>
      <c r="U684" s="97">
        <v>-0.72</v>
      </c>
      <c r="V684" s="97">
        <v>-0.72</v>
      </c>
      <c r="W684" s="97">
        <v>-0.72</v>
      </c>
      <c r="X684" s="97">
        <v>-0.72</v>
      </c>
      <c r="Y684" s="97">
        <v>-0.72</v>
      </c>
      <c r="Z684" s="97">
        <v>-0.72</v>
      </c>
      <c r="AA684" s="97">
        <v>-0.72</v>
      </c>
      <c r="AB684" s="254">
        <v>0</v>
      </c>
      <c r="AC684" s="254">
        <f t="shared" si="108"/>
        <v>0</v>
      </c>
      <c r="AD684" s="254">
        <f t="shared" si="108"/>
        <v>0</v>
      </c>
      <c r="AE684" s="76"/>
      <c r="AF684" s="97" t="s">
        <v>1281</v>
      </c>
      <c r="AG684" s="76"/>
      <c r="AH684" s="97">
        <v>1</v>
      </c>
      <c r="AI684" s="97">
        <v>1</v>
      </c>
      <c r="AJ684" s="73"/>
      <c r="AK684" s="57"/>
      <c r="AL684" s="45"/>
      <c r="AM684" s="45"/>
      <c r="AN684" s="45"/>
    </row>
    <row r="685" spans="1:40" outlineLevel="2" x14ac:dyDescent="0.25">
      <c r="A685" s="45"/>
      <c r="B685" s="54"/>
      <c r="C685" s="47">
        <f t="shared" si="100"/>
        <v>3</v>
      </c>
      <c r="D685" s="73"/>
      <c r="E685" s="70"/>
      <c r="F685" s="70" t="s">
        <v>1282</v>
      </c>
      <c r="G685" s="73"/>
      <c r="H685" s="76" t="s">
        <v>1283</v>
      </c>
      <c r="I685" s="96" t="s">
        <v>500</v>
      </c>
      <c r="J685" s="96" t="s">
        <v>1143</v>
      </c>
      <c r="K685" s="76"/>
      <c r="L685" s="76"/>
      <c r="M685" s="76"/>
      <c r="N685" s="76"/>
      <c r="O685" s="76"/>
      <c r="P685" s="76"/>
      <c r="Q685" s="76"/>
      <c r="R685" s="76"/>
      <c r="S685" s="76"/>
      <c r="T685" s="76"/>
      <c r="U685" s="97">
        <v>0</v>
      </c>
      <c r="V685" s="97">
        <v>0</v>
      </c>
      <c r="W685" s="97">
        <v>0</v>
      </c>
      <c r="X685" s="97">
        <v>0</v>
      </c>
      <c r="Y685" s="97">
        <v>0</v>
      </c>
      <c r="Z685" s="97">
        <v>0</v>
      </c>
      <c r="AA685" s="97">
        <v>0</v>
      </c>
      <c r="AB685" s="254">
        <v>1.42</v>
      </c>
      <c r="AC685" s="254">
        <f t="shared" si="108"/>
        <v>1.42</v>
      </c>
      <c r="AD685" s="254">
        <f t="shared" si="108"/>
        <v>1.42</v>
      </c>
      <c r="AE685" s="76"/>
      <c r="AF685" s="76"/>
      <c r="AG685" s="76"/>
      <c r="AH685" s="97">
        <v>1</v>
      </c>
      <c r="AI685" s="97">
        <v>1</v>
      </c>
      <c r="AJ685" s="73"/>
      <c r="AK685" s="57"/>
      <c r="AL685" s="45"/>
      <c r="AM685" s="45"/>
      <c r="AN685" s="45"/>
    </row>
    <row r="686" spans="1:40" outlineLevel="2" x14ac:dyDescent="0.25">
      <c r="A686" s="45"/>
      <c r="B686" s="54"/>
      <c r="C686" s="47">
        <f t="shared" si="100"/>
        <v>3</v>
      </c>
      <c r="D686" s="73"/>
      <c r="E686" s="70"/>
      <c r="F686" s="70" t="s">
        <v>1284</v>
      </c>
      <c r="G686" s="73"/>
      <c r="H686" s="76" t="s">
        <v>1285</v>
      </c>
      <c r="I686" s="96" t="s">
        <v>500</v>
      </c>
      <c r="J686" s="96" t="s">
        <v>1143</v>
      </c>
      <c r="K686" s="76"/>
      <c r="L686" s="76"/>
      <c r="M686" s="76"/>
      <c r="N686" s="76"/>
      <c r="O686" s="76"/>
      <c r="P686" s="76"/>
      <c r="Q686" s="76"/>
      <c r="R686" s="76"/>
      <c r="S686" s="76"/>
      <c r="T686" s="76"/>
      <c r="U686" s="97">
        <v>0</v>
      </c>
      <c r="V686" s="97">
        <v>0</v>
      </c>
      <c r="W686" s="97">
        <v>0</v>
      </c>
      <c r="X686" s="97">
        <v>0</v>
      </c>
      <c r="Y686" s="97">
        <v>0</v>
      </c>
      <c r="Z686" s="97">
        <v>0</v>
      </c>
      <c r="AA686" s="97">
        <v>0</v>
      </c>
      <c r="AB686" s="254">
        <v>0</v>
      </c>
      <c r="AC686" s="254">
        <f t="shared" si="108"/>
        <v>0</v>
      </c>
      <c r="AD686" s="254">
        <f t="shared" si="108"/>
        <v>0</v>
      </c>
      <c r="AE686" s="76"/>
      <c r="AF686" s="76"/>
      <c r="AG686" s="76"/>
      <c r="AH686" s="97">
        <v>1</v>
      </c>
      <c r="AI686" s="97">
        <v>1</v>
      </c>
      <c r="AJ686" s="73"/>
      <c r="AK686" s="57"/>
      <c r="AL686" s="45"/>
      <c r="AM686" s="45"/>
      <c r="AN686" s="45"/>
    </row>
    <row r="687" spans="1:40" outlineLevel="2" x14ac:dyDescent="0.25">
      <c r="A687" s="45"/>
      <c r="B687" s="54"/>
      <c r="C687" s="47">
        <f t="shared" si="100"/>
        <v>3</v>
      </c>
      <c r="D687" s="73"/>
      <c r="E687" s="70"/>
      <c r="F687" s="70" t="s">
        <v>1286</v>
      </c>
      <c r="G687" s="73"/>
      <c r="H687" s="76" t="s">
        <v>1287</v>
      </c>
      <c r="I687" s="96" t="s">
        <v>500</v>
      </c>
      <c r="J687" s="96" t="s">
        <v>1143</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v>-7.0000000000000001E-3</v>
      </c>
      <c r="Z687" s="97">
        <v>-7.0000000000000001E-3</v>
      </c>
      <c r="AA687" s="97">
        <v>-7.0000000000000001E-3</v>
      </c>
      <c r="AB687" s="254">
        <v>-7.0000000000000001E-3</v>
      </c>
      <c r="AC687" s="254">
        <f t="shared" si="108"/>
        <v>-7.0000000000000001E-3</v>
      </c>
      <c r="AD687" s="254">
        <f t="shared" si="108"/>
        <v>-7.0000000000000001E-3</v>
      </c>
      <c r="AE687" s="76"/>
      <c r="AF687" s="97" t="s">
        <v>1288</v>
      </c>
      <c r="AG687" s="76"/>
      <c r="AH687" s="97">
        <v>1</v>
      </c>
      <c r="AI687" s="97">
        <v>1</v>
      </c>
      <c r="AJ687" s="73"/>
      <c r="AK687" s="57"/>
      <c r="AL687" s="45"/>
      <c r="AM687" s="45"/>
      <c r="AN687" s="45"/>
    </row>
    <row r="688" spans="1:40" outlineLevel="2" collapsed="1" x14ac:dyDescent="0.25">
      <c r="A688" s="45"/>
      <c r="B688" s="54"/>
      <c r="C688" s="47">
        <f t="shared" si="100"/>
        <v>3</v>
      </c>
      <c r="D688" s="73"/>
      <c r="E688" s="70"/>
      <c r="F688" s="70" t="s">
        <v>1289</v>
      </c>
      <c r="G688" s="73"/>
      <c r="H688" s="76" t="s">
        <v>1290</v>
      </c>
      <c r="I688" s="96" t="s">
        <v>500</v>
      </c>
      <c r="J688" s="96" t="s">
        <v>1143</v>
      </c>
      <c r="K688" s="76"/>
      <c r="L688" s="76"/>
      <c r="M688" s="76"/>
      <c r="N688" s="76"/>
      <c r="O688" s="76"/>
      <c r="P688" s="76"/>
      <c r="Q688" s="76"/>
      <c r="R688" s="76"/>
      <c r="S688" s="76"/>
      <c r="T688" s="76"/>
      <c r="U688" s="97">
        <v>0</v>
      </c>
      <c r="V688" s="97">
        <v>0</v>
      </c>
      <c r="W688" s="97">
        <v>0</v>
      </c>
      <c r="X688" s="97">
        <v>0</v>
      </c>
      <c r="Y688" s="97">
        <v>0</v>
      </c>
      <c r="Z688" s="97">
        <v>0</v>
      </c>
      <c r="AA688" s="97">
        <v>0</v>
      </c>
      <c r="AB688" s="254">
        <v>0</v>
      </c>
      <c r="AC688" s="254">
        <f t="shared" si="108"/>
        <v>0</v>
      </c>
      <c r="AD688" s="254">
        <f t="shared" si="108"/>
        <v>0</v>
      </c>
      <c r="AE688" s="76"/>
      <c r="AF688" s="76"/>
      <c r="AG688" s="76"/>
      <c r="AH688" s="97">
        <v>1</v>
      </c>
      <c r="AI688" s="97">
        <v>1</v>
      </c>
      <c r="AJ688" s="73"/>
      <c r="AK688" s="57"/>
      <c r="AL688" s="45"/>
      <c r="AM688" s="45"/>
      <c r="AN688" s="45"/>
    </row>
    <row r="689" spans="1:40" hidden="1" outlineLevel="3" x14ac:dyDescent="0.25">
      <c r="A689" s="45"/>
      <c r="B689" s="54"/>
      <c r="C689" s="47">
        <f t="shared" si="100"/>
        <v>3</v>
      </c>
      <c r="D689" s="73"/>
      <c r="E689" s="70"/>
      <c r="F689" s="70" t="s">
        <v>1291</v>
      </c>
      <c r="G689" s="73"/>
      <c r="H689" s="76" t="s">
        <v>602</v>
      </c>
      <c r="I689" s="96" t="s">
        <v>500</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00"/>
        <v>3</v>
      </c>
      <c r="D690" s="73"/>
      <c r="E690" s="70"/>
      <c r="F690" s="70" t="s">
        <v>1292</v>
      </c>
      <c r="G690" s="73"/>
      <c r="H690" s="76"/>
      <c r="I690" s="96" t="s">
        <v>500</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00"/>
        <v>3</v>
      </c>
      <c r="D691" s="73"/>
      <c r="E691" s="70"/>
      <c r="F691" s="70" t="s">
        <v>1293</v>
      </c>
      <c r="G691" s="73"/>
      <c r="H691" s="76"/>
      <c r="I691" s="96" t="s">
        <v>500</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outlineLevel="2" x14ac:dyDescent="0.25">
      <c r="A692" s="45"/>
      <c r="B692" s="54"/>
      <c r="C692" s="47">
        <f t="shared" si="100"/>
        <v>3</v>
      </c>
      <c r="D692" s="73"/>
      <c r="E692" s="70"/>
      <c r="F692" s="70" t="s">
        <v>1294</v>
      </c>
      <c r="G692" s="73"/>
      <c r="H692" s="76" t="s">
        <v>1295</v>
      </c>
      <c r="I692" s="96" t="s">
        <v>500</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1296</v>
      </c>
      <c r="AG692" s="76"/>
      <c r="AH692" s="97">
        <v>1</v>
      </c>
      <c r="AI692" s="97">
        <v>1</v>
      </c>
      <c r="AJ692" s="73"/>
      <c r="AK692" s="57"/>
      <c r="AL692" s="45"/>
      <c r="AM692" s="45"/>
      <c r="AN692" s="45"/>
    </row>
    <row r="693" spans="1:40" outlineLevel="2" x14ac:dyDescent="0.25">
      <c r="A693" s="45"/>
      <c r="B693" s="54"/>
      <c r="C693" s="47">
        <f t="shared" si="100"/>
        <v>3</v>
      </c>
      <c r="D693" s="73"/>
      <c r="E693" s="70"/>
      <c r="F693" s="70" t="s">
        <v>1297</v>
      </c>
      <c r="G693" s="73"/>
      <c r="H693" s="76" t="s">
        <v>1298</v>
      </c>
      <c r="I693" s="96" t="s">
        <v>500</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97">
        <v>0.34200000000000003</v>
      </c>
      <c r="AA693" s="97">
        <v>0.34200000000000003</v>
      </c>
      <c r="AB693" s="254">
        <v>0.34200000000000003</v>
      </c>
      <c r="AC693" s="254">
        <f>AB693</f>
        <v>0.34200000000000003</v>
      </c>
      <c r="AD693" s="254">
        <f>AC693</f>
        <v>0.34200000000000003</v>
      </c>
      <c r="AE693" s="76"/>
      <c r="AF693" s="97" t="s">
        <v>1299</v>
      </c>
      <c r="AG693" s="76"/>
      <c r="AH693" s="97">
        <v>1</v>
      </c>
      <c r="AI693" s="97">
        <v>1</v>
      </c>
      <c r="AJ693" s="73"/>
      <c r="AK693" s="57"/>
      <c r="AL693" s="45"/>
      <c r="AM693" s="45"/>
      <c r="AN693" s="45"/>
    </row>
    <row r="694" spans="1:40" outlineLevel="2" x14ac:dyDescent="0.25">
      <c r="A694" s="45"/>
      <c r="B694" s="54"/>
      <c r="C694" s="47">
        <f t="shared" si="100"/>
        <v>3</v>
      </c>
      <c r="D694" s="73"/>
      <c r="E694" s="70"/>
      <c r="F694" s="70" t="s">
        <v>1300</v>
      </c>
      <c r="G694" s="73"/>
      <c r="H694" s="76" t="s">
        <v>1301</v>
      </c>
      <c r="I694" s="96" t="s">
        <v>500</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outlineLevel="2" x14ac:dyDescent="0.25">
      <c r="A695" s="45"/>
      <c r="B695" s="54"/>
      <c r="C695" s="47">
        <f t="shared" si="100"/>
        <v>3</v>
      </c>
      <c r="D695" s="73"/>
      <c r="E695" s="70"/>
      <c r="F695" s="70" t="s">
        <v>1302</v>
      </c>
      <c r="G695" s="73"/>
      <c r="H695" s="76" t="s">
        <v>1303</v>
      </c>
      <c r="I695" s="96" t="s">
        <v>500</v>
      </c>
      <c r="J695" s="96"/>
      <c r="K695" s="76"/>
      <c r="L695" s="76"/>
      <c r="M695" s="76"/>
      <c r="N695" s="76"/>
      <c r="O695" s="76"/>
      <c r="P695" s="76"/>
      <c r="Q695" s="76"/>
      <c r="R695" s="76"/>
      <c r="S695" s="76"/>
      <c r="T695" s="76"/>
      <c r="U695" s="97">
        <v>0</v>
      </c>
      <c r="V695" s="97">
        <v>0</v>
      </c>
      <c r="W695" s="97">
        <v>0</v>
      </c>
      <c r="X695" s="97">
        <v>0</v>
      </c>
      <c r="Y695" s="97">
        <v>0</v>
      </c>
      <c r="Z695" s="97">
        <v>0</v>
      </c>
      <c r="AA695" s="97">
        <v>0</v>
      </c>
      <c r="AB695" s="254">
        <v>0</v>
      </c>
      <c r="AC695" s="254">
        <f t="shared" ref="AC695:AD697" si="109">AB695</f>
        <v>0</v>
      </c>
      <c r="AD695" s="254">
        <f t="shared" si="109"/>
        <v>0</v>
      </c>
      <c r="AE695" s="76"/>
      <c r="AF695" s="76"/>
      <c r="AG695" s="76"/>
      <c r="AH695" s="97">
        <v>1</v>
      </c>
      <c r="AI695" s="97">
        <v>1</v>
      </c>
      <c r="AJ695" s="73"/>
      <c r="AK695" s="57"/>
      <c r="AL695" s="45"/>
      <c r="AM695" s="45"/>
      <c r="AN695" s="45"/>
    </row>
    <row r="696" spans="1:40" outlineLevel="2" x14ac:dyDescent="0.25">
      <c r="A696" s="45"/>
      <c r="B696" s="54"/>
      <c r="C696" s="47">
        <f t="shared" si="100"/>
        <v>3</v>
      </c>
      <c r="D696" s="73"/>
      <c r="E696" s="70"/>
      <c r="F696" s="70" t="s">
        <v>1304</v>
      </c>
      <c r="G696" s="73"/>
      <c r="H696" s="76" t="s">
        <v>1305</v>
      </c>
      <c r="I696" s="96" t="s">
        <v>500</v>
      </c>
      <c r="J696" s="96"/>
      <c r="K696" s="76"/>
      <c r="L696" s="76"/>
      <c r="M696" s="76"/>
      <c r="N696" s="76"/>
      <c r="O696" s="76"/>
      <c r="P696" s="76"/>
      <c r="Q696" s="76"/>
      <c r="R696" s="76"/>
      <c r="S696" s="76"/>
      <c r="T696" s="76"/>
      <c r="U696" s="97">
        <v>0</v>
      </c>
      <c r="V696" s="97">
        <v>0</v>
      </c>
      <c r="W696" s="97">
        <v>0</v>
      </c>
      <c r="X696" s="97">
        <v>0</v>
      </c>
      <c r="Y696" s="97">
        <v>0</v>
      </c>
      <c r="Z696" s="97">
        <v>0</v>
      </c>
      <c r="AA696" s="97">
        <v>0</v>
      </c>
      <c r="AB696" s="254">
        <v>0</v>
      </c>
      <c r="AC696" s="254">
        <f t="shared" si="109"/>
        <v>0</v>
      </c>
      <c r="AD696" s="254">
        <f t="shared" si="109"/>
        <v>0</v>
      </c>
      <c r="AE696" s="76"/>
      <c r="AF696" s="76"/>
      <c r="AG696" s="76"/>
      <c r="AH696" s="97">
        <v>1</v>
      </c>
      <c r="AI696" s="97">
        <v>1</v>
      </c>
      <c r="AJ696" s="73"/>
      <c r="AK696" s="57"/>
      <c r="AL696" s="45"/>
      <c r="AM696" s="45"/>
      <c r="AN696" s="45"/>
    </row>
    <row r="697" spans="1:40" outlineLevel="2" x14ac:dyDescent="0.25">
      <c r="A697" s="45"/>
      <c r="B697" s="54"/>
      <c r="C697" s="47">
        <f t="shared" si="100"/>
        <v>3</v>
      </c>
      <c r="D697" s="73"/>
      <c r="E697" s="70"/>
      <c r="F697" s="70" t="s">
        <v>1306</v>
      </c>
      <c r="G697" s="73"/>
      <c r="H697" s="76" t="s">
        <v>1307</v>
      </c>
      <c r="I697" s="96" t="s">
        <v>500</v>
      </c>
      <c r="J697" s="96"/>
      <c r="K697" s="76"/>
      <c r="L697" s="76"/>
      <c r="M697" s="76"/>
      <c r="N697" s="76"/>
      <c r="O697" s="76"/>
      <c r="P697" s="76"/>
      <c r="Q697" s="76"/>
      <c r="R697" s="76"/>
      <c r="S697" s="76"/>
      <c r="T697" s="76"/>
      <c r="U697" s="97">
        <v>0</v>
      </c>
      <c r="V697" s="97">
        <v>0</v>
      </c>
      <c r="W697" s="97">
        <v>0</v>
      </c>
      <c r="X697" s="97">
        <v>0</v>
      </c>
      <c r="Y697" s="97">
        <v>0</v>
      </c>
      <c r="Z697" s="97">
        <v>0</v>
      </c>
      <c r="AA697" s="97">
        <v>0</v>
      </c>
      <c r="AB697" s="254">
        <v>0</v>
      </c>
      <c r="AC697" s="254">
        <f t="shared" si="109"/>
        <v>0</v>
      </c>
      <c r="AD697" s="254">
        <f t="shared" si="109"/>
        <v>0</v>
      </c>
      <c r="AE697" s="76"/>
      <c r="AF697" s="76"/>
      <c r="AG697" s="76"/>
      <c r="AH697" s="97">
        <v>1</v>
      </c>
      <c r="AI697" s="97">
        <v>1</v>
      </c>
      <c r="AJ697" s="73"/>
      <c r="AK697" s="57"/>
      <c r="AL697" s="45"/>
      <c r="AM697" s="45"/>
      <c r="AN697" s="45"/>
    </row>
    <row r="698" spans="1:40" outlineLevel="2" x14ac:dyDescent="0.25">
      <c r="A698" s="45"/>
      <c r="B698" s="54"/>
      <c r="C698" s="47">
        <f t="shared" si="100"/>
        <v>3</v>
      </c>
      <c r="D698" s="73"/>
      <c r="E698" s="70"/>
      <c r="F698" s="70" t="s">
        <v>1308</v>
      </c>
      <c r="G698" s="73"/>
      <c r="H698" s="76" t="s">
        <v>2968</v>
      </c>
      <c r="I698" s="96" t="s">
        <v>500</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2969</v>
      </c>
      <c r="AG698" s="76"/>
      <c r="AH698" s="97">
        <v>1</v>
      </c>
      <c r="AI698" s="97">
        <v>1</v>
      </c>
      <c r="AJ698" s="73"/>
      <c r="AK698" s="57"/>
      <c r="AL698" s="45"/>
      <c r="AM698" s="45"/>
      <c r="AN698" s="45"/>
    </row>
    <row r="699" spans="1:40" outlineLevel="2" x14ac:dyDescent="0.25">
      <c r="A699" s="45"/>
      <c r="B699" s="54"/>
      <c r="C699" s="47">
        <f t="shared" si="100"/>
        <v>3</v>
      </c>
      <c r="D699" s="73"/>
      <c r="E699" s="70"/>
      <c r="F699" s="70" t="s">
        <v>1309</v>
      </c>
      <c r="G699" s="73"/>
      <c r="H699" s="76" t="s">
        <v>2970</v>
      </c>
      <c r="I699" s="96" t="s">
        <v>500</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outlineLevel="2" collapsed="1" x14ac:dyDescent="0.25">
      <c r="A700" s="45"/>
      <c r="B700" s="54"/>
      <c r="C700" s="47">
        <f t="shared" si="100"/>
        <v>3</v>
      </c>
      <c r="D700" s="73"/>
      <c r="E700" s="70"/>
      <c r="F700" s="70" t="s">
        <v>1310</v>
      </c>
      <c r="G700" s="73"/>
      <c r="H700" s="76" t="s">
        <v>2971</v>
      </c>
      <c r="I700" s="96" t="s">
        <v>500</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00"/>
        <v>3</v>
      </c>
      <c r="D701" s="73"/>
      <c r="E701" s="70"/>
      <c r="F701" s="70" t="s">
        <v>1311</v>
      </c>
      <c r="G701" s="73"/>
      <c r="H701" s="76" t="s">
        <v>602</v>
      </c>
      <c r="I701" s="96" t="s">
        <v>500</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00"/>
        <v>3</v>
      </c>
      <c r="D702" s="73"/>
      <c r="E702" s="70"/>
      <c r="F702" s="70" t="s">
        <v>1313</v>
      </c>
      <c r="G702" s="73"/>
      <c r="H702" s="76"/>
      <c r="I702" s="96" t="s">
        <v>500</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00"/>
        <v>3</v>
      </c>
      <c r="D703" s="73"/>
      <c r="E703" s="70"/>
      <c r="F703" s="70" t="s">
        <v>1316</v>
      </c>
      <c r="G703" s="73"/>
      <c r="H703" s="76"/>
      <c r="I703" s="96" t="s">
        <v>500</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5" t="s">
        <v>1318</v>
      </c>
      <c r="G704" s="73"/>
      <c r="H704" s="246" t="s">
        <v>1319</v>
      </c>
      <c r="I704" s="129"/>
      <c r="J704" s="129" t="s">
        <v>1043</v>
      </c>
      <c r="K704" s="76"/>
      <c r="L704" s="76"/>
      <c r="M704" s="76"/>
      <c r="N704" s="76"/>
      <c r="O704" s="76"/>
      <c r="P704" s="76"/>
      <c r="Q704" s="76"/>
      <c r="R704" s="76"/>
      <c r="S704" s="76"/>
      <c r="T704" s="76"/>
      <c r="U704" s="79">
        <v>19</v>
      </c>
      <c r="V704" s="79">
        <v>6</v>
      </c>
      <c r="W704" s="79">
        <v>-4</v>
      </c>
      <c r="X704" s="76"/>
      <c r="Y704" s="79">
        <v>-4</v>
      </c>
      <c r="Z704" s="79">
        <v>-4</v>
      </c>
      <c r="AA704" s="79">
        <v>-4</v>
      </c>
      <c r="AB704" s="76"/>
      <c r="AC704" s="76"/>
      <c r="AD704" s="76"/>
      <c r="AE704" s="76"/>
      <c r="AF704" s="76"/>
      <c r="AG704" s="76"/>
      <c r="AH704" s="76"/>
      <c r="AI704" s="76"/>
      <c r="AJ704" s="73"/>
      <c r="AK704" s="57"/>
      <c r="AL704" s="45"/>
      <c r="AM704" s="45"/>
      <c r="AN704" s="45"/>
    </row>
    <row r="705" spans="1:40" hidden="1" outlineLevel="3" x14ac:dyDescent="0.25">
      <c r="A705" s="45"/>
      <c r="B705" s="54"/>
      <c r="C705" s="47">
        <f t="shared" ref="C705:C752" si="110">INT($C$29)+3</f>
        <v>4</v>
      </c>
      <c r="D705" s="73"/>
      <c r="E705" s="70"/>
      <c r="F705" s="70" t="s">
        <v>1320</v>
      </c>
      <c r="G705" s="73"/>
      <c r="H705" s="76" t="s">
        <v>602</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10"/>
        <v>4</v>
      </c>
      <c r="D706" s="73"/>
      <c r="E706" s="70"/>
      <c r="F706" s="70" t="s">
        <v>1321</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10"/>
        <v>4</v>
      </c>
      <c r="D707" s="73"/>
      <c r="E707" s="70"/>
      <c r="F707" s="70" t="s">
        <v>1322</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10"/>
        <v>4</v>
      </c>
      <c r="D708" s="73"/>
      <c r="E708" s="70"/>
      <c r="F708" s="70" t="s">
        <v>1323</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10"/>
        <v>4</v>
      </c>
      <c r="D709" s="73"/>
      <c r="E709" s="70"/>
      <c r="F709" s="70" t="s">
        <v>1324</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10"/>
        <v>4</v>
      </c>
      <c r="D710" s="73"/>
      <c r="E710" s="70"/>
      <c r="F710" s="70" t="s">
        <v>1325</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10"/>
        <v>4</v>
      </c>
      <c r="D711" s="73"/>
      <c r="E711" s="70"/>
      <c r="F711" s="70" t="s">
        <v>1326</v>
      </c>
      <c r="G711" s="73"/>
      <c r="H711" s="76" t="s">
        <v>602</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10"/>
        <v>4</v>
      </c>
      <c r="D712" s="73"/>
      <c r="E712" s="70"/>
      <c r="F712" s="70" t="s">
        <v>1327</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10"/>
        <v>4</v>
      </c>
      <c r="D713" s="73"/>
      <c r="E713" s="70"/>
      <c r="F713" s="70" t="s">
        <v>1328</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10"/>
        <v>4</v>
      </c>
      <c r="D714" s="73"/>
      <c r="E714" s="70"/>
      <c r="F714" s="70" t="s">
        <v>1329</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10"/>
        <v>4</v>
      </c>
      <c r="D715" s="73"/>
      <c r="E715" s="70"/>
      <c r="F715" s="70" t="s">
        <v>1330</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10"/>
        <v>4</v>
      </c>
      <c r="D716" s="73"/>
      <c r="E716" s="70"/>
      <c r="F716" s="70" t="s">
        <v>1331</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10"/>
        <v>4</v>
      </c>
      <c r="D717" s="73"/>
      <c r="E717" s="70"/>
      <c r="F717" s="70" t="s">
        <v>1332</v>
      </c>
      <c r="G717" s="73"/>
      <c r="H717" s="76" t="s">
        <v>602</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10"/>
        <v>4</v>
      </c>
      <c r="D718" s="73"/>
      <c r="E718" s="70"/>
      <c r="F718" s="70" t="s">
        <v>1333</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10"/>
        <v>4</v>
      </c>
      <c r="D719" s="73"/>
      <c r="E719" s="70"/>
      <c r="F719" s="70" t="s">
        <v>1334</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10"/>
        <v>4</v>
      </c>
      <c r="D720" s="73"/>
      <c r="E720" s="70"/>
      <c r="F720" s="70" t="s">
        <v>1335</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10"/>
        <v>4</v>
      </c>
      <c r="D721" s="73"/>
      <c r="E721" s="70"/>
      <c r="F721" s="70" t="s">
        <v>1336</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10"/>
        <v>4</v>
      </c>
      <c r="D722" s="73"/>
      <c r="E722" s="70"/>
      <c r="F722" s="70" t="s">
        <v>1337</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10"/>
        <v>4</v>
      </c>
      <c r="D723" s="73"/>
      <c r="E723" s="70"/>
      <c r="F723" s="70" t="s">
        <v>1338</v>
      </c>
      <c r="G723" s="73"/>
      <c r="H723" s="76" t="s">
        <v>602</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10"/>
        <v>4</v>
      </c>
      <c r="D724" s="73"/>
      <c r="E724" s="70"/>
      <c r="F724" s="70" t="s">
        <v>1339</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10"/>
        <v>4</v>
      </c>
      <c r="D725" s="73"/>
      <c r="E725" s="70"/>
      <c r="F725" s="70" t="s">
        <v>1340</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10"/>
        <v>4</v>
      </c>
      <c r="D726" s="73"/>
      <c r="E726" s="70"/>
      <c r="F726" s="70" t="s">
        <v>1341</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10"/>
        <v>4</v>
      </c>
      <c r="D727" s="73"/>
      <c r="E727" s="70"/>
      <c r="F727" s="70" t="s">
        <v>1342</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10"/>
        <v>4</v>
      </c>
      <c r="D728" s="73"/>
      <c r="E728" s="70"/>
      <c r="F728" s="70" t="s">
        <v>1343</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10"/>
        <v>4</v>
      </c>
      <c r="D729" s="73"/>
      <c r="E729" s="70"/>
      <c r="F729" s="70" t="s">
        <v>1344</v>
      </c>
      <c r="G729" s="73"/>
      <c r="H729" s="76" t="s">
        <v>602</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10"/>
        <v>4</v>
      </c>
      <c r="D730" s="73"/>
      <c r="E730" s="70"/>
      <c r="F730" s="70" t="s">
        <v>1345</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10"/>
        <v>4</v>
      </c>
      <c r="D731" s="73"/>
      <c r="E731" s="70"/>
      <c r="F731" s="70" t="s">
        <v>1346</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10"/>
        <v>4</v>
      </c>
      <c r="D732" s="73"/>
      <c r="E732" s="70"/>
      <c r="F732" s="70" t="s">
        <v>1347</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10"/>
        <v>4</v>
      </c>
      <c r="D733" s="73"/>
      <c r="E733" s="70"/>
      <c r="F733" s="70" t="s">
        <v>1348</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10"/>
        <v>4</v>
      </c>
      <c r="D734" s="73"/>
      <c r="E734" s="70"/>
      <c r="F734" s="70" t="s">
        <v>1349</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10"/>
        <v>4</v>
      </c>
      <c r="D735" s="73"/>
      <c r="E735" s="70"/>
      <c r="F735" s="70" t="s">
        <v>1350</v>
      </c>
      <c r="G735" s="73"/>
      <c r="H735" s="76" t="s">
        <v>602</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10"/>
        <v>4</v>
      </c>
      <c r="D736" s="73"/>
      <c r="E736" s="70"/>
      <c r="F736" s="70" t="s">
        <v>1351</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10"/>
        <v>4</v>
      </c>
      <c r="D737" s="73"/>
      <c r="E737" s="70"/>
      <c r="F737" s="70" t="s">
        <v>1352</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10"/>
        <v>4</v>
      </c>
      <c r="D738" s="73"/>
      <c r="E738" s="70"/>
      <c r="F738" s="70" t="s">
        <v>1353</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10"/>
        <v>4</v>
      </c>
      <c r="D739" s="73"/>
      <c r="E739" s="70"/>
      <c r="F739" s="70" t="s">
        <v>1354</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10"/>
        <v>4</v>
      </c>
      <c r="D740" s="73"/>
      <c r="E740" s="70"/>
      <c r="F740" s="70" t="s">
        <v>1355</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10"/>
        <v>4</v>
      </c>
      <c r="D741" s="73"/>
      <c r="E741" s="70"/>
      <c r="F741" s="70" t="s">
        <v>1356</v>
      </c>
      <c r="G741" s="73"/>
      <c r="H741" s="76" t="s">
        <v>602</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10"/>
        <v>4</v>
      </c>
      <c r="D742" s="73"/>
      <c r="E742" s="70"/>
      <c r="F742" s="70" t="s">
        <v>1357</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10"/>
        <v>4</v>
      </c>
      <c r="D743" s="73"/>
      <c r="E743" s="70"/>
      <c r="F743" s="70" t="s">
        <v>1358</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10"/>
        <v>4</v>
      </c>
      <c r="D744" s="73"/>
      <c r="E744" s="70"/>
      <c r="F744" s="70" t="s">
        <v>1359</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10"/>
        <v>4</v>
      </c>
      <c r="D745" s="73"/>
      <c r="E745" s="70"/>
      <c r="F745" s="70" t="s">
        <v>1360</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10"/>
        <v>4</v>
      </c>
      <c r="D746" s="73"/>
      <c r="E746" s="70"/>
      <c r="F746" s="70" t="s">
        <v>1361</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10"/>
        <v>4</v>
      </c>
      <c r="D747" s="73"/>
      <c r="E747" s="70"/>
      <c r="F747" s="70" t="s">
        <v>1362</v>
      </c>
      <c r="G747" s="73"/>
      <c r="H747" s="76" t="s">
        <v>602</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10"/>
        <v>4</v>
      </c>
      <c r="D748" s="73"/>
      <c r="E748" s="70"/>
      <c r="F748" s="70" t="s">
        <v>1363</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10"/>
        <v>4</v>
      </c>
      <c r="D749" s="73"/>
      <c r="E749" s="70"/>
      <c r="F749" s="70" t="s">
        <v>1364</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10"/>
        <v>4</v>
      </c>
      <c r="D750" s="73"/>
      <c r="E750" s="70"/>
      <c r="F750" s="70" t="s">
        <v>1365</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10"/>
        <v>4</v>
      </c>
      <c r="D751" s="73"/>
      <c r="E751" s="70"/>
      <c r="F751" s="70" t="s">
        <v>1366</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10"/>
        <v>4</v>
      </c>
      <c r="D752" s="73"/>
      <c r="E752" s="70"/>
      <c r="F752" s="70" t="s">
        <v>1367</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11">INT($C$29)+2</f>
        <v>3</v>
      </c>
      <c r="D753" s="73"/>
      <c r="E753" s="70"/>
      <c r="F753" s="70" t="s">
        <v>1368</v>
      </c>
      <c r="G753" s="73"/>
      <c r="H753" s="76" t="s">
        <v>1369</v>
      </c>
      <c r="I753" s="96"/>
      <c r="J753" s="96"/>
      <c r="K753" s="76"/>
      <c r="L753" s="76"/>
      <c r="M753" s="76"/>
      <c r="N753" s="76"/>
      <c r="O753" s="76"/>
      <c r="P753" s="76"/>
      <c r="Q753" s="76"/>
      <c r="R753" s="76"/>
      <c r="S753" s="76"/>
      <c r="T753" s="76"/>
      <c r="U753" s="260">
        <f>U$853</f>
        <v>0</v>
      </c>
      <c r="V753" s="260">
        <f>V$853</f>
        <v>0</v>
      </c>
      <c r="W753" s="260">
        <f>W$853</f>
        <v>0</v>
      </c>
      <c r="X753" s="260">
        <f>X$853</f>
        <v>0</v>
      </c>
      <c r="Y753" s="260">
        <v>0</v>
      </c>
      <c r="Z753" s="260">
        <v>0</v>
      </c>
      <c r="AA753" s="260">
        <v>0</v>
      </c>
      <c r="AB753" s="260">
        <v>0</v>
      </c>
      <c r="AC753" s="260">
        <f>AC$853</f>
        <v>0</v>
      </c>
      <c r="AD753" s="260">
        <f>AD$853</f>
        <v>0</v>
      </c>
      <c r="AE753" s="76"/>
      <c r="AF753" s="97" t="s">
        <v>1370</v>
      </c>
      <c r="AG753" s="76"/>
      <c r="AH753" s="260">
        <f>AH$853</f>
        <v>1</v>
      </c>
      <c r="AI753" s="260">
        <f>AI$853</f>
        <v>1</v>
      </c>
      <c r="AJ753" s="73"/>
      <c r="AK753" s="57"/>
      <c r="AL753" s="45"/>
      <c r="AM753" s="45"/>
      <c r="AN753" s="45"/>
    </row>
    <row r="754" spans="1:40" hidden="1" outlineLevel="2" x14ac:dyDescent="0.25">
      <c r="A754" s="45"/>
      <c r="B754" s="54"/>
      <c r="C754" s="47">
        <f t="shared" si="111"/>
        <v>3</v>
      </c>
      <c r="D754" s="73"/>
      <c r="E754" s="70"/>
      <c r="F754" s="70" t="s">
        <v>1371</v>
      </c>
      <c r="G754" s="73"/>
      <c r="H754" s="76" t="s">
        <v>1372</v>
      </c>
      <c r="I754" s="96"/>
      <c r="J754" s="96"/>
      <c r="K754" s="76"/>
      <c r="L754" s="76"/>
      <c r="M754" s="76"/>
      <c r="N754" s="76"/>
      <c r="O754" s="76"/>
      <c r="P754" s="76"/>
      <c r="Q754" s="76"/>
      <c r="R754" s="76"/>
      <c r="S754" s="76"/>
      <c r="T754" s="76"/>
      <c r="U754" s="260">
        <f>U$854</f>
        <v>-0.71226</v>
      </c>
      <c r="V754" s="260">
        <f>V$854</f>
        <v>-0.71226</v>
      </c>
      <c r="W754" s="260">
        <f>W$854</f>
        <v>-0.9</v>
      </c>
      <c r="X754" s="260">
        <f>X$854</f>
        <v>-0.9</v>
      </c>
      <c r="Y754" s="260">
        <v>-0.9</v>
      </c>
      <c r="Z754" s="260">
        <v>-0.9</v>
      </c>
      <c r="AA754" s="260">
        <v>-0.9</v>
      </c>
      <c r="AB754" s="260">
        <v>-0.21895000000000001</v>
      </c>
      <c r="AC754" s="260">
        <f>AC$854</f>
        <v>-0.21895000000000001</v>
      </c>
      <c r="AD754" s="260">
        <f>AD$854</f>
        <v>-0.21895000000000001</v>
      </c>
      <c r="AE754" s="76"/>
      <c r="AF754" s="76"/>
      <c r="AG754" s="76"/>
      <c r="AH754" s="260">
        <f>AH$854</f>
        <v>1</v>
      </c>
      <c r="AI754" s="260">
        <f>AI$854</f>
        <v>1</v>
      </c>
      <c r="AJ754" s="73"/>
      <c r="AK754" s="57"/>
      <c r="AL754" s="45"/>
      <c r="AM754" s="45"/>
      <c r="AN754" s="45"/>
    </row>
    <row r="755" spans="1:40" hidden="1" outlineLevel="2" x14ac:dyDescent="0.25">
      <c r="A755" s="45"/>
      <c r="B755" s="54"/>
      <c r="C755" s="47">
        <f t="shared" si="111"/>
        <v>3</v>
      </c>
      <c r="D755" s="73"/>
      <c r="E755" s="70"/>
      <c r="F755" s="70" t="s">
        <v>1373</v>
      </c>
      <c r="G755" s="73"/>
      <c r="H755" s="76" t="s">
        <v>1374</v>
      </c>
      <c r="I755" s="96"/>
      <c r="J755" s="96"/>
      <c r="K755" s="76"/>
      <c r="L755" s="76"/>
      <c r="M755" s="76"/>
      <c r="N755" s="76"/>
      <c r="O755" s="76"/>
      <c r="P755" s="76"/>
      <c r="Q755" s="76"/>
      <c r="R755" s="76"/>
      <c r="S755" s="76"/>
      <c r="T755" s="76"/>
      <c r="U755" s="260">
        <f>U$855</f>
        <v>-0.90173999999999999</v>
      </c>
      <c r="V755" s="260">
        <f>V$855</f>
        <v>-0.90173999999999999</v>
      </c>
      <c r="W755" s="260">
        <f>W$855</f>
        <v>-0.90173999999999999</v>
      </c>
      <c r="X755" s="260">
        <f>X$855</f>
        <v>-0.90173999999999999</v>
      </c>
      <c r="Y755" s="260">
        <v>-0.90173999999999999</v>
      </c>
      <c r="Z755" s="260">
        <v>-0.90173999999999999</v>
      </c>
      <c r="AA755" s="260">
        <v>-0.90173999999999999</v>
      </c>
      <c r="AB755" s="260">
        <v>-0.37940000000000002</v>
      </c>
      <c r="AC755" s="260">
        <f>AC$855</f>
        <v>-0.37940000000000002</v>
      </c>
      <c r="AD755" s="260">
        <f>AD$855</f>
        <v>-0.37940000000000002</v>
      </c>
      <c r="AE755" s="76"/>
      <c r="AF755" s="76"/>
      <c r="AG755" s="76"/>
      <c r="AH755" s="260">
        <f>AH$855</f>
        <v>1</v>
      </c>
      <c r="AI755" s="260">
        <f>AI$855</f>
        <v>1</v>
      </c>
      <c r="AJ755" s="73"/>
      <c r="AK755" s="57"/>
      <c r="AL755" s="45"/>
      <c r="AM755" s="45"/>
      <c r="AN755" s="45"/>
    </row>
    <row r="756" spans="1:40" hidden="1" outlineLevel="2" x14ac:dyDescent="0.25">
      <c r="A756" s="45"/>
      <c r="B756" s="54"/>
      <c r="C756" s="47">
        <f t="shared" si="111"/>
        <v>3</v>
      </c>
      <c r="D756" s="73"/>
      <c r="E756" s="70"/>
      <c r="F756" s="70" t="s">
        <v>1375</v>
      </c>
      <c r="G756" s="73"/>
      <c r="H756" s="76" t="s">
        <v>1376</v>
      </c>
      <c r="I756" s="96"/>
      <c r="J756" s="96"/>
      <c r="K756" s="76"/>
      <c r="L756" s="76"/>
      <c r="M756" s="76"/>
      <c r="N756" s="76"/>
      <c r="O756" s="76"/>
      <c r="P756" s="76"/>
      <c r="Q756" s="76"/>
      <c r="R756" s="76"/>
      <c r="S756" s="76"/>
      <c r="T756" s="76"/>
      <c r="U756" s="260">
        <f>$854:$854</f>
        <v>-0.71226</v>
      </c>
      <c r="V756" s="260">
        <f>$854:$854</f>
        <v>-0.71226</v>
      </c>
      <c r="W756" s="260">
        <f>$854:$854</f>
        <v>-0.9</v>
      </c>
      <c r="X756" s="260">
        <f>$854:$854</f>
        <v>-0.9</v>
      </c>
      <c r="Y756" s="260">
        <v>-0.9</v>
      </c>
      <c r="Z756" s="260">
        <v>-0.9</v>
      </c>
      <c r="AA756" s="260">
        <v>-0.9</v>
      </c>
      <c r="AB756" s="260">
        <v>-0.21895000000000001</v>
      </c>
      <c r="AC756" s="260">
        <f>$854:$854</f>
        <v>-0.21895000000000001</v>
      </c>
      <c r="AD756" s="260">
        <f>$854:$854</f>
        <v>-0.21895000000000001</v>
      </c>
      <c r="AE756" s="76"/>
      <c r="AF756" s="76"/>
      <c r="AG756" s="76"/>
      <c r="AH756" s="260">
        <f>$854:$854</f>
        <v>1</v>
      </c>
      <c r="AI756" s="260">
        <f>$854:$854</f>
        <v>1</v>
      </c>
      <c r="AJ756" s="73"/>
      <c r="AK756" s="57"/>
      <c r="AL756" s="45"/>
      <c r="AM756" s="45"/>
      <c r="AN756" s="45"/>
    </row>
    <row r="757" spans="1:40" hidden="1" outlineLevel="2" x14ac:dyDescent="0.25">
      <c r="A757" s="45">
        <v>4</v>
      </c>
      <c r="B757" s="54"/>
      <c r="C757" s="47">
        <f t="shared" si="111"/>
        <v>3</v>
      </c>
      <c r="D757" s="73"/>
      <c r="E757" s="70"/>
      <c r="F757" s="70" t="s">
        <v>1377</v>
      </c>
      <c r="G757" s="73"/>
      <c r="H757" s="76" t="s">
        <v>1378</v>
      </c>
      <c r="I757" s="96"/>
      <c r="J757" s="96"/>
      <c r="K757" s="76"/>
      <c r="L757" s="76"/>
      <c r="M757" s="76"/>
      <c r="N757" s="76"/>
      <c r="O757" s="76"/>
      <c r="P757" s="76"/>
      <c r="Q757" s="76"/>
      <c r="R757" s="76"/>
      <c r="S757" s="76"/>
      <c r="T757" s="76"/>
      <c r="U757" s="260">
        <f t="shared" ref="U757:X758" si="112">$855:$855</f>
        <v>-0.90173999999999999</v>
      </c>
      <c r="V757" s="260">
        <f t="shared" si="112"/>
        <v>-0.90173999999999999</v>
      </c>
      <c r="W757" s="260">
        <f t="shared" si="112"/>
        <v>-0.90173999999999999</v>
      </c>
      <c r="X757" s="260">
        <f t="shared" si="112"/>
        <v>-0.90173999999999999</v>
      </c>
      <c r="Y757" s="260">
        <v>-0.90173999999999999</v>
      </c>
      <c r="Z757" s="260">
        <v>-0.90173999999999999</v>
      </c>
      <c r="AA757" s="260">
        <v>-0.90173999999999999</v>
      </c>
      <c r="AB757" s="260">
        <v>-0.37940000000000002</v>
      </c>
      <c r="AC757" s="260">
        <f>$855:$855</f>
        <v>-0.37940000000000002</v>
      </c>
      <c r="AD757" s="260">
        <f>$855:$855</f>
        <v>-0.37940000000000002</v>
      </c>
      <c r="AE757" s="76"/>
      <c r="AF757" s="76"/>
      <c r="AG757" s="76"/>
      <c r="AH757" s="260">
        <f>$855:$855</f>
        <v>1</v>
      </c>
      <c r="AI757" s="260">
        <f>$855:$855</f>
        <v>1</v>
      </c>
      <c r="AJ757" s="73"/>
      <c r="AK757" s="57"/>
      <c r="AL757" s="45"/>
      <c r="AM757" s="45"/>
      <c r="AN757" s="45"/>
    </row>
    <row r="758" spans="1:40" hidden="1" outlineLevel="2" collapsed="1" x14ac:dyDescent="0.25">
      <c r="A758" s="45">
        <f>A757</f>
        <v>4</v>
      </c>
      <c r="B758" s="54"/>
      <c r="C758" s="47">
        <f t="shared" si="111"/>
        <v>3</v>
      </c>
      <c r="D758" s="73"/>
      <c r="E758" s="70"/>
      <c r="F758" s="70" t="s">
        <v>1379</v>
      </c>
      <c r="G758" s="73"/>
      <c r="H758" s="76" t="s">
        <v>1380</v>
      </c>
      <c r="I758" s="96"/>
      <c r="J758" s="96"/>
      <c r="K758" s="76"/>
      <c r="L758" s="76"/>
      <c r="M758" s="76"/>
      <c r="N758" s="76"/>
      <c r="O758" s="76"/>
      <c r="P758" s="76"/>
      <c r="Q758" s="76"/>
      <c r="R758" s="76"/>
      <c r="S758" s="76"/>
      <c r="T758" s="76"/>
      <c r="U758" s="260">
        <f t="shared" si="112"/>
        <v>-0.90173999999999999</v>
      </c>
      <c r="V758" s="260">
        <f t="shared" si="112"/>
        <v>-0.90173999999999999</v>
      </c>
      <c r="W758" s="260">
        <f t="shared" si="112"/>
        <v>-0.90173999999999999</v>
      </c>
      <c r="X758" s="260">
        <f t="shared" si="112"/>
        <v>-0.90173999999999999</v>
      </c>
      <c r="Y758" s="260">
        <v>-0.90173999999999999</v>
      </c>
      <c r="Z758" s="260">
        <v>-0.90173999999999999</v>
      </c>
      <c r="AA758" s="260">
        <v>-0.90173999999999999</v>
      </c>
      <c r="AB758" s="260">
        <v>-0.37940000000000002</v>
      </c>
      <c r="AC758" s="260">
        <f>$855:$855</f>
        <v>-0.37940000000000002</v>
      </c>
      <c r="AD758" s="260">
        <f>$855:$855</f>
        <v>-0.37940000000000002</v>
      </c>
      <c r="AE758" s="76"/>
      <c r="AF758" s="76"/>
      <c r="AG758" s="76"/>
      <c r="AH758" s="260">
        <f>$855:$855</f>
        <v>1</v>
      </c>
      <c r="AI758" s="260">
        <f>$855:$855</f>
        <v>1</v>
      </c>
      <c r="AJ758" s="73"/>
      <c r="AK758" s="57"/>
      <c r="AL758" s="45"/>
      <c r="AM758" s="45"/>
      <c r="AN758" s="45"/>
    </row>
    <row r="759" spans="1:40" hidden="1" outlineLevel="3" x14ac:dyDescent="0.25">
      <c r="A759" s="45"/>
      <c r="B759" s="54"/>
      <c r="C759" s="47">
        <f t="shared" ref="C759:C776" si="113">INT($C$29)+3</f>
        <v>4</v>
      </c>
      <c r="D759" s="73"/>
      <c r="E759" s="70"/>
      <c r="F759" s="70" t="s">
        <v>1381</v>
      </c>
      <c r="G759" s="73"/>
      <c r="H759" s="76" t="s">
        <v>602</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13"/>
        <v>4</v>
      </c>
      <c r="D760" s="73"/>
      <c r="E760" s="70"/>
      <c r="F760" s="70" t="s">
        <v>1382</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13"/>
        <v>4</v>
      </c>
      <c r="D761" s="73"/>
      <c r="E761" s="70"/>
      <c r="F761" s="70" t="s">
        <v>1383</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13"/>
        <v>4</v>
      </c>
      <c r="D762" s="73"/>
      <c r="E762" s="70"/>
      <c r="F762" s="70" t="s">
        <v>1384</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13"/>
        <v>4</v>
      </c>
      <c r="D763" s="73"/>
      <c r="E763" s="70"/>
      <c r="F763" s="70" t="s">
        <v>1385</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13"/>
        <v>4</v>
      </c>
      <c r="D764" s="73"/>
      <c r="E764" s="70"/>
      <c r="F764" s="70" t="s">
        <v>1386</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13"/>
        <v>4</v>
      </c>
      <c r="D765" s="73"/>
      <c r="E765" s="70"/>
      <c r="F765" s="70" t="s">
        <v>1387</v>
      </c>
      <c r="G765" s="73"/>
      <c r="H765" s="76" t="s">
        <v>602</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13"/>
        <v>4</v>
      </c>
      <c r="D766" s="73"/>
      <c r="E766" s="70"/>
      <c r="F766" s="70" t="s">
        <v>1388</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13"/>
        <v>4</v>
      </c>
      <c r="D767" s="73"/>
      <c r="E767" s="70"/>
      <c r="F767" s="70" t="s">
        <v>1389</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13"/>
        <v>4</v>
      </c>
      <c r="D768" s="73"/>
      <c r="E768" s="70"/>
      <c r="F768" s="70" t="s">
        <v>1390</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13"/>
        <v>4</v>
      </c>
      <c r="D769" s="73"/>
      <c r="E769" s="70"/>
      <c r="F769" s="70" t="s">
        <v>1391</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13"/>
        <v>4</v>
      </c>
      <c r="D770" s="73"/>
      <c r="E770" s="70"/>
      <c r="F770" s="70" t="s">
        <v>1392</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13"/>
        <v>4</v>
      </c>
      <c r="D771" s="73"/>
      <c r="E771" s="70"/>
      <c r="F771" s="70" t="s">
        <v>1393</v>
      </c>
      <c r="G771" s="73"/>
      <c r="H771" s="76" t="s">
        <v>2731</v>
      </c>
      <c r="I771" s="96"/>
      <c r="J771" s="96"/>
      <c r="K771" s="76"/>
      <c r="L771" s="76"/>
      <c r="M771" s="76"/>
      <c r="N771" s="76"/>
      <c r="O771" s="76"/>
      <c r="P771" s="76"/>
      <c r="Q771" s="76"/>
      <c r="R771" s="76"/>
      <c r="S771" s="76"/>
      <c r="T771" s="76"/>
      <c r="U771" s="280">
        <v>1</v>
      </c>
      <c r="V771" s="335">
        <f t="shared" ref="V771:V776" si="114">U771</f>
        <v>1</v>
      </c>
      <c r="W771" s="335">
        <f t="shared" ref="W771:X776" si="115">U771</f>
        <v>1</v>
      </c>
      <c r="X771" s="335">
        <f t="shared" si="115"/>
        <v>1</v>
      </c>
      <c r="Y771" s="335">
        <v>1</v>
      </c>
      <c r="Z771" s="335">
        <v>1</v>
      </c>
      <c r="AA771" s="335">
        <v>1</v>
      </c>
      <c r="AB771" s="335">
        <v>1</v>
      </c>
      <c r="AC771" s="335">
        <f t="shared" ref="AC771:AD788" si="116">AB771</f>
        <v>1</v>
      </c>
      <c r="AD771" s="335">
        <f t="shared" si="116"/>
        <v>1</v>
      </c>
      <c r="AE771" s="76"/>
      <c r="AF771" s="97" t="s">
        <v>2737</v>
      </c>
      <c r="AG771" s="76"/>
      <c r="AH771" s="97">
        <v>1</v>
      </c>
      <c r="AI771" s="97">
        <v>1</v>
      </c>
      <c r="AJ771" s="73"/>
      <c r="AK771" s="57"/>
      <c r="AL771" s="45"/>
      <c r="AM771" s="45"/>
      <c r="AN771" s="45"/>
    </row>
    <row r="772" spans="1:40" hidden="1" outlineLevel="2" x14ac:dyDescent="0.25">
      <c r="A772" s="45"/>
      <c r="B772" s="54"/>
      <c r="C772" s="47">
        <f t="shared" si="113"/>
        <v>4</v>
      </c>
      <c r="D772" s="73"/>
      <c r="E772" s="70"/>
      <c r="F772" s="70" t="s">
        <v>1394</v>
      </c>
      <c r="G772" s="73"/>
      <c r="H772" s="76" t="s">
        <v>2732</v>
      </c>
      <c r="I772" s="96"/>
      <c r="J772" s="96"/>
      <c r="K772" s="76"/>
      <c r="L772" s="76"/>
      <c r="M772" s="76"/>
      <c r="N772" s="76"/>
      <c r="O772" s="76"/>
      <c r="P772" s="76"/>
      <c r="Q772" s="76"/>
      <c r="R772" s="76"/>
      <c r="S772" s="76"/>
      <c r="T772" s="76"/>
      <c r="U772" s="280">
        <v>0.95399999999999996</v>
      </c>
      <c r="V772" s="335">
        <f t="shared" si="114"/>
        <v>0.95399999999999996</v>
      </c>
      <c r="W772" s="335">
        <f t="shared" si="115"/>
        <v>0.95399999999999996</v>
      </c>
      <c r="X772" s="335">
        <f t="shared" si="115"/>
        <v>0.95399999999999996</v>
      </c>
      <c r="Y772" s="335">
        <v>0.95399999999999996</v>
      </c>
      <c r="Z772" s="335">
        <v>0.95399999999999996</v>
      </c>
      <c r="AA772" s="335">
        <v>0.95399999999999996</v>
      </c>
      <c r="AB772" s="335">
        <v>0.95399999999999996</v>
      </c>
      <c r="AC772" s="335">
        <f t="shared" si="116"/>
        <v>0.95399999999999996</v>
      </c>
      <c r="AD772" s="335">
        <f t="shared" si="116"/>
        <v>0.95399999999999996</v>
      </c>
      <c r="AE772" s="76"/>
      <c r="AF772" s="76"/>
      <c r="AG772" s="76"/>
      <c r="AH772" s="97">
        <v>1</v>
      </c>
      <c r="AI772" s="97">
        <v>1</v>
      </c>
      <c r="AJ772" s="73"/>
      <c r="AK772" s="57"/>
      <c r="AL772" s="45"/>
      <c r="AM772" s="45"/>
      <c r="AN772" s="45"/>
    </row>
    <row r="773" spans="1:40" hidden="1" outlineLevel="2" x14ac:dyDescent="0.25">
      <c r="A773" s="45"/>
      <c r="B773" s="54"/>
      <c r="C773" s="47">
        <f t="shared" si="113"/>
        <v>4</v>
      </c>
      <c r="D773" s="73"/>
      <c r="E773" s="70"/>
      <c r="F773" s="70" t="s">
        <v>1395</v>
      </c>
      <c r="G773" s="73"/>
      <c r="H773" s="76" t="s">
        <v>2733</v>
      </c>
      <c r="I773" s="96"/>
      <c r="J773" s="96"/>
      <c r="K773" s="76"/>
      <c r="L773" s="76"/>
      <c r="M773" s="76"/>
      <c r="N773" s="76"/>
      <c r="O773" s="76"/>
      <c r="P773" s="76"/>
      <c r="Q773" s="76"/>
      <c r="R773" s="76"/>
      <c r="S773" s="76"/>
      <c r="T773" s="76"/>
      <c r="U773" s="280">
        <v>0.90800000000000003</v>
      </c>
      <c r="V773" s="335">
        <f t="shared" si="114"/>
        <v>0.90800000000000003</v>
      </c>
      <c r="W773" s="335">
        <f t="shared" si="115"/>
        <v>0.90800000000000003</v>
      </c>
      <c r="X773" s="335">
        <f t="shared" si="115"/>
        <v>0.90800000000000003</v>
      </c>
      <c r="Y773" s="335">
        <v>0.90800000000000003</v>
      </c>
      <c r="Z773" s="335">
        <v>0.90800000000000003</v>
      </c>
      <c r="AA773" s="335">
        <v>0.90800000000000003</v>
      </c>
      <c r="AB773" s="335">
        <v>0.90800000000000003</v>
      </c>
      <c r="AC773" s="335">
        <f t="shared" si="116"/>
        <v>0.90800000000000003</v>
      </c>
      <c r="AD773" s="335">
        <f t="shared" si="116"/>
        <v>0.90800000000000003</v>
      </c>
      <c r="AE773" s="76"/>
      <c r="AF773" s="76"/>
      <c r="AG773" s="76"/>
      <c r="AH773" s="97">
        <v>1</v>
      </c>
      <c r="AI773" s="97">
        <v>1</v>
      </c>
      <c r="AJ773" s="73"/>
      <c r="AK773" s="57"/>
      <c r="AL773" s="45"/>
      <c r="AM773" s="45"/>
      <c r="AN773" s="45"/>
    </row>
    <row r="774" spans="1:40" hidden="1" outlineLevel="2" x14ac:dyDescent="0.25">
      <c r="A774" s="45"/>
      <c r="B774" s="54"/>
      <c r="C774" s="47">
        <f t="shared" si="113"/>
        <v>4</v>
      </c>
      <c r="D774" s="73"/>
      <c r="E774" s="70"/>
      <c r="F774" s="70" t="s">
        <v>1396</v>
      </c>
      <c r="G774" s="73"/>
      <c r="H774" s="76" t="s">
        <v>2734</v>
      </c>
      <c r="I774" s="96"/>
      <c r="J774" s="96"/>
      <c r="K774" s="76"/>
      <c r="L774" s="76"/>
      <c r="M774" s="76"/>
      <c r="N774" s="76"/>
      <c r="O774" s="76"/>
      <c r="P774" s="76"/>
      <c r="Q774" s="76"/>
      <c r="R774" s="76"/>
      <c r="S774" s="76"/>
      <c r="T774" s="76"/>
      <c r="U774" s="280">
        <v>0.97</v>
      </c>
      <c r="V774" s="335">
        <f t="shared" si="114"/>
        <v>0.97</v>
      </c>
      <c r="W774" s="335">
        <f t="shared" si="115"/>
        <v>0.97</v>
      </c>
      <c r="X774" s="335">
        <f t="shared" si="115"/>
        <v>0.97</v>
      </c>
      <c r="Y774" s="335">
        <v>0.97</v>
      </c>
      <c r="Z774" s="335">
        <v>0.97</v>
      </c>
      <c r="AA774" s="335">
        <v>0.97</v>
      </c>
      <c r="AB774" s="335">
        <v>0.97</v>
      </c>
      <c r="AC774" s="335">
        <f t="shared" si="116"/>
        <v>0.97</v>
      </c>
      <c r="AD774" s="335">
        <f t="shared" si="116"/>
        <v>0.97</v>
      </c>
      <c r="AE774" s="76"/>
      <c r="AF774" s="76"/>
      <c r="AG774" s="76"/>
      <c r="AH774" s="97">
        <v>1</v>
      </c>
      <c r="AI774" s="97">
        <v>1</v>
      </c>
      <c r="AJ774" s="73"/>
      <c r="AK774" s="57"/>
      <c r="AL774" s="45"/>
      <c r="AM774" s="45"/>
      <c r="AN774" s="45"/>
    </row>
    <row r="775" spans="1:40" hidden="1" outlineLevel="2" x14ac:dyDescent="0.25">
      <c r="A775" s="45">
        <v>4</v>
      </c>
      <c r="B775" s="54"/>
      <c r="C775" s="47">
        <f t="shared" si="113"/>
        <v>4</v>
      </c>
      <c r="D775" s="73"/>
      <c r="E775" s="70"/>
      <c r="F775" s="70" t="s">
        <v>1397</v>
      </c>
      <c r="G775" s="73"/>
      <c r="H775" s="76" t="s">
        <v>2735</v>
      </c>
      <c r="I775" s="96"/>
      <c r="J775" s="96"/>
      <c r="K775" s="76"/>
      <c r="L775" s="76"/>
      <c r="M775" s="76"/>
      <c r="N775" s="76"/>
      <c r="O775" s="76"/>
      <c r="P775" s="76"/>
      <c r="Q775" s="76"/>
      <c r="R775" s="76"/>
      <c r="S775" s="76"/>
      <c r="T775" s="76"/>
      <c r="U775" s="280">
        <v>0.92400000000000004</v>
      </c>
      <c r="V775" s="335">
        <f t="shared" si="114"/>
        <v>0.92400000000000004</v>
      </c>
      <c r="W775" s="335">
        <f t="shared" si="115"/>
        <v>0.92400000000000004</v>
      </c>
      <c r="X775" s="335">
        <f t="shared" si="115"/>
        <v>0.92400000000000004</v>
      </c>
      <c r="Y775" s="335">
        <v>0.92400000000000004</v>
      </c>
      <c r="Z775" s="335">
        <v>0.92400000000000004</v>
      </c>
      <c r="AA775" s="335">
        <v>0.92400000000000004</v>
      </c>
      <c r="AB775" s="335">
        <v>0.92400000000000004</v>
      </c>
      <c r="AC775" s="335">
        <f t="shared" si="116"/>
        <v>0.92400000000000004</v>
      </c>
      <c r="AD775" s="335">
        <f t="shared" si="116"/>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13"/>
        <v>4</v>
      </c>
      <c r="D776" s="73"/>
      <c r="E776" s="70"/>
      <c r="F776" s="70" t="s">
        <v>1398</v>
      </c>
      <c r="G776" s="73"/>
      <c r="H776" s="76" t="s">
        <v>2736</v>
      </c>
      <c r="I776" s="96"/>
      <c r="J776" s="96"/>
      <c r="K776" s="76"/>
      <c r="L776" s="76"/>
      <c r="M776" s="76"/>
      <c r="N776" s="76"/>
      <c r="O776" s="76"/>
      <c r="P776" s="76"/>
      <c r="Q776" s="76"/>
      <c r="R776" s="76"/>
      <c r="S776" s="76"/>
      <c r="T776" s="76"/>
      <c r="U776" s="280">
        <v>0.94</v>
      </c>
      <c r="V776" s="335">
        <f t="shared" si="114"/>
        <v>0.94</v>
      </c>
      <c r="W776" s="335">
        <f t="shared" si="115"/>
        <v>0.94</v>
      </c>
      <c r="X776" s="335">
        <f t="shared" si="115"/>
        <v>0.94</v>
      </c>
      <c r="Y776" s="335">
        <v>0.94</v>
      </c>
      <c r="Z776" s="335">
        <v>0.94</v>
      </c>
      <c r="AA776" s="335">
        <v>0.94</v>
      </c>
      <c r="AB776" s="335">
        <v>0.94</v>
      </c>
      <c r="AC776" s="335">
        <f t="shared" si="116"/>
        <v>0.94</v>
      </c>
      <c r="AD776" s="335">
        <f t="shared" si="116"/>
        <v>0.94</v>
      </c>
      <c r="AE776" s="76"/>
      <c r="AF776" s="76"/>
      <c r="AG776" s="76"/>
      <c r="AH776" s="97">
        <v>1</v>
      </c>
      <c r="AI776" s="97">
        <v>1</v>
      </c>
      <c r="AJ776" s="73"/>
      <c r="AK776" s="57"/>
      <c r="AL776" s="45"/>
      <c r="AM776" s="45"/>
      <c r="AN776" s="45"/>
    </row>
    <row r="777" spans="1:40" hidden="1" outlineLevel="2" x14ac:dyDescent="0.25">
      <c r="A777" s="45"/>
      <c r="B777" s="54"/>
      <c r="C777" s="47">
        <f t="shared" ref="C777:C788" si="117">INT($C$29)+2</f>
        <v>3</v>
      </c>
      <c r="D777" s="73"/>
      <c r="E777" s="70"/>
      <c r="F777" s="70" t="s">
        <v>1399</v>
      </c>
      <c r="G777" s="73"/>
      <c r="H777" s="76" t="s">
        <v>1400</v>
      </c>
      <c r="I777" s="96" t="s">
        <v>690</v>
      </c>
      <c r="J777" s="96" t="s">
        <v>1143</v>
      </c>
      <c r="K777" s="76"/>
      <c r="L777" s="76"/>
      <c r="M777" s="76"/>
      <c r="N777" s="76"/>
      <c r="O777" s="76"/>
      <c r="P777" s="76"/>
      <c r="Q777" s="76"/>
      <c r="R777" s="76"/>
      <c r="S777" s="76"/>
      <c r="T777" s="76"/>
      <c r="U777" s="97">
        <v>0</v>
      </c>
      <c r="V777" s="97">
        <v>0</v>
      </c>
      <c r="W777" s="97">
        <v>0</v>
      </c>
      <c r="X777" s="97">
        <v>0</v>
      </c>
      <c r="Y777" s="97">
        <v>0</v>
      </c>
      <c r="Z777" s="97">
        <v>0</v>
      </c>
      <c r="AA777" s="97">
        <v>0</v>
      </c>
      <c r="AB777" s="254">
        <v>0</v>
      </c>
      <c r="AC777" s="254">
        <f t="shared" si="116"/>
        <v>0</v>
      </c>
      <c r="AD777" s="254">
        <f t="shared" si="116"/>
        <v>0</v>
      </c>
      <c r="AE777" s="76"/>
      <c r="AF777" s="97" t="s">
        <v>1401</v>
      </c>
      <c r="AG777" s="76"/>
      <c r="AH777" s="97">
        <v>1</v>
      </c>
      <c r="AI777" s="97">
        <v>1</v>
      </c>
      <c r="AJ777" s="73"/>
      <c r="AK777" s="57"/>
      <c r="AL777" s="45"/>
      <c r="AM777" s="45"/>
      <c r="AN777" s="45"/>
    </row>
    <row r="778" spans="1:40" hidden="1" outlineLevel="2" x14ac:dyDescent="0.25">
      <c r="A778" s="45"/>
      <c r="B778" s="54"/>
      <c r="C778" s="47">
        <f t="shared" si="117"/>
        <v>3</v>
      </c>
      <c r="D778" s="73"/>
      <c r="E778" s="70"/>
      <c r="F778" s="70" t="s">
        <v>1402</v>
      </c>
      <c r="G778" s="73"/>
      <c r="H778" s="76" t="s">
        <v>1403</v>
      </c>
      <c r="I778" s="96" t="s">
        <v>690</v>
      </c>
      <c r="J778" s="96" t="s">
        <v>1143</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97">
        <v>-0.26400000000000001</v>
      </c>
      <c r="AA778" s="97">
        <v>-0.26400000000000001</v>
      </c>
      <c r="AB778" s="254">
        <v>-0.26400000000000001</v>
      </c>
      <c r="AC778" s="254">
        <f t="shared" si="116"/>
        <v>-0.26400000000000001</v>
      </c>
      <c r="AD778" s="254">
        <f t="shared" si="116"/>
        <v>-0.26400000000000001</v>
      </c>
      <c r="AE778" s="76"/>
      <c r="AF778" s="97" t="s">
        <v>1404</v>
      </c>
      <c r="AG778" s="76"/>
      <c r="AH778" s="97">
        <v>1</v>
      </c>
      <c r="AI778" s="97">
        <v>1</v>
      </c>
      <c r="AJ778" s="73"/>
      <c r="AK778" s="57"/>
      <c r="AL778" s="45"/>
      <c r="AM778" s="45"/>
      <c r="AN778" s="45"/>
    </row>
    <row r="779" spans="1:40" hidden="1" outlineLevel="2" x14ac:dyDescent="0.25">
      <c r="A779" s="45"/>
      <c r="B779" s="54"/>
      <c r="C779" s="47">
        <f t="shared" si="117"/>
        <v>3</v>
      </c>
      <c r="D779" s="73"/>
      <c r="E779" s="70"/>
      <c r="F779" s="70" t="s">
        <v>1405</v>
      </c>
      <c r="G779" s="73"/>
      <c r="H779" s="76" t="s">
        <v>1406</v>
      </c>
      <c r="I779" s="96" t="s">
        <v>690</v>
      </c>
      <c r="J779" s="96" t="s">
        <v>1143</v>
      </c>
      <c r="K779" s="76"/>
      <c r="L779" s="76"/>
      <c r="M779" s="76"/>
      <c r="N779" s="76"/>
      <c r="O779" s="76"/>
      <c r="P779" s="76"/>
      <c r="Q779" s="76"/>
      <c r="R779" s="76"/>
      <c r="S779" s="76"/>
      <c r="T779" s="76"/>
      <c r="U779" s="97">
        <v>-0.4</v>
      </c>
      <c r="V779" s="97">
        <v>-0.4</v>
      </c>
      <c r="W779" s="97">
        <v>-0.4</v>
      </c>
      <c r="X779" s="97">
        <v>-0.4</v>
      </c>
      <c r="Y779" s="97">
        <v>-0.4</v>
      </c>
      <c r="Z779" s="97">
        <v>-0.4</v>
      </c>
      <c r="AA779" s="97">
        <v>-0.4</v>
      </c>
      <c r="AB779" s="254">
        <v>-0.4</v>
      </c>
      <c r="AC779" s="254">
        <f t="shared" si="116"/>
        <v>-0.4</v>
      </c>
      <c r="AD779" s="254">
        <f t="shared" si="116"/>
        <v>-0.4</v>
      </c>
      <c r="AE779" s="76"/>
      <c r="AF779" s="262" t="s">
        <v>1407</v>
      </c>
      <c r="AG779" s="76"/>
      <c r="AH779" s="97">
        <v>1</v>
      </c>
      <c r="AI779" s="97">
        <v>1</v>
      </c>
      <c r="AJ779" s="73"/>
      <c r="AK779" s="57"/>
      <c r="AL779" s="45"/>
      <c r="AM779" s="45"/>
      <c r="AN779" s="45"/>
    </row>
    <row r="780" spans="1:40" hidden="1" outlineLevel="2" x14ac:dyDescent="0.25">
      <c r="A780" s="45"/>
      <c r="B780" s="54"/>
      <c r="C780" s="47">
        <f t="shared" si="117"/>
        <v>3</v>
      </c>
      <c r="D780" s="73"/>
      <c r="E780" s="70"/>
      <c r="F780" s="70" t="s">
        <v>1408</v>
      </c>
      <c r="G780" s="73"/>
      <c r="H780" s="76" t="s">
        <v>1409</v>
      </c>
      <c r="I780" s="96" t="s">
        <v>690</v>
      </c>
      <c r="J780" s="96" t="s">
        <v>1143</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97">
        <v>-0.17799999999999999</v>
      </c>
      <c r="AA780" s="97">
        <v>-0.17799999999999999</v>
      </c>
      <c r="AB780" s="254">
        <v>-0.17799999999999999</v>
      </c>
      <c r="AC780" s="254">
        <f t="shared" si="116"/>
        <v>-0.17799999999999999</v>
      </c>
      <c r="AD780" s="254">
        <f t="shared" si="116"/>
        <v>-0.17799999999999999</v>
      </c>
      <c r="AE780" s="76"/>
      <c r="AF780" s="97" t="s">
        <v>1410</v>
      </c>
      <c r="AG780" s="76"/>
      <c r="AH780" s="97">
        <v>1</v>
      </c>
      <c r="AI780" s="97">
        <v>1</v>
      </c>
      <c r="AJ780" s="73"/>
      <c r="AK780" s="57"/>
      <c r="AL780" s="45"/>
      <c r="AM780" s="45"/>
      <c r="AN780" s="45"/>
    </row>
    <row r="781" spans="1:40" hidden="1" outlineLevel="2" x14ac:dyDescent="0.25">
      <c r="A781" s="45">
        <v>4</v>
      </c>
      <c r="B781" s="54"/>
      <c r="C781" s="47">
        <f t="shared" si="117"/>
        <v>3</v>
      </c>
      <c r="D781" s="73"/>
      <c r="E781" s="70"/>
      <c r="F781" s="70" t="s">
        <v>1411</v>
      </c>
      <c r="G781" s="73"/>
      <c r="H781" s="76" t="s">
        <v>1412</v>
      </c>
      <c r="I781" s="96" t="s">
        <v>690</v>
      </c>
      <c r="J781" s="96" t="s">
        <v>1143</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97">
        <v>-0.26400000000000001</v>
      </c>
      <c r="AA781" s="97">
        <v>-0.26400000000000001</v>
      </c>
      <c r="AB781" s="254">
        <v>-0.26400000000000001</v>
      </c>
      <c r="AC781" s="254">
        <f t="shared" si="116"/>
        <v>-0.26400000000000001</v>
      </c>
      <c r="AD781" s="254">
        <f t="shared" si="116"/>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17"/>
        <v>3</v>
      </c>
      <c r="D782" s="73"/>
      <c r="E782" s="70"/>
      <c r="F782" s="70" t="s">
        <v>1413</v>
      </c>
      <c r="G782" s="73"/>
      <c r="H782" s="76" t="s">
        <v>1414</v>
      </c>
      <c r="I782" s="96" t="s">
        <v>690</v>
      </c>
      <c r="J782" s="96" t="s">
        <v>1143</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97">
        <v>-0.17799999999999999</v>
      </c>
      <c r="AA782" s="97">
        <v>-0.17799999999999999</v>
      </c>
      <c r="AB782" s="254">
        <v>-0.17799999999999999</v>
      </c>
      <c r="AC782" s="254">
        <f t="shared" si="116"/>
        <v>-0.17799999999999999</v>
      </c>
      <c r="AD782" s="254">
        <f t="shared" si="116"/>
        <v>-0.17799999999999999</v>
      </c>
      <c r="AE782" s="76"/>
      <c r="AF782" s="97"/>
      <c r="AG782" s="76"/>
      <c r="AH782" s="97">
        <v>1</v>
      </c>
      <c r="AI782" s="97">
        <v>1</v>
      </c>
      <c r="AJ782" s="73"/>
      <c r="AK782" s="57"/>
      <c r="AL782" s="45"/>
      <c r="AM782" s="45"/>
      <c r="AN782" s="45"/>
    </row>
    <row r="783" spans="1:40" hidden="1" outlineLevel="2" x14ac:dyDescent="0.25">
      <c r="A783" s="45"/>
      <c r="B783" s="54"/>
      <c r="C783" s="47">
        <f t="shared" si="117"/>
        <v>3</v>
      </c>
      <c r="D783" s="73"/>
      <c r="E783" s="70"/>
      <c r="F783" s="70" t="s">
        <v>1415</v>
      </c>
      <c r="G783" s="73"/>
      <c r="H783" s="76" t="s">
        <v>1416</v>
      </c>
      <c r="I783" s="96" t="s">
        <v>1417</v>
      </c>
      <c r="J783" s="96" t="s">
        <v>1143</v>
      </c>
      <c r="K783" s="76"/>
      <c r="L783" s="76"/>
      <c r="M783" s="76"/>
      <c r="N783" s="76"/>
      <c r="O783" s="76"/>
      <c r="P783" s="76"/>
      <c r="Q783" s="76"/>
      <c r="R783" s="76"/>
      <c r="S783" s="76"/>
      <c r="T783" s="76"/>
      <c r="U783" s="97">
        <v>0</v>
      </c>
      <c r="V783" s="97">
        <v>0</v>
      </c>
      <c r="W783" s="97">
        <v>0</v>
      </c>
      <c r="X783" s="97">
        <v>0</v>
      </c>
      <c r="Y783" s="97">
        <v>0</v>
      </c>
      <c r="Z783" s="97">
        <v>0</v>
      </c>
      <c r="AA783" s="97">
        <v>0</v>
      </c>
      <c r="AB783" s="254">
        <v>0</v>
      </c>
      <c r="AC783" s="254">
        <f t="shared" si="116"/>
        <v>0</v>
      </c>
      <c r="AD783" s="254">
        <f t="shared" si="116"/>
        <v>0</v>
      </c>
      <c r="AE783" s="76"/>
      <c r="AF783" s="97" t="s">
        <v>1401</v>
      </c>
      <c r="AG783" s="76"/>
      <c r="AH783" s="97">
        <v>1</v>
      </c>
      <c r="AI783" s="97">
        <v>1</v>
      </c>
      <c r="AJ783" s="73"/>
      <c r="AK783" s="57"/>
      <c r="AL783" s="45"/>
      <c r="AM783" s="45"/>
      <c r="AN783" s="45"/>
    </row>
    <row r="784" spans="1:40" hidden="1" outlineLevel="2" x14ac:dyDescent="0.25">
      <c r="A784" s="45"/>
      <c r="B784" s="54"/>
      <c r="C784" s="47">
        <f t="shared" si="117"/>
        <v>3</v>
      </c>
      <c r="D784" s="73"/>
      <c r="E784" s="70"/>
      <c r="F784" s="70" t="s">
        <v>1418</v>
      </c>
      <c r="G784" s="73"/>
      <c r="H784" s="76" t="s">
        <v>1419</v>
      </c>
      <c r="I784" s="96" t="s">
        <v>1417</v>
      </c>
      <c r="J784" s="96" t="s">
        <v>1143</v>
      </c>
      <c r="K784" s="76"/>
      <c r="L784" s="76"/>
      <c r="M784" s="76"/>
      <c r="N784" s="76"/>
      <c r="O784" s="76"/>
      <c r="P784" s="76"/>
      <c r="Q784" s="76"/>
      <c r="R784" s="76"/>
      <c r="S784" s="76"/>
      <c r="T784" s="76"/>
      <c r="U784" s="97">
        <v>0.43</v>
      </c>
      <c r="V784" s="97">
        <v>0.43</v>
      </c>
      <c r="W784" s="97">
        <v>0.43</v>
      </c>
      <c r="X784" s="97">
        <v>0.43</v>
      </c>
      <c r="Y784" s="97">
        <v>0.43</v>
      </c>
      <c r="Z784" s="97">
        <v>0.43</v>
      </c>
      <c r="AA784" s="97">
        <v>0.43</v>
      </c>
      <c r="AB784" s="254">
        <v>0.43</v>
      </c>
      <c r="AC784" s="254">
        <f t="shared" si="116"/>
        <v>0.43</v>
      </c>
      <c r="AD784" s="254">
        <f t="shared" si="116"/>
        <v>0.43</v>
      </c>
      <c r="AE784" s="76"/>
      <c r="AF784" s="97" t="s">
        <v>1404</v>
      </c>
      <c r="AG784" s="76"/>
      <c r="AH784" s="97">
        <v>1</v>
      </c>
      <c r="AI784" s="97">
        <v>1</v>
      </c>
      <c r="AJ784" s="73"/>
      <c r="AK784" s="57"/>
      <c r="AL784" s="45"/>
      <c r="AM784" s="45"/>
      <c r="AN784" s="45"/>
    </row>
    <row r="785" spans="1:40" hidden="1" outlineLevel="2" x14ac:dyDescent="0.25">
      <c r="A785" s="45"/>
      <c r="B785" s="54"/>
      <c r="C785" s="47">
        <f t="shared" si="117"/>
        <v>3</v>
      </c>
      <c r="D785" s="73"/>
      <c r="E785" s="70"/>
      <c r="F785" s="70" t="s">
        <v>1420</v>
      </c>
      <c r="G785" s="73"/>
      <c r="H785" s="76" t="s">
        <v>1421</v>
      </c>
      <c r="I785" s="96" t="s">
        <v>1417</v>
      </c>
      <c r="J785" s="96" t="s">
        <v>1143</v>
      </c>
      <c r="K785" s="76"/>
      <c r="L785" s="76"/>
      <c r="M785" s="76"/>
      <c r="N785" s="76"/>
      <c r="O785" s="76"/>
      <c r="P785" s="76"/>
      <c r="Q785" s="76"/>
      <c r="R785" s="76"/>
      <c r="S785" s="76"/>
      <c r="T785" s="76"/>
      <c r="U785" s="97">
        <v>0.8</v>
      </c>
      <c r="V785" s="97">
        <v>0.8</v>
      </c>
      <c r="W785" s="97">
        <v>0.8</v>
      </c>
      <c r="X785" s="97">
        <v>0.8</v>
      </c>
      <c r="Y785" s="97">
        <v>0.8</v>
      </c>
      <c r="Z785" s="97">
        <v>0.8</v>
      </c>
      <c r="AA785" s="97">
        <v>0.8</v>
      </c>
      <c r="AB785" s="254">
        <v>0.8</v>
      </c>
      <c r="AC785" s="254">
        <f t="shared" si="116"/>
        <v>0.8</v>
      </c>
      <c r="AD785" s="254">
        <f t="shared" si="116"/>
        <v>0.8</v>
      </c>
      <c r="AE785" s="76"/>
      <c r="AF785" s="262" t="s">
        <v>1407</v>
      </c>
      <c r="AG785" s="76"/>
      <c r="AH785" s="97">
        <v>1</v>
      </c>
      <c r="AI785" s="97">
        <v>1</v>
      </c>
      <c r="AJ785" s="73"/>
      <c r="AK785" s="57"/>
      <c r="AL785" s="45"/>
      <c r="AM785" s="45"/>
      <c r="AN785" s="45"/>
    </row>
    <row r="786" spans="1:40" hidden="1" outlineLevel="2" x14ac:dyDescent="0.25">
      <c r="A786" s="45"/>
      <c r="B786" s="54"/>
      <c r="C786" s="47">
        <f t="shared" si="117"/>
        <v>3</v>
      </c>
      <c r="D786" s="73"/>
      <c r="E786" s="70"/>
      <c r="F786" s="70" t="s">
        <v>1422</v>
      </c>
      <c r="G786" s="73"/>
      <c r="H786" s="76" t="s">
        <v>1423</v>
      </c>
      <c r="I786" s="96" t="s">
        <v>1417</v>
      </c>
      <c r="J786" s="96" t="s">
        <v>1143</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97">
        <v>8.9999999999999993E-3</v>
      </c>
      <c r="AA786" s="97">
        <v>8.9999999999999993E-3</v>
      </c>
      <c r="AB786" s="254">
        <v>8.9999999999999993E-3</v>
      </c>
      <c r="AC786" s="254">
        <f t="shared" si="116"/>
        <v>8.9999999999999993E-3</v>
      </c>
      <c r="AD786" s="254">
        <f t="shared" si="116"/>
        <v>8.9999999999999993E-3</v>
      </c>
      <c r="AE786" s="76"/>
      <c r="AF786" s="97" t="s">
        <v>1424</v>
      </c>
      <c r="AG786" s="76"/>
      <c r="AH786" s="97">
        <v>1</v>
      </c>
      <c r="AI786" s="97">
        <v>1</v>
      </c>
      <c r="AJ786" s="73"/>
      <c r="AK786" s="57"/>
      <c r="AL786" s="45"/>
      <c r="AM786" s="45"/>
      <c r="AN786" s="45"/>
    </row>
    <row r="787" spans="1:40" hidden="1" outlineLevel="2" x14ac:dyDescent="0.25">
      <c r="A787" s="45">
        <v>4</v>
      </c>
      <c r="B787" s="54"/>
      <c r="C787" s="47">
        <f t="shared" si="117"/>
        <v>3</v>
      </c>
      <c r="D787" s="73"/>
      <c r="E787" s="70"/>
      <c r="F787" s="70" t="s">
        <v>1425</v>
      </c>
      <c r="G787" s="73"/>
      <c r="H787" s="76" t="s">
        <v>1426</v>
      </c>
      <c r="I787" s="96" t="s">
        <v>1417</v>
      </c>
      <c r="J787" s="96" t="s">
        <v>1143</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97">
        <v>0.48199999999999998</v>
      </c>
      <c r="AA787" s="97">
        <v>0.48199999999999998</v>
      </c>
      <c r="AB787" s="254">
        <v>0.48199999999999998</v>
      </c>
      <c r="AC787" s="254">
        <f t="shared" si="116"/>
        <v>0.48199999999999998</v>
      </c>
      <c r="AD787" s="254">
        <f t="shared" si="116"/>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17"/>
        <v>3</v>
      </c>
      <c r="D788" s="73"/>
      <c r="E788" s="70"/>
      <c r="F788" s="70" t="s">
        <v>1427</v>
      </c>
      <c r="G788" s="73"/>
      <c r="H788" s="76" t="s">
        <v>1428</v>
      </c>
      <c r="I788" s="96" t="s">
        <v>1417</v>
      </c>
      <c r="J788" s="96" t="s">
        <v>1143</v>
      </c>
      <c r="K788" s="76"/>
      <c r="L788" s="76"/>
      <c r="M788" s="76"/>
      <c r="N788" s="76"/>
      <c r="O788" s="76"/>
      <c r="P788" s="76"/>
      <c r="Q788" s="76"/>
      <c r="R788" s="76"/>
      <c r="S788" s="76"/>
      <c r="T788" s="76"/>
      <c r="U788" s="97">
        <v>0.128</v>
      </c>
      <c r="V788" s="97">
        <v>0.128</v>
      </c>
      <c r="W788" s="97">
        <v>0.128</v>
      </c>
      <c r="X788" s="97">
        <v>0.128</v>
      </c>
      <c r="Y788" s="97">
        <v>0.128</v>
      </c>
      <c r="Z788" s="97">
        <v>0.128</v>
      </c>
      <c r="AA788" s="97">
        <v>0.128</v>
      </c>
      <c r="AB788" s="254">
        <v>0.128</v>
      </c>
      <c r="AC788" s="254">
        <f t="shared" si="116"/>
        <v>0.128</v>
      </c>
      <c r="AD788" s="254">
        <f t="shared" si="116"/>
        <v>0.128</v>
      </c>
      <c r="AE788" s="76"/>
      <c r="AF788" s="97"/>
      <c r="AG788" s="76"/>
      <c r="AH788" s="97">
        <v>1</v>
      </c>
      <c r="AI788" s="97">
        <v>1</v>
      </c>
      <c r="AJ788" s="73"/>
      <c r="AK788" s="57"/>
      <c r="AL788" s="45"/>
      <c r="AM788" s="45"/>
      <c r="AN788" s="45"/>
    </row>
    <row r="789" spans="1:40" hidden="1" outlineLevel="3" x14ac:dyDescent="0.25">
      <c r="A789" s="45"/>
      <c r="B789" s="54"/>
      <c r="C789" s="47">
        <f t="shared" ref="C789:C794" si="118">INT($C$29)+3</f>
        <v>4</v>
      </c>
      <c r="D789" s="73"/>
      <c r="E789" s="70"/>
      <c r="F789" s="70" t="s">
        <v>1429</v>
      </c>
      <c r="G789" s="73"/>
      <c r="H789" s="76" t="s">
        <v>602</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18"/>
        <v>4</v>
      </c>
      <c r="D790" s="73"/>
      <c r="E790" s="70"/>
      <c r="F790" s="70" t="s">
        <v>1430</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18"/>
        <v>4</v>
      </c>
      <c r="D791" s="73"/>
      <c r="E791" s="70"/>
      <c r="F791" s="70" t="s">
        <v>1431</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18"/>
        <v>4</v>
      </c>
      <c r="D792" s="73"/>
      <c r="E792" s="70"/>
      <c r="F792" s="70" t="s">
        <v>1432</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18"/>
        <v>4</v>
      </c>
      <c r="D793" s="73"/>
      <c r="E793" s="70"/>
      <c r="F793" s="70" t="s">
        <v>1433</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18"/>
        <v>4</v>
      </c>
      <c r="D794" s="73"/>
      <c r="E794" s="70"/>
      <c r="F794" s="70" t="s">
        <v>1434</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19">INT($C$29)+2</f>
        <v>3</v>
      </c>
      <c r="D795" s="73"/>
      <c r="E795" s="70"/>
      <c r="F795" s="70" t="s">
        <v>1435</v>
      </c>
      <c r="G795" s="73"/>
      <c r="H795" s="76" t="s">
        <v>1436</v>
      </c>
      <c r="I795" s="96"/>
      <c r="J795" s="96" t="s">
        <v>1171</v>
      </c>
      <c r="K795" s="76"/>
      <c r="L795" s="76"/>
      <c r="M795" s="76"/>
      <c r="N795" s="76"/>
      <c r="O795" s="76"/>
      <c r="P795" s="76"/>
      <c r="Q795" s="76"/>
      <c r="R795" s="76"/>
      <c r="S795" s="76"/>
      <c r="T795" s="76"/>
      <c r="U795" s="260">
        <f>U$881</f>
        <v>0.1</v>
      </c>
      <c r="V795" s="260">
        <f>V$881</f>
        <v>0.1</v>
      </c>
      <c r="W795" s="260">
        <f>W$881</f>
        <v>0.1</v>
      </c>
      <c r="X795" s="260">
        <f>X$881</f>
        <v>0.1</v>
      </c>
      <c r="Y795" s="260">
        <v>0.1</v>
      </c>
      <c r="Z795" s="260">
        <v>0.1</v>
      </c>
      <c r="AA795" s="260">
        <v>0.1</v>
      </c>
      <c r="AB795" s="260">
        <v>0.1</v>
      </c>
      <c r="AC795" s="260">
        <f>AC$881</f>
        <v>0.1</v>
      </c>
      <c r="AD795" s="260">
        <f>AD$881</f>
        <v>0.1</v>
      </c>
      <c r="AE795" s="76"/>
      <c r="AF795" s="76" t="s">
        <v>1370</v>
      </c>
      <c r="AG795" s="76"/>
      <c r="AH795" s="260">
        <f>AH$881</f>
        <v>1</v>
      </c>
      <c r="AI795" s="260">
        <f>AI$881</f>
        <v>1</v>
      </c>
      <c r="AJ795" s="73"/>
      <c r="AK795" s="57"/>
      <c r="AL795" s="45"/>
      <c r="AM795" s="45"/>
      <c r="AN795" s="45"/>
    </row>
    <row r="796" spans="1:40" hidden="1" outlineLevel="2" x14ac:dyDescent="0.25">
      <c r="A796" s="45"/>
      <c r="B796" s="54"/>
      <c r="C796" s="47">
        <f t="shared" si="119"/>
        <v>3</v>
      </c>
      <c r="D796" s="73"/>
      <c r="E796" s="70"/>
      <c r="F796" s="70" t="s">
        <v>1437</v>
      </c>
      <c r="G796" s="73"/>
      <c r="H796" s="76" t="s">
        <v>1438</v>
      </c>
      <c r="I796" s="96"/>
      <c r="J796" s="96" t="s">
        <v>1171</v>
      </c>
      <c r="K796" s="76"/>
      <c r="L796" s="76"/>
      <c r="M796" s="76"/>
      <c r="N796" s="76"/>
      <c r="O796" s="76"/>
      <c r="P796" s="76"/>
      <c r="Q796" s="76"/>
      <c r="R796" s="76"/>
      <c r="S796" s="76"/>
      <c r="T796" s="76"/>
      <c r="U796" s="260">
        <f>U$882</f>
        <v>8.5000000000000006E-2</v>
      </c>
      <c r="V796" s="260">
        <f>V$882</f>
        <v>8.5000000000000006E-2</v>
      </c>
      <c r="W796" s="260">
        <f>W$882</f>
        <v>8.5000000000000006E-2</v>
      </c>
      <c r="X796" s="260">
        <f>X$882</f>
        <v>8.5000000000000006E-2</v>
      </c>
      <c r="Y796" s="260">
        <v>8.5000000000000006E-2</v>
      </c>
      <c r="Z796" s="260">
        <v>8.5000000000000006E-2</v>
      </c>
      <c r="AA796" s="260">
        <v>8.5000000000000006E-2</v>
      </c>
      <c r="AB796" s="260">
        <v>8.5000000000000006E-2</v>
      </c>
      <c r="AC796" s="260">
        <f>AC$882</f>
        <v>8.5000000000000006E-2</v>
      </c>
      <c r="AD796" s="260">
        <f>AD$882</f>
        <v>8.5000000000000006E-2</v>
      </c>
      <c r="AE796" s="76"/>
      <c r="AF796" s="76"/>
      <c r="AG796" s="76"/>
      <c r="AH796" s="260">
        <f>AH$882</f>
        <v>1</v>
      </c>
      <c r="AI796" s="260">
        <f>AI$882</f>
        <v>1</v>
      </c>
      <c r="AJ796" s="73"/>
      <c r="AK796" s="57"/>
      <c r="AL796" s="45"/>
      <c r="AM796" s="45"/>
      <c r="AN796" s="45"/>
    </row>
    <row r="797" spans="1:40" hidden="1" outlineLevel="2" x14ac:dyDescent="0.25">
      <c r="A797" s="45"/>
      <c r="B797" s="54"/>
      <c r="C797" s="47">
        <f t="shared" si="119"/>
        <v>3</v>
      </c>
      <c r="D797" s="73"/>
      <c r="E797" s="70"/>
      <c r="F797" s="70" t="s">
        <v>1439</v>
      </c>
      <c r="G797" s="73"/>
      <c r="H797" s="76" t="s">
        <v>1440</v>
      </c>
      <c r="I797" s="96"/>
      <c r="J797" s="96" t="s">
        <v>1171</v>
      </c>
      <c r="K797" s="76"/>
      <c r="L797" s="76"/>
      <c r="M797" s="76"/>
      <c r="N797" s="76"/>
      <c r="O797" s="76"/>
      <c r="P797" s="76"/>
      <c r="Q797" s="76"/>
      <c r="R797" s="76"/>
      <c r="S797" s="76"/>
      <c r="T797" s="76"/>
      <c r="U797" s="260">
        <f>U$883</f>
        <v>7.0000000000000007E-2</v>
      </c>
      <c r="V797" s="260">
        <f>V$883</f>
        <v>7.0000000000000007E-2</v>
      </c>
      <c r="W797" s="260">
        <f>W$883</f>
        <v>7.0000000000000007E-2</v>
      </c>
      <c r="X797" s="260">
        <f>X$883</f>
        <v>7.0000000000000007E-2</v>
      </c>
      <c r="Y797" s="260">
        <v>7.0000000000000007E-2</v>
      </c>
      <c r="Z797" s="260">
        <v>7.0000000000000007E-2</v>
      </c>
      <c r="AA797" s="260">
        <v>7.0000000000000007E-2</v>
      </c>
      <c r="AB797" s="260">
        <v>7.0000000000000007E-2</v>
      </c>
      <c r="AC797" s="260">
        <f>AC$883</f>
        <v>7.0000000000000007E-2</v>
      </c>
      <c r="AD797" s="260">
        <f>AD$883</f>
        <v>7.0000000000000007E-2</v>
      </c>
      <c r="AE797" s="76"/>
      <c r="AF797" s="76"/>
      <c r="AG797" s="76"/>
      <c r="AH797" s="260">
        <f>AH$883</f>
        <v>1</v>
      </c>
      <c r="AI797" s="260">
        <f>AI$883</f>
        <v>1</v>
      </c>
      <c r="AJ797" s="73"/>
      <c r="AK797" s="57"/>
      <c r="AL797" s="45"/>
      <c r="AM797" s="45"/>
      <c r="AN797" s="45"/>
    </row>
    <row r="798" spans="1:40" hidden="1" outlineLevel="2" x14ac:dyDescent="0.25">
      <c r="A798" s="45"/>
      <c r="B798" s="54"/>
      <c r="C798" s="47">
        <f t="shared" si="119"/>
        <v>3</v>
      </c>
      <c r="D798" s="73"/>
      <c r="E798" s="70"/>
      <c r="F798" s="70" t="s">
        <v>1441</v>
      </c>
      <c r="G798" s="73"/>
      <c r="H798" s="76" t="s">
        <v>1442</v>
      </c>
      <c r="I798" s="96"/>
      <c r="J798" s="96" t="s">
        <v>1171</v>
      </c>
      <c r="K798" s="76"/>
      <c r="L798" s="76"/>
      <c r="M798" s="76"/>
      <c r="N798" s="76"/>
      <c r="O798" s="76"/>
      <c r="P798" s="76"/>
      <c r="Q798" s="76"/>
      <c r="R798" s="76"/>
      <c r="S798" s="76"/>
      <c r="T798" s="76"/>
      <c r="U798" s="260">
        <f>U$882</f>
        <v>8.5000000000000006E-2</v>
      </c>
      <c r="V798" s="260">
        <f>V$882</f>
        <v>8.5000000000000006E-2</v>
      </c>
      <c r="W798" s="260">
        <f>W$882</f>
        <v>8.5000000000000006E-2</v>
      </c>
      <c r="X798" s="260">
        <f>X$882</f>
        <v>8.5000000000000006E-2</v>
      </c>
      <c r="Y798" s="260">
        <v>8.5000000000000006E-2</v>
      </c>
      <c r="Z798" s="260">
        <v>8.5000000000000006E-2</v>
      </c>
      <c r="AA798" s="260">
        <v>8.5000000000000006E-2</v>
      </c>
      <c r="AB798" s="260">
        <v>8.5000000000000006E-2</v>
      </c>
      <c r="AC798" s="260">
        <f>AC$882</f>
        <v>8.5000000000000006E-2</v>
      </c>
      <c r="AD798" s="260">
        <f>AD$882</f>
        <v>8.5000000000000006E-2</v>
      </c>
      <c r="AE798" s="76"/>
      <c r="AF798" s="76"/>
      <c r="AG798" s="76"/>
      <c r="AH798" s="260">
        <f>AH$882</f>
        <v>1</v>
      </c>
      <c r="AI798" s="260">
        <f>AI$882</f>
        <v>1</v>
      </c>
      <c r="AJ798" s="73"/>
      <c r="AK798" s="57"/>
      <c r="AL798" s="45"/>
      <c r="AM798" s="45"/>
      <c r="AN798" s="45"/>
    </row>
    <row r="799" spans="1:40" hidden="1" outlineLevel="2" x14ac:dyDescent="0.25">
      <c r="A799" s="45">
        <v>4</v>
      </c>
      <c r="B799" s="54"/>
      <c r="C799" s="47">
        <f t="shared" si="119"/>
        <v>3</v>
      </c>
      <c r="D799" s="73"/>
      <c r="E799" s="70"/>
      <c r="F799" s="70" t="s">
        <v>1443</v>
      </c>
      <c r="G799" s="73"/>
      <c r="H799" s="76" t="s">
        <v>1444</v>
      </c>
      <c r="I799" s="96"/>
      <c r="J799" s="96" t="s">
        <v>1171</v>
      </c>
      <c r="K799" s="76"/>
      <c r="L799" s="76"/>
      <c r="M799" s="76"/>
      <c r="N799" s="76"/>
      <c r="O799" s="76"/>
      <c r="P799" s="76"/>
      <c r="Q799" s="76"/>
      <c r="R799" s="76"/>
      <c r="S799" s="76"/>
      <c r="T799" s="76"/>
      <c r="U799" s="260">
        <f t="shared" ref="U799:X800" si="120">U$883</f>
        <v>7.0000000000000007E-2</v>
      </c>
      <c r="V799" s="260">
        <f t="shared" si="120"/>
        <v>7.0000000000000007E-2</v>
      </c>
      <c r="W799" s="260">
        <f t="shared" si="120"/>
        <v>7.0000000000000007E-2</v>
      </c>
      <c r="X799" s="260">
        <f t="shared" si="120"/>
        <v>7.0000000000000007E-2</v>
      </c>
      <c r="Y799" s="260">
        <v>7.0000000000000007E-2</v>
      </c>
      <c r="Z799" s="260">
        <v>7.0000000000000007E-2</v>
      </c>
      <c r="AA799" s="260">
        <v>7.0000000000000007E-2</v>
      </c>
      <c r="AB799" s="260">
        <v>7.0000000000000007E-2</v>
      </c>
      <c r="AC799" s="260">
        <f>AC$883</f>
        <v>7.0000000000000007E-2</v>
      </c>
      <c r="AD799" s="260">
        <f>AD$883</f>
        <v>7.0000000000000007E-2</v>
      </c>
      <c r="AE799" s="76"/>
      <c r="AF799" s="76"/>
      <c r="AG799" s="76"/>
      <c r="AH799" s="260">
        <f>AH$883</f>
        <v>1</v>
      </c>
      <c r="AI799" s="260">
        <f>AI$883</f>
        <v>1</v>
      </c>
      <c r="AJ799" s="73"/>
      <c r="AK799" s="57"/>
      <c r="AL799" s="45"/>
      <c r="AM799" s="45"/>
      <c r="AN799" s="45"/>
    </row>
    <row r="800" spans="1:40" hidden="1" outlineLevel="2" x14ac:dyDescent="0.25">
      <c r="A800" s="45">
        <f>A799</f>
        <v>4</v>
      </c>
      <c r="B800" s="54"/>
      <c r="C800" s="47">
        <f t="shared" si="119"/>
        <v>3</v>
      </c>
      <c r="D800" s="73"/>
      <c r="E800" s="70"/>
      <c r="F800" s="70" t="s">
        <v>1445</v>
      </c>
      <c r="G800" s="73"/>
      <c r="H800" s="76" t="s">
        <v>1446</v>
      </c>
      <c r="I800" s="96"/>
      <c r="J800" s="96" t="s">
        <v>1171</v>
      </c>
      <c r="K800" s="76"/>
      <c r="L800" s="76"/>
      <c r="M800" s="76"/>
      <c r="N800" s="76"/>
      <c r="O800" s="76"/>
      <c r="P800" s="76"/>
      <c r="Q800" s="76"/>
      <c r="R800" s="76"/>
      <c r="S800" s="76"/>
      <c r="T800" s="76"/>
      <c r="U800" s="260">
        <f t="shared" si="120"/>
        <v>7.0000000000000007E-2</v>
      </c>
      <c r="V800" s="260">
        <f t="shared" si="120"/>
        <v>7.0000000000000007E-2</v>
      </c>
      <c r="W800" s="260">
        <f t="shared" si="120"/>
        <v>7.0000000000000007E-2</v>
      </c>
      <c r="X800" s="260">
        <f t="shared" si="120"/>
        <v>7.0000000000000007E-2</v>
      </c>
      <c r="Y800" s="260">
        <v>7.0000000000000007E-2</v>
      </c>
      <c r="Z800" s="260">
        <v>7.0000000000000007E-2</v>
      </c>
      <c r="AA800" s="260">
        <v>7.0000000000000007E-2</v>
      </c>
      <c r="AB800" s="260">
        <v>7.0000000000000007E-2</v>
      </c>
      <c r="AC800" s="260">
        <f>AC$883</f>
        <v>7.0000000000000007E-2</v>
      </c>
      <c r="AD800" s="260">
        <f>AD$883</f>
        <v>7.0000000000000007E-2</v>
      </c>
      <c r="AE800" s="76"/>
      <c r="AF800" s="76"/>
      <c r="AG800" s="76"/>
      <c r="AH800" s="260">
        <f>AH$883</f>
        <v>1</v>
      </c>
      <c r="AI800" s="260">
        <f>AI$883</f>
        <v>1</v>
      </c>
      <c r="AJ800" s="73"/>
      <c r="AK800" s="57"/>
      <c r="AL800" s="45"/>
      <c r="AM800" s="45"/>
      <c r="AN800" s="45"/>
    </row>
    <row r="801" spans="1:40" hidden="1" outlineLevel="2" x14ac:dyDescent="0.25">
      <c r="A801" s="45"/>
      <c r="B801" s="54"/>
      <c r="C801" s="47">
        <f t="shared" si="119"/>
        <v>3</v>
      </c>
      <c r="D801" s="73"/>
      <c r="E801" s="70"/>
      <c r="F801" s="70" t="s">
        <v>1447</v>
      </c>
      <c r="G801" s="73"/>
      <c r="H801" s="76" t="s">
        <v>1448</v>
      </c>
      <c r="I801" s="96" t="s">
        <v>690</v>
      </c>
      <c r="J801" s="96" t="s">
        <v>1143</v>
      </c>
      <c r="K801" s="76"/>
      <c r="L801" s="76"/>
      <c r="M801" s="76"/>
      <c r="N801" s="76"/>
      <c r="O801" s="76"/>
      <c r="P801" s="76"/>
      <c r="Q801" s="76"/>
      <c r="R801" s="76"/>
      <c r="S801" s="76"/>
      <c r="T801" s="76"/>
      <c r="U801" s="260">
        <f>U$885</f>
        <v>0</v>
      </c>
      <c r="V801" s="260">
        <f>V$885</f>
        <v>0</v>
      </c>
      <c r="W801" s="260">
        <f>W$885</f>
        <v>0</v>
      </c>
      <c r="X801" s="260">
        <f>X$885</f>
        <v>0</v>
      </c>
      <c r="Y801" s="260">
        <v>0</v>
      </c>
      <c r="Z801" s="260">
        <v>0</v>
      </c>
      <c r="AA801" s="260">
        <v>0</v>
      </c>
      <c r="AB801" s="260">
        <v>0</v>
      </c>
      <c r="AC801" s="260">
        <f>AC$885</f>
        <v>0</v>
      </c>
      <c r="AD801" s="260">
        <f>AD$885</f>
        <v>0</v>
      </c>
      <c r="AE801" s="76"/>
      <c r="AF801" s="76" t="s">
        <v>1370</v>
      </c>
      <c r="AG801" s="76"/>
      <c r="AH801" s="260">
        <f>AH$885</f>
        <v>1</v>
      </c>
      <c r="AI801" s="260">
        <f>AI$885</f>
        <v>1</v>
      </c>
      <c r="AJ801" s="73"/>
      <c r="AK801" s="57"/>
      <c r="AL801" s="45"/>
      <c r="AM801" s="45"/>
      <c r="AN801" s="45"/>
    </row>
    <row r="802" spans="1:40" hidden="1" outlineLevel="2" x14ac:dyDescent="0.25">
      <c r="A802" s="45"/>
      <c r="B802" s="54"/>
      <c r="C802" s="47">
        <f t="shared" si="119"/>
        <v>3</v>
      </c>
      <c r="D802" s="73"/>
      <c r="E802" s="70"/>
      <c r="F802" s="70" t="s">
        <v>1449</v>
      </c>
      <c r="G802" s="73"/>
      <c r="H802" s="76" t="s">
        <v>1450</v>
      </c>
      <c r="I802" s="96" t="s">
        <v>690</v>
      </c>
      <c r="J802" s="96" t="s">
        <v>1143</v>
      </c>
      <c r="K802" s="76"/>
      <c r="L802" s="76"/>
      <c r="M802" s="76"/>
      <c r="N802" s="76"/>
      <c r="O802" s="76"/>
      <c r="P802" s="76"/>
      <c r="Q802" s="76"/>
      <c r="R802" s="76"/>
      <c r="S802" s="76"/>
      <c r="T802" s="76"/>
      <c r="U802" s="260">
        <f>U$886</f>
        <v>-0.95650000000000002</v>
      </c>
      <c r="V802" s="260">
        <f>V$886</f>
        <v>-0.95650000000000002</v>
      </c>
      <c r="W802" s="260">
        <f>W$886</f>
        <v>-0.95650000000000002</v>
      </c>
      <c r="X802" s="260">
        <f>X$886</f>
        <v>-0.95650000000000002</v>
      </c>
      <c r="Y802" s="260">
        <v>-0.95650000000000002</v>
      </c>
      <c r="Z802" s="260">
        <v>-0.95650000000000002</v>
      </c>
      <c r="AA802" s="260">
        <v>-0.95650000000000002</v>
      </c>
      <c r="AB802" s="260">
        <v>-1.0820000000000001</v>
      </c>
      <c r="AC802" s="260">
        <f>AC$886</f>
        <v>-1.0820000000000001</v>
      </c>
      <c r="AD802" s="260">
        <f>AD$886</f>
        <v>-1.0820000000000001</v>
      </c>
      <c r="AE802" s="76"/>
      <c r="AF802" s="76"/>
      <c r="AG802" s="76"/>
      <c r="AH802" s="260">
        <f>AH$886</f>
        <v>1</v>
      </c>
      <c r="AI802" s="260">
        <f>AI$886</f>
        <v>1</v>
      </c>
      <c r="AJ802" s="73"/>
      <c r="AK802" s="57"/>
      <c r="AL802" s="45"/>
      <c r="AM802" s="45"/>
      <c r="AN802" s="45"/>
    </row>
    <row r="803" spans="1:40" hidden="1" outlineLevel="2" x14ac:dyDescent="0.25">
      <c r="A803" s="45"/>
      <c r="B803" s="54"/>
      <c r="C803" s="47">
        <f t="shared" si="119"/>
        <v>3</v>
      </c>
      <c r="D803" s="73"/>
      <c r="E803" s="70"/>
      <c r="F803" s="70" t="s">
        <v>1451</v>
      </c>
      <c r="G803" s="73"/>
      <c r="H803" s="76" t="s">
        <v>1452</v>
      </c>
      <c r="I803" s="96" t="s">
        <v>690</v>
      </c>
      <c r="J803" s="96" t="s">
        <v>1143</v>
      </c>
      <c r="K803" s="76"/>
      <c r="L803" s="76"/>
      <c r="M803" s="76"/>
      <c r="N803" s="76"/>
      <c r="O803" s="76"/>
      <c r="P803" s="76"/>
      <c r="Q803" s="76"/>
      <c r="R803" s="76"/>
      <c r="S803" s="76"/>
      <c r="T803" s="76"/>
      <c r="U803" s="260">
        <f>U$887</f>
        <v>-1.7614000000000001</v>
      </c>
      <c r="V803" s="260">
        <f>V$887</f>
        <v>-1.7614000000000001</v>
      </c>
      <c r="W803" s="260">
        <f>W$887</f>
        <v>-1.7614000000000001</v>
      </c>
      <c r="X803" s="260">
        <f>X$887</f>
        <v>-1.7614000000000001</v>
      </c>
      <c r="Y803" s="260">
        <v>-1.7614000000000001</v>
      </c>
      <c r="Z803" s="260">
        <v>-1.7614000000000001</v>
      </c>
      <c r="AA803" s="260">
        <v>-1.7614000000000001</v>
      </c>
      <c r="AB803" s="260">
        <v>-2.0059999999999998</v>
      </c>
      <c r="AC803" s="260">
        <f>AC$887</f>
        <v>-2.0059999999999998</v>
      </c>
      <c r="AD803" s="260">
        <f>AD$887</f>
        <v>-2.0059999999999998</v>
      </c>
      <c r="AE803" s="76"/>
      <c r="AF803" s="76"/>
      <c r="AG803" s="76"/>
      <c r="AH803" s="260">
        <f>AH$887</f>
        <v>1</v>
      </c>
      <c r="AI803" s="260">
        <f>AI$887</f>
        <v>1</v>
      </c>
      <c r="AJ803" s="73"/>
      <c r="AK803" s="57"/>
      <c r="AL803" s="45"/>
      <c r="AM803" s="45"/>
      <c r="AN803" s="45"/>
    </row>
    <row r="804" spans="1:40" hidden="1" outlineLevel="2" x14ac:dyDescent="0.25">
      <c r="A804" s="45"/>
      <c r="B804" s="54"/>
      <c r="C804" s="47">
        <f t="shared" si="119"/>
        <v>3</v>
      </c>
      <c r="D804" s="73"/>
      <c r="E804" s="70"/>
      <c r="F804" s="70" t="s">
        <v>1453</v>
      </c>
      <c r="G804" s="73"/>
      <c r="H804" s="76" t="s">
        <v>1454</v>
      </c>
      <c r="I804" s="96" t="s">
        <v>690</v>
      </c>
      <c r="J804" s="96" t="s">
        <v>1143</v>
      </c>
      <c r="K804" s="76"/>
      <c r="L804" s="76"/>
      <c r="M804" s="76"/>
      <c r="N804" s="76"/>
      <c r="O804" s="76"/>
      <c r="P804" s="76"/>
      <c r="Q804" s="76"/>
      <c r="R804" s="76"/>
      <c r="S804" s="76"/>
      <c r="T804" s="76"/>
      <c r="U804" s="260">
        <f>U$886</f>
        <v>-0.95650000000000002</v>
      </c>
      <c r="V804" s="260">
        <f>V$886</f>
        <v>-0.95650000000000002</v>
      </c>
      <c r="W804" s="260">
        <f>W$886</f>
        <v>-0.95650000000000002</v>
      </c>
      <c r="X804" s="260">
        <f>X$886</f>
        <v>-0.95650000000000002</v>
      </c>
      <c r="Y804" s="260">
        <v>-0.95650000000000002</v>
      </c>
      <c r="Z804" s="260">
        <v>-0.95650000000000002</v>
      </c>
      <c r="AA804" s="260">
        <v>-0.95650000000000002</v>
      </c>
      <c r="AB804" s="260">
        <v>-1.0820000000000001</v>
      </c>
      <c r="AC804" s="260">
        <f>AC$886</f>
        <v>-1.0820000000000001</v>
      </c>
      <c r="AD804" s="260">
        <f>AD$886</f>
        <v>-1.0820000000000001</v>
      </c>
      <c r="AE804" s="76"/>
      <c r="AF804" s="76"/>
      <c r="AG804" s="76"/>
      <c r="AH804" s="260">
        <f>AH$886</f>
        <v>1</v>
      </c>
      <c r="AI804" s="260">
        <f>AI$886</f>
        <v>1</v>
      </c>
      <c r="AJ804" s="73"/>
      <c r="AK804" s="57"/>
      <c r="AL804" s="45"/>
      <c r="AM804" s="45"/>
      <c r="AN804" s="45"/>
    </row>
    <row r="805" spans="1:40" hidden="1" outlineLevel="2" x14ac:dyDescent="0.25">
      <c r="A805" s="45">
        <v>4</v>
      </c>
      <c r="B805" s="54"/>
      <c r="C805" s="47">
        <f t="shared" si="119"/>
        <v>3</v>
      </c>
      <c r="D805" s="73"/>
      <c r="E805" s="70"/>
      <c r="F805" s="70" t="s">
        <v>1455</v>
      </c>
      <c r="G805" s="73"/>
      <c r="H805" s="76" t="s">
        <v>1456</v>
      </c>
      <c r="I805" s="96" t="s">
        <v>690</v>
      </c>
      <c r="J805" s="96" t="s">
        <v>1143</v>
      </c>
      <c r="K805" s="76"/>
      <c r="L805" s="76"/>
      <c r="M805" s="76"/>
      <c r="N805" s="76"/>
      <c r="O805" s="76"/>
      <c r="P805" s="76"/>
      <c r="Q805" s="76"/>
      <c r="R805" s="76"/>
      <c r="S805" s="76"/>
      <c r="T805" s="76"/>
      <c r="U805" s="260">
        <f t="shared" ref="U805:X806" si="121">U$887</f>
        <v>-1.7614000000000001</v>
      </c>
      <c r="V805" s="260">
        <f t="shared" si="121"/>
        <v>-1.7614000000000001</v>
      </c>
      <c r="W805" s="260">
        <f t="shared" si="121"/>
        <v>-1.7614000000000001</v>
      </c>
      <c r="X805" s="260">
        <f t="shared" si="121"/>
        <v>-1.7614000000000001</v>
      </c>
      <c r="Y805" s="260">
        <v>-1.7614000000000001</v>
      </c>
      <c r="Z805" s="260">
        <v>-1.7614000000000001</v>
      </c>
      <c r="AA805" s="260">
        <v>-1.7614000000000001</v>
      </c>
      <c r="AB805" s="260">
        <v>-2.0059999999999998</v>
      </c>
      <c r="AC805" s="260">
        <f>AC$887</f>
        <v>-2.0059999999999998</v>
      </c>
      <c r="AD805" s="260">
        <f>AD$887</f>
        <v>-2.0059999999999998</v>
      </c>
      <c r="AE805" s="76"/>
      <c r="AF805" s="76"/>
      <c r="AG805" s="76"/>
      <c r="AH805" s="260">
        <f>AH$887</f>
        <v>1</v>
      </c>
      <c r="AI805" s="260">
        <f>AI$887</f>
        <v>1</v>
      </c>
      <c r="AJ805" s="73"/>
      <c r="AK805" s="57"/>
      <c r="AL805" s="45"/>
      <c r="AM805" s="45"/>
      <c r="AN805" s="45"/>
    </row>
    <row r="806" spans="1:40" hidden="1" outlineLevel="2" x14ac:dyDescent="0.25">
      <c r="A806" s="45">
        <f>A805</f>
        <v>4</v>
      </c>
      <c r="B806" s="54"/>
      <c r="C806" s="47">
        <f t="shared" si="119"/>
        <v>3</v>
      </c>
      <c r="D806" s="73"/>
      <c r="E806" s="70"/>
      <c r="F806" s="70" t="s">
        <v>1457</v>
      </c>
      <c r="G806" s="73"/>
      <c r="H806" s="76" t="s">
        <v>1458</v>
      </c>
      <c r="I806" s="96" t="s">
        <v>690</v>
      </c>
      <c r="J806" s="96" t="s">
        <v>1143</v>
      </c>
      <c r="K806" s="76"/>
      <c r="L806" s="76"/>
      <c r="M806" s="76"/>
      <c r="N806" s="76"/>
      <c r="O806" s="76"/>
      <c r="P806" s="76"/>
      <c r="Q806" s="76"/>
      <c r="R806" s="76"/>
      <c r="S806" s="76"/>
      <c r="T806" s="76"/>
      <c r="U806" s="260">
        <f t="shared" si="121"/>
        <v>-1.7614000000000001</v>
      </c>
      <c r="V806" s="260">
        <f t="shared" si="121"/>
        <v>-1.7614000000000001</v>
      </c>
      <c r="W806" s="260">
        <f t="shared" si="121"/>
        <v>-1.7614000000000001</v>
      </c>
      <c r="X806" s="260">
        <f t="shared" si="121"/>
        <v>-1.7614000000000001</v>
      </c>
      <c r="Y806" s="260">
        <v>-1.7614000000000001</v>
      </c>
      <c r="Z806" s="260">
        <v>-1.7614000000000001</v>
      </c>
      <c r="AA806" s="260">
        <v>-1.7614000000000001</v>
      </c>
      <c r="AB806" s="260">
        <v>-2.0059999999999998</v>
      </c>
      <c r="AC806" s="260">
        <f>AC$887</f>
        <v>-2.0059999999999998</v>
      </c>
      <c r="AD806" s="260">
        <f>AD$887</f>
        <v>-2.0059999999999998</v>
      </c>
      <c r="AE806" s="76"/>
      <c r="AF806" s="76"/>
      <c r="AG806" s="76"/>
      <c r="AH806" s="260">
        <f>AH$887</f>
        <v>1</v>
      </c>
      <c r="AI806" s="260">
        <f>AI$887</f>
        <v>1</v>
      </c>
      <c r="AJ806" s="73"/>
      <c r="AK806" s="57"/>
      <c r="AL806" s="45"/>
      <c r="AM806" s="45"/>
      <c r="AN806" s="45"/>
    </row>
    <row r="807" spans="1:40" hidden="1" outlineLevel="2" x14ac:dyDescent="0.25">
      <c r="A807" s="45"/>
      <c r="B807" s="54"/>
      <c r="C807" s="47">
        <f t="shared" si="119"/>
        <v>3</v>
      </c>
      <c r="D807" s="73"/>
      <c r="E807" s="70"/>
      <c r="F807" s="70" t="s">
        <v>1459</v>
      </c>
      <c r="G807" s="73"/>
      <c r="H807" s="76" t="s">
        <v>1460</v>
      </c>
      <c r="I807" s="96" t="s">
        <v>690</v>
      </c>
      <c r="J807" s="96" t="s">
        <v>1143</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1281</v>
      </c>
      <c r="AG807" s="76"/>
      <c r="AH807" s="97">
        <v>1</v>
      </c>
      <c r="AI807" s="97">
        <v>1</v>
      </c>
      <c r="AJ807" s="73"/>
      <c r="AK807" s="57"/>
      <c r="AL807" s="45"/>
      <c r="AM807" s="45"/>
      <c r="AN807" s="45"/>
    </row>
    <row r="808" spans="1:40" hidden="1" outlineLevel="2" x14ac:dyDescent="0.25">
      <c r="A808" s="45"/>
      <c r="B808" s="54"/>
      <c r="C808" s="47">
        <f t="shared" si="119"/>
        <v>3</v>
      </c>
      <c r="D808" s="73"/>
      <c r="E808" s="70"/>
      <c r="F808" s="70" t="s">
        <v>1461</v>
      </c>
      <c r="G808" s="73"/>
      <c r="H808" s="76" t="s">
        <v>1462</v>
      </c>
      <c r="I808" s="96" t="s">
        <v>690</v>
      </c>
      <c r="J808" s="96" t="s">
        <v>1143</v>
      </c>
      <c r="K808" s="76"/>
      <c r="L808" s="76"/>
      <c r="M808" s="76"/>
      <c r="N808" s="76"/>
      <c r="O808" s="76"/>
      <c r="P808" s="76"/>
      <c r="Q808" s="76"/>
      <c r="R808" s="76"/>
      <c r="S808" s="76"/>
      <c r="T808" s="76"/>
      <c r="U808" s="333">
        <v>-4.9400000000000004</v>
      </c>
      <c r="V808" s="335">
        <f>U808</f>
        <v>-4.9400000000000004</v>
      </c>
      <c r="W808" s="335">
        <f t="shared" ref="W808:X812" si="122">U808</f>
        <v>-4.9400000000000004</v>
      </c>
      <c r="X808" s="335">
        <f t="shared" si="122"/>
        <v>-4.9400000000000004</v>
      </c>
      <c r="Y808" s="335">
        <v>-4.9400000000000004</v>
      </c>
      <c r="Z808" s="335">
        <v>-4.9400000000000004</v>
      </c>
      <c r="AA808" s="335">
        <v>-4.9400000000000004</v>
      </c>
      <c r="AB808" s="254">
        <v>-6.68</v>
      </c>
      <c r="AC808" s="254">
        <f t="shared" ref="AC808:AD812" si="123">AB808</f>
        <v>-6.68</v>
      </c>
      <c r="AD808" s="254">
        <f t="shared" si="123"/>
        <v>-6.68</v>
      </c>
      <c r="AE808" s="76"/>
      <c r="AF808" s="97" t="s">
        <v>2300</v>
      </c>
      <c r="AG808" s="76"/>
      <c r="AH808" s="97">
        <v>1</v>
      </c>
      <c r="AI808" s="97">
        <v>1</v>
      </c>
      <c r="AJ808" s="73"/>
      <c r="AK808" s="57"/>
      <c r="AL808" s="45"/>
      <c r="AM808" s="45"/>
      <c r="AN808" s="45"/>
    </row>
    <row r="809" spans="1:40" hidden="1" outlineLevel="2" x14ac:dyDescent="0.25">
      <c r="A809" s="45"/>
      <c r="B809" s="54"/>
      <c r="C809" s="47">
        <f t="shared" si="119"/>
        <v>3</v>
      </c>
      <c r="D809" s="73"/>
      <c r="E809" s="70"/>
      <c r="F809" s="70" t="s">
        <v>1463</v>
      </c>
      <c r="G809" s="73"/>
      <c r="H809" s="76" t="s">
        <v>1464</v>
      </c>
      <c r="I809" s="96" t="s">
        <v>690</v>
      </c>
      <c r="J809" s="96" t="s">
        <v>1143</v>
      </c>
      <c r="K809" s="76"/>
      <c r="L809" s="76"/>
      <c r="M809" s="76"/>
      <c r="N809" s="76"/>
      <c r="O809" s="76"/>
      <c r="P809" s="76"/>
      <c r="Q809" s="76"/>
      <c r="R809" s="76"/>
      <c r="S809" s="76"/>
      <c r="T809" s="76"/>
      <c r="U809" s="336">
        <f>U808*1.38</f>
        <v>-6.8171999999999997</v>
      </c>
      <c r="V809" s="335">
        <f>U809</f>
        <v>-6.8171999999999997</v>
      </c>
      <c r="W809" s="335">
        <f t="shared" si="122"/>
        <v>-6.8171999999999997</v>
      </c>
      <c r="X809" s="335">
        <f t="shared" si="122"/>
        <v>-6.8171999999999997</v>
      </c>
      <c r="Y809" s="335">
        <v>-6.8171999999999997</v>
      </c>
      <c r="Z809" s="335">
        <v>-6.8171999999999997</v>
      </c>
      <c r="AA809" s="335">
        <v>-6.8171999999999997</v>
      </c>
      <c r="AB809" s="254">
        <v>-9.2200000000000006</v>
      </c>
      <c r="AC809" s="254">
        <f t="shared" si="123"/>
        <v>-9.2200000000000006</v>
      </c>
      <c r="AD809" s="254">
        <f t="shared" si="123"/>
        <v>-9.2200000000000006</v>
      </c>
      <c r="AE809" s="76"/>
      <c r="AF809" s="97" t="s">
        <v>2301</v>
      </c>
      <c r="AG809" s="76"/>
      <c r="AH809" s="97">
        <v>1</v>
      </c>
      <c r="AI809" s="97">
        <v>1</v>
      </c>
      <c r="AJ809" s="73"/>
      <c r="AK809" s="57"/>
      <c r="AL809" s="45"/>
      <c r="AM809" s="45"/>
      <c r="AN809" s="45"/>
    </row>
    <row r="810" spans="1:40" hidden="1" outlineLevel="2" x14ac:dyDescent="0.25">
      <c r="A810" s="45"/>
      <c r="B810" s="54"/>
      <c r="C810" s="47">
        <f t="shared" si="119"/>
        <v>3</v>
      </c>
      <c r="D810" s="73"/>
      <c r="E810" s="70"/>
      <c r="F810" s="70" t="s">
        <v>1466</v>
      </c>
      <c r="G810" s="73"/>
      <c r="H810" s="76" t="s">
        <v>1467</v>
      </c>
      <c r="I810" s="96" t="s">
        <v>690</v>
      </c>
      <c r="J810" s="96" t="s">
        <v>1143</v>
      </c>
      <c r="K810" s="76"/>
      <c r="L810" s="76"/>
      <c r="M810" s="76"/>
      <c r="N810" s="76"/>
      <c r="O810" s="76"/>
      <c r="P810" s="76"/>
      <c r="Q810" s="76"/>
      <c r="R810" s="76"/>
      <c r="S810" s="76"/>
      <c r="T810" s="76"/>
      <c r="U810" s="333">
        <v>-1.85</v>
      </c>
      <c r="V810" s="335">
        <f>U810</f>
        <v>-1.85</v>
      </c>
      <c r="W810" s="335">
        <f t="shared" si="122"/>
        <v>-1.85</v>
      </c>
      <c r="X810" s="335">
        <f t="shared" si="122"/>
        <v>-1.85</v>
      </c>
      <c r="Y810" s="335">
        <v>-1.85</v>
      </c>
      <c r="Z810" s="335">
        <v>-1.85</v>
      </c>
      <c r="AA810" s="335">
        <v>-1.85</v>
      </c>
      <c r="AB810" s="254">
        <v>-3.36</v>
      </c>
      <c r="AC810" s="254">
        <f t="shared" si="123"/>
        <v>-3.36</v>
      </c>
      <c r="AD810" s="254">
        <f t="shared" si="123"/>
        <v>-3.36</v>
      </c>
      <c r="AE810" s="76"/>
      <c r="AF810" s="97" t="s">
        <v>2302</v>
      </c>
      <c r="AG810" s="76"/>
      <c r="AH810" s="97">
        <v>1</v>
      </c>
      <c r="AI810" s="97">
        <v>1</v>
      </c>
      <c r="AJ810" s="73"/>
      <c r="AK810" s="57"/>
      <c r="AL810" s="45"/>
      <c r="AM810" s="45"/>
      <c r="AN810" s="45"/>
    </row>
    <row r="811" spans="1:40" hidden="1" outlineLevel="2" x14ac:dyDescent="0.25">
      <c r="A811" s="45">
        <v>4</v>
      </c>
      <c r="B811" s="54"/>
      <c r="C811" s="47">
        <f t="shared" si="119"/>
        <v>3</v>
      </c>
      <c r="D811" s="73"/>
      <c r="E811" s="70"/>
      <c r="F811" s="70" t="s">
        <v>1468</v>
      </c>
      <c r="G811" s="73"/>
      <c r="H811" s="76" t="s">
        <v>1469</v>
      </c>
      <c r="I811" s="96" t="s">
        <v>690</v>
      </c>
      <c r="J811" s="96" t="s">
        <v>1143</v>
      </c>
      <c r="K811" s="76"/>
      <c r="L811" s="76"/>
      <c r="M811" s="76"/>
      <c r="N811" s="76"/>
      <c r="O811" s="76"/>
      <c r="P811" s="76"/>
      <c r="Q811" s="76"/>
      <c r="R811" s="76"/>
      <c r="S811" s="76"/>
      <c r="T811" s="76"/>
      <c r="U811" s="336">
        <f>U809*0.904</f>
        <v>-6.1627488000000001</v>
      </c>
      <c r="V811" s="335">
        <f>U811</f>
        <v>-6.1627488000000001</v>
      </c>
      <c r="W811" s="335">
        <f t="shared" si="122"/>
        <v>-6.1627488000000001</v>
      </c>
      <c r="X811" s="335">
        <f t="shared" si="122"/>
        <v>-6.1627488000000001</v>
      </c>
      <c r="Y811" s="335">
        <v>-6.1627488000000001</v>
      </c>
      <c r="Z811" s="335">
        <v>-6.1627488000000001</v>
      </c>
      <c r="AA811" s="335">
        <v>-6.1627488000000001</v>
      </c>
      <c r="AB811" s="254">
        <v>-8.33</v>
      </c>
      <c r="AC811" s="254">
        <f t="shared" si="123"/>
        <v>-8.33</v>
      </c>
      <c r="AD811" s="254">
        <f t="shared" si="123"/>
        <v>-8.33</v>
      </c>
      <c r="AE811" s="76"/>
      <c r="AF811" s="97"/>
      <c r="AG811" s="76"/>
      <c r="AH811" s="97">
        <v>1</v>
      </c>
      <c r="AI811" s="97">
        <v>1</v>
      </c>
      <c r="AJ811" s="73"/>
      <c r="AK811" s="57"/>
      <c r="AL811" s="45"/>
      <c r="AM811" s="45"/>
      <c r="AN811" s="45"/>
    </row>
    <row r="812" spans="1:40" hidden="1" outlineLevel="2" x14ac:dyDescent="0.25">
      <c r="A812" s="45">
        <f>A811</f>
        <v>4</v>
      </c>
      <c r="B812" s="54"/>
      <c r="C812" s="47">
        <f t="shared" si="119"/>
        <v>3</v>
      </c>
      <c r="D812" s="73"/>
      <c r="E812" s="70"/>
      <c r="F812" s="70" t="s">
        <v>1470</v>
      </c>
      <c r="G812" s="73"/>
      <c r="H812" s="76" t="s">
        <v>1471</v>
      </c>
      <c r="I812" s="96" t="s">
        <v>690</v>
      </c>
      <c r="J812" s="96" t="s">
        <v>1143</v>
      </c>
      <c r="K812" s="76"/>
      <c r="L812" s="76"/>
      <c r="M812" s="76"/>
      <c r="N812" s="76"/>
      <c r="O812" s="76"/>
      <c r="P812" s="76"/>
      <c r="Q812" s="76"/>
      <c r="R812" s="76"/>
      <c r="S812" s="76"/>
      <c r="T812" s="76"/>
      <c r="U812" s="336">
        <f>U809*0.555</f>
        <v>-3.7835460000000003</v>
      </c>
      <c r="V812" s="335">
        <f>U812</f>
        <v>-3.7835460000000003</v>
      </c>
      <c r="W812" s="335">
        <f t="shared" si="122"/>
        <v>-3.7835460000000003</v>
      </c>
      <c r="X812" s="335">
        <f t="shared" si="122"/>
        <v>-3.7835460000000003</v>
      </c>
      <c r="Y812" s="335">
        <v>-3.7835460000000003</v>
      </c>
      <c r="Z812" s="335">
        <v>-3.7835460000000003</v>
      </c>
      <c r="AA812" s="335">
        <v>-3.7835460000000003</v>
      </c>
      <c r="AB812" s="254">
        <v>-5.1100000000000003</v>
      </c>
      <c r="AC812" s="254">
        <f t="shared" si="123"/>
        <v>-5.1100000000000003</v>
      </c>
      <c r="AD812" s="254">
        <f t="shared" si="123"/>
        <v>-5.1100000000000003</v>
      </c>
      <c r="AE812" s="76"/>
      <c r="AF812" s="97"/>
      <c r="AG812" s="76"/>
      <c r="AH812" s="97">
        <v>1</v>
      </c>
      <c r="AI812" s="97">
        <v>1</v>
      </c>
      <c r="AJ812" s="73"/>
      <c r="AK812" s="57"/>
      <c r="AL812" s="45"/>
      <c r="AM812" s="45"/>
      <c r="AN812" s="45"/>
    </row>
    <row r="813" spans="1:40" hidden="1" outlineLevel="2" x14ac:dyDescent="0.25">
      <c r="A813" s="45"/>
      <c r="B813" s="54"/>
      <c r="C813" s="47">
        <f t="shared" si="119"/>
        <v>3</v>
      </c>
      <c r="D813" s="73"/>
      <c r="E813" s="70"/>
      <c r="F813" s="70" t="s">
        <v>1472</v>
      </c>
      <c r="G813" s="73"/>
      <c r="H813" s="76" t="s">
        <v>1473</v>
      </c>
      <c r="I813" s="96" t="s">
        <v>690</v>
      </c>
      <c r="J813" s="96" t="s">
        <v>1143</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1288</v>
      </c>
      <c r="AG813" s="76"/>
      <c r="AH813" s="97">
        <v>1</v>
      </c>
      <c r="AI813" s="97">
        <v>1</v>
      </c>
      <c r="AJ813" s="73"/>
      <c r="AK813" s="57"/>
      <c r="AL813" s="45"/>
      <c r="AM813" s="45"/>
      <c r="AN813" s="45"/>
    </row>
    <row r="814" spans="1:40" hidden="1" outlineLevel="2" x14ac:dyDescent="0.25">
      <c r="A814" s="45"/>
      <c r="B814" s="54"/>
      <c r="C814" s="47">
        <f t="shared" si="119"/>
        <v>3</v>
      </c>
      <c r="D814" s="73"/>
      <c r="E814" s="70"/>
      <c r="F814" s="70" t="s">
        <v>1474</v>
      </c>
      <c r="G814" s="73"/>
      <c r="H814" s="76" t="s">
        <v>1475</v>
      </c>
      <c r="I814" s="96" t="s">
        <v>690</v>
      </c>
      <c r="J814" s="96" t="s">
        <v>1143</v>
      </c>
      <c r="K814" s="76"/>
      <c r="L814" s="76"/>
      <c r="M814" s="76"/>
      <c r="N814" s="76"/>
      <c r="O814" s="76"/>
      <c r="P814" s="76"/>
      <c r="Q814" s="76"/>
      <c r="R814" s="76"/>
      <c r="S814" s="76"/>
      <c r="T814" s="76"/>
      <c r="U814" s="97">
        <f>-52.3/1000</f>
        <v>-5.2299999999999999E-2</v>
      </c>
      <c r="V814" s="254">
        <f>U814</f>
        <v>-5.2299999999999999E-2</v>
      </c>
      <c r="W814" s="254">
        <f>U814</f>
        <v>-5.2299999999999999E-2</v>
      </c>
      <c r="X814" s="254">
        <f>V814</f>
        <v>-5.2299999999999999E-2</v>
      </c>
      <c r="Y814" s="254">
        <v>-5.2299999999999999E-2</v>
      </c>
      <c r="Z814" s="254">
        <v>-5.2299999999999999E-2</v>
      </c>
      <c r="AA814" s="254">
        <v>-5.2299999999999999E-2</v>
      </c>
      <c r="AB814" s="254">
        <v>-5.2299999999999999E-2</v>
      </c>
      <c r="AC814" s="254">
        <f>AB814</f>
        <v>-5.2299999999999999E-2</v>
      </c>
      <c r="AD814" s="254">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19"/>
        <v>3</v>
      </c>
      <c r="D815" s="73"/>
      <c r="E815" s="70"/>
      <c r="F815" s="70" t="s">
        <v>1476</v>
      </c>
      <c r="G815" s="73"/>
      <c r="H815" s="76" t="s">
        <v>1477</v>
      </c>
      <c r="I815" s="96" t="s">
        <v>690</v>
      </c>
      <c r="J815" s="96" t="s">
        <v>1143</v>
      </c>
      <c r="K815" s="76"/>
      <c r="L815" s="76"/>
      <c r="M815" s="76"/>
      <c r="N815" s="76"/>
      <c r="O815" s="76"/>
      <c r="P815" s="76"/>
      <c r="Q815" s="76"/>
      <c r="R815" s="76"/>
      <c r="S815" s="76"/>
      <c r="T815" s="76"/>
      <c r="U815" s="260">
        <f>U814</f>
        <v>-5.2299999999999999E-2</v>
      </c>
      <c r="V815" s="260">
        <f>V814</f>
        <v>-5.2299999999999999E-2</v>
      </c>
      <c r="W815" s="260">
        <f>W814</f>
        <v>-5.2299999999999999E-2</v>
      </c>
      <c r="X815" s="260">
        <f>X814</f>
        <v>-5.2299999999999999E-2</v>
      </c>
      <c r="Y815" s="260">
        <v>-5.2299999999999999E-2</v>
      </c>
      <c r="Z815" s="260">
        <v>-5.2299999999999999E-2</v>
      </c>
      <c r="AA815" s="260">
        <v>-5.2299999999999999E-2</v>
      </c>
      <c r="AB815" s="260">
        <v>-5.2299999999999999E-2</v>
      </c>
      <c r="AC815" s="260">
        <f>AC814</f>
        <v>-5.2299999999999999E-2</v>
      </c>
      <c r="AD815" s="260">
        <f>AD814</f>
        <v>-5.2299999999999999E-2</v>
      </c>
      <c r="AE815" s="76"/>
      <c r="AF815" s="97" t="s">
        <v>1465</v>
      </c>
      <c r="AG815" s="76"/>
      <c r="AH815" s="97">
        <v>1</v>
      </c>
      <c r="AI815" s="97">
        <v>1</v>
      </c>
      <c r="AJ815" s="73"/>
      <c r="AK815" s="57"/>
      <c r="AL815" s="45"/>
      <c r="AM815" s="45"/>
      <c r="AN815" s="45"/>
    </row>
    <row r="816" spans="1:40" hidden="1" outlineLevel="2" x14ac:dyDescent="0.25">
      <c r="A816" s="45"/>
      <c r="B816" s="54"/>
      <c r="C816" s="47">
        <f t="shared" si="119"/>
        <v>3</v>
      </c>
      <c r="D816" s="73"/>
      <c r="E816" s="70"/>
      <c r="F816" s="70" t="s">
        <v>1478</v>
      </c>
      <c r="G816" s="73"/>
      <c r="H816" s="76" t="s">
        <v>1479</v>
      </c>
      <c r="I816" s="96" t="s">
        <v>690</v>
      </c>
      <c r="J816" s="96" t="s">
        <v>1143</v>
      </c>
      <c r="K816" s="76"/>
      <c r="L816" s="76"/>
      <c r="M816" s="76"/>
      <c r="N816" s="76"/>
      <c r="O816" s="76"/>
      <c r="P816" s="76"/>
      <c r="Q816" s="76"/>
      <c r="R816" s="76"/>
      <c r="S816" s="76"/>
      <c r="T816" s="76"/>
      <c r="U816" s="97">
        <f>-10.7/1000</f>
        <v>-1.0699999999999999E-2</v>
      </c>
      <c r="V816" s="254">
        <f>U816</f>
        <v>-1.0699999999999999E-2</v>
      </c>
      <c r="W816" s="254">
        <f>U816</f>
        <v>-1.0699999999999999E-2</v>
      </c>
      <c r="X816" s="254">
        <f>V816</f>
        <v>-1.0699999999999999E-2</v>
      </c>
      <c r="Y816" s="254">
        <v>-1.0699999999999999E-2</v>
      </c>
      <c r="Z816" s="254">
        <v>-1.0699999999999999E-2</v>
      </c>
      <c r="AA816" s="254">
        <v>-1.0699999999999999E-2</v>
      </c>
      <c r="AB816" s="254">
        <v>-1.0699999999999999E-2</v>
      </c>
      <c r="AC816" s="254">
        <f>AB816</f>
        <v>-1.0699999999999999E-2</v>
      </c>
      <c r="AD816" s="254">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19"/>
        <v>3</v>
      </c>
      <c r="D817" s="73"/>
      <c r="E817" s="70"/>
      <c r="F817" s="70" t="s">
        <v>1480</v>
      </c>
      <c r="G817" s="73"/>
      <c r="H817" s="76" t="s">
        <v>1481</v>
      </c>
      <c r="I817" s="96" t="s">
        <v>690</v>
      </c>
      <c r="J817" s="96" t="s">
        <v>1143</v>
      </c>
      <c r="K817" s="76"/>
      <c r="L817" s="76"/>
      <c r="M817" s="76"/>
      <c r="N817" s="76"/>
      <c r="O817" s="76"/>
      <c r="P817" s="76"/>
      <c r="Q817" s="76"/>
      <c r="R817" s="76"/>
      <c r="S817" s="76"/>
      <c r="T817" s="76"/>
      <c r="U817" s="260">
        <f t="shared" ref="U817:X818" si="124">U816</f>
        <v>-1.0699999999999999E-2</v>
      </c>
      <c r="V817" s="260">
        <f t="shared" si="124"/>
        <v>-1.0699999999999999E-2</v>
      </c>
      <c r="W817" s="260">
        <f t="shared" si="124"/>
        <v>-1.0699999999999999E-2</v>
      </c>
      <c r="X817" s="260">
        <f t="shared" si="124"/>
        <v>-1.0699999999999999E-2</v>
      </c>
      <c r="Y817" s="260">
        <v>-1.0699999999999999E-2</v>
      </c>
      <c r="Z817" s="260">
        <v>-1.0699999999999999E-2</v>
      </c>
      <c r="AA817" s="260">
        <v>-1.0699999999999999E-2</v>
      </c>
      <c r="AB817" s="260">
        <v>-1.0699999999999999E-2</v>
      </c>
      <c r="AC817" s="260">
        <f>AC816</f>
        <v>-1.0699999999999999E-2</v>
      </c>
      <c r="AD817" s="260">
        <f>AD816</f>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19"/>
        <v>3</v>
      </c>
      <c r="D818" s="73"/>
      <c r="E818" s="70"/>
      <c r="F818" s="70" t="s">
        <v>1482</v>
      </c>
      <c r="G818" s="73"/>
      <c r="H818" s="76" t="s">
        <v>1483</v>
      </c>
      <c r="I818" s="96" t="s">
        <v>690</v>
      </c>
      <c r="J818" s="96" t="s">
        <v>1143</v>
      </c>
      <c r="K818" s="76"/>
      <c r="L818" s="76"/>
      <c r="M818" s="76"/>
      <c r="N818" s="76"/>
      <c r="O818" s="76"/>
      <c r="P818" s="76"/>
      <c r="Q818" s="76"/>
      <c r="R818" s="76"/>
      <c r="S818" s="76"/>
      <c r="T818" s="76"/>
      <c r="U818" s="260">
        <f t="shared" si="124"/>
        <v>-1.0699999999999999E-2</v>
      </c>
      <c r="V818" s="260">
        <f t="shared" si="124"/>
        <v>-1.0699999999999999E-2</v>
      </c>
      <c r="W818" s="260">
        <f t="shared" si="124"/>
        <v>-1.0699999999999999E-2</v>
      </c>
      <c r="X818" s="260">
        <f t="shared" si="124"/>
        <v>-1.0699999999999999E-2</v>
      </c>
      <c r="Y818" s="260">
        <v>-1.0699999999999999E-2</v>
      </c>
      <c r="Z818" s="260">
        <v>-1.0699999999999999E-2</v>
      </c>
      <c r="AA818" s="260">
        <v>-1.0699999999999999E-2</v>
      </c>
      <c r="AB818" s="260">
        <v>-1.0699999999999999E-2</v>
      </c>
      <c r="AC818" s="260">
        <f>AC817</f>
        <v>-1.0699999999999999E-2</v>
      </c>
      <c r="AD818" s="260">
        <f>AD817</f>
        <v>-1.0699999999999999E-2</v>
      </c>
      <c r="AE818" s="76"/>
      <c r="AF818" s="97"/>
      <c r="AG818" s="76"/>
      <c r="AH818" s="97">
        <v>1</v>
      </c>
      <c r="AI818" s="97">
        <v>1</v>
      </c>
      <c r="AJ818" s="73"/>
      <c r="AK818" s="57"/>
      <c r="AL818" s="45"/>
      <c r="AM818" s="45"/>
      <c r="AN818" s="45"/>
    </row>
    <row r="819" spans="1:40" outlineLevel="1" collapsed="1" x14ac:dyDescent="0.25">
      <c r="A819" s="45"/>
      <c r="B819" s="54"/>
      <c r="C819" s="47">
        <f>INT($C$29)+1</f>
        <v>2</v>
      </c>
      <c r="D819" s="73"/>
      <c r="E819" s="70"/>
      <c r="F819" s="255" t="s">
        <v>1484</v>
      </c>
      <c r="G819" s="73"/>
      <c r="H819" s="246" t="s">
        <v>1485</v>
      </c>
      <c r="I819" s="129"/>
      <c r="J819" s="129" t="s">
        <v>1043</v>
      </c>
      <c r="K819" s="76"/>
      <c r="L819" s="76"/>
      <c r="M819" s="76"/>
      <c r="N819" s="76"/>
      <c r="O819" s="76"/>
      <c r="P819" s="76"/>
      <c r="Q819" s="76"/>
      <c r="R819" s="76"/>
      <c r="S819" s="76"/>
      <c r="T819" s="76"/>
      <c r="U819" s="79">
        <v>26</v>
      </c>
      <c r="V819" s="79">
        <v>4</v>
      </c>
      <c r="W819" s="79">
        <v>-12</v>
      </c>
      <c r="X819" s="76"/>
      <c r="Y819" s="79">
        <v>-12</v>
      </c>
      <c r="Z819" s="79">
        <v>-12</v>
      </c>
      <c r="AA819" s="79">
        <v>-12</v>
      </c>
      <c r="AB819" s="76"/>
      <c r="AC819" s="76"/>
      <c r="AD819" s="76"/>
      <c r="AE819" s="76"/>
      <c r="AF819" s="76"/>
      <c r="AG819" s="76"/>
      <c r="AH819" s="76"/>
      <c r="AI819" s="76"/>
      <c r="AJ819" s="73"/>
      <c r="AK819" s="57"/>
      <c r="AL819" s="45"/>
      <c r="AM819" s="45"/>
      <c r="AN819" s="45"/>
    </row>
    <row r="820" spans="1:40" hidden="1" outlineLevel="3" x14ac:dyDescent="0.25">
      <c r="A820" s="45"/>
      <c r="B820" s="54"/>
      <c r="C820" s="47">
        <f>INT($C$29)+3</f>
        <v>4</v>
      </c>
      <c r="D820" s="73"/>
      <c r="E820" s="70"/>
      <c r="F820" s="70" t="s">
        <v>1486</v>
      </c>
      <c r="G820" s="73"/>
      <c r="H820" s="76" t="s">
        <v>1487</v>
      </c>
      <c r="I820" s="96" t="s">
        <v>500</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1488</v>
      </c>
      <c r="G821" s="73"/>
      <c r="H821" s="76" t="s">
        <v>1489</v>
      </c>
      <c r="I821" s="96" t="s">
        <v>500</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1490</v>
      </c>
      <c r="G822" s="73"/>
      <c r="H822" s="76" t="s">
        <v>1491</v>
      </c>
      <c r="I822" s="96" t="s">
        <v>500</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1492</v>
      </c>
      <c r="G823" s="73"/>
      <c r="H823" s="76" t="s">
        <v>1493</v>
      </c>
      <c r="I823" s="96" t="s">
        <v>500</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25">
      <c r="A824" s="45"/>
      <c r="B824" s="54"/>
      <c r="C824" s="47">
        <f t="shared" ref="C824:C858" si="125">INT($C$29)+2</f>
        <v>3</v>
      </c>
      <c r="D824" s="73"/>
      <c r="E824" s="70" t="s">
        <v>983</v>
      </c>
      <c r="F824" s="70" t="s">
        <v>1494</v>
      </c>
      <c r="G824" s="73"/>
      <c r="H824" s="76" t="s">
        <v>1495</v>
      </c>
      <c r="I824" s="96" t="s">
        <v>500</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3" t="s">
        <v>1496</v>
      </c>
      <c r="AG824" s="76"/>
      <c r="AH824" s="76">
        <v>1</v>
      </c>
      <c r="AI824" s="76">
        <v>1</v>
      </c>
      <c r="AJ824" s="73"/>
      <c r="AK824" s="57"/>
      <c r="AL824" s="45"/>
      <c r="AM824" s="45"/>
      <c r="AN824" s="45"/>
    </row>
    <row r="825" spans="1:40" hidden="1" outlineLevel="2" x14ac:dyDescent="0.25">
      <c r="A825" s="45"/>
      <c r="B825" s="54"/>
      <c r="C825" s="47">
        <f t="shared" si="125"/>
        <v>3</v>
      </c>
      <c r="D825" s="73"/>
      <c r="E825" s="70"/>
      <c r="F825" s="70" t="s">
        <v>1497</v>
      </c>
      <c r="G825" s="73"/>
      <c r="H825" s="76" t="s">
        <v>1498</v>
      </c>
      <c r="I825" s="96" t="s">
        <v>500</v>
      </c>
      <c r="J825" s="96"/>
      <c r="K825" s="76"/>
      <c r="L825" s="76"/>
      <c r="M825" s="97">
        <v>0</v>
      </c>
      <c r="N825" s="97">
        <v>0</v>
      </c>
      <c r="O825" s="97">
        <v>0</v>
      </c>
      <c r="P825" s="97">
        <v>0</v>
      </c>
      <c r="Q825" s="76"/>
      <c r="R825" s="76"/>
      <c r="S825" s="97" t="s">
        <v>1499</v>
      </c>
      <c r="T825" s="76"/>
      <c r="U825" s="97">
        <f>0.23/2</f>
        <v>0.115</v>
      </c>
      <c r="V825" s="97">
        <f>0.23/2</f>
        <v>0.115</v>
      </c>
      <c r="W825" s="97">
        <f>0.23/2</f>
        <v>0.115</v>
      </c>
      <c r="X825" s="97">
        <f>0.23/2</f>
        <v>0.115</v>
      </c>
      <c r="Y825" s="97">
        <v>0.115</v>
      </c>
      <c r="Z825" s="97">
        <v>0.115</v>
      </c>
      <c r="AA825" s="97">
        <v>0.115</v>
      </c>
      <c r="AB825" s="97">
        <v>0.17</v>
      </c>
      <c r="AC825" s="97">
        <f>0.34/2</f>
        <v>0.17</v>
      </c>
      <c r="AD825" s="97">
        <f>0.34/2</f>
        <v>0.17</v>
      </c>
      <c r="AE825" s="97">
        <f>0.34/2</f>
        <v>0.17</v>
      </c>
      <c r="AF825" s="97" t="s">
        <v>2590</v>
      </c>
      <c r="AG825" s="76"/>
      <c r="AH825" s="97">
        <v>1</v>
      </c>
      <c r="AI825" s="97">
        <v>1</v>
      </c>
      <c r="AJ825" s="73"/>
      <c r="AK825" s="57"/>
      <c r="AL825" s="45"/>
      <c r="AM825" s="45"/>
      <c r="AN825" s="45"/>
    </row>
    <row r="826" spans="1:40" hidden="1" outlineLevel="2" x14ac:dyDescent="0.25">
      <c r="A826" s="45"/>
      <c r="B826" s="54"/>
      <c r="C826" s="47">
        <f t="shared" si="125"/>
        <v>3</v>
      </c>
      <c r="D826" s="73"/>
      <c r="E826" s="70"/>
      <c r="F826" s="70" t="s">
        <v>1501</v>
      </c>
      <c r="G826" s="73"/>
      <c r="H826" s="76" t="s">
        <v>1502</v>
      </c>
      <c r="I826" s="96" t="s">
        <v>500</v>
      </c>
      <c r="J826" s="96"/>
      <c r="K826" s="76"/>
      <c r="L826" s="76"/>
      <c r="M826" s="76"/>
      <c r="N826" s="76"/>
      <c r="O826" s="76"/>
      <c r="P826" s="76"/>
      <c r="Q826" s="76"/>
      <c r="R826" s="76"/>
      <c r="S826" s="76"/>
      <c r="T826" s="76"/>
      <c r="U826" s="97">
        <f t="shared" ref="U826:X827" si="126">0.39/2</f>
        <v>0.19500000000000001</v>
      </c>
      <c r="V826" s="97">
        <f t="shared" si="126"/>
        <v>0.19500000000000001</v>
      </c>
      <c r="W826" s="97">
        <f t="shared" si="126"/>
        <v>0.19500000000000001</v>
      </c>
      <c r="X826" s="97">
        <f t="shared" si="126"/>
        <v>0.19500000000000001</v>
      </c>
      <c r="Y826" s="97">
        <v>0.19500000000000001</v>
      </c>
      <c r="Z826" s="97">
        <v>0.19500000000000001</v>
      </c>
      <c r="AA826" s="97">
        <v>0.19500000000000001</v>
      </c>
      <c r="AB826" s="97">
        <v>0.32</v>
      </c>
      <c r="AC826" s="97">
        <f t="shared" ref="AC826:AE827" si="127">0.64/2</f>
        <v>0.32</v>
      </c>
      <c r="AD826" s="97">
        <f t="shared" si="127"/>
        <v>0.32</v>
      </c>
      <c r="AE826" s="97">
        <f t="shared" si="127"/>
        <v>0.32</v>
      </c>
      <c r="AF826" s="97" t="s">
        <v>1500</v>
      </c>
      <c r="AG826" s="76"/>
      <c r="AH826" s="97">
        <v>1</v>
      </c>
      <c r="AI826" s="97">
        <v>1</v>
      </c>
      <c r="AJ826" s="73"/>
      <c r="AK826" s="57"/>
      <c r="AL826" s="45"/>
      <c r="AM826" s="45"/>
      <c r="AN826" s="45"/>
    </row>
    <row r="827" spans="1:40" hidden="1" outlineLevel="2" x14ac:dyDescent="0.25">
      <c r="A827" s="45"/>
      <c r="B827" s="54"/>
      <c r="C827" s="47">
        <f t="shared" si="125"/>
        <v>3</v>
      </c>
      <c r="D827" s="73"/>
      <c r="E827" s="70"/>
      <c r="F827" s="70" t="s">
        <v>1503</v>
      </c>
      <c r="G827" s="73"/>
      <c r="H827" s="76" t="s">
        <v>1504</v>
      </c>
      <c r="I827" s="96" t="s">
        <v>500</v>
      </c>
      <c r="J827" s="96"/>
      <c r="K827" s="76"/>
      <c r="L827" s="76"/>
      <c r="M827" s="76"/>
      <c r="N827" s="76"/>
      <c r="O827" s="76"/>
      <c r="P827" s="76"/>
      <c r="Q827" s="76"/>
      <c r="R827" s="76"/>
      <c r="S827" s="76"/>
      <c r="T827" s="76"/>
      <c r="U827" s="97">
        <f t="shared" si="126"/>
        <v>0.19500000000000001</v>
      </c>
      <c r="V827" s="97">
        <f t="shared" si="126"/>
        <v>0.19500000000000001</v>
      </c>
      <c r="W827" s="97">
        <f t="shared" si="126"/>
        <v>0.19500000000000001</v>
      </c>
      <c r="X827" s="97">
        <f t="shared" si="126"/>
        <v>0.19500000000000001</v>
      </c>
      <c r="Y827" s="97">
        <v>0.19500000000000001</v>
      </c>
      <c r="Z827" s="97">
        <v>0.19500000000000001</v>
      </c>
      <c r="AA827" s="97">
        <v>0.19500000000000001</v>
      </c>
      <c r="AB827" s="97">
        <v>0.32</v>
      </c>
      <c r="AC827" s="97">
        <f t="shared" si="127"/>
        <v>0.32</v>
      </c>
      <c r="AD827" s="97">
        <f t="shared" si="127"/>
        <v>0.32</v>
      </c>
      <c r="AE827" s="97">
        <f t="shared" si="127"/>
        <v>0.32</v>
      </c>
      <c r="AF827" s="97" t="s">
        <v>1022</v>
      </c>
      <c r="AG827" s="76"/>
      <c r="AH827" s="97">
        <v>1</v>
      </c>
      <c r="AI827" s="97">
        <v>1</v>
      </c>
      <c r="AJ827" s="73"/>
      <c r="AK827" s="57"/>
      <c r="AL827" s="45"/>
      <c r="AM827" s="45"/>
      <c r="AN827" s="45"/>
    </row>
    <row r="828" spans="1:40" hidden="1" outlineLevel="2" x14ac:dyDescent="0.25">
      <c r="A828" s="45"/>
      <c r="B828" s="54"/>
      <c r="C828" s="47">
        <f t="shared" si="125"/>
        <v>3</v>
      </c>
      <c r="D828" s="73"/>
      <c r="E828" s="70" t="s">
        <v>1505</v>
      </c>
      <c r="F828" s="70" t="s">
        <v>1506</v>
      </c>
      <c r="G828" s="73"/>
      <c r="H828" s="76" t="s">
        <v>1507</v>
      </c>
      <c r="I828" s="96" t="s">
        <v>500</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3" t="s">
        <v>1496</v>
      </c>
      <c r="AG828" s="76"/>
      <c r="AH828" s="76">
        <v>1</v>
      </c>
      <c r="AI828" s="76">
        <v>1</v>
      </c>
      <c r="AJ828" s="73"/>
      <c r="AK828" s="57"/>
      <c r="AL828" s="45"/>
      <c r="AM828" s="45"/>
      <c r="AN828" s="45"/>
    </row>
    <row r="829" spans="1:40" hidden="1" outlineLevel="2" x14ac:dyDescent="0.25">
      <c r="A829" s="45"/>
      <c r="B829" s="54"/>
      <c r="C829" s="47">
        <f t="shared" si="125"/>
        <v>3</v>
      </c>
      <c r="D829" s="73"/>
      <c r="E829" s="70"/>
      <c r="F829" s="70" t="s">
        <v>1508</v>
      </c>
      <c r="G829" s="73"/>
      <c r="H829" s="76" t="s">
        <v>1509</v>
      </c>
      <c r="I829" s="96" t="s">
        <v>500</v>
      </c>
      <c r="J829" s="96"/>
      <c r="K829" s="76"/>
      <c r="L829" s="76"/>
      <c r="M829" s="97">
        <v>0.5</v>
      </c>
      <c r="N829" s="97">
        <v>0.5</v>
      </c>
      <c r="O829" s="97">
        <v>0.5</v>
      </c>
      <c r="P829" s="97">
        <v>0.5</v>
      </c>
      <c r="Q829" s="76"/>
      <c r="R829" s="76"/>
      <c r="S829" s="97" t="s">
        <v>1510</v>
      </c>
      <c r="T829" s="76"/>
      <c r="U829" s="97">
        <v>-0.53</v>
      </c>
      <c r="V829" s="97">
        <v>-0.53</v>
      </c>
      <c r="W829" s="97">
        <v>-0.53</v>
      </c>
      <c r="X829" s="97">
        <v>-0.53</v>
      </c>
      <c r="Y829" s="97">
        <v>-0.53</v>
      </c>
      <c r="Z829" s="97">
        <v>-0.53</v>
      </c>
      <c r="AA829" s="97">
        <v>-0.53</v>
      </c>
      <c r="AB829" s="97">
        <v>-1.8049999999999999</v>
      </c>
      <c r="AC829" s="97">
        <v>-1.8049999999999999</v>
      </c>
      <c r="AD829" s="97">
        <v>-1.8049999999999999</v>
      </c>
      <c r="AE829" s="76"/>
      <c r="AF829" s="97" t="s">
        <v>1515</v>
      </c>
      <c r="AG829" s="76"/>
      <c r="AH829" s="97">
        <v>1</v>
      </c>
      <c r="AI829" s="97">
        <v>1</v>
      </c>
      <c r="AJ829" s="73"/>
      <c r="AK829" s="57"/>
      <c r="AL829" s="45"/>
      <c r="AM829" s="45"/>
      <c r="AN829" s="45"/>
    </row>
    <row r="830" spans="1:40" hidden="1" outlineLevel="2" x14ac:dyDescent="0.25">
      <c r="A830" s="45"/>
      <c r="B830" s="54"/>
      <c r="C830" s="47">
        <f t="shared" si="125"/>
        <v>3</v>
      </c>
      <c r="D830" s="73"/>
      <c r="E830" s="70"/>
      <c r="F830" s="70" t="s">
        <v>1511</v>
      </c>
      <c r="G830" s="73"/>
      <c r="H830" s="76" t="s">
        <v>1512</v>
      </c>
      <c r="I830" s="96" t="s">
        <v>500</v>
      </c>
      <c r="J830" s="96"/>
      <c r="K830" s="76"/>
      <c r="L830" s="76"/>
      <c r="M830" s="76"/>
      <c r="N830" s="76"/>
      <c r="O830" s="76"/>
      <c r="P830" s="76"/>
      <c r="Q830" s="76"/>
      <c r="R830" s="76"/>
      <c r="S830" s="76"/>
      <c r="T830" s="76"/>
      <c r="U830" s="97">
        <v>-0.03</v>
      </c>
      <c r="V830" s="97">
        <v>-0.03</v>
      </c>
      <c r="W830" s="97">
        <v>-0.03</v>
      </c>
      <c r="X830" s="97">
        <v>-0.03</v>
      </c>
      <c r="Y830" s="97">
        <v>-0.03</v>
      </c>
      <c r="Z830" s="97">
        <v>-0.03</v>
      </c>
      <c r="AA830" s="97">
        <v>-0.03</v>
      </c>
      <c r="AB830" s="97">
        <v>-2.6150000000000002</v>
      </c>
      <c r="AC830" s="97">
        <v>-2.6150000000000002</v>
      </c>
      <c r="AD830" s="97">
        <v>-2.6150000000000002</v>
      </c>
      <c r="AE830" s="76"/>
      <c r="AF830" s="97" t="s">
        <v>1515</v>
      </c>
      <c r="AG830" s="76"/>
      <c r="AH830" s="97">
        <v>1</v>
      </c>
      <c r="AI830" s="97">
        <v>1</v>
      </c>
      <c r="AJ830" s="73"/>
      <c r="AK830" s="57"/>
      <c r="AL830" s="45"/>
      <c r="AM830" s="45"/>
      <c r="AN830" s="45"/>
    </row>
    <row r="831" spans="1:40" hidden="1" outlineLevel="2" x14ac:dyDescent="0.25">
      <c r="A831" s="45"/>
      <c r="B831" s="54"/>
      <c r="C831" s="47">
        <f t="shared" si="125"/>
        <v>3</v>
      </c>
      <c r="D831" s="73"/>
      <c r="E831" s="70"/>
      <c r="F831" s="70" t="s">
        <v>1513</v>
      </c>
      <c r="G831" s="73"/>
      <c r="H831" s="76" t="s">
        <v>1514</v>
      </c>
      <c r="I831" s="96" t="s">
        <v>500</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3.6549999999999998</v>
      </c>
      <c r="AA831" s="97">
        <v>3.6549999999999998</v>
      </c>
      <c r="AB831" s="97">
        <v>1.4500000000000002</v>
      </c>
      <c r="AC831" s="97">
        <v>1.4500000000000002</v>
      </c>
      <c r="AD831" s="97">
        <v>1.4500000000000002</v>
      </c>
      <c r="AE831" s="76"/>
      <c r="AF831" s="97" t="s">
        <v>1515</v>
      </c>
      <c r="AG831" s="76"/>
      <c r="AH831" s="97">
        <v>1</v>
      </c>
      <c r="AI831" s="97">
        <v>1</v>
      </c>
      <c r="AJ831" s="73"/>
      <c r="AK831" s="57"/>
      <c r="AL831" s="45"/>
      <c r="AM831" s="45"/>
      <c r="AN831" s="45"/>
    </row>
    <row r="832" spans="1:40" hidden="1" outlineLevel="2" x14ac:dyDescent="0.25">
      <c r="A832" s="45"/>
      <c r="B832" s="54"/>
      <c r="C832" s="47">
        <f t="shared" si="125"/>
        <v>3</v>
      </c>
      <c r="D832" s="73"/>
      <c r="E832" s="70" t="s">
        <v>1516</v>
      </c>
      <c r="F832" s="70" t="s">
        <v>1517</v>
      </c>
      <c r="G832" s="73"/>
      <c r="H832" s="76" t="s">
        <v>1518</v>
      </c>
      <c r="I832" s="96" t="s">
        <v>500</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3" t="s">
        <v>1496</v>
      </c>
      <c r="AG832" s="76"/>
      <c r="AH832" s="76">
        <v>1</v>
      </c>
      <c r="AI832" s="76">
        <v>1</v>
      </c>
      <c r="AJ832" s="73"/>
      <c r="AK832" s="57"/>
      <c r="AL832" s="45"/>
      <c r="AM832" s="45"/>
      <c r="AN832" s="45"/>
    </row>
    <row r="833" spans="1:40" hidden="1" outlineLevel="2" x14ac:dyDescent="0.25">
      <c r="A833" s="45"/>
      <c r="B833" s="54"/>
      <c r="C833" s="47">
        <f t="shared" si="125"/>
        <v>3</v>
      </c>
      <c r="D833" s="73"/>
      <c r="E833" s="70"/>
      <c r="F833" s="70" t="s">
        <v>1519</v>
      </c>
      <c r="G833" s="73"/>
      <c r="H833" s="76" t="s">
        <v>1509</v>
      </c>
      <c r="I833" s="96" t="s">
        <v>500</v>
      </c>
      <c r="J833" s="96"/>
      <c r="K833" s="76"/>
      <c r="L833" s="76"/>
      <c r="M833" s="97">
        <v>1</v>
      </c>
      <c r="N833" s="97">
        <v>1</v>
      </c>
      <c r="O833" s="97">
        <v>1</v>
      </c>
      <c r="P833" s="97">
        <v>1</v>
      </c>
      <c r="Q833" s="76"/>
      <c r="R833" s="76"/>
      <c r="S833" s="97" t="s">
        <v>1510</v>
      </c>
      <c r="T833" s="76"/>
      <c r="U833" s="97">
        <v>1.81</v>
      </c>
      <c r="V833" s="97">
        <v>1.81</v>
      </c>
      <c r="W833" s="97">
        <v>1.81</v>
      </c>
      <c r="X833" s="97">
        <v>1.81</v>
      </c>
      <c r="Y833" s="97">
        <v>1.81</v>
      </c>
      <c r="Z833" s="97">
        <v>1.81</v>
      </c>
      <c r="AA833" s="97">
        <v>1.81</v>
      </c>
      <c r="AB833" s="97">
        <v>3.3149999999999999</v>
      </c>
      <c r="AC833" s="97">
        <v>3.3149999999999999</v>
      </c>
      <c r="AD833" s="97">
        <v>3.3149999999999999</v>
      </c>
      <c r="AE833" s="76"/>
      <c r="AF833" s="97" t="s">
        <v>1515</v>
      </c>
      <c r="AG833" s="76"/>
      <c r="AH833" s="97">
        <v>1</v>
      </c>
      <c r="AI833" s="97">
        <v>1</v>
      </c>
      <c r="AJ833" s="73"/>
      <c r="AK833" s="57"/>
      <c r="AL833" s="45"/>
      <c r="AM833" s="45"/>
      <c r="AN833" s="45"/>
    </row>
    <row r="834" spans="1:40" hidden="1" outlineLevel="2" x14ac:dyDescent="0.25">
      <c r="A834" s="45"/>
      <c r="B834" s="54"/>
      <c r="C834" s="47">
        <f t="shared" si="125"/>
        <v>3</v>
      </c>
      <c r="D834" s="73"/>
      <c r="E834" s="70"/>
      <c r="F834" s="70" t="s">
        <v>1520</v>
      </c>
      <c r="G834" s="73"/>
      <c r="H834" s="76" t="s">
        <v>1512</v>
      </c>
      <c r="I834" s="96" t="s">
        <v>500</v>
      </c>
      <c r="J834" s="96"/>
      <c r="K834" s="76"/>
      <c r="L834" s="76"/>
      <c r="M834" s="76"/>
      <c r="N834" s="76"/>
      <c r="O834" s="76"/>
      <c r="P834" s="76"/>
      <c r="Q834" s="76"/>
      <c r="R834" s="76"/>
      <c r="S834" s="76"/>
      <c r="T834" s="76"/>
      <c r="U834" s="97">
        <v>2.66</v>
      </c>
      <c r="V834" s="97">
        <v>2.66</v>
      </c>
      <c r="W834" s="97">
        <v>2.66</v>
      </c>
      <c r="X834" s="97">
        <v>2.66</v>
      </c>
      <c r="Y834" s="97">
        <v>2.66</v>
      </c>
      <c r="Z834" s="97">
        <v>2.66</v>
      </c>
      <c r="AA834" s="97">
        <v>2.66</v>
      </c>
      <c r="AB834" s="97">
        <v>4.4850000000000003</v>
      </c>
      <c r="AC834" s="97">
        <v>4.4850000000000003</v>
      </c>
      <c r="AD834" s="97">
        <v>4.4850000000000003</v>
      </c>
      <c r="AE834" s="76"/>
      <c r="AF834" s="97" t="s">
        <v>1515</v>
      </c>
      <c r="AG834" s="76"/>
      <c r="AH834" s="97">
        <v>1</v>
      </c>
      <c r="AI834" s="97">
        <v>1</v>
      </c>
      <c r="AJ834" s="73"/>
      <c r="AK834" s="57"/>
      <c r="AL834" s="45"/>
      <c r="AM834" s="45"/>
      <c r="AN834" s="45"/>
    </row>
    <row r="835" spans="1:40" hidden="1" outlineLevel="2" x14ac:dyDescent="0.25">
      <c r="A835" s="45"/>
      <c r="B835" s="54"/>
      <c r="C835" s="47">
        <f t="shared" si="125"/>
        <v>3</v>
      </c>
      <c r="D835" s="73"/>
      <c r="E835" s="70"/>
      <c r="F835" s="70" t="s">
        <v>1521</v>
      </c>
      <c r="G835" s="73"/>
      <c r="H835" s="76" t="s">
        <v>1514</v>
      </c>
      <c r="I835" s="96" t="s">
        <v>500</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6.3449999999999998</v>
      </c>
      <c r="Z835" s="97">
        <v>6.3449999999999998</v>
      </c>
      <c r="AA835" s="97">
        <v>6.3449999999999998</v>
      </c>
      <c r="AB835" s="97">
        <v>8.5500000000000007</v>
      </c>
      <c r="AC835" s="97">
        <v>8.5500000000000007</v>
      </c>
      <c r="AD835" s="97">
        <v>8.5500000000000007</v>
      </c>
      <c r="AE835" s="76"/>
      <c r="AF835" s="97" t="s">
        <v>1515</v>
      </c>
      <c r="AG835" s="76"/>
      <c r="AH835" s="97">
        <v>1</v>
      </c>
      <c r="AI835" s="97">
        <v>1</v>
      </c>
      <c r="AJ835" s="73"/>
      <c r="AK835" s="57"/>
      <c r="AL835" s="45"/>
      <c r="AM835" s="45"/>
      <c r="AN835" s="45"/>
    </row>
    <row r="836" spans="1:40" hidden="1" outlineLevel="2" x14ac:dyDescent="0.25">
      <c r="A836" s="45"/>
      <c r="B836" s="54"/>
      <c r="C836" s="47">
        <f t="shared" si="125"/>
        <v>3</v>
      </c>
      <c r="D836" s="73"/>
      <c r="E836" s="70" t="s">
        <v>1522</v>
      </c>
      <c r="F836" s="70" t="s">
        <v>1523</v>
      </c>
      <c r="G836" s="73"/>
      <c r="H836" s="76" t="s">
        <v>1524</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3" t="s">
        <v>1525</v>
      </c>
      <c r="AG836" s="76"/>
      <c r="AH836" s="76">
        <v>1</v>
      </c>
      <c r="AI836" s="76">
        <v>1</v>
      </c>
      <c r="AJ836" s="73"/>
      <c r="AK836" s="57"/>
      <c r="AL836" s="45"/>
      <c r="AM836" s="45"/>
      <c r="AN836" s="45"/>
    </row>
    <row r="837" spans="1:40" hidden="1" outlineLevel="2" x14ac:dyDescent="0.25">
      <c r="A837" s="45"/>
      <c r="B837" s="54"/>
      <c r="C837" s="47">
        <f t="shared" si="125"/>
        <v>3</v>
      </c>
      <c r="D837" s="73"/>
      <c r="E837" s="70"/>
      <c r="F837" s="70" t="s">
        <v>1526</v>
      </c>
      <c r="G837" s="73"/>
      <c r="H837" s="76" t="s">
        <v>1527</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3" t="s">
        <v>1525</v>
      </c>
      <c r="AG837" s="76"/>
      <c r="AH837" s="97">
        <v>1</v>
      </c>
      <c r="AI837" s="97">
        <v>1</v>
      </c>
      <c r="AJ837" s="73"/>
      <c r="AK837" s="57"/>
      <c r="AL837" s="45"/>
      <c r="AM837" s="45"/>
      <c r="AN837" s="45"/>
    </row>
    <row r="838" spans="1:40" hidden="1" outlineLevel="2" x14ac:dyDescent="0.25">
      <c r="A838" s="45"/>
      <c r="B838" s="54"/>
      <c r="C838" s="47">
        <f t="shared" si="125"/>
        <v>3</v>
      </c>
      <c r="D838" s="73"/>
      <c r="E838" s="70"/>
      <c r="F838" s="70" t="s">
        <v>1528</v>
      </c>
      <c r="G838" s="73"/>
      <c r="H838" s="76" t="s">
        <v>1529</v>
      </c>
      <c r="I838" s="96" t="s">
        <v>1530</v>
      </c>
      <c r="J838" s="96"/>
      <c r="K838" s="76"/>
      <c r="L838" s="76"/>
      <c r="M838" s="76"/>
      <c r="N838" s="76"/>
      <c r="O838" s="76"/>
      <c r="P838" s="76"/>
      <c r="Q838" s="76"/>
      <c r="R838" s="76"/>
      <c r="S838" s="76"/>
      <c r="T838" s="76"/>
      <c r="U838" s="97">
        <f t="shared" ref="U838:X839" si="128">0.2-(0.2944/2)</f>
        <v>5.2800000000000014E-2</v>
      </c>
      <c r="V838" s="97">
        <f t="shared" si="128"/>
        <v>5.2800000000000014E-2</v>
      </c>
      <c r="W838" s="97">
        <f t="shared" si="128"/>
        <v>5.2800000000000014E-2</v>
      </c>
      <c r="X838" s="97">
        <f t="shared" si="128"/>
        <v>5.2800000000000014E-2</v>
      </c>
      <c r="Y838" s="97">
        <v>5.2800000000000014E-2</v>
      </c>
      <c r="Z838" s="97">
        <v>5.2800000000000014E-2</v>
      </c>
      <c r="AA838" s="97">
        <v>5.2800000000000014E-2</v>
      </c>
      <c r="AB838" s="97">
        <v>5.2800000000000014E-2</v>
      </c>
      <c r="AC838" s="97">
        <f>0.2-(0.2944/2)</f>
        <v>5.2800000000000014E-2</v>
      </c>
      <c r="AD838" s="97">
        <f>0.2-(0.2944/2)</f>
        <v>5.2800000000000014E-2</v>
      </c>
      <c r="AE838" s="76"/>
      <c r="AF838" s="97" t="s">
        <v>1531</v>
      </c>
      <c r="AG838" s="76"/>
      <c r="AH838" s="97">
        <v>1</v>
      </c>
      <c r="AI838" s="97">
        <v>1</v>
      </c>
      <c r="AJ838" s="73"/>
      <c r="AK838" s="57"/>
      <c r="AL838" s="45"/>
      <c r="AM838" s="45"/>
      <c r="AN838" s="45"/>
    </row>
    <row r="839" spans="1:40" hidden="1" outlineLevel="2" x14ac:dyDescent="0.25">
      <c r="A839" s="45"/>
      <c r="B839" s="54"/>
      <c r="C839" s="47">
        <f t="shared" si="125"/>
        <v>3</v>
      </c>
      <c r="D839" s="73"/>
      <c r="E839" s="70"/>
      <c r="F839" s="70" t="s">
        <v>1532</v>
      </c>
      <c r="G839" s="73"/>
      <c r="H839" s="76" t="s">
        <v>1533</v>
      </c>
      <c r="I839" s="96" t="s">
        <v>1530</v>
      </c>
      <c r="J839" s="96"/>
      <c r="K839" s="76"/>
      <c r="L839" s="76"/>
      <c r="M839" s="76"/>
      <c r="N839" s="76"/>
      <c r="O839" s="76"/>
      <c r="P839" s="76"/>
      <c r="Q839" s="76"/>
      <c r="R839" s="76"/>
      <c r="S839" s="76"/>
      <c r="T839" s="76"/>
      <c r="U839" s="97">
        <f t="shared" si="128"/>
        <v>5.2800000000000014E-2</v>
      </c>
      <c r="V839" s="97">
        <f t="shared" si="128"/>
        <v>5.2800000000000014E-2</v>
      </c>
      <c r="W839" s="97">
        <f t="shared" si="128"/>
        <v>5.2800000000000014E-2</v>
      </c>
      <c r="X839" s="97">
        <f t="shared" si="128"/>
        <v>5.2800000000000014E-2</v>
      </c>
      <c r="Y839" s="97">
        <v>5.2800000000000014E-2</v>
      </c>
      <c r="Z839" s="97">
        <v>5.2800000000000014E-2</v>
      </c>
      <c r="AA839" s="97">
        <v>5.2800000000000014E-2</v>
      </c>
      <c r="AB839" s="97">
        <v>5.2800000000000014E-2</v>
      </c>
      <c r="AC839" s="97">
        <f>0.2-(0.2944/2)</f>
        <v>5.2800000000000014E-2</v>
      </c>
      <c r="AD839" s="97">
        <f>0.2-(0.2944/2)</f>
        <v>5.2800000000000014E-2</v>
      </c>
      <c r="AE839" s="76"/>
      <c r="AF839" s="97" t="s">
        <v>1534</v>
      </c>
      <c r="AG839" s="76"/>
      <c r="AH839" s="97">
        <v>1</v>
      </c>
      <c r="AI839" s="97">
        <v>1</v>
      </c>
      <c r="AJ839" s="73"/>
      <c r="AK839" s="57"/>
      <c r="AL839" s="45"/>
      <c r="AM839" s="45"/>
      <c r="AN839" s="45"/>
    </row>
    <row r="840" spans="1:40" hidden="1" outlineLevel="2" x14ac:dyDescent="0.25">
      <c r="A840" s="45"/>
      <c r="B840" s="54"/>
      <c r="C840" s="47">
        <f t="shared" si="125"/>
        <v>3</v>
      </c>
      <c r="D840" s="73"/>
      <c r="E840" s="70" t="s">
        <v>1535</v>
      </c>
      <c r="F840" s="70" t="s">
        <v>1536</v>
      </c>
      <c r="G840" s="73"/>
      <c r="H840" s="76" t="s">
        <v>1537</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3" t="s">
        <v>1525</v>
      </c>
      <c r="AG840" s="76"/>
      <c r="AH840" s="76">
        <v>1</v>
      </c>
      <c r="AI840" s="76">
        <v>1</v>
      </c>
      <c r="AJ840" s="73"/>
      <c r="AK840" s="57"/>
      <c r="AL840" s="45"/>
      <c r="AM840" s="45"/>
      <c r="AN840" s="45"/>
    </row>
    <row r="841" spans="1:40" hidden="1" outlineLevel="2" x14ac:dyDescent="0.25">
      <c r="A841" s="45"/>
      <c r="B841" s="54"/>
      <c r="C841" s="47">
        <f t="shared" si="125"/>
        <v>3</v>
      </c>
      <c r="D841" s="73"/>
      <c r="E841" s="70"/>
      <c r="F841" s="70" t="s">
        <v>1538</v>
      </c>
      <c r="G841" s="73"/>
      <c r="H841" s="76" t="s">
        <v>1527</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3" t="s">
        <v>1525</v>
      </c>
      <c r="AG841" s="76"/>
      <c r="AH841" s="97">
        <v>1</v>
      </c>
      <c r="AI841" s="97">
        <v>1</v>
      </c>
      <c r="AJ841" s="73"/>
      <c r="AK841" s="57"/>
      <c r="AL841" s="45"/>
      <c r="AM841" s="45"/>
      <c r="AN841" s="45"/>
    </row>
    <row r="842" spans="1:40" hidden="1" outlineLevel="2" x14ac:dyDescent="0.25">
      <c r="A842" s="45"/>
      <c r="B842" s="54"/>
      <c r="C842" s="47">
        <f t="shared" si="125"/>
        <v>3</v>
      </c>
      <c r="D842" s="73"/>
      <c r="E842" s="70"/>
      <c r="F842" s="70" t="s">
        <v>1539</v>
      </c>
      <c r="G842" s="73"/>
      <c r="H842" s="76" t="s">
        <v>1529</v>
      </c>
      <c r="I842" s="96" t="s">
        <v>1530</v>
      </c>
      <c r="J842" s="96"/>
      <c r="K842" s="76"/>
      <c r="L842" s="76"/>
      <c r="M842" s="76"/>
      <c r="N842" s="76"/>
      <c r="O842" s="76"/>
      <c r="P842" s="76"/>
      <c r="Q842" s="76"/>
      <c r="R842" s="76"/>
      <c r="S842" s="76"/>
      <c r="T842" s="76"/>
      <c r="U842" s="97">
        <f t="shared" ref="U842:X843" si="129">0.2+(0.2944/2)</f>
        <v>0.34720000000000001</v>
      </c>
      <c r="V842" s="97">
        <f t="shared" si="129"/>
        <v>0.34720000000000001</v>
      </c>
      <c r="W842" s="97">
        <f t="shared" si="129"/>
        <v>0.34720000000000001</v>
      </c>
      <c r="X842" s="97">
        <f t="shared" si="129"/>
        <v>0.34720000000000001</v>
      </c>
      <c r="Y842" s="97">
        <v>0.34720000000000001</v>
      </c>
      <c r="Z842" s="97">
        <v>0.34720000000000001</v>
      </c>
      <c r="AA842" s="97">
        <v>0.34720000000000001</v>
      </c>
      <c r="AB842" s="97">
        <v>0.34720000000000001</v>
      </c>
      <c r="AC842" s="97">
        <f>0.2+(0.2944/2)</f>
        <v>0.34720000000000001</v>
      </c>
      <c r="AD842" s="97">
        <f>0.2+(0.2944/2)</f>
        <v>0.34720000000000001</v>
      </c>
      <c r="AE842" s="76"/>
      <c r="AF842" s="97" t="s">
        <v>2282</v>
      </c>
      <c r="AG842" s="76"/>
      <c r="AH842" s="97">
        <v>1</v>
      </c>
      <c r="AI842" s="97">
        <v>1</v>
      </c>
      <c r="AJ842" s="73"/>
      <c r="AK842" s="57"/>
      <c r="AL842" s="45"/>
      <c r="AM842" s="45"/>
      <c r="AN842" s="45"/>
    </row>
    <row r="843" spans="1:40" hidden="1" outlineLevel="2" x14ac:dyDescent="0.25">
      <c r="A843" s="45"/>
      <c r="B843" s="54"/>
      <c r="C843" s="47">
        <f t="shared" si="125"/>
        <v>3</v>
      </c>
      <c r="D843" s="73"/>
      <c r="E843" s="70"/>
      <c r="F843" s="70" t="s">
        <v>1540</v>
      </c>
      <c r="G843" s="73"/>
      <c r="H843" s="76" t="s">
        <v>1533</v>
      </c>
      <c r="I843" s="96" t="s">
        <v>1530</v>
      </c>
      <c r="J843" s="96"/>
      <c r="K843" s="76"/>
      <c r="L843" s="76"/>
      <c r="M843" s="76"/>
      <c r="N843" s="76"/>
      <c r="O843" s="76"/>
      <c r="P843" s="76"/>
      <c r="Q843" s="76"/>
      <c r="R843" s="76"/>
      <c r="S843" s="76"/>
      <c r="T843" s="76"/>
      <c r="U843" s="97">
        <f t="shared" si="129"/>
        <v>0.34720000000000001</v>
      </c>
      <c r="V843" s="97">
        <f t="shared" si="129"/>
        <v>0.34720000000000001</v>
      </c>
      <c r="W843" s="97">
        <f t="shared" si="129"/>
        <v>0.34720000000000001</v>
      </c>
      <c r="X843" s="97">
        <f t="shared" si="129"/>
        <v>0.34720000000000001</v>
      </c>
      <c r="Y843" s="97">
        <v>0.34720000000000001</v>
      </c>
      <c r="Z843" s="97">
        <v>0.34720000000000001</v>
      </c>
      <c r="AA843" s="97">
        <v>0.34720000000000001</v>
      </c>
      <c r="AB843" s="97">
        <v>0.34720000000000001</v>
      </c>
      <c r="AC843" s="97">
        <f>0.2+(0.2944/2)</f>
        <v>0.34720000000000001</v>
      </c>
      <c r="AD843" s="97">
        <f>0.2+(0.2944/2)</f>
        <v>0.34720000000000001</v>
      </c>
      <c r="AE843" s="76"/>
      <c r="AF843" s="97" t="s">
        <v>2283</v>
      </c>
      <c r="AG843" s="76"/>
      <c r="AH843" s="97">
        <v>1</v>
      </c>
      <c r="AI843" s="97">
        <v>1</v>
      </c>
      <c r="AJ843" s="73"/>
      <c r="AK843" s="57"/>
      <c r="AL843" s="45"/>
      <c r="AM843" s="45"/>
      <c r="AN843" s="45"/>
    </row>
    <row r="844" spans="1:40" hidden="1" outlineLevel="2" x14ac:dyDescent="0.25">
      <c r="A844" s="45"/>
      <c r="B844" s="54"/>
      <c r="C844" s="47">
        <f t="shared" si="125"/>
        <v>3</v>
      </c>
      <c r="D844" s="73"/>
      <c r="E844" s="70" t="s">
        <v>1541</v>
      </c>
      <c r="F844" s="70" t="s">
        <v>1542</v>
      </c>
      <c r="G844" s="73"/>
      <c r="H844" s="76" t="s">
        <v>1543</v>
      </c>
      <c r="I844" s="96" t="s">
        <v>500</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3" t="s">
        <v>1525</v>
      </c>
      <c r="AG844" s="76"/>
      <c r="AH844" s="76">
        <v>1</v>
      </c>
      <c r="AI844" s="76">
        <v>1</v>
      </c>
      <c r="AJ844" s="73"/>
      <c r="AK844" s="57"/>
      <c r="AL844" s="45"/>
      <c r="AM844" s="45"/>
      <c r="AN844" s="45"/>
    </row>
    <row r="845" spans="1:40" hidden="1" outlineLevel="2" x14ac:dyDescent="0.25">
      <c r="A845" s="45"/>
      <c r="B845" s="54"/>
      <c r="C845" s="47">
        <f t="shared" si="125"/>
        <v>3</v>
      </c>
      <c r="D845" s="73"/>
      <c r="E845" s="70"/>
      <c r="F845" s="70" t="s">
        <v>1544</v>
      </c>
      <c r="G845" s="73"/>
      <c r="H845" s="76" t="s">
        <v>1527</v>
      </c>
      <c r="I845" s="96" t="s">
        <v>500</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1500</v>
      </c>
      <c r="AG845" s="76"/>
      <c r="AH845" s="97">
        <v>1</v>
      </c>
      <c r="AI845" s="97">
        <v>1</v>
      </c>
      <c r="AJ845" s="73"/>
      <c r="AK845" s="57"/>
      <c r="AL845" s="45"/>
      <c r="AM845" s="45"/>
      <c r="AN845" s="45"/>
    </row>
    <row r="846" spans="1:40" hidden="1" outlineLevel="2" x14ac:dyDescent="0.25">
      <c r="A846" s="45"/>
      <c r="B846" s="54"/>
      <c r="C846" s="47">
        <f t="shared" si="125"/>
        <v>3</v>
      </c>
      <c r="D846" s="73"/>
      <c r="E846" s="70"/>
      <c r="F846" s="70" t="s">
        <v>1545</v>
      </c>
      <c r="G846" s="73"/>
      <c r="H846" s="76" t="s">
        <v>1529</v>
      </c>
      <c r="I846" s="96" t="s">
        <v>500</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1500</v>
      </c>
      <c r="AG846" s="76"/>
      <c r="AH846" s="97">
        <v>1</v>
      </c>
      <c r="AI846" s="97">
        <v>1</v>
      </c>
      <c r="AJ846" s="73"/>
      <c r="AK846" s="57"/>
      <c r="AL846" s="45"/>
      <c r="AM846" s="45"/>
      <c r="AN846" s="45"/>
    </row>
    <row r="847" spans="1:40" hidden="1" outlineLevel="2" x14ac:dyDescent="0.25">
      <c r="A847" s="45"/>
      <c r="B847" s="54"/>
      <c r="C847" s="47">
        <f t="shared" si="125"/>
        <v>3</v>
      </c>
      <c r="D847" s="73"/>
      <c r="E847" s="70"/>
      <c r="F847" s="70" t="s">
        <v>1546</v>
      </c>
      <c r="G847" s="73"/>
      <c r="H847" s="76" t="s">
        <v>1533</v>
      </c>
      <c r="I847" s="96" t="s">
        <v>500</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1500</v>
      </c>
      <c r="AG847" s="76"/>
      <c r="AH847" s="97">
        <v>1</v>
      </c>
      <c r="AI847" s="97">
        <v>1</v>
      </c>
      <c r="AJ847" s="73"/>
      <c r="AK847" s="57"/>
      <c r="AL847" s="45"/>
      <c r="AM847" s="45"/>
      <c r="AN847" s="45"/>
    </row>
    <row r="848" spans="1:40" hidden="1" outlineLevel="2" x14ac:dyDescent="0.25">
      <c r="A848" s="45"/>
      <c r="B848" s="54"/>
      <c r="C848" s="47">
        <f t="shared" si="125"/>
        <v>3</v>
      </c>
      <c r="D848" s="73"/>
      <c r="E848" s="70" t="s">
        <v>1547</v>
      </c>
      <c r="F848" s="70" t="s">
        <v>1548</v>
      </c>
      <c r="G848" s="73"/>
      <c r="H848" s="76" t="s">
        <v>1537</v>
      </c>
      <c r="I848" s="96" t="s">
        <v>500</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3" t="s">
        <v>1525</v>
      </c>
      <c r="AG848" s="76"/>
      <c r="AH848" s="76">
        <v>1</v>
      </c>
      <c r="AI848" s="76">
        <v>1</v>
      </c>
      <c r="AJ848" s="73"/>
      <c r="AK848" s="57"/>
      <c r="AL848" s="45"/>
      <c r="AM848" s="45"/>
      <c r="AN848" s="45"/>
    </row>
    <row r="849" spans="1:40" hidden="1" outlineLevel="2" x14ac:dyDescent="0.25">
      <c r="A849" s="45"/>
      <c r="B849" s="54"/>
      <c r="C849" s="47">
        <f t="shared" si="125"/>
        <v>3</v>
      </c>
      <c r="D849" s="73"/>
      <c r="E849" s="70"/>
      <c r="F849" s="70" t="s">
        <v>1549</v>
      </c>
      <c r="G849" s="73"/>
      <c r="H849" s="76" t="s">
        <v>1527</v>
      </c>
      <c r="I849" s="96" t="s">
        <v>500</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1500</v>
      </c>
      <c r="AG849" s="76"/>
      <c r="AH849" s="97">
        <v>1</v>
      </c>
      <c r="AI849" s="97">
        <v>1</v>
      </c>
      <c r="AJ849" s="73"/>
      <c r="AK849" s="57"/>
      <c r="AL849" s="45"/>
      <c r="AM849" s="45"/>
      <c r="AN849" s="45"/>
    </row>
    <row r="850" spans="1:40" hidden="1" outlineLevel="2" x14ac:dyDescent="0.25">
      <c r="A850" s="45"/>
      <c r="B850" s="54"/>
      <c r="C850" s="47">
        <f t="shared" si="125"/>
        <v>3</v>
      </c>
      <c r="D850" s="73"/>
      <c r="E850" s="70"/>
      <c r="F850" s="70" t="s">
        <v>1550</v>
      </c>
      <c r="G850" s="73"/>
      <c r="H850" s="76" t="s">
        <v>1529</v>
      </c>
      <c r="I850" s="96" t="s">
        <v>500</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1500</v>
      </c>
      <c r="AG850" s="76"/>
      <c r="AH850" s="97">
        <v>1</v>
      </c>
      <c r="AI850" s="97">
        <v>1</v>
      </c>
      <c r="AJ850" s="73"/>
      <c r="AK850" s="57"/>
      <c r="AL850" s="45"/>
      <c r="AM850" s="45"/>
      <c r="AN850" s="45"/>
    </row>
    <row r="851" spans="1:40" hidden="1" outlineLevel="2" x14ac:dyDescent="0.25">
      <c r="A851" s="45"/>
      <c r="B851" s="54"/>
      <c r="C851" s="47">
        <f t="shared" si="125"/>
        <v>3</v>
      </c>
      <c r="D851" s="73"/>
      <c r="E851" s="70"/>
      <c r="F851" s="70" t="s">
        <v>1551</v>
      </c>
      <c r="G851" s="73"/>
      <c r="H851" s="76" t="s">
        <v>1533</v>
      </c>
      <c r="I851" s="96" t="s">
        <v>500</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1500</v>
      </c>
      <c r="AG851" s="76"/>
      <c r="AH851" s="97">
        <v>1</v>
      </c>
      <c r="AI851" s="97">
        <v>1</v>
      </c>
      <c r="AJ851" s="73"/>
      <c r="AK851" s="57"/>
      <c r="AL851" s="45"/>
      <c r="AM851" s="45"/>
      <c r="AN851" s="45"/>
    </row>
    <row r="852" spans="1:40" hidden="1" outlineLevel="2" x14ac:dyDescent="0.25">
      <c r="A852" s="45"/>
      <c r="B852" s="54"/>
      <c r="C852" s="47">
        <f t="shared" si="125"/>
        <v>3</v>
      </c>
      <c r="D852" s="73"/>
      <c r="E852" s="70"/>
      <c r="F852" s="70" t="s">
        <v>1552</v>
      </c>
      <c r="G852" s="73"/>
      <c r="H852" s="76" t="s">
        <v>1553</v>
      </c>
      <c r="I852" s="96" t="s">
        <v>500</v>
      </c>
      <c r="J852" s="96"/>
      <c r="K852" s="76"/>
      <c r="L852" s="76"/>
      <c r="M852" s="76"/>
      <c r="N852" s="76"/>
      <c r="O852" s="76"/>
      <c r="P852" s="76"/>
      <c r="Q852" s="76"/>
      <c r="R852" s="76"/>
      <c r="S852" s="76"/>
      <c r="T852" s="76"/>
      <c r="U852" s="76">
        <v>0</v>
      </c>
      <c r="V852" s="76">
        <v>0</v>
      </c>
      <c r="W852" s="76">
        <v>0</v>
      </c>
      <c r="X852" s="76">
        <v>0</v>
      </c>
      <c r="Y852" s="76">
        <v>0</v>
      </c>
      <c r="Z852" s="76">
        <v>0</v>
      </c>
      <c r="AA852" s="76">
        <v>0</v>
      </c>
      <c r="AB852" s="76">
        <v>0</v>
      </c>
      <c r="AC852" s="76">
        <v>0</v>
      </c>
      <c r="AD852" s="76">
        <v>0</v>
      </c>
      <c r="AE852" s="76"/>
      <c r="AF852" s="76"/>
      <c r="AG852" s="76"/>
      <c r="AH852" s="76">
        <v>1</v>
      </c>
      <c r="AI852" s="76">
        <v>1</v>
      </c>
      <c r="AJ852" s="73"/>
      <c r="AK852" s="57"/>
      <c r="AL852" s="45"/>
      <c r="AM852" s="45"/>
      <c r="AN852" s="45"/>
    </row>
    <row r="853" spans="1:40" hidden="1" outlineLevel="2" x14ac:dyDescent="0.25">
      <c r="A853" s="45"/>
      <c r="B853" s="54"/>
      <c r="C853" s="47">
        <f t="shared" si="125"/>
        <v>3</v>
      </c>
      <c r="D853" s="73"/>
      <c r="E853" s="70"/>
      <c r="F853" s="70" t="s">
        <v>1554</v>
      </c>
      <c r="G853" s="73"/>
      <c r="H853" s="76" t="s">
        <v>1555</v>
      </c>
      <c r="I853" s="96" t="s">
        <v>500</v>
      </c>
      <c r="J853" s="96"/>
      <c r="K853" s="76"/>
      <c r="L853" s="76"/>
      <c r="M853" s="76"/>
      <c r="N853" s="76"/>
      <c r="O853" s="76"/>
      <c r="P853" s="76"/>
      <c r="Q853" s="76"/>
      <c r="R853" s="76"/>
      <c r="S853" s="76"/>
      <c r="T853" s="76"/>
      <c r="U853" s="97">
        <v>0</v>
      </c>
      <c r="V853" s="254">
        <f>U853</f>
        <v>0</v>
      </c>
      <c r="W853" s="254">
        <f>U853</f>
        <v>0</v>
      </c>
      <c r="X853" s="254">
        <f>V853</f>
        <v>0</v>
      </c>
      <c r="Y853" s="254">
        <v>0</v>
      </c>
      <c r="Z853" s="254">
        <v>0</v>
      </c>
      <c r="AA853" s="254">
        <v>0</v>
      </c>
      <c r="AB853" s="254">
        <v>0</v>
      </c>
      <c r="AC853" s="254">
        <f t="shared" ref="AC853:AD855" si="130">AB853</f>
        <v>0</v>
      </c>
      <c r="AD853" s="254">
        <f t="shared" si="130"/>
        <v>0</v>
      </c>
      <c r="AE853" s="76"/>
      <c r="AF853" s="97" t="s">
        <v>2586</v>
      </c>
      <c r="AG853" s="76"/>
      <c r="AH853" s="97">
        <v>1</v>
      </c>
      <c r="AI853" s="97">
        <v>1</v>
      </c>
      <c r="AJ853" s="73"/>
      <c r="AK853" s="57"/>
      <c r="AL853" s="45"/>
      <c r="AM853" s="45"/>
      <c r="AN853" s="45"/>
    </row>
    <row r="854" spans="1:40" hidden="1" outlineLevel="2" x14ac:dyDescent="0.25">
      <c r="A854" s="45"/>
      <c r="B854" s="54"/>
      <c r="C854" s="47">
        <f t="shared" si="125"/>
        <v>3</v>
      </c>
      <c r="D854" s="73"/>
      <c r="E854" s="70"/>
      <c r="F854" s="70" t="s">
        <v>1556</v>
      </c>
      <c r="G854" s="73"/>
      <c r="H854" s="76" t="s">
        <v>1557</v>
      </c>
      <c r="I854" s="96" t="s">
        <v>500</v>
      </c>
      <c r="J854" s="96"/>
      <c r="K854" s="76"/>
      <c r="L854" s="76"/>
      <c r="M854" s="76"/>
      <c r="N854" s="76"/>
      <c r="O854" s="76"/>
      <c r="P854" s="76"/>
      <c r="Q854" s="76"/>
      <c r="R854" s="76"/>
      <c r="S854" s="76"/>
      <c r="T854" s="76"/>
      <c r="U854" s="97">
        <v>-0.71226</v>
      </c>
      <c r="V854" s="254">
        <f>U854</f>
        <v>-0.71226</v>
      </c>
      <c r="W854" s="97">
        <v>-0.9</v>
      </c>
      <c r="X854" s="97">
        <v>-0.9</v>
      </c>
      <c r="Y854" s="97">
        <v>-0.9</v>
      </c>
      <c r="Z854" s="97">
        <v>-0.9</v>
      </c>
      <c r="AA854" s="97">
        <v>-0.9</v>
      </c>
      <c r="AB854" s="254">
        <v>-0.21895000000000001</v>
      </c>
      <c r="AC854" s="254">
        <f t="shared" si="130"/>
        <v>-0.21895000000000001</v>
      </c>
      <c r="AD854" s="254">
        <f t="shared" si="130"/>
        <v>-0.21895000000000001</v>
      </c>
      <c r="AE854" s="76"/>
      <c r="AF854" s="76"/>
      <c r="AG854" s="76"/>
      <c r="AH854" s="97">
        <v>1</v>
      </c>
      <c r="AI854" s="97">
        <v>1</v>
      </c>
      <c r="AJ854" s="73"/>
      <c r="AK854" s="57"/>
      <c r="AL854" s="45"/>
      <c r="AM854" s="45"/>
      <c r="AN854" s="45"/>
    </row>
    <row r="855" spans="1:40" hidden="1" outlineLevel="2" x14ac:dyDescent="0.25">
      <c r="A855" s="45"/>
      <c r="B855" s="54"/>
      <c r="C855" s="47">
        <f t="shared" si="125"/>
        <v>3</v>
      </c>
      <c r="D855" s="73"/>
      <c r="E855" s="70"/>
      <c r="F855" s="70" t="s">
        <v>1558</v>
      </c>
      <c r="G855" s="73"/>
      <c r="H855" s="76" t="s">
        <v>1559</v>
      </c>
      <c r="I855" s="96" t="s">
        <v>500</v>
      </c>
      <c r="J855" s="96"/>
      <c r="K855" s="76"/>
      <c r="L855" s="76"/>
      <c r="M855" s="76"/>
      <c r="N855" s="76"/>
      <c r="O855" s="76"/>
      <c r="P855" s="76"/>
      <c r="Q855" s="76"/>
      <c r="R855" s="76"/>
      <c r="S855" s="76"/>
      <c r="T855" s="76"/>
      <c r="U855" s="97">
        <v>-0.90173999999999999</v>
      </c>
      <c r="V855" s="254">
        <f>U855</f>
        <v>-0.90173999999999999</v>
      </c>
      <c r="W855" s="254">
        <f>U855</f>
        <v>-0.90173999999999999</v>
      </c>
      <c r="X855" s="254">
        <f>V855</f>
        <v>-0.90173999999999999</v>
      </c>
      <c r="Y855" s="254">
        <v>-0.90173999999999999</v>
      </c>
      <c r="Z855" s="254">
        <v>-0.90173999999999999</v>
      </c>
      <c r="AA855" s="254">
        <v>-0.90173999999999999</v>
      </c>
      <c r="AB855" s="254">
        <v>-0.37940000000000002</v>
      </c>
      <c r="AC855" s="254">
        <f t="shared" si="130"/>
        <v>-0.37940000000000002</v>
      </c>
      <c r="AD855" s="254">
        <f t="shared" si="130"/>
        <v>-0.37940000000000002</v>
      </c>
      <c r="AE855" s="76"/>
      <c r="AF855" s="76"/>
      <c r="AG855" s="76"/>
      <c r="AH855" s="97">
        <v>1</v>
      </c>
      <c r="AI855" s="97">
        <v>1</v>
      </c>
      <c r="AJ855" s="73"/>
      <c r="AK855" s="57"/>
      <c r="AL855" s="45"/>
      <c r="AM855" s="45"/>
      <c r="AN855" s="45"/>
    </row>
    <row r="856" spans="1:40" hidden="1" outlineLevel="2" x14ac:dyDescent="0.25">
      <c r="A856" s="45"/>
      <c r="B856" s="54"/>
      <c r="C856" s="47">
        <f t="shared" si="125"/>
        <v>3</v>
      </c>
      <c r="D856" s="73"/>
      <c r="E856" s="70"/>
      <c r="F856" s="70" t="s">
        <v>1560</v>
      </c>
      <c r="G856" s="73"/>
      <c r="H856" s="76" t="s">
        <v>2741</v>
      </c>
      <c r="I856" s="96" t="s">
        <v>500</v>
      </c>
      <c r="J856" s="96"/>
      <c r="K856" s="76"/>
      <c r="L856" s="76"/>
      <c r="M856" s="76"/>
      <c r="N856" s="76"/>
      <c r="O856" s="76"/>
      <c r="P856" s="76"/>
      <c r="Q856" s="76"/>
      <c r="R856" s="76"/>
      <c r="S856" s="76"/>
      <c r="T856" s="76"/>
      <c r="U856" s="76">
        <v>0</v>
      </c>
      <c r="V856" s="76">
        <v>0</v>
      </c>
      <c r="W856" s="76">
        <v>0</v>
      </c>
      <c r="X856" s="76">
        <v>0</v>
      </c>
      <c r="Y856" s="76">
        <v>0</v>
      </c>
      <c r="Z856" s="76">
        <v>0</v>
      </c>
      <c r="AA856" s="76">
        <v>0</v>
      </c>
      <c r="AB856" s="76">
        <v>0</v>
      </c>
      <c r="AC856" s="76">
        <v>0</v>
      </c>
      <c r="AD856" s="76">
        <v>0</v>
      </c>
      <c r="AE856" s="76"/>
      <c r="AF856" s="76"/>
      <c r="AG856" s="76"/>
      <c r="AH856" s="76">
        <v>1</v>
      </c>
      <c r="AI856" s="76">
        <v>1</v>
      </c>
      <c r="AJ856" s="73"/>
      <c r="AK856" s="57"/>
      <c r="AL856" s="45"/>
      <c r="AM856" s="45"/>
      <c r="AN856" s="45"/>
    </row>
    <row r="857" spans="1:40" hidden="1" outlineLevel="2" x14ac:dyDescent="0.25">
      <c r="A857" s="45"/>
      <c r="B857" s="54"/>
      <c r="C857" s="47">
        <f t="shared" si="125"/>
        <v>3</v>
      </c>
      <c r="D857" s="73"/>
      <c r="E857" s="70"/>
      <c r="F857" s="70" t="s">
        <v>1561</v>
      </c>
      <c r="G857" s="73"/>
      <c r="H857" s="76" t="s">
        <v>2175</v>
      </c>
      <c r="I857" s="96" t="s">
        <v>500</v>
      </c>
      <c r="J857" s="96"/>
      <c r="K857" s="76"/>
      <c r="L857" s="76"/>
      <c r="M857" s="76"/>
      <c r="N857" s="76"/>
      <c r="O857" s="76"/>
      <c r="P857" s="76"/>
      <c r="Q857" s="76"/>
      <c r="R857" s="76"/>
      <c r="S857" s="76"/>
      <c r="T857" s="76"/>
      <c r="U857" s="97">
        <v>-1.1100000000000001E-3</v>
      </c>
      <c r="V857" s="254">
        <f>U857</f>
        <v>-1.1100000000000001E-3</v>
      </c>
      <c r="W857" s="254">
        <f t="shared" ref="W857:X859" si="131">U857</f>
        <v>-1.1100000000000001E-3</v>
      </c>
      <c r="X857" s="254">
        <f t="shared" si="131"/>
        <v>-1.1100000000000001E-3</v>
      </c>
      <c r="Y857" s="254">
        <v>-1.1100000000000001E-3</v>
      </c>
      <c r="Z857" s="254">
        <v>-1.1100000000000001E-3</v>
      </c>
      <c r="AA857" s="254">
        <v>-1.1100000000000001E-3</v>
      </c>
      <c r="AB857" s="254">
        <v>-1.5499999999999999E-3</v>
      </c>
      <c r="AC857" s="254">
        <f t="shared" ref="AC857:AD859" si="132">AB857</f>
        <v>-1.5499999999999999E-3</v>
      </c>
      <c r="AD857" s="254">
        <f t="shared" si="132"/>
        <v>-1.5499999999999999E-3</v>
      </c>
      <c r="AE857" s="76"/>
      <c r="AF857" s="97" t="s">
        <v>2738</v>
      </c>
      <c r="AG857" s="76"/>
      <c r="AH857" s="76">
        <v>1</v>
      </c>
      <c r="AI857" s="76">
        <v>1</v>
      </c>
      <c r="AJ857" s="73"/>
      <c r="AK857" s="57"/>
      <c r="AL857" s="45"/>
      <c r="AM857" s="45"/>
      <c r="AN857" s="45"/>
    </row>
    <row r="858" spans="1:40" hidden="1" outlineLevel="2" x14ac:dyDescent="0.25">
      <c r="A858" s="45"/>
      <c r="B858" s="54"/>
      <c r="C858" s="47">
        <f t="shared" si="125"/>
        <v>3</v>
      </c>
      <c r="D858" s="73"/>
      <c r="E858" s="70"/>
      <c r="F858" s="70" t="s">
        <v>1562</v>
      </c>
      <c r="G858" s="73"/>
      <c r="H858" s="76" t="s">
        <v>2176</v>
      </c>
      <c r="I858" s="96" t="s">
        <v>500</v>
      </c>
      <c r="J858" s="96"/>
      <c r="K858" s="76"/>
      <c r="L858" s="76"/>
      <c r="M858" s="76"/>
      <c r="N858" s="76"/>
      <c r="O858" s="76"/>
      <c r="P858" s="76"/>
      <c r="Q858" s="76"/>
      <c r="R858" s="76"/>
      <c r="S858" s="76"/>
      <c r="T858" s="76"/>
      <c r="U858" s="97">
        <v>-1.5E-3</v>
      </c>
      <c r="V858" s="254">
        <f>U858</f>
        <v>-1.5E-3</v>
      </c>
      <c r="W858" s="254">
        <f t="shared" si="131"/>
        <v>-1.5E-3</v>
      </c>
      <c r="X858" s="254">
        <f t="shared" si="131"/>
        <v>-1.5E-3</v>
      </c>
      <c r="Y858" s="254">
        <v>-1.5E-3</v>
      </c>
      <c r="Z858" s="254">
        <v>-1.5E-3</v>
      </c>
      <c r="AA858" s="254">
        <v>-1.5E-3</v>
      </c>
      <c r="AB858" s="254">
        <v>-2.1250000000000002E-3</v>
      </c>
      <c r="AC858" s="254">
        <f t="shared" si="132"/>
        <v>-2.1250000000000002E-3</v>
      </c>
      <c r="AD858" s="254">
        <f t="shared" si="132"/>
        <v>-2.1250000000000002E-3</v>
      </c>
      <c r="AE858" s="76"/>
      <c r="AF858" s="97"/>
      <c r="AG858" s="76"/>
      <c r="AH858" s="76">
        <v>1</v>
      </c>
      <c r="AI858" s="76">
        <v>1</v>
      </c>
      <c r="AJ858" s="73"/>
      <c r="AK858" s="57"/>
      <c r="AL858" s="45"/>
      <c r="AM858" s="45"/>
      <c r="AN858" s="45"/>
    </row>
    <row r="859" spans="1:40" hidden="1" outlineLevel="2" x14ac:dyDescent="0.25">
      <c r="A859" s="45"/>
      <c r="B859" s="54"/>
      <c r="C859" s="47">
        <f>INT($C$29)+3</f>
        <v>4</v>
      </c>
      <c r="D859" s="73"/>
      <c r="E859" s="70"/>
      <c r="F859" s="70" t="s">
        <v>1563</v>
      </c>
      <c r="G859" s="73"/>
      <c r="H859" s="76" t="s">
        <v>2177</v>
      </c>
      <c r="I859" s="96" t="s">
        <v>500</v>
      </c>
      <c r="J859" s="96"/>
      <c r="K859" s="76"/>
      <c r="L859" s="76"/>
      <c r="M859" s="76"/>
      <c r="N859" s="76"/>
      <c r="O859" s="76"/>
      <c r="P859" s="76"/>
      <c r="Q859" s="76"/>
      <c r="R859" s="76"/>
      <c r="S859" s="76"/>
      <c r="T859" s="76"/>
      <c r="U859" s="97">
        <v>-6.8500000000000002E-3</v>
      </c>
      <c r="V859" s="254">
        <f>U859</f>
        <v>-6.8500000000000002E-3</v>
      </c>
      <c r="W859" s="254">
        <f t="shared" si="131"/>
        <v>-6.8500000000000002E-3</v>
      </c>
      <c r="X859" s="254">
        <f t="shared" si="131"/>
        <v>-6.8500000000000002E-3</v>
      </c>
      <c r="Y859" s="254">
        <v>-6.8500000000000002E-3</v>
      </c>
      <c r="Z859" s="254">
        <v>-6.8500000000000002E-3</v>
      </c>
      <c r="AA859" s="254">
        <v>-6.8500000000000002E-3</v>
      </c>
      <c r="AB859" s="254">
        <v>-8.0300000000000007E-3</v>
      </c>
      <c r="AC859" s="254">
        <f t="shared" si="132"/>
        <v>-8.0300000000000007E-3</v>
      </c>
      <c r="AD859" s="254">
        <f t="shared" si="132"/>
        <v>-8.0300000000000007E-3</v>
      </c>
      <c r="AE859" s="76"/>
      <c r="AF859" s="76"/>
      <c r="AG859" s="76"/>
      <c r="AH859" s="76">
        <v>1</v>
      </c>
      <c r="AI859" s="76">
        <v>1</v>
      </c>
      <c r="AJ859" s="73"/>
      <c r="AK859" s="57"/>
      <c r="AL859" s="45"/>
      <c r="AM859" s="45"/>
      <c r="AN859" s="45"/>
    </row>
    <row r="860" spans="1:40" hidden="1" outlineLevel="2" x14ac:dyDescent="0.25">
      <c r="A860" s="45"/>
      <c r="B860" s="54"/>
      <c r="C860" s="47">
        <f>INT($C$29)+3</f>
        <v>4</v>
      </c>
      <c r="D860" s="73"/>
      <c r="E860" s="70" t="s">
        <v>1568</v>
      </c>
      <c r="F860" s="70" t="s">
        <v>1564</v>
      </c>
      <c r="G860" s="73"/>
      <c r="H860" s="76" t="s">
        <v>1570</v>
      </c>
      <c r="I860" s="96" t="s">
        <v>500</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3" t="s">
        <v>1525</v>
      </c>
      <c r="AG860" s="76"/>
      <c r="AH860" s="76">
        <v>1</v>
      </c>
      <c r="AI860" s="76">
        <v>1</v>
      </c>
      <c r="AJ860" s="73"/>
      <c r="AK860" s="57"/>
      <c r="AL860" s="45"/>
      <c r="AM860" s="45"/>
      <c r="AN860" s="45"/>
    </row>
    <row r="861" spans="1:40" hidden="1" outlineLevel="2" x14ac:dyDescent="0.25">
      <c r="A861" s="45"/>
      <c r="B861" s="54"/>
      <c r="C861" s="47">
        <f>INT($C$29)+3</f>
        <v>4</v>
      </c>
      <c r="D861" s="73"/>
      <c r="E861" s="70"/>
      <c r="F861" s="70" t="s">
        <v>1565</v>
      </c>
      <c r="G861" s="73"/>
      <c r="H861" s="76" t="s">
        <v>1489</v>
      </c>
      <c r="I861" s="96" t="s">
        <v>500</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1013</v>
      </c>
      <c r="AG861" s="76"/>
      <c r="AH861" s="97">
        <v>1</v>
      </c>
      <c r="AI861" s="97">
        <v>1</v>
      </c>
      <c r="AJ861" s="73"/>
      <c r="AK861" s="57"/>
      <c r="AL861" s="45"/>
      <c r="AM861" s="45"/>
      <c r="AN861" s="45"/>
    </row>
    <row r="862" spans="1:40" hidden="1" outlineLevel="2" x14ac:dyDescent="0.25">
      <c r="A862" s="45"/>
      <c r="B862" s="54"/>
      <c r="C862" s="47">
        <f>INT($C$29)+3</f>
        <v>4</v>
      </c>
      <c r="D862" s="73"/>
      <c r="E862" s="70"/>
      <c r="F862" s="70" t="s">
        <v>1566</v>
      </c>
      <c r="G862" s="73"/>
      <c r="H862" s="76" t="s">
        <v>1491</v>
      </c>
      <c r="I862" s="96" t="s">
        <v>500</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1.1000000000000001</v>
      </c>
      <c r="AA862" s="97">
        <v>1.1000000000000001</v>
      </c>
      <c r="AB862" s="97">
        <v>0.82</v>
      </c>
      <c r="AC862" s="97">
        <v>0.82</v>
      </c>
      <c r="AD862" s="97">
        <v>0.82</v>
      </c>
      <c r="AE862" s="76"/>
      <c r="AF862" s="97" t="s">
        <v>1013</v>
      </c>
      <c r="AG862" s="76"/>
      <c r="AH862" s="97">
        <v>1</v>
      </c>
      <c r="AI862" s="97">
        <v>1</v>
      </c>
      <c r="AJ862" s="73"/>
      <c r="AK862" s="57"/>
      <c r="AL862" s="45"/>
      <c r="AM862" s="45"/>
      <c r="AN862" s="45"/>
    </row>
    <row r="863" spans="1:40" hidden="1" outlineLevel="2" collapsed="1" x14ac:dyDescent="0.25">
      <c r="A863" s="45"/>
      <c r="B863" s="54"/>
      <c r="C863" s="47">
        <f>INT($C$29)+3</f>
        <v>4</v>
      </c>
      <c r="D863" s="73"/>
      <c r="E863" s="70"/>
      <c r="F863" s="70" t="s">
        <v>1567</v>
      </c>
      <c r="G863" s="73"/>
      <c r="H863" s="76" t="s">
        <v>1493</v>
      </c>
      <c r="I863" s="96" t="s">
        <v>500</v>
      </c>
      <c r="J863" s="96"/>
      <c r="K863" s="76"/>
      <c r="L863" s="76"/>
      <c r="M863" s="76"/>
      <c r="N863" s="76"/>
      <c r="O863" s="76"/>
      <c r="P863" s="76"/>
      <c r="Q863" s="76"/>
      <c r="R863" s="76"/>
      <c r="S863" s="76"/>
      <c r="T863" s="76"/>
      <c r="U863" s="97">
        <f>U862+($AA850-$AA851)</f>
        <v>1.1000000000000001</v>
      </c>
      <c r="V863" s="97">
        <f>V862+($AA850-$AA851)</f>
        <v>1.1000000000000001</v>
      </c>
      <c r="W863" s="97">
        <f>W862+($AA850-$AA851)</f>
        <v>1.1000000000000001</v>
      </c>
      <c r="X863" s="97">
        <f>X862+($AA850-$AA851)</f>
        <v>1.1000000000000001</v>
      </c>
      <c r="Y863" s="97">
        <v>1.1000000000000001</v>
      </c>
      <c r="Z863" s="97">
        <v>1.1000000000000001</v>
      </c>
      <c r="AA863" s="97">
        <v>1.1000000000000001</v>
      </c>
      <c r="AB863" s="97">
        <v>0.82</v>
      </c>
      <c r="AC863" s="97">
        <f>AC862+($AA850-$AA851)</f>
        <v>0.82</v>
      </c>
      <c r="AD863" s="97">
        <f>AD862+($AA850-$AA851)</f>
        <v>0.82</v>
      </c>
      <c r="AE863" s="76"/>
      <c r="AF863" s="97" t="s">
        <v>2723</v>
      </c>
      <c r="AG863" s="76"/>
      <c r="AH863" s="97">
        <v>1</v>
      </c>
      <c r="AI863" s="97">
        <v>1</v>
      </c>
      <c r="AJ863" s="73"/>
      <c r="AK863" s="57"/>
      <c r="AL863" s="45"/>
      <c r="AM863" s="45"/>
      <c r="AN863" s="45"/>
    </row>
    <row r="864" spans="1:40" hidden="1" outlineLevel="3" x14ac:dyDescent="0.25">
      <c r="A864" s="45"/>
      <c r="B864" s="54"/>
      <c r="C864" s="47">
        <f>INT($C$29)+2</f>
        <v>3</v>
      </c>
      <c r="D864" s="73"/>
      <c r="E864" s="70"/>
      <c r="F864" s="70" t="s">
        <v>1569</v>
      </c>
      <c r="G864" s="73"/>
      <c r="H864" s="76" t="s">
        <v>1487</v>
      </c>
      <c r="I864" s="96" t="s">
        <v>500</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1571</v>
      </c>
      <c r="G865" s="73"/>
      <c r="H865" s="76" t="s">
        <v>1489</v>
      </c>
      <c r="I865" s="96" t="s">
        <v>500</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1572</v>
      </c>
      <c r="G866" s="73"/>
      <c r="H866" s="76" t="s">
        <v>1491</v>
      </c>
      <c r="I866" s="96" t="s">
        <v>500</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1573</v>
      </c>
      <c r="G867" s="73"/>
      <c r="H867" s="76" t="s">
        <v>1493</v>
      </c>
      <c r="I867" s="96" t="s">
        <v>500</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33">INT($C$29)+3</f>
        <v>4</v>
      </c>
      <c r="D868" s="73"/>
      <c r="E868" s="70"/>
      <c r="F868" s="70" t="s">
        <v>1574</v>
      </c>
      <c r="G868" s="73"/>
      <c r="H868" s="76" t="s">
        <v>1575</v>
      </c>
      <c r="I868" s="96" t="s">
        <v>500</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33"/>
        <v>4</v>
      </c>
      <c r="D869" s="73"/>
      <c r="E869" s="70"/>
      <c r="F869" s="70" t="s">
        <v>1576</v>
      </c>
      <c r="G869" s="73"/>
      <c r="H869" s="76" t="s">
        <v>1489</v>
      </c>
      <c r="I869" s="96" t="s">
        <v>500</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33"/>
        <v>4</v>
      </c>
      <c r="D870" s="73"/>
      <c r="E870" s="70"/>
      <c r="F870" s="70" t="s">
        <v>1577</v>
      </c>
      <c r="G870" s="73"/>
      <c r="H870" s="76" t="s">
        <v>1491</v>
      </c>
      <c r="I870" s="96" t="s">
        <v>500</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33"/>
        <v>4</v>
      </c>
      <c r="D871" s="73"/>
      <c r="E871" s="70"/>
      <c r="F871" s="70" t="s">
        <v>1578</v>
      </c>
      <c r="G871" s="73"/>
      <c r="H871" s="76" t="s">
        <v>1493</v>
      </c>
      <c r="I871" s="96" t="s">
        <v>500</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33"/>
        <v>4</v>
      </c>
      <c r="D872" s="73"/>
      <c r="E872" s="70"/>
      <c r="F872" s="70" t="s">
        <v>1579</v>
      </c>
      <c r="G872" s="73"/>
      <c r="H872" s="76" t="s">
        <v>1580</v>
      </c>
      <c r="I872" s="96" t="s">
        <v>500</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33"/>
        <v>4</v>
      </c>
      <c r="D873" s="73"/>
      <c r="E873" s="70"/>
      <c r="F873" s="70" t="s">
        <v>1581</v>
      </c>
      <c r="G873" s="73"/>
      <c r="H873" s="76" t="s">
        <v>1489</v>
      </c>
      <c r="I873" s="96" t="s">
        <v>500</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33"/>
        <v>4</v>
      </c>
      <c r="D874" s="73"/>
      <c r="E874" s="70"/>
      <c r="F874" s="70" t="s">
        <v>1582</v>
      </c>
      <c r="G874" s="73"/>
      <c r="H874" s="76" t="s">
        <v>1491</v>
      </c>
      <c r="I874" s="96" t="s">
        <v>500</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33"/>
        <v>4</v>
      </c>
      <c r="D875" s="73"/>
      <c r="E875" s="70"/>
      <c r="F875" s="70" t="s">
        <v>1583</v>
      </c>
      <c r="G875" s="73"/>
      <c r="H875" s="76" t="s">
        <v>1493</v>
      </c>
      <c r="I875" s="96" t="s">
        <v>500</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ref="C876:C923" si="134">INT($C$29)+2</f>
        <v>3</v>
      </c>
      <c r="D876" s="73"/>
      <c r="E876" s="70" t="s">
        <v>782</v>
      </c>
      <c r="F876" s="70" t="s">
        <v>1584</v>
      </c>
      <c r="G876" s="73"/>
      <c r="H876" s="76" t="s">
        <v>1585</v>
      </c>
      <c r="I876" s="96" t="s">
        <v>500</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3"/>
      <c r="AG876" s="76"/>
      <c r="AH876" s="76">
        <v>1</v>
      </c>
      <c r="AI876" s="76">
        <v>1</v>
      </c>
      <c r="AJ876" s="73"/>
      <c r="AK876" s="57"/>
      <c r="AL876" s="45"/>
      <c r="AM876" s="45"/>
      <c r="AN876" s="45"/>
    </row>
    <row r="877" spans="1:40" hidden="1" outlineLevel="2" x14ac:dyDescent="0.25">
      <c r="A877" s="45"/>
      <c r="B877" s="54"/>
      <c r="C877" s="47">
        <f t="shared" si="134"/>
        <v>3</v>
      </c>
      <c r="D877" s="73"/>
      <c r="E877" s="70"/>
      <c r="F877" s="70" t="s">
        <v>1586</v>
      </c>
      <c r="G877" s="73"/>
      <c r="H877" s="76" t="s">
        <v>1587</v>
      </c>
      <c r="I877" s="96" t="s">
        <v>500</v>
      </c>
      <c r="J877" s="96"/>
      <c r="K877" s="97">
        <v>1.5</v>
      </c>
      <c r="L877" s="97">
        <v>1.5</v>
      </c>
      <c r="M877" s="97">
        <v>1</v>
      </c>
      <c r="N877" s="97">
        <v>1</v>
      </c>
      <c r="O877" s="97">
        <v>1</v>
      </c>
      <c r="P877" s="97">
        <v>1</v>
      </c>
      <c r="Q877" s="76"/>
      <c r="R877" s="76" t="s">
        <v>548</v>
      </c>
      <c r="S877" s="76" t="s">
        <v>548</v>
      </c>
      <c r="T877" s="76"/>
      <c r="U877" s="252">
        <f t="shared" ref="U877:X879" si="135">INDEX($K877:$Q877,1,U$43)</f>
        <v>1.5</v>
      </c>
      <c r="V877" s="252">
        <f t="shared" si="135"/>
        <v>1.5</v>
      </c>
      <c r="W877" s="252">
        <f t="shared" si="135"/>
        <v>1.5</v>
      </c>
      <c r="X877" s="252">
        <f t="shared" si="135"/>
        <v>1.5</v>
      </c>
      <c r="Y877" s="252">
        <v>1.5</v>
      </c>
      <c r="Z877" s="252">
        <v>1.5</v>
      </c>
      <c r="AA877" s="252">
        <v>1.5</v>
      </c>
      <c r="AB877" s="252">
        <v>1.5</v>
      </c>
      <c r="AC877" s="252">
        <f t="shared" ref="AC877:AD879" si="136">INDEX($K877:$Q877,1,AC$43)</f>
        <v>1.5</v>
      </c>
      <c r="AD877" s="252">
        <f t="shared" si="136"/>
        <v>1.5</v>
      </c>
      <c r="AE877" s="76"/>
      <c r="AF877" s="76"/>
      <c r="AG877" s="76"/>
      <c r="AH877" s="97">
        <v>1</v>
      </c>
      <c r="AI877" s="97">
        <v>1</v>
      </c>
      <c r="AJ877" s="73"/>
      <c r="AK877" s="57"/>
      <c r="AL877" s="45"/>
      <c r="AM877" s="45"/>
      <c r="AN877" s="45"/>
    </row>
    <row r="878" spans="1:40" hidden="1" outlineLevel="2" x14ac:dyDescent="0.25">
      <c r="A878" s="45"/>
      <c r="B878" s="54"/>
      <c r="C878" s="47">
        <f t="shared" si="134"/>
        <v>3</v>
      </c>
      <c r="D878" s="73"/>
      <c r="E878" s="70"/>
      <c r="F878" s="70" t="s">
        <v>1588</v>
      </c>
      <c r="G878" s="73"/>
      <c r="H878" s="76" t="s">
        <v>1589</v>
      </c>
      <c r="I878" s="96" t="s">
        <v>500</v>
      </c>
      <c r="J878" s="96"/>
      <c r="K878" s="97">
        <v>1.75</v>
      </c>
      <c r="L878" s="97">
        <v>1.75</v>
      </c>
      <c r="M878" s="76"/>
      <c r="N878" s="76"/>
      <c r="O878" s="76"/>
      <c r="P878" s="76"/>
      <c r="Q878" s="76"/>
      <c r="R878" s="76" t="s">
        <v>548</v>
      </c>
      <c r="S878" s="76"/>
      <c r="T878" s="76"/>
      <c r="U878" s="252">
        <f t="shared" si="135"/>
        <v>1.75</v>
      </c>
      <c r="V878" s="252">
        <f t="shared" si="135"/>
        <v>1.75</v>
      </c>
      <c r="W878" s="252">
        <f t="shared" si="135"/>
        <v>1.75</v>
      </c>
      <c r="X878" s="252">
        <f t="shared" si="135"/>
        <v>1.75</v>
      </c>
      <c r="Y878" s="252">
        <v>1.75</v>
      </c>
      <c r="Z878" s="252">
        <v>1.75</v>
      </c>
      <c r="AA878" s="252">
        <v>1.75</v>
      </c>
      <c r="AB878" s="252">
        <v>1.75</v>
      </c>
      <c r="AC878" s="252">
        <f t="shared" si="136"/>
        <v>1.75</v>
      </c>
      <c r="AD878" s="252">
        <f t="shared" si="136"/>
        <v>1.75</v>
      </c>
      <c r="AE878" s="76"/>
      <c r="AF878" s="76"/>
      <c r="AG878" s="76"/>
      <c r="AH878" s="97">
        <v>1</v>
      </c>
      <c r="AI878" s="97">
        <v>1</v>
      </c>
      <c r="AJ878" s="73"/>
      <c r="AK878" s="57"/>
      <c r="AL878" s="45"/>
      <c r="AM878" s="45"/>
      <c r="AN878" s="45"/>
    </row>
    <row r="879" spans="1:40" hidden="1" outlineLevel="2" x14ac:dyDescent="0.25">
      <c r="A879" s="45"/>
      <c r="B879" s="54"/>
      <c r="C879" s="47">
        <f t="shared" si="134"/>
        <v>3</v>
      </c>
      <c r="D879" s="73"/>
      <c r="E879" s="70"/>
      <c r="F879" s="70" t="s">
        <v>1590</v>
      </c>
      <c r="G879" s="73"/>
      <c r="H879" s="76" t="s">
        <v>1591</v>
      </c>
      <c r="I879" s="96" t="s">
        <v>500</v>
      </c>
      <c r="J879" s="96"/>
      <c r="K879" s="97">
        <v>2</v>
      </c>
      <c r="L879" s="97">
        <v>2</v>
      </c>
      <c r="M879" s="76"/>
      <c r="N879" s="76"/>
      <c r="O879" s="76"/>
      <c r="P879" s="76"/>
      <c r="Q879" s="76"/>
      <c r="R879" s="76" t="s">
        <v>548</v>
      </c>
      <c r="S879" s="76"/>
      <c r="T879" s="76"/>
      <c r="U879" s="252">
        <f t="shared" si="135"/>
        <v>2</v>
      </c>
      <c r="V879" s="252">
        <f t="shared" si="135"/>
        <v>2</v>
      </c>
      <c r="W879" s="252">
        <f t="shared" si="135"/>
        <v>2</v>
      </c>
      <c r="X879" s="252">
        <f t="shared" si="135"/>
        <v>2</v>
      </c>
      <c r="Y879" s="252">
        <v>2</v>
      </c>
      <c r="Z879" s="252">
        <v>2</v>
      </c>
      <c r="AA879" s="252">
        <v>2</v>
      </c>
      <c r="AB879" s="252">
        <v>2</v>
      </c>
      <c r="AC879" s="252">
        <f t="shared" si="136"/>
        <v>2</v>
      </c>
      <c r="AD879" s="252">
        <f t="shared" si="136"/>
        <v>2</v>
      </c>
      <c r="AE879" s="76"/>
      <c r="AF879" s="76"/>
      <c r="AG879" s="76"/>
      <c r="AH879" s="97">
        <v>1</v>
      </c>
      <c r="AI879" s="97">
        <v>1</v>
      </c>
      <c r="AJ879" s="73"/>
      <c r="AK879" s="57"/>
      <c r="AL879" s="45"/>
      <c r="AM879" s="45"/>
      <c r="AN879" s="45"/>
    </row>
    <row r="880" spans="1:40" hidden="1" outlineLevel="2" x14ac:dyDescent="0.25">
      <c r="A880" s="45"/>
      <c r="B880" s="54"/>
      <c r="C880" s="47">
        <f t="shared" si="134"/>
        <v>3</v>
      </c>
      <c r="D880" s="73"/>
      <c r="E880" s="70" t="s">
        <v>785</v>
      </c>
      <c r="F880" s="70" t="s">
        <v>1592</v>
      </c>
      <c r="G880" s="73"/>
      <c r="H880" s="76" t="s">
        <v>1593</v>
      </c>
      <c r="I880" s="96" t="s">
        <v>500</v>
      </c>
      <c r="J880" s="96" t="s">
        <v>1171</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25">
      <c r="A881" s="45"/>
      <c r="B881" s="54"/>
      <c r="C881" s="47">
        <f t="shared" si="134"/>
        <v>3</v>
      </c>
      <c r="D881" s="73"/>
      <c r="E881" s="70"/>
      <c r="F881" s="70" t="s">
        <v>1594</v>
      </c>
      <c r="G881" s="73"/>
      <c r="H881" s="76" t="s">
        <v>1595</v>
      </c>
      <c r="I881" s="96" t="s">
        <v>90</v>
      </c>
      <c r="J881" s="96" t="s">
        <v>1171</v>
      </c>
      <c r="K881" s="97">
        <v>0.1</v>
      </c>
      <c r="L881" s="97">
        <v>0.1</v>
      </c>
      <c r="M881" s="97">
        <v>7.0000000000000007E-2</v>
      </c>
      <c r="N881" s="97">
        <v>7.0000000000000007E-2</v>
      </c>
      <c r="O881" s="97">
        <v>7.0000000000000007E-2</v>
      </c>
      <c r="P881" s="97">
        <v>7.0000000000000007E-2</v>
      </c>
      <c r="Q881" s="76"/>
      <c r="R881" s="76" t="s">
        <v>548</v>
      </c>
      <c r="S881" s="76" t="s">
        <v>548</v>
      </c>
      <c r="T881" s="76"/>
      <c r="U881" s="252">
        <f t="shared" ref="U881:X883" si="137">INDEX($K881:$Q881,1,U$43)</f>
        <v>0.1</v>
      </c>
      <c r="V881" s="252">
        <f t="shared" si="137"/>
        <v>0.1</v>
      </c>
      <c r="W881" s="252">
        <f t="shared" si="137"/>
        <v>0.1</v>
      </c>
      <c r="X881" s="252">
        <f t="shared" si="137"/>
        <v>0.1</v>
      </c>
      <c r="Y881" s="252">
        <v>0.1</v>
      </c>
      <c r="Z881" s="252">
        <v>0.1</v>
      </c>
      <c r="AA881" s="252">
        <v>0.1</v>
      </c>
      <c r="AB881" s="252">
        <v>0.1</v>
      </c>
      <c r="AC881" s="252">
        <f t="shared" ref="AC881:AD883" si="138">INDEX($K881:$Q881,1,AC$43)</f>
        <v>0.1</v>
      </c>
      <c r="AD881" s="252">
        <f t="shared" si="138"/>
        <v>0.1</v>
      </c>
      <c r="AE881" s="76"/>
      <c r="AF881" s="76"/>
      <c r="AG881" s="76"/>
      <c r="AH881" s="97">
        <v>1</v>
      </c>
      <c r="AI881" s="97">
        <v>1</v>
      </c>
      <c r="AJ881" s="73"/>
      <c r="AK881" s="57"/>
      <c r="AL881" s="45"/>
      <c r="AM881" s="45"/>
      <c r="AN881" s="45"/>
    </row>
    <row r="882" spans="1:40" hidden="1" outlineLevel="2" x14ac:dyDescent="0.25">
      <c r="A882" s="45"/>
      <c r="B882" s="54"/>
      <c r="C882" s="47">
        <f t="shared" si="134"/>
        <v>3</v>
      </c>
      <c r="D882" s="73"/>
      <c r="E882" s="70"/>
      <c r="F882" s="70" t="s">
        <v>1596</v>
      </c>
      <c r="G882" s="73"/>
      <c r="H882" s="76" t="s">
        <v>1597</v>
      </c>
      <c r="I882" s="96" t="s">
        <v>90</v>
      </c>
      <c r="J882" s="96" t="s">
        <v>1171</v>
      </c>
      <c r="K882" s="97">
        <v>8.5000000000000006E-2</v>
      </c>
      <c r="L882" s="97">
        <v>8.5000000000000006E-2</v>
      </c>
      <c r="M882" s="76"/>
      <c r="N882" s="76"/>
      <c r="O882" s="76"/>
      <c r="P882" s="76"/>
      <c r="Q882" s="76"/>
      <c r="R882" s="76" t="s">
        <v>548</v>
      </c>
      <c r="S882" s="76"/>
      <c r="T882" s="76"/>
      <c r="U882" s="252">
        <f t="shared" si="137"/>
        <v>8.5000000000000006E-2</v>
      </c>
      <c r="V882" s="252">
        <f t="shared" si="137"/>
        <v>8.5000000000000006E-2</v>
      </c>
      <c r="W882" s="252">
        <f t="shared" si="137"/>
        <v>8.5000000000000006E-2</v>
      </c>
      <c r="X882" s="252">
        <f t="shared" si="137"/>
        <v>8.5000000000000006E-2</v>
      </c>
      <c r="Y882" s="252">
        <v>8.5000000000000006E-2</v>
      </c>
      <c r="Z882" s="252">
        <v>8.5000000000000006E-2</v>
      </c>
      <c r="AA882" s="252">
        <v>8.5000000000000006E-2</v>
      </c>
      <c r="AB882" s="252">
        <v>8.5000000000000006E-2</v>
      </c>
      <c r="AC882" s="252">
        <f t="shared" si="138"/>
        <v>8.5000000000000006E-2</v>
      </c>
      <c r="AD882" s="252">
        <f t="shared" si="138"/>
        <v>8.5000000000000006E-2</v>
      </c>
      <c r="AE882" s="76"/>
      <c r="AF882" s="76"/>
      <c r="AG882" s="76"/>
      <c r="AH882" s="97">
        <v>1</v>
      </c>
      <c r="AI882" s="97">
        <v>1</v>
      </c>
      <c r="AJ882" s="73"/>
      <c r="AK882" s="57"/>
      <c r="AL882" s="45"/>
      <c r="AM882" s="45"/>
      <c r="AN882" s="45"/>
    </row>
    <row r="883" spans="1:40" hidden="1" outlineLevel="2" x14ac:dyDescent="0.25">
      <c r="A883" s="45"/>
      <c r="B883" s="54"/>
      <c r="C883" s="47">
        <f t="shared" si="134"/>
        <v>3</v>
      </c>
      <c r="D883" s="73"/>
      <c r="E883" s="70"/>
      <c r="F883" s="70" t="s">
        <v>1598</v>
      </c>
      <c r="G883" s="73"/>
      <c r="H883" s="76" t="s">
        <v>1599</v>
      </c>
      <c r="I883" s="96" t="s">
        <v>90</v>
      </c>
      <c r="J883" s="96" t="s">
        <v>1171</v>
      </c>
      <c r="K883" s="97">
        <v>7.0000000000000007E-2</v>
      </c>
      <c r="L883" s="97">
        <v>7.0000000000000007E-2</v>
      </c>
      <c r="M883" s="76"/>
      <c r="N883" s="76"/>
      <c r="O883" s="76"/>
      <c r="P883" s="76"/>
      <c r="Q883" s="76"/>
      <c r="R883" s="76" t="s">
        <v>548</v>
      </c>
      <c r="S883" s="76"/>
      <c r="T883" s="76"/>
      <c r="U883" s="252">
        <f t="shared" si="137"/>
        <v>7.0000000000000007E-2</v>
      </c>
      <c r="V883" s="252">
        <f t="shared" si="137"/>
        <v>7.0000000000000007E-2</v>
      </c>
      <c r="W883" s="252">
        <f t="shared" si="137"/>
        <v>7.0000000000000007E-2</v>
      </c>
      <c r="X883" s="252">
        <f t="shared" si="137"/>
        <v>7.0000000000000007E-2</v>
      </c>
      <c r="Y883" s="252">
        <v>7.0000000000000007E-2</v>
      </c>
      <c r="Z883" s="252">
        <v>7.0000000000000007E-2</v>
      </c>
      <c r="AA883" s="252">
        <v>7.0000000000000007E-2</v>
      </c>
      <c r="AB883" s="252">
        <v>7.0000000000000007E-2</v>
      </c>
      <c r="AC883" s="252">
        <f t="shared" si="138"/>
        <v>7.0000000000000007E-2</v>
      </c>
      <c r="AD883" s="252">
        <f t="shared" si="138"/>
        <v>7.0000000000000007E-2</v>
      </c>
      <c r="AE883" s="76"/>
      <c r="AF883" s="76"/>
      <c r="AG883" s="76"/>
      <c r="AH883" s="97">
        <v>1</v>
      </c>
      <c r="AI883" s="97">
        <v>1</v>
      </c>
      <c r="AJ883" s="73"/>
      <c r="AK883" s="57"/>
      <c r="AL883" s="45"/>
      <c r="AM883" s="45"/>
      <c r="AN883" s="45"/>
    </row>
    <row r="884" spans="1:40" hidden="1" outlineLevel="2" x14ac:dyDescent="0.25">
      <c r="A884" s="45"/>
      <c r="B884" s="54"/>
      <c r="C884" s="47">
        <f t="shared" si="134"/>
        <v>3</v>
      </c>
      <c r="D884" s="73"/>
      <c r="E884" s="70"/>
      <c r="F884" s="70" t="s">
        <v>1600</v>
      </c>
      <c r="G884" s="73"/>
      <c r="H884" s="76" t="s">
        <v>1601</v>
      </c>
      <c r="I884" s="96" t="s">
        <v>500</v>
      </c>
      <c r="J884" s="96" t="s">
        <v>1143</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25">
      <c r="A885" s="45"/>
      <c r="B885" s="54"/>
      <c r="C885" s="47">
        <f t="shared" si="134"/>
        <v>3</v>
      </c>
      <c r="D885" s="73"/>
      <c r="E885" s="70"/>
      <c r="F885" s="70" t="s">
        <v>1602</v>
      </c>
      <c r="G885" s="73"/>
      <c r="H885" s="76" t="s">
        <v>1603</v>
      </c>
      <c r="I885" s="96" t="s">
        <v>690</v>
      </c>
      <c r="J885" s="96" t="s">
        <v>1143</v>
      </c>
      <c r="K885" s="76"/>
      <c r="L885" s="76"/>
      <c r="M885" s="76"/>
      <c r="N885" s="76"/>
      <c r="O885" s="76"/>
      <c r="P885" s="76"/>
      <c r="Q885" s="76"/>
      <c r="R885" s="76"/>
      <c r="S885" s="76"/>
      <c r="T885" s="76"/>
      <c r="U885" s="97">
        <v>0</v>
      </c>
      <c r="V885" s="254">
        <f>U885</f>
        <v>0</v>
      </c>
      <c r="W885" s="254">
        <f t="shared" ref="W885:X887" si="139">U885</f>
        <v>0</v>
      </c>
      <c r="X885" s="254">
        <f t="shared" si="139"/>
        <v>0</v>
      </c>
      <c r="Y885" s="254">
        <v>0</v>
      </c>
      <c r="Z885" s="254">
        <v>0</v>
      </c>
      <c r="AA885" s="254">
        <v>0</v>
      </c>
      <c r="AB885" s="254">
        <v>0</v>
      </c>
      <c r="AC885" s="254">
        <f t="shared" ref="AC885:AD887" si="140">AB885</f>
        <v>0</v>
      </c>
      <c r="AD885" s="254">
        <f t="shared" si="140"/>
        <v>0</v>
      </c>
      <c r="AE885" s="76"/>
      <c r="AF885" s="97" t="s">
        <v>2179</v>
      </c>
      <c r="AG885" s="76"/>
      <c r="AH885" s="97">
        <v>1</v>
      </c>
      <c r="AI885" s="97">
        <v>1</v>
      </c>
      <c r="AJ885" s="73"/>
      <c r="AK885" s="57"/>
      <c r="AL885" s="45"/>
      <c r="AM885" s="45"/>
      <c r="AN885" s="45"/>
    </row>
    <row r="886" spans="1:40" hidden="1" outlineLevel="2" x14ac:dyDescent="0.25">
      <c r="A886" s="45"/>
      <c r="B886" s="54"/>
      <c r="C886" s="47">
        <f t="shared" si="134"/>
        <v>3</v>
      </c>
      <c r="D886" s="73"/>
      <c r="E886" s="70"/>
      <c r="F886" s="70" t="s">
        <v>1604</v>
      </c>
      <c r="G886" s="73"/>
      <c r="H886" s="76" t="s">
        <v>1605</v>
      </c>
      <c r="I886" s="96" t="s">
        <v>690</v>
      </c>
      <c r="J886" s="96" t="s">
        <v>1143</v>
      </c>
      <c r="K886" s="76"/>
      <c r="L886" s="76"/>
      <c r="M886" s="76"/>
      <c r="N886" s="76"/>
      <c r="O886" s="76"/>
      <c r="P886" s="76"/>
      <c r="Q886" s="76"/>
      <c r="R886" s="76"/>
      <c r="S886" s="76"/>
      <c r="T886" s="76"/>
      <c r="U886" s="97">
        <v>-0.95650000000000002</v>
      </c>
      <c r="V886" s="254">
        <f>U886</f>
        <v>-0.95650000000000002</v>
      </c>
      <c r="W886" s="254">
        <f t="shared" si="139"/>
        <v>-0.95650000000000002</v>
      </c>
      <c r="X886" s="254">
        <f t="shared" si="139"/>
        <v>-0.95650000000000002</v>
      </c>
      <c r="Y886" s="254">
        <v>-0.95650000000000002</v>
      </c>
      <c r="Z886" s="254">
        <v>-0.95650000000000002</v>
      </c>
      <c r="AA886" s="254">
        <v>-0.95650000000000002</v>
      </c>
      <c r="AB886" s="254">
        <v>-1.0820000000000001</v>
      </c>
      <c r="AC886" s="254">
        <f t="shared" si="140"/>
        <v>-1.0820000000000001</v>
      </c>
      <c r="AD886" s="254">
        <f t="shared" si="140"/>
        <v>-1.0820000000000001</v>
      </c>
      <c r="AE886" s="76"/>
      <c r="AF886" s="97"/>
      <c r="AG886" s="76"/>
      <c r="AH886" s="97">
        <v>1</v>
      </c>
      <c r="AI886" s="97">
        <v>1</v>
      </c>
      <c r="AJ886" s="73"/>
      <c r="AK886" s="57"/>
      <c r="AL886" s="45"/>
      <c r="AM886" s="45"/>
      <c r="AN886" s="45"/>
    </row>
    <row r="887" spans="1:40" hidden="1" outlineLevel="2" collapsed="1" x14ac:dyDescent="0.25">
      <c r="A887" s="45"/>
      <c r="B887" s="54"/>
      <c r="C887" s="47">
        <f t="shared" si="134"/>
        <v>3</v>
      </c>
      <c r="D887" s="73"/>
      <c r="E887" s="70"/>
      <c r="F887" s="70" t="s">
        <v>1606</v>
      </c>
      <c r="G887" s="73"/>
      <c r="H887" s="76" t="s">
        <v>1607</v>
      </c>
      <c r="I887" s="96" t="s">
        <v>690</v>
      </c>
      <c r="J887" s="96" t="s">
        <v>1143</v>
      </c>
      <c r="K887" s="76"/>
      <c r="L887" s="76"/>
      <c r="M887" s="76"/>
      <c r="N887" s="76"/>
      <c r="O887" s="76"/>
      <c r="P887" s="76"/>
      <c r="Q887" s="76"/>
      <c r="R887" s="76"/>
      <c r="S887" s="76"/>
      <c r="T887" s="76"/>
      <c r="U887" s="97">
        <v>-1.7614000000000001</v>
      </c>
      <c r="V887" s="254">
        <f>U887</f>
        <v>-1.7614000000000001</v>
      </c>
      <c r="W887" s="254">
        <f t="shared" si="139"/>
        <v>-1.7614000000000001</v>
      </c>
      <c r="X887" s="254">
        <f t="shared" si="139"/>
        <v>-1.7614000000000001</v>
      </c>
      <c r="Y887" s="254">
        <v>-1.7614000000000001</v>
      </c>
      <c r="Z887" s="254">
        <v>-1.7614000000000001</v>
      </c>
      <c r="AA887" s="254">
        <v>-1.7614000000000001</v>
      </c>
      <c r="AB887" s="254">
        <v>-2.0059999999999998</v>
      </c>
      <c r="AC887" s="254">
        <f t="shared" si="140"/>
        <v>-2.0059999999999998</v>
      </c>
      <c r="AD887" s="254">
        <f t="shared" si="140"/>
        <v>-2.0059999999999998</v>
      </c>
      <c r="AE887" s="76"/>
      <c r="AF887" s="97"/>
      <c r="AG887" s="76"/>
      <c r="AH887" s="97">
        <v>1</v>
      </c>
      <c r="AI887" s="97">
        <v>1</v>
      </c>
      <c r="AJ887" s="73"/>
      <c r="AK887" s="57"/>
      <c r="AL887" s="45"/>
      <c r="AM887" s="45"/>
      <c r="AN887" s="45"/>
    </row>
    <row r="888" spans="1:40" hidden="1" outlineLevel="3" x14ac:dyDescent="0.25">
      <c r="A888" s="45"/>
      <c r="B888" s="54"/>
      <c r="C888" s="47">
        <f t="shared" si="134"/>
        <v>3</v>
      </c>
      <c r="D888" s="73"/>
      <c r="E888" s="70"/>
      <c r="F888" s="70" t="s">
        <v>1608</v>
      </c>
      <c r="G888" s="73"/>
      <c r="H888" s="76" t="s">
        <v>2181</v>
      </c>
      <c r="I888" s="96" t="s">
        <v>500</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34"/>
        <v>3</v>
      </c>
      <c r="D889" s="73"/>
      <c r="E889" s="70"/>
      <c r="F889" s="70" t="s">
        <v>1610</v>
      </c>
      <c r="G889" s="73"/>
      <c r="H889" s="76" t="s">
        <v>1489</v>
      </c>
      <c r="I889" s="96" t="s">
        <v>500</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34"/>
        <v>3</v>
      </c>
      <c r="D890" s="73"/>
      <c r="E890" s="70"/>
      <c r="F890" s="70" t="s">
        <v>1611</v>
      </c>
      <c r="G890" s="73"/>
      <c r="H890" s="76" t="s">
        <v>1491</v>
      </c>
      <c r="I890" s="96" t="s">
        <v>500</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34"/>
        <v>3</v>
      </c>
      <c r="D891" s="73"/>
      <c r="E891" s="70"/>
      <c r="F891" s="70" t="s">
        <v>1612</v>
      </c>
      <c r="G891" s="73"/>
      <c r="H891" s="76" t="s">
        <v>1493</v>
      </c>
      <c r="I891" s="96" t="s">
        <v>500</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34"/>
        <v>3</v>
      </c>
      <c r="D892" s="73"/>
      <c r="E892" s="70"/>
      <c r="F892" s="70" t="s">
        <v>1613</v>
      </c>
      <c r="G892" s="73"/>
      <c r="H892" s="76" t="s">
        <v>1614</v>
      </c>
      <c r="I892" s="96" t="s">
        <v>500</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34"/>
        <v>3</v>
      </c>
      <c r="D893" s="73"/>
      <c r="E893" s="70"/>
      <c r="F893" s="70" t="s">
        <v>1615</v>
      </c>
      <c r="G893" s="73"/>
      <c r="H893" s="76" t="s">
        <v>1616</v>
      </c>
      <c r="I893" s="96" t="s">
        <v>500</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34"/>
        <v>3</v>
      </c>
      <c r="D894" s="73"/>
      <c r="E894" s="70"/>
      <c r="F894" s="70" t="s">
        <v>1617</v>
      </c>
      <c r="G894" s="73"/>
      <c r="H894" s="76" t="s">
        <v>1618</v>
      </c>
      <c r="I894" s="96" t="s">
        <v>500</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34"/>
        <v>3</v>
      </c>
      <c r="D895" s="73"/>
      <c r="E895" s="70"/>
      <c r="F895" s="70" t="s">
        <v>1619</v>
      </c>
      <c r="G895" s="73"/>
      <c r="H895" s="76" t="s">
        <v>1620</v>
      </c>
      <c r="I895" s="96" t="s">
        <v>500</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34"/>
        <v>3</v>
      </c>
      <c r="D896" s="73"/>
      <c r="E896" s="70"/>
      <c r="F896" s="70" t="s">
        <v>1621</v>
      </c>
      <c r="G896" s="73"/>
      <c r="H896" s="76" t="s">
        <v>1487</v>
      </c>
      <c r="I896" s="96" t="s">
        <v>500</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34"/>
        <v>3</v>
      </c>
      <c r="D897" s="73"/>
      <c r="E897" s="70"/>
      <c r="F897" s="70" t="s">
        <v>1622</v>
      </c>
      <c r="G897" s="73"/>
      <c r="H897" s="76" t="s">
        <v>1489</v>
      </c>
      <c r="I897" s="96" t="s">
        <v>500</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34"/>
        <v>3</v>
      </c>
      <c r="D898" s="73"/>
      <c r="E898" s="70"/>
      <c r="F898" s="70" t="s">
        <v>1623</v>
      </c>
      <c r="G898" s="73"/>
      <c r="H898" s="76" t="s">
        <v>1491</v>
      </c>
      <c r="I898" s="96" t="s">
        <v>500</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34"/>
        <v>3</v>
      </c>
      <c r="D899" s="73"/>
      <c r="E899" s="70"/>
      <c r="F899" s="70" t="s">
        <v>1624</v>
      </c>
      <c r="G899" s="73"/>
      <c r="H899" s="76" t="s">
        <v>1493</v>
      </c>
      <c r="I899" s="96" t="s">
        <v>500</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34"/>
        <v>3</v>
      </c>
      <c r="D900" s="73"/>
      <c r="E900" s="70"/>
      <c r="F900" s="70" t="s">
        <v>2509</v>
      </c>
      <c r="G900" s="73"/>
      <c r="H900" s="76" t="s">
        <v>1487</v>
      </c>
      <c r="I900" s="96" t="s">
        <v>500</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34"/>
        <v>3</v>
      </c>
      <c r="D901" s="73"/>
      <c r="E901" s="70"/>
      <c r="F901" s="70" t="s">
        <v>2510</v>
      </c>
      <c r="G901" s="73"/>
      <c r="H901" s="76" t="s">
        <v>1489</v>
      </c>
      <c r="I901" s="96" t="s">
        <v>500</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34"/>
        <v>3</v>
      </c>
      <c r="D902" s="73"/>
      <c r="E902" s="70"/>
      <c r="F902" s="70" t="s">
        <v>2511</v>
      </c>
      <c r="G902" s="73"/>
      <c r="H902" s="76" t="s">
        <v>1491</v>
      </c>
      <c r="I902" s="96" t="s">
        <v>500</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34"/>
        <v>3</v>
      </c>
      <c r="D903" s="73"/>
      <c r="E903" s="70"/>
      <c r="F903" s="70" t="s">
        <v>2512</v>
      </c>
      <c r="G903" s="73"/>
      <c r="H903" s="76" t="s">
        <v>1493</v>
      </c>
      <c r="I903" s="96" t="s">
        <v>500</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34"/>
        <v>3</v>
      </c>
      <c r="D904" s="73"/>
      <c r="E904" s="70"/>
      <c r="F904" s="70" t="s">
        <v>2513</v>
      </c>
      <c r="G904" s="73"/>
      <c r="H904" s="76" t="s">
        <v>1487</v>
      </c>
      <c r="I904" s="96" t="s">
        <v>500</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34"/>
        <v>3</v>
      </c>
      <c r="D905" s="73"/>
      <c r="E905" s="70"/>
      <c r="F905" s="70" t="s">
        <v>2514</v>
      </c>
      <c r="G905" s="73"/>
      <c r="H905" s="76" t="s">
        <v>1489</v>
      </c>
      <c r="I905" s="96" t="s">
        <v>500</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34"/>
        <v>3</v>
      </c>
      <c r="D906" s="73"/>
      <c r="E906" s="70"/>
      <c r="F906" s="70" t="s">
        <v>2515</v>
      </c>
      <c r="G906" s="73"/>
      <c r="H906" s="76" t="s">
        <v>1491</v>
      </c>
      <c r="I906" s="96" t="s">
        <v>500</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34"/>
        <v>3</v>
      </c>
      <c r="D907" s="73"/>
      <c r="E907" s="70"/>
      <c r="F907" s="70" t="s">
        <v>2516</v>
      </c>
      <c r="G907" s="73"/>
      <c r="H907" s="76" t="s">
        <v>1493</v>
      </c>
      <c r="I907" s="96" t="s">
        <v>500</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25">
      <c r="A908" s="45"/>
      <c r="B908" s="54"/>
      <c r="C908" s="47">
        <f t="shared" si="134"/>
        <v>3</v>
      </c>
      <c r="D908" s="73"/>
      <c r="E908" s="70"/>
      <c r="F908" s="70" t="s">
        <v>2517</v>
      </c>
      <c r="G908" s="73"/>
      <c r="H908" s="76" t="s">
        <v>2719</v>
      </c>
      <c r="I908" s="96" t="s">
        <v>500</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25">
      <c r="A909" s="45"/>
      <c r="B909" s="54"/>
      <c r="C909" s="47">
        <f t="shared" si="134"/>
        <v>3</v>
      </c>
      <c r="D909" s="73"/>
      <c r="E909" s="70"/>
      <c r="F909" s="70" t="s">
        <v>2518</v>
      </c>
      <c r="G909" s="73"/>
      <c r="H909" s="76" t="s">
        <v>2721</v>
      </c>
      <c r="I909" s="96" t="s">
        <v>500</v>
      </c>
      <c r="J909" s="96"/>
      <c r="K909" s="76"/>
      <c r="L909" s="76"/>
      <c r="M909" s="76"/>
      <c r="N909" s="76"/>
      <c r="O909" s="76"/>
      <c r="P909" s="76"/>
      <c r="Q909" s="76"/>
      <c r="R909" s="76"/>
      <c r="S909" s="76"/>
      <c r="T909" s="76"/>
      <c r="U909" s="97">
        <v>0</v>
      </c>
      <c r="V909" s="97">
        <v>0</v>
      </c>
      <c r="W909" s="97">
        <v>0</v>
      </c>
      <c r="X909" s="97">
        <v>0</v>
      </c>
      <c r="Y909" s="97">
        <v>0</v>
      </c>
      <c r="Z909" s="97">
        <v>0</v>
      </c>
      <c r="AA909" s="97">
        <v>0</v>
      </c>
      <c r="AB909" s="254">
        <v>0</v>
      </c>
      <c r="AC909" s="254">
        <f t="shared" ref="AC909:AD911" si="141">AB909</f>
        <v>0</v>
      </c>
      <c r="AD909" s="254">
        <f t="shared" si="141"/>
        <v>0</v>
      </c>
      <c r="AE909" s="76"/>
      <c r="AF909" s="76"/>
      <c r="AG909" s="76"/>
      <c r="AH909" s="76">
        <v>1</v>
      </c>
      <c r="AI909" s="76">
        <v>1</v>
      </c>
      <c r="AJ909" s="73"/>
      <c r="AK909" s="57"/>
      <c r="AL909" s="45"/>
      <c r="AM909" s="45"/>
      <c r="AN909" s="45"/>
    </row>
    <row r="910" spans="1:40" hidden="1" outlineLevel="2" x14ac:dyDescent="0.25">
      <c r="A910" s="45"/>
      <c r="B910" s="54"/>
      <c r="C910" s="47">
        <f t="shared" si="134"/>
        <v>3</v>
      </c>
      <c r="D910" s="73"/>
      <c r="E910" s="70"/>
      <c r="F910" s="70" t="s">
        <v>2519</v>
      </c>
      <c r="G910" s="73"/>
      <c r="H910" s="76" t="s">
        <v>2720</v>
      </c>
      <c r="I910" s="96" t="s">
        <v>500</v>
      </c>
      <c r="J910" s="96"/>
      <c r="K910" s="76"/>
      <c r="L910" s="76"/>
      <c r="M910" s="76"/>
      <c r="N910" s="76"/>
      <c r="O910" s="76"/>
      <c r="P910" s="76"/>
      <c r="Q910" s="76"/>
      <c r="R910" s="76"/>
      <c r="S910" s="76"/>
      <c r="T910" s="76"/>
      <c r="U910" s="97">
        <v>0</v>
      </c>
      <c r="V910" s="97">
        <v>0</v>
      </c>
      <c r="W910" s="97">
        <v>0</v>
      </c>
      <c r="X910" s="97">
        <v>0</v>
      </c>
      <c r="Y910" s="97">
        <v>0</v>
      </c>
      <c r="Z910" s="97">
        <v>0</v>
      </c>
      <c r="AA910" s="97">
        <v>0</v>
      </c>
      <c r="AB910" s="254">
        <v>0</v>
      </c>
      <c r="AC910" s="254">
        <f t="shared" si="141"/>
        <v>0</v>
      </c>
      <c r="AD910" s="254">
        <f t="shared" si="141"/>
        <v>0</v>
      </c>
      <c r="AE910" s="76"/>
      <c r="AF910" s="76"/>
      <c r="AG910" s="76"/>
      <c r="AH910" s="76">
        <v>1</v>
      </c>
      <c r="AI910" s="76">
        <v>1</v>
      </c>
      <c r="AJ910" s="73"/>
      <c r="AK910" s="57"/>
      <c r="AL910" s="45"/>
      <c r="AM910" s="45"/>
      <c r="AN910" s="45"/>
    </row>
    <row r="911" spans="1:40" hidden="1" outlineLevel="2" x14ac:dyDescent="0.25">
      <c r="A911" s="45"/>
      <c r="B911" s="54"/>
      <c r="C911" s="47">
        <f t="shared" si="134"/>
        <v>3</v>
      </c>
      <c r="D911" s="73"/>
      <c r="E911" s="70"/>
      <c r="F911" s="70" t="s">
        <v>2520</v>
      </c>
      <c r="G911" s="73"/>
      <c r="H911" s="76" t="s">
        <v>2722</v>
      </c>
      <c r="I911" s="96" t="s">
        <v>500</v>
      </c>
      <c r="J911" s="96"/>
      <c r="K911" s="76"/>
      <c r="L911" s="76"/>
      <c r="M911" s="76"/>
      <c r="N911" s="76"/>
      <c r="O911" s="76"/>
      <c r="P911" s="76"/>
      <c r="Q911" s="76"/>
      <c r="R911" s="76"/>
      <c r="S911" s="76"/>
      <c r="T911" s="76"/>
      <c r="U911" s="97">
        <v>0</v>
      </c>
      <c r="V911" s="97">
        <v>0</v>
      </c>
      <c r="W911" s="97">
        <v>0</v>
      </c>
      <c r="X911" s="97">
        <v>0</v>
      </c>
      <c r="Y911" s="97">
        <v>0</v>
      </c>
      <c r="Z911" s="97">
        <v>0</v>
      </c>
      <c r="AA911" s="97">
        <v>0</v>
      </c>
      <c r="AB911" s="254">
        <v>0</v>
      </c>
      <c r="AC911" s="254">
        <f t="shared" si="141"/>
        <v>0</v>
      </c>
      <c r="AD911" s="254">
        <f t="shared" si="141"/>
        <v>0</v>
      </c>
      <c r="AE911" s="76"/>
      <c r="AF911" s="76"/>
      <c r="AG911" s="76"/>
      <c r="AH911" s="76">
        <v>1</v>
      </c>
      <c r="AI911" s="76">
        <v>1</v>
      </c>
      <c r="AJ911" s="73"/>
      <c r="AK911" s="57"/>
      <c r="AL911" s="45"/>
      <c r="AM911" s="45"/>
      <c r="AN911" s="45"/>
    </row>
    <row r="912" spans="1:40" hidden="1" outlineLevel="2" x14ac:dyDescent="0.25">
      <c r="A912" s="45"/>
      <c r="B912" s="54"/>
      <c r="C912" s="47">
        <f t="shared" si="134"/>
        <v>3</v>
      </c>
      <c r="D912" s="73"/>
      <c r="E912" s="70"/>
      <c r="F912" s="70" t="s">
        <v>2521</v>
      </c>
      <c r="G912" s="73"/>
      <c r="H912" s="76" t="s">
        <v>2773</v>
      </c>
      <c r="I912" s="96" t="s">
        <v>500</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2784</v>
      </c>
      <c r="AG912" s="76"/>
      <c r="AH912" s="76">
        <v>1</v>
      </c>
      <c r="AI912" s="76">
        <v>1</v>
      </c>
      <c r="AJ912" s="73"/>
      <c r="AK912" s="57"/>
      <c r="AL912" s="45"/>
      <c r="AM912" s="45"/>
      <c r="AN912" s="45"/>
    </row>
    <row r="913" spans="1:40" hidden="1" outlineLevel="2" x14ac:dyDescent="0.25">
      <c r="A913" s="45"/>
      <c r="B913" s="54"/>
      <c r="C913" s="47">
        <f t="shared" si="134"/>
        <v>3</v>
      </c>
      <c r="D913" s="73"/>
      <c r="E913" s="70"/>
      <c r="F913" s="70" t="s">
        <v>2522</v>
      </c>
      <c r="G913" s="73"/>
      <c r="H913" s="76" t="s">
        <v>2721</v>
      </c>
      <c r="I913" s="96" t="s">
        <v>500</v>
      </c>
      <c r="J913" s="96"/>
      <c r="K913" s="76"/>
      <c r="L913" s="76"/>
      <c r="M913" s="76"/>
      <c r="N913" s="76"/>
      <c r="O913" s="76"/>
      <c r="P913" s="76"/>
      <c r="Q913" s="76"/>
      <c r="R913" s="76"/>
      <c r="S913" s="76"/>
      <c r="T913" s="76"/>
      <c r="U913" s="97">
        <f>AA913-(-0.4)</f>
        <v>0.4</v>
      </c>
      <c r="V913" s="254">
        <f>U913</f>
        <v>0.4</v>
      </c>
      <c r="W913" s="254">
        <f t="shared" ref="W913:X915" si="142">U913</f>
        <v>0.4</v>
      </c>
      <c r="X913" s="254">
        <f t="shared" si="142"/>
        <v>0.4</v>
      </c>
      <c r="Y913" s="254">
        <v>0</v>
      </c>
      <c r="Z913" s="254">
        <v>0</v>
      </c>
      <c r="AA913" s="254">
        <v>0</v>
      </c>
      <c r="AB913" s="254">
        <v>-0.4</v>
      </c>
      <c r="AC913" s="254">
        <f t="shared" ref="AC913:AD915" si="143">AB913</f>
        <v>-0.4</v>
      </c>
      <c r="AD913" s="254">
        <f t="shared" si="143"/>
        <v>-0.4</v>
      </c>
      <c r="AE913" s="76"/>
      <c r="AF913" s="97" t="s">
        <v>2824</v>
      </c>
      <c r="AG913" s="76"/>
      <c r="AH913" s="97">
        <v>1</v>
      </c>
      <c r="AI913" s="97">
        <v>1</v>
      </c>
      <c r="AJ913" s="73"/>
      <c r="AK913" s="57"/>
      <c r="AL913" s="45"/>
      <c r="AM913" s="45"/>
      <c r="AN913" s="45"/>
    </row>
    <row r="914" spans="1:40" hidden="1" outlineLevel="2" x14ac:dyDescent="0.25">
      <c r="A914" s="45"/>
      <c r="B914" s="54"/>
      <c r="C914" s="47">
        <f t="shared" si="134"/>
        <v>3</v>
      </c>
      <c r="D914" s="73"/>
      <c r="E914" s="70"/>
      <c r="F914" s="70" t="s">
        <v>2523</v>
      </c>
      <c r="G914" s="73"/>
      <c r="H914" s="76" t="s">
        <v>2720</v>
      </c>
      <c r="I914" s="96" t="s">
        <v>500</v>
      </c>
      <c r="J914" s="96"/>
      <c r="K914" s="76"/>
      <c r="L914" s="76"/>
      <c r="M914" s="76"/>
      <c r="N914" s="76"/>
      <c r="O914" s="76"/>
      <c r="P914" s="76"/>
      <c r="Q914" s="76"/>
      <c r="R914" s="76"/>
      <c r="S914" s="76"/>
      <c r="T914" s="76"/>
      <c r="U914" s="97">
        <f>AA914-(-0.55)</f>
        <v>1.1000000000000001</v>
      </c>
      <c r="V914" s="254">
        <f>U914</f>
        <v>1.1000000000000001</v>
      </c>
      <c r="W914" s="254">
        <f t="shared" si="142"/>
        <v>1.1000000000000001</v>
      </c>
      <c r="X914" s="254">
        <f t="shared" si="142"/>
        <v>1.1000000000000001</v>
      </c>
      <c r="Y914" s="254">
        <v>0.55000000000000004</v>
      </c>
      <c r="Z914" s="254">
        <v>0.55000000000000004</v>
      </c>
      <c r="AA914" s="254">
        <v>0.55000000000000004</v>
      </c>
      <c r="AB914" s="254">
        <v>0</v>
      </c>
      <c r="AC914" s="254">
        <f t="shared" si="143"/>
        <v>0</v>
      </c>
      <c r="AD914" s="254">
        <f t="shared" si="143"/>
        <v>0</v>
      </c>
      <c r="AE914" s="76"/>
      <c r="AF914" s="76"/>
      <c r="AG914" s="76"/>
      <c r="AH914" s="97">
        <v>1</v>
      </c>
      <c r="AI914" s="97">
        <v>1</v>
      </c>
      <c r="AJ914" s="73"/>
      <c r="AK914" s="57"/>
      <c r="AL914" s="45"/>
      <c r="AM914" s="45"/>
      <c r="AN914" s="45"/>
    </row>
    <row r="915" spans="1:40" hidden="1" outlineLevel="2" x14ac:dyDescent="0.25">
      <c r="A915" s="45"/>
      <c r="B915" s="54"/>
      <c r="C915" s="47">
        <f t="shared" si="134"/>
        <v>3</v>
      </c>
      <c r="D915" s="73"/>
      <c r="E915" s="70"/>
      <c r="F915" s="70" t="s">
        <v>2524</v>
      </c>
      <c r="G915" s="73"/>
      <c r="H915" s="76" t="s">
        <v>2722</v>
      </c>
      <c r="I915" s="96" t="s">
        <v>500</v>
      </c>
      <c r="J915" s="96"/>
      <c r="K915" s="76"/>
      <c r="L915" s="76"/>
      <c r="M915" s="76"/>
      <c r="N915" s="76"/>
      <c r="O915" s="76"/>
      <c r="P915" s="76"/>
      <c r="Q915" s="76"/>
      <c r="R915" s="76"/>
      <c r="S915" s="76"/>
      <c r="T915" s="76"/>
      <c r="U915" s="97">
        <f>AA915-(-1.1573)</f>
        <v>2.9691999999999998</v>
      </c>
      <c r="V915" s="254">
        <f>U915</f>
        <v>2.9691999999999998</v>
      </c>
      <c r="W915" s="254">
        <f t="shared" si="142"/>
        <v>2.9691999999999998</v>
      </c>
      <c r="X915" s="254">
        <f t="shared" si="142"/>
        <v>2.9691999999999998</v>
      </c>
      <c r="Y915" s="254">
        <v>1.8119000000000001</v>
      </c>
      <c r="Z915" s="254">
        <v>1.8119000000000001</v>
      </c>
      <c r="AA915" s="254">
        <v>1.8119000000000001</v>
      </c>
      <c r="AB915" s="254">
        <v>0.65459999999999996</v>
      </c>
      <c r="AC915" s="254">
        <f t="shared" si="143"/>
        <v>0.65459999999999996</v>
      </c>
      <c r="AD915" s="254">
        <f t="shared" si="143"/>
        <v>0.65459999999999996</v>
      </c>
      <c r="AE915" s="76"/>
      <c r="AF915" s="76"/>
      <c r="AG915" s="76"/>
      <c r="AH915" s="97">
        <v>1</v>
      </c>
      <c r="AI915" s="97">
        <v>1</v>
      </c>
      <c r="AJ915" s="73"/>
      <c r="AK915" s="57"/>
      <c r="AL915" s="45"/>
      <c r="AM915" s="45"/>
      <c r="AN915" s="45"/>
    </row>
    <row r="916" spans="1:40" hidden="1" outlineLevel="2" x14ac:dyDescent="0.25">
      <c r="A916" s="45"/>
      <c r="B916" s="54"/>
      <c r="C916" s="47">
        <f t="shared" si="134"/>
        <v>3</v>
      </c>
      <c r="D916" s="73"/>
      <c r="E916" s="70"/>
      <c r="F916" s="70" t="s">
        <v>2525</v>
      </c>
      <c r="G916" s="73"/>
      <c r="H916" s="76" t="s">
        <v>2533</v>
      </c>
      <c r="I916" s="96" t="s">
        <v>500</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3" t="s">
        <v>2541</v>
      </c>
      <c r="AG916" s="76"/>
      <c r="AH916" s="76">
        <v>1</v>
      </c>
      <c r="AI916" s="76">
        <v>1</v>
      </c>
      <c r="AJ916" s="73"/>
      <c r="AK916" s="57"/>
      <c r="AL916" s="45"/>
      <c r="AM916" s="45"/>
      <c r="AN916" s="45"/>
    </row>
    <row r="917" spans="1:40" hidden="1" outlineLevel="2" x14ac:dyDescent="0.25">
      <c r="A917" s="45"/>
      <c r="B917" s="54"/>
      <c r="C917" s="47">
        <f t="shared" si="134"/>
        <v>3</v>
      </c>
      <c r="D917" s="73"/>
      <c r="E917" s="70"/>
      <c r="F917" s="70" t="s">
        <v>2526</v>
      </c>
      <c r="G917" s="73"/>
      <c r="H917" s="76" t="s">
        <v>1498</v>
      </c>
      <c r="I917" s="96" t="s">
        <v>500</v>
      </c>
      <c r="J917" s="96"/>
      <c r="K917" s="76"/>
      <c r="L917" s="76"/>
      <c r="M917" s="76"/>
      <c r="N917" s="76"/>
      <c r="O917" s="76"/>
      <c r="P917" s="76"/>
      <c r="Q917" s="76"/>
      <c r="R917" s="76"/>
      <c r="S917" s="76"/>
      <c r="T917" s="76"/>
      <c r="U917" s="97">
        <v>2.2589999999999999</v>
      </c>
      <c r="V917" s="254">
        <f t="shared" ref="V917:V923" si="144">U917</f>
        <v>2.2589999999999999</v>
      </c>
      <c r="W917" s="254">
        <f t="shared" ref="W917:X919" si="145">U917</f>
        <v>2.2589999999999999</v>
      </c>
      <c r="X917" s="254">
        <f t="shared" si="145"/>
        <v>2.2589999999999999</v>
      </c>
      <c r="Y917" s="254">
        <v>2.2589999999999999</v>
      </c>
      <c r="Z917" s="254">
        <v>2.2589999999999999</v>
      </c>
      <c r="AA917" s="254">
        <v>2.2589999999999999</v>
      </c>
      <c r="AB917" s="254">
        <v>1.962</v>
      </c>
      <c r="AC917" s="254">
        <f t="shared" ref="AC917:AD923" si="146">AB917</f>
        <v>1.962</v>
      </c>
      <c r="AD917" s="254">
        <f t="shared" si="146"/>
        <v>1.962</v>
      </c>
      <c r="AE917" s="76"/>
      <c r="AF917" s="97" t="s">
        <v>2537</v>
      </c>
      <c r="AG917" s="76"/>
      <c r="AH917" s="97">
        <v>1</v>
      </c>
      <c r="AI917" s="97">
        <v>1</v>
      </c>
      <c r="AJ917" s="73"/>
      <c r="AK917" s="57"/>
      <c r="AL917" s="45"/>
      <c r="AM917" s="45"/>
      <c r="AN917" s="45"/>
    </row>
    <row r="918" spans="1:40" hidden="1" outlineLevel="2" x14ac:dyDescent="0.25">
      <c r="A918" s="45"/>
      <c r="B918" s="54"/>
      <c r="C918" s="47">
        <f t="shared" si="134"/>
        <v>3</v>
      </c>
      <c r="D918" s="73"/>
      <c r="E918" s="70"/>
      <c r="F918" s="70" t="s">
        <v>2527</v>
      </c>
      <c r="G918" s="73"/>
      <c r="H918" s="76" t="s">
        <v>1502</v>
      </c>
      <c r="I918" s="96" t="s">
        <v>500</v>
      </c>
      <c r="J918" s="96"/>
      <c r="K918" s="76"/>
      <c r="L918" s="76"/>
      <c r="M918" s="76"/>
      <c r="N918" s="76"/>
      <c r="O918" s="76"/>
      <c r="P918" s="76"/>
      <c r="Q918" s="76"/>
      <c r="R918" s="76"/>
      <c r="S918" s="76"/>
      <c r="T918" s="76"/>
      <c r="U918" s="97">
        <v>6</v>
      </c>
      <c r="V918" s="254">
        <f t="shared" si="144"/>
        <v>6</v>
      </c>
      <c r="W918" s="254">
        <f t="shared" si="145"/>
        <v>6</v>
      </c>
      <c r="X918" s="254">
        <f t="shared" si="145"/>
        <v>6</v>
      </c>
      <c r="Y918" s="254">
        <v>6</v>
      </c>
      <c r="Z918" s="254">
        <v>6</v>
      </c>
      <c r="AA918" s="254">
        <v>6</v>
      </c>
      <c r="AB918" s="254">
        <v>5.6980000000000004</v>
      </c>
      <c r="AC918" s="254">
        <f t="shared" si="146"/>
        <v>5.6980000000000004</v>
      </c>
      <c r="AD918" s="254">
        <f t="shared" si="146"/>
        <v>5.6980000000000004</v>
      </c>
      <c r="AE918" s="76"/>
      <c r="AF918" s="76"/>
      <c r="AG918" s="76"/>
      <c r="AH918" s="97">
        <v>1</v>
      </c>
      <c r="AI918" s="97">
        <v>1</v>
      </c>
      <c r="AJ918" s="73"/>
      <c r="AK918" s="57"/>
      <c r="AL918" s="45"/>
      <c r="AM918" s="45"/>
      <c r="AN918" s="45"/>
    </row>
    <row r="919" spans="1:40" hidden="1" outlineLevel="2" x14ac:dyDescent="0.25">
      <c r="A919" s="45"/>
      <c r="B919" s="54"/>
      <c r="C919" s="47">
        <f t="shared" si="134"/>
        <v>3</v>
      </c>
      <c r="D919" s="73"/>
      <c r="E919" s="70"/>
      <c r="F919" s="70" t="s">
        <v>2528</v>
      </c>
      <c r="G919" s="73"/>
      <c r="H919" s="76" t="s">
        <v>1504</v>
      </c>
      <c r="I919" s="96" t="s">
        <v>500</v>
      </c>
      <c r="J919" s="96"/>
      <c r="K919" s="76"/>
      <c r="L919" s="76"/>
      <c r="M919" s="76"/>
      <c r="N919" s="76"/>
      <c r="O919" s="76"/>
      <c r="P919" s="76"/>
      <c r="Q919" s="76"/>
      <c r="R919" s="76"/>
      <c r="S919" s="76"/>
      <c r="T919" s="76"/>
      <c r="U919" s="76">
        <v>100</v>
      </c>
      <c r="V919" s="76">
        <f t="shared" si="144"/>
        <v>100</v>
      </c>
      <c r="W919" s="76">
        <f t="shared" si="145"/>
        <v>100</v>
      </c>
      <c r="X919" s="76">
        <f t="shared" si="145"/>
        <v>100</v>
      </c>
      <c r="Y919" s="76">
        <v>100</v>
      </c>
      <c r="Z919" s="76">
        <v>100</v>
      </c>
      <c r="AA919" s="76">
        <v>100</v>
      </c>
      <c r="AB919" s="76">
        <v>100</v>
      </c>
      <c r="AC919" s="76">
        <f t="shared" si="146"/>
        <v>100</v>
      </c>
      <c r="AD919" s="76">
        <f t="shared" si="146"/>
        <v>100</v>
      </c>
      <c r="AE919" s="76"/>
      <c r="AF919" s="263" t="s">
        <v>2540</v>
      </c>
      <c r="AG919" s="76"/>
      <c r="AH919" s="76">
        <v>1</v>
      </c>
      <c r="AI919" s="76">
        <v>1</v>
      </c>
      <c r="AJ919" s="73"/>
      <c r="AK919" s="57"/>
      <c r="AL919" s="45"/>
      <c r="AM919" s="45"/>
      <c r="AN919" s="45"/>
    </row>
    <row r="920" spans="1:40" hidden="1" outlineLevel="2" x14ac:dyDescent="0.25">
      <c r="A920" s="45"/>
      <c r="B920" s="54"/>
      <c r="C920" s="47">
        <f t="shared" si="134"/>
        <v>3</v>
      </c>
      <c r="D920" s="73"/>
      <c r="E920" s="70"/>
      <c r="F920" s="70" t="s">
        <v>2529</v>
      </c>
      <c r="G920" s="73"/>
      <c r="H920" s="76" t="s">
        <v>2594</v>
      </c>
      <c r="I920" s="96" t="s">
        <v>500</v>
      </c>
      <c r="J920" s="96"/>
      <c r="K920" s="76"/>
      <c r="L920" s="76"/>
      <c r="M920" s="76"/>
      <c r="N920" s="76"/>
      <c r="O920" s="76"/>
      <c r="P920" s="76"/>
      <c r="Q920" s="76"/>
      <c r="R920" s="76"/>
      <c r="S920" s="76"/>
      <c r="T920" s="76" t="s">
        <v>3324</v>
      </c>
      <c r="U920" s="97">
        <v>1.302</v>
      </c>
      <c r="V920" s="254">
        <f t="shared" si="144"/>
        <v>1.302</v>
      </c>
      <c r="W920" s="97">
        <v>1.92465251033565</v>
      </c>
      <c r="X920" s="97">
        <v>1.95213022033995</v>
      </c>
      <c r="Y920" s="97">
        <v>1.302</v>
      </c>
      <c r="Z920" s="97">
        <v>1.93450819141635</v>
      </c>
      <c r="AA920" s="97">
        <v>1.80097</v>
      </c>
      <c r="AB920" s="254">
        <v>0.64400000000000002</v>
      </c>
      <c r="AC920" s="254">
        <f t="shared" si="146"/>
        <v>0.64400000000000002</v>
      </c>
      <c r="AD920" s="254">
        <f t="shared" si="146"/>
        <v>0.64400000000000002</v>
      </c>
      <c r="AE920" s="76"/>
      <c r="AF920" s="97" t="s">
        <v>2754</v>
      </c>
      <c r="AG920" s="76"/>
      <c r="AH920" s="76">
        <v>1</v>
      </c>
      <c r="AI920" s="76">
        <v>1</v>
      </c>
      <c r="AJ920" s="73"/>
      <c r="AK920" s="57"/>
      <c r="AL920" s="45"/>
      <c r="AM920" s="45"/>
      <c r="AN920" s="45"/>
    </row>
    <row r="921" spans="1:40" hidden="1" outlineLevel="2" x14ac:dyDescent="0.25">
      <c r="A921" s="45"/>
      <c r="B921" s="54"/>
      <c r="C921" s="47">
        <f t="shared" si="134"/>
        <v>3</v>
      </c>
      <c r="D921" s="73"/>
      <c r="E921" s="70"/>
      <c r="F921" s="70" t="s">
        <v>2530</v>
      </c>
      <c r="G921" s="73"/>
      <c r="H921" s="76" t="s">
        <v>2534</v>
      </c>
      <c r="I921" s="96" t="s">
        <v>500</v>
      </c>
      <c r="J921" s="96"/>
      <c r="K921" s="76"/>
      <c r="L921" s="76"/>
      <c r="M921" s="76"/>
      <c r="N921" s="76"/>
      <c r="O921" s="76"/>
      <c r="P921" s="76"/>
      <c r="Q921" s="76"/>
      <c r="R921" s="76"/>
      <c r="S921" s="76"/>
      <c r="T921" s="76" t="s">
        <v>3324</v>
      </c>
      <c r="U921" s="97">
        <v>4.9800000000000004</v>
      </c>
      <c r="V921" s="254">
        <f t="shared" si="144"/>
        <v>4.9800000000000004</v>
      </c>
      <c r="W921" s="97">
        <v>5.3670242075168</v>
      </c>
      <c r="X921" s="97">
        <v>5.3821117163386001</v>
      </c>
      <c r="Y921" s="97">
        <v>4.9800000000000004</v>
      </c>
      <c r="Z921" s="97">
        <v>5.37893094000784</v>
      </c>
      <c r="AA921" s="97">
        <v>5.2321099999999996</v>
      </c>
      <c r="AB921" s="254">
        <v>3.1459999999999999</v>
      </c>
      <c r="AC921" s="254">
        <f t="shared" si="146"/>
        <v>3.1459999999999999</v>
      </c>
      <c r="AD921" s="254">
        <f t="shared" si="146"/>
        <v>3.1459999999999999</v>
      </c>
      <c r="AE921" s="76"/>
      <c r="AF921" s="76"/>
      <c r="AG921" s="76"/>
      <c r="AH921" s="97">
        <v>1</v>
      </c>
      <c r="AI921" s="97">
        <v>1</v>
      </c>
      <c r="AJ921" s="73"/>
      <c r="AK921" s="57"/>
      <c r="AL921" s="45"/>
      <c r="AM921" s="45"/>
      <c r="AN921" s="45"/>
    </row>
    <row r="922" spans="1:40" hidden="1" outlineLevel="2" x14ac:dyDescent="0.25">
      <c r="A922" s="45"/>
      <c r="B922" s="54"/>
      <c r="C922" s="47">
        <f t="shared" si="134"/>
        <v>3</v>
      </c>
      <c r="D922" s="73"/>
      <c r="E922" s="70"/>
      <c r="F922" s="70" t="s">
        <v>2531</v>
      </c>
      <c r="G922" s="73"/>
      <c r="H922" s="76" t="s">
        <v>2535</v>
      </c>
      <c r="I922" s="96" t="s">
        <v>500</v>
      </c>
      <c r="J922" s="96"/>
      <c r="K922" s="76"/>
      <c r="L922" s="76"/>
      <c r="M922" s="76"/>
      <c r="N922" s="76"/>
      <c r="O922" s="76"/>
      <c r="P922" s="76"/>
      <c r="Q922" s="76"/>
      <c r="R922" s="76"/>
      <c r="S922" s="76"/>
      <c r="T922" s="76"/>
      <c r="U922" s="97">
        <v>7.9349999999999996</v>
      </c>
      <c r="V922" s="254">
        <f t="shared" si="144"/>
        <v>7.9349999999999996</v>
      </c>
      <c r="W922" s="254">
        <f>U922</f>
        <v>7.9349999999999996</v>
      </c>
      <c r="X922" s="254">
        <f>V922</f>
        <v>7.9349999999999996</v>
      </c>
      <c r="Y922" s="254">
        <v>7.9349999999999996</v>
      </c>
      <c r="Z922" s="254">
        <v>7.9349999999999996</v>
      </c>
      <c r="AA922" s="254">
        <v>7.9349999999999996</v>
      </c>
      <c r="AB922" s="254">
        <v>6.0309999999999997</v>
      </c>
      <c r="AC922" s="254">
        <f t="shared" si="146"/>
        <v>6.0309999999999997</v>
      </c>
      <c r="AD922" s="254">
        <f t="shared" si="146"/>
        <v>6.0309999999999997</v>
      </c>
      <c r="AE922" s="76"/>
      <c r="AF922" s="97" t="s">
        <v>2787</v>
      </c>
      <c r="AG922" s="76"/>
      <c r="AH922" s="97">
        <v>1</v>
      </c>
      <c r="AI922" s="97">
        <v>1</v>
      </c>
      <c r="AJ922" s="73"/>
      <c r="AK922" s="57"/>
      <c r="AL922" s="45"/>
      <c r="AM922" s="45"/>
      <c r="AN922" s="45"/>
    </row>
    <row r="923" spans="1:40" hidden="1" outlineLevel="2" x14ac:dyDescent="0.25">
      <c r="A923" s="45"/>
      <c r="B923" s="54"/>
      <c r="C923" s="47">
        <f t="shared" si="134"/>
        <v>3</v>
      </c>
      <c r="D923" s="73"/>
      <c r="E923" s="70"/>
      <c r="F923" s="70" t="s">
        <v>2532</v>
      </c>
      <c r="G923" s="73"/>
      <c r="H923" s="76" t="s">
        <v>2536</v>
      </c>
      <c r="I923" s="96" t="s">
        <v>500</v>
      </c>
      <c r="J923" s="96"/>
      <c r="K923" s="76"/>
      <c r="L923" s="76"/>
      <c r="M923" s="76"/>
      <c r="N923" s="76"/>
      <c r="O923" s="76"/>
      <c r="P923" s="76"/>
      <c r="Q923" s="76"/>
      <c r="R923" s="76"/>
      <c r="S923" s="76"/>
      <c r="T923" s="76"/>
      <c r="U923" s="76">
        <v>100</v>
      </c>
      <c r="V923" s="76">
        <f t="shared" si="144"/>
        <v>100</v>
      </c>
      <c r="W923" s="76">
        <f>U923</f>
        <v>100</v>
      </c>
      <c r="X923" s="76">
        <f>V923</f>
        <v>100</v>
      </c>
      <c r="Y923" s="76">
        <v>100</v>
      </c>
      <c r="Z923" s="76">
        <v>100</v>
      </c>
      <c r="AA923" s="76">
        <v>100</v>
      </c>
      <c r="AB923" s="76">
        <v>100</v>
      </c>
      <c r="AC923" s="76">
        <f t="shared" si="146"/>
        <v>100</v>
      </c>
      <c r="AD923" s="76">
        <f t="shared" si="146"/>
        <v>100</v>
      </c>
      <c r="AE923" s="76"/>
      <c r="AF923" s="263" t="s">
        <v>2540</v>
      </c>
      <c r="AG923" s="76"/>
      <c r="AH923" s="76">
        <v>1</v>
      </c>
      <c r="AI923" s="76">
        <v>1</v>
      </c>
      <c r="AJ923" s="73"/>
      <c r="AK923" s="57"/>
      <c r="AL923" s="45"/>
      <c r="AM923" s="45"/>
      <c r="AN923" s="45"/>
    </row>
    <row r="924" spans="1:40" outlineLevel="1" collapsed="1" x14ac:dyDescent="0.25">
      <c r="A924" s="45"/>
      <c r="B924" s="54"/>
      <c r="C924" s="47">
        <f>INT($C$29)+1</f>
        <v>2</v>
      </c>
      <c r="D924" s="73"/>
      <c r="E924" s="70"/>
      <c r="F924" s="264" t="s">
        <v>1625</v>
      </c>
      <c r="G924" s="73"/>
      <c r="H924" s="246" t="s">
        <v>1626</v>
      </c>
      <c r="I924" s="129"/>
      <c r="J924" s="129" t="s">
        <v>1043</v>
      </c>
      <c r="K924" s="76"/>
      <c r="L924" s="76"/>
      <c r="M924" s="76"/>
      <c r="N924" s="76"/>
      <c r="O924" s="76"/>
      <c r="P924" s="76"/>
      <c r="Q924" s="76"/>
      <c r="R924" s="76"/>
      <c r="S924" s="76"/>
      <c r="T924" s="76"/>
      <c r="U924" s="79">
        <v>26</v>
      </c>
      <c r="V924" s="79">
        <v>4</v>
      </c>
      <c r="W924" s="79">
        <v>-12</v>
      </c>
      <c r="X924" s="76"/>
      <c r="Y924" s="79">
        <v>-12</v>
      </c>
      <c r="Z924" s="79">
        <v>-12</v>
      </c>
      <c r="AA924" s="79">
        <v>-12</v>
      </c>
      <c r="AB924" s="76"/>
      <c r="AC924" s="76"/>
      <c r="AD924" s="76"/>
      <c r="AE924" s="76"/>
      <c r="AF924" s="76"/>
      <c r="AG924" s="76"/>
      <c r="AH924" s="76"/>
      <c r="AI924" s="76"/>
      <c r="AJ924" s="73"/>
      <c r="AK924" s="57"/>
      <c r="AL924" s="45"/>
      <c r="AM924" s="45"/>
      <c r="AN924" s="45"/>
    </row>
    <row r="925" spans="1:40" hidden="1" outlineLevel="2" x14ac:dyDescent="0.25">
      <c r="A925" s="45"/>
      <c r="B925" s="54"/>
      <c r="C925" s="47">
        <f>INT($C$29)+2</f>
        <v>3</v>
      </c>
      <c r="D925" s="73"/>
      <c r="E925" s="70" t="s">
        <v>788</v>
      </c>
      <c r="F925" s="70" t="s">
        <v>1627</v>
      </c>
      <c r="G925" s="73"/>
      <c r="H925" s="76" t="s">
        <v>1628</v>
      </c>
      <c r="I925" s="96" t="s">
        <v>663</v>
      </c>
      <c r="J925" s="96"/>
      <c r="K925" s="76"/>
      <c r="L925" s="76"/>
      <c r="M925" s="76"/>
      <c r="N925" s="76"/>
      <c r="O925" s="76"/>
      <c r="P925" s="76"/>
      <c r="Q925" s="76"/>
      <c r="R925" s="76" t="s">
        <v>670</v>
      </c>
      <c r="S925" s="76" t="s">
        <v>792</v>
      </c>
      <c r="T925" s="76"/>
      <c r="U925" s="76">
        <v>0</v>
      </c>
      <c r="V925" s="76">
        <v>0</v>
      </c>
      <c r="W925" s="76">
        <v>0</v>
      </c>
      <c r="X925" s="76">
        <v>0</v>
      </c>
      <c r="Y925" s="76">
        <v>0</v>
      </c>
      <c r="Z925" s="76">
        <v>0</v>
      </c>
      <c r="AA925" s="76">
        <v>0</v>
      </c>
      <c r="AB925" s="76">
        <v>0</v>
      </c>
      <c r="AC925" s="76">
        <v>0</v>
      </c>
      <c r="AD925" s="76">
        <v>0</v>
      </c>
      <c r="AE925" s="76"/>
      <c r="AF925" s="263" t="s">
        <v>1629</v>
      </c>
      <c r="AG925" s="76"/>
      <c r="AH925" s="76">
        <v>1</v>
      </c>
      <c r="AI925" s="76">
        <v>1</v>
      </c>
      <c r="AJ925" s="73"/>
      <c r="AK925" s="57"/>
      <c r="AL925" s="45"/>
      <c r="AM925" s="45"/>
      <c r="AN925" s="45"/>
    </row>
    <row r="926" spans="1:40" hidden="1" outlineLevel="2" x14ac:dyDescent="0.25">
      <c r="A926" s="45"/>
      <c r="B926" s="54"/>
      <c r="C926" s="47">
        <f>INT($C$29)+2</f>
        <v>3</v>
      </c>
      <c r="D926" s="73"/>
      <c r="E926" s="70"/>
      <c r="F926" s="70" t="s">
        <v>1630</v>
      </c>
      <c r="G926" s="73"/>
      <c r="H926" s="76" t="s">
        <v>1631</v>
      </c>
      <c r="I926" s="96" t="s">
        <v>663</v>
      </c>
      <c r="J926" s="96"/>
      <c r="K926" s="97">
        <v>0.38900000000000001</v>
      </c>
      <c r="L926" s="97">
        <v>0.48599999999999999</v>
      </c>
      <c r="M926" s="97">
        <v>0.375</v>
      </c>
      <c r="N926" s="97">
        <v>0.375</v>
      </c>
      <c r="O926" s="97">
        <v>0.375</v>
      </c>
      <c r="P926" s="97">
        <v>0.5</v>
      </c>
      <c r="Q926" s="76"/>
      <c r="R926" s="76" t="s">
        <v>670</v>
      </c>
      <c r="S926" s="76" t="s">
        <v>792</v>
      </c>
      <c r="T926" s="76"/>
      <c r="U926" s="252">
        <f t="shared" ref="U926:X928" si="147">INDEX($K926:$Q926,1,U$43)</f>
        <v>0.38900000000000001</v>
      </c>
      <c r="V926" s="252">
        <f t="shared" si="147"/>
        <v>0.38900000000000001</v>
      </c>
      <c r="W926" s="252">
        <f t="shared" si="147"/>
        <v>0.38900000000000001</v>
      </c>
      <c r="X926" s="252">
        <f t="shared" si="147"/>
        <v>0.38900000000000001</v>
      </c>
      <c r="Y926" s="252">
        <v>0.38900000000000001</v>
      </c>
      <c r="Z926" s="252">
        <v>0.38900000000000001</v>
      </c>
      <c r="AA926" s="252">
        <v>0.38900000000000001</v>
      </c>
      <c r="AB926" s="252">
        <v>0.48599999999999999</v>
      </c>
      <c r="AC926" s="252">
        <f t="shared" ref="AC926:AD928" si="148">INDEX($K926:$Q926,1,AC$43)</f>
        <v>0.48599999999999999</v>
      </c>
      <c r="AD926" s="252">
        <f t="shared" si="148"/>
        <v>0.48599999999999999</v>
      </c>
      <c r="AE926" s="76"/>
      <c r="AF926" s="76"/>
      <c r="AG926" s="76"/>
      <c r="AH926" s="97">
        <v>1</v>
      </c>
      <c r="AI926" s="97">
        <v>1</v>
      </c>
      <c r="AJ926" s="73"/>
      <c r="AK926" s="57"/>
      <c r="AL926" s="45"/>
      <c r="AM926" s="45"/>
      <c r="AN926" s="45"/>
    </row>
    <row r="927" spans="1:40" hidden="1" outlineLevel="2" x14ac:dyDescent="0.25">
      <c r="A927" s="45"/>
      <c r="B927" s="54"/>
      <c r="C927" s="47">
        <f>INT($C$29)+2</f>
        <v>3</v>
      </c>
      <c r="D927" s="73"/>
      <c r="E927" s="70"/>
      <c r="F927" s="70" t="s">
        <v>1627</v>
      </c>
      <c r="G927" s="73"/>
      <c r="H927" s="76" t="s">
        <v>1632</v>
      </c>
      <c r="I927" s="96" t="s">
        <v>663</v>
      </c>
      <c r="J927" s="96"/>
      <c r="K927" s="97">
        <v>0.622</v>
      </c>
      <c r="L927" s="97">
        <v>0.77800000000000002</v>
      </c>
      <c r="M927" s="76"/>
      <c r="N927" s="76"/>
      <c r="O927" s="76"/>
      <c r="P927" s="76"/>
      <c r="Q927" s="76"/>
      <c r="R927" s="76" t="s">
        <v>670</v>
      </c>
      <c r="S927" s="76" t="s">
        <v>792</v>
      </c>
      <c r="T927" s="76"/>
      <c r="U927" s="252">
        <f t="shared" si="147"/>
        <v>0.622</v>
      </c>
      <c r="V927" s="252">
        <f t="shared" si="147"/>
        <v>0.622</v>
      </c>
      <c r="W927" s="252">
        <f t="shared" si="147"/>
        <v>0.622</v>
      </c>
      <c r="X927" s="252">
        <f t="shared" si="147"/>
        <v>0.622</v>
      </c>
      <c r="Y927" s="252">
        <v>0.622</v>
      </c>
      <c r="Z927" s="252">
        <v>0.622</v>
      </c>
      <c r="AA927" s="252">
        <v>0.622</v>
      </c>
      <c r="AB927" s="252">
        <v>0.77800000000000002</v>
      </c>
      <c r="AC927" s="252">
        <f t="shared" si="148"/>
        <v>0.77800000000000002</v>
      </c>
      <c r="AD927" s="252">
        <f t="shared" si="148"/>
        <v>0.77800000000000002</v>
      </c>
      <c r="AE927" s="76"/>
      <c r="AF927" s="76"/>
      <c r="AG927" s="76"/>
      <c r="AH927" s="97">
        <v>1</v>
      </c>
      <c r="AI927" s="97">
        <v>1</v>
      </c>
      <c r="AJ927" s="73"/>
      <c r="AK927" s="57"/>
      <c r="AL927" s="45"/>
      <c r="AM927" s="45"/>
      <c r="AN927" s="45"/>
    </row>
    <row r="928" spans="1:40" hidden="1" outlineLevel="2" collapsed="1" x14ac:dyDescent="0.25">
      <c r="A928" s="45"/>
      <c r="B928" s="54"/>
      <c r="C928" s="47">
        <f>INT($C$29)+2</f>
        <v>3</v>
      </c>
      <c r="D928" s="73"/>
      <c r="E928" s="70"/>
      <c r="F928" s="70" t="s">
        <v>1633</v>
      </c>
      <c r="G928" s="73"/>
      <c r="H928" s="76" t="s">
        <v>1634</v>
      </c>
      <c r="I928" s="96" t="s">
        <v>663</v>
      </c>
      <c r="J928" s="96"/>
      <c r="K928" s="97">
        <v>0.746</v>
      </c>
      <c r="L928" s="97">
        <v>0.93400000000000005</v>
      </c>
      <c r="M928" s="76"/>
      <c r="N928" s="76"/>
      <c r="O928" s="76"/>
      <c r="P928" s="76"/>
      <c r="Q928" s="76"/>
      <c r="R928" s="76" t="s">
        <v>670</v>
      </c>
      <c r="S928" s="76" t="s">
        <v>792</v>
      </c>
      <c r="T928" s="76"/>
      <c r="U928" s="252">
        <f t="shared" si="147"/>
        <v>0.746</v>
      </c>
      <c r="V928" s="252">
        <f t="shared" si="147"/>
        <v>0.746</v>
      </c>
      <c r="W928" s="252">
        <f t="shared" si="147"/>
        <v>0.746</v>
      </c>
      <c r="X928" s="252">
        <f t="shared" si="147"/>
        <v>0.746</v>
      </c>
      <c r="Y928" s="252">
        <v>0.746</v>
      </c>
      <c r="Z928" s="252">
        <v>0.746</v>
      </c>
      <c r="AA928" s="252">
        <v>0.746</v>
      </c>
      <c r="AB928" s="252">
        <v>0.93400000000000005</v>
      </c>
      <c r="AC928" s="252">
        <f t="shared" si="148"/>
        <v>0.93400000000000005</v>
      </c>
      <c r="AD928" s="252">
        <f t="shared" si="148"/>
        <v>0.93400000000000005</v>
      </c>
      <c r="AE928" s="76"/>
      <c r="AF928" s="76"/>
      <c r="AG928" s="76"/>
      <c r="AH928" s="97">
        <v>1</v>
      </c>
      <c r="AI928" s="97">
        <v>1</v>
      </c>
      <c r="AJ928" s="73"/>
      <c r="AK928" s="57"/>
      <c r="AL928" s="45"/>
      <c r="AM928" s="45"/>
      <c r="AN928" s="45"/>
    </row>
    <row r="929" spans="1:40" hidden="1" outlineLevel="3" x14ac:dyDescent="0.25">
      <c r="A929" s="45"/>
      <c r="B929" s="54"/>
      <c r="C929" s="47">
        <f t="shared" ref="C929:C960" si="149">INT($C$29)+3</f>
        <v>4</v>
      </c>
      <c r="D929" s="73"/>
      <c r="E929" s="70"/>
      <c r="F929" s="70" t="s">
        <v>1635</v>
      </c>
      <c r="G929" s="73"/>
      <c r="H929" s="76" t="s">
        <v>1487</v>
      </c>
      <c r="I929" s="96" t="s">
        <v>500</v>
      </c>
      <c r="J929" s="96"/>
      <c r="K929" s="76"/>
      <c r="L929" s="76"/>
      <c r="M929" s="76"/>
      <c r="N929" s="76"/>
      <c r="O929" s="76"/>
      <c r="P929" s="76"/>
      <c r="Q929" s="76"/>
      <c r="R929" s="76"/>
      <c r="S929" s="76"/>
      <c r="T929" s="76"/>
      <c r="U929" s="76"/>
      <c r="V929" s="76"/>
      <c r="W929" s="76"/>
      <c r="X929" s="76"/>
      <c r="Y929" s="76"/>
      <c r="Z929" s="76"/>
      <c r="AA929" s="76"/>
      <c r="AB929" s="76"/>
      <c r="AC929" s="76"/>
      <c r="AD929" s="76"/>
      <c r="AE929" s="76"/>
      <c r="AF929" s="76"/>
      <c r="AG929" s="76"/>
      <c r="AH929" s="76">
        <v>1</v>
      </c>
      <c r="AI929" s="76">
        <v>1</v>
      </c>
      <c r="AJ929" s="73"/>
      <c r="AK929" s="57"/>
      <c r="AL929" s="45"/>
      <c r="AM929" s="45"/>
      <c r="AN929" s="45"/>
    </row>
    <row r="930" spans="1:40" hidden="1" outlineLevel="3" x14ac:dyDescent="0.25">
      <c r="A930" s="45"/>
      <c r="B930" s="54"/>
      <c r="C930" s="47">
        <f t="shared" si="149"/>
        <v>4</v>
      </c>
      <c r="D930" s="73"/>
      <c r="E930" s="70"/>
      <c r="F930" s="70" t="s">
        <v>1636</v>
      </c>
      <c r="G930" s="73"/>
      <c r="H930" s="76" t="s">
        <v>1489</v>
      </c>
      <c r="I930" s="96" t="s">
        <v>500</v>
      </c>
      <c r="J930" s="96"/>
      <c r="K930" s="76"/>
      <c r="L930" s="76"/>
      <c r="M930" s="76"/>
      <c r="N930" s="76"/>
      <c r="O930" s="76"/>
      <c r="P930" s="76"/>
      <c r="Q930" s="76"/>
      <c r="R930" s="76"/>
      <c r="S930" s="76"/>
      <c r="T930" s="76"/>
      <c r="U930" s="76"/>
      <c r="V930" s="76"/>
      <c r="W930" s="76"/>
      <c r="X930" s="76"/>
      <c r="Y930" s="76"/>
      <c r="Z930" s="76"/>
      <c r="AA930" s="76"/>
      <c r="AB930" s="76"/>
      <c r="AC930" s="76"/>
      <c r="AD930" s="76"/>
      <c r="AE930" s="76"/>
      <c r="AF930" s="76"/>
      <c r="AG930" s="76"/>
      <c r="AH930" s="76">
        <v>1</v>
      </c>
      <c r="AI930" s="76">
        <v>1</v>
      </c>
      <c r="AJ930" s="73"/>
      <c r="AK930" s="57"/>
      <c r="AL930" s="45"/>
      <c r="AM930" s="45"/>
      <c r="AN930" s="45"/>
    </row>
    <row r="931" spans="1:40" hidden="1" outlineLevel="3" x14ac:dyDescent="0.25">
      <c r="A931" s="45"/>
      <c r="B931" s="54"/>
      <c r="C931" s="47">
        <f t="shared" si="149"/>
        <v>4</v>
      </c>
      <c r="D931" s="73"/>
      <c r="E931" s="70"/>
      <c r="F931" s="70" t="s">
        <v>1637</v>
      </c>
      <c r="G931" s="73"/>
      <c r="H931" s="76" t="s">
        <v>1491</v>
      </c>
      <c r="I931" s="96" t="s">
        <v>500</v>
      </c>
      <c r="J931" s="96"/>
      <c r="K931" s="76"/>
      <c r="L931" s="76"/>
      <c r="M931" s="76"/>
      <c r="N931" s="76"/>
      <c r="O931" s="76"/>
      <c r="P931" s="76"/>
      <c r="Q931" s="76"/>
      <c r="R931" s="76"/>
      <c r="S931" s="76"/>
      <c r="T931" s="76"/>
      <c r="U931" s="76"/>
      <c r="V931" s="76"/>
      <c r="W931" s="76"/>
      <c r="X931" s="76"/>
      <c r="Y931" s="76"/>
      <c r="Z931" s="76"/>
      <c r="AA931" s="76"/>
      <c r="AB931" s="76"/>
      <c r="AC931" s="76"/>
      <c r="AD931" s="76"/>
      <c r="AE931" s="76"/>
      <c r="AF931" s="76"/>
      <c r="AG931" s="76"/>
      <c r="AH931" s="76">
        <v>1</v>
      </c>
      <c r="AI931" s="76">
        <v>1</v>
      </c>
      <c r="AJ931" s="73"/>
      <c r="AK931" s="57"/>
      <c r="AL931" s="45"/>
      <c r="AM931" s="45"/>
      <c r="AN931" s="45"/>
    </row>
    <row r="932" spans="1:40" hidden="1" outlineLevel="3" x14ac:dyDescent="0.25">
      <c r="A932" s="45"/>
      <c r="B932" s="54"/>
      <c r="C932" s="47">
        <f t="shared" si="149"/>
        <v>4</v>
      </c>
      <c r="D932" s="73"/>
      <c r="E932" s="70"/>
      <c r="F932" s="70" t="s">
        <v>1638</v>
      </c>
      <c r="G932" s="73"/>
      <c r="H932" s="76" t="s">
        <v>1493</v>
      </c>
      <c r="I932" s="96" t="s">
        <v>500</v>
      </c>
      <c r="J932" s="96"/>
      <c r="K932" s="76"/>
      <c r="L932" s="76"/>
      <c r="M932" s="76"/>
      <c r="N932" s="76"/>
      <c r="O932" s="76"/>
      <c r="P932" s="76"/>
      <c r="Q932" s="76"/>
      <c r="R932" s="76"/>
      <c r="S932" s="76"/>
      <c r="T932" s="76"/>
      <c r="U932" s="76"/>
      <c r="V932" s="76"/>
      <c r="W932" s="76"/>
      <c r="X932" s="76"/>
      <c r="Y932" s="76"/>
      <c r="Z932" s="76"/>
      <c r="AA932" s="76"/>
      <c r="AB932" s="76"/>
      <c r="AC932" s="76"/>
      <c r="AD932" s="76"/>
      <c r="AE932" s="76"/>
      <c r="AF932" s="76"/>
      <c r="AG932" s="76"/>
      <c r="AH932" s="76">
        <v>1</v>
      </c>
      <c r="AI932" s="76">
        <v>1</v>
      </c>
      <c r="AJ932" s="73"/>
      <c r="AK932" s="57"/>
      <c r="AL932" s="45"/>
      <c r="AM932" s="45"/>
      <c r="AN932" s="45"/>
    </row>
    <row r="933" spans="1:40" hidden="1" outlineLevel="3" x14ac:dyDescent="0.25">
      <c r="A933" s="45"/>
      <c r="B933" s="54"/>
      <c r="C933" s="47">
        <f t="shared" si="149"/>
        <v>4</v>
      </c>
      <c r="D933" s="73"/>
      <c r="E933" s="70"/>
      <c r="F933" s="70" t="s">
        <v>1639</v>
      </c>
      <c r="G933" s="73"/>
      <c r="H933" s="76" t="s">
        <v>1487</v>
      </c>
      <c r="I933" s="96" t="s">
        <v>500</v>
      </c>
      <c r="J933" s="96"/>
      <c r="K933" s="76"/>
      <c r="L933" s="76"/>
      <c r="M933" s="76"/>
      <c r="N933" s="76"/>
      <c r="O933" s="76"/>
      <c r="P933" s="76"/>
      <c r="Q933" s="76"/>
      <c r="R933" s="76"/>
      <c r="S933" s="76"/>
      <c r="T933" s="76"/>
      <c r="U933" s="76"/>
      <c r="V933" s="76"/>
      <c r="W933" s="76"/>
      <c r="X933" s="76"/>
      <c r="Y933" s="76"/>
      <c r="Z933" s="76"/>
      <c r="AA933" s="76"/>
      <c r="AB933" s="76"/>
      <c r="AC933" s="76"/>
      <c r="AD933" s="76"/>
      <c r="AE933" s="76"/>
      <c r="AF933" s="76"/>
      <c r="AG933" s="76"/>
      <c r="AH933" s="76">
        <v>1</v>
      </c>
      <c r="AI933" s="76">
        <v>1</v>
      </c>
      <c r="AJ933" s="73"/>
      <c r="AK933" s="57"/>
      <c r="AL933" s="45"/>
      <c r="AM933" s="45"/>
      <c r="AN933" s="45"/>
    </row>
    <row r="934" spans="1:40" hidden="1" outlineLevel="3" x14ac:dyDescent="0.25">
      <c r="A934" s="45"/>
      <c r="B934" s="54"/>
      <c r="C934" s="47">
        <f t="shared" si="149"/>
        <v>4</v>
      </c>
      <c r="D934" s="73"/>
      <c r="E934" s="70"/>
      <c r="F934" s="70" t="s">
        <v>1640</v>
      </c>
      <c r="G934" s="73"/>
      <c r="H934" s="76" t="s">
        <v>1489</v>
      </c>
      <c r="I934" s="96" t="s">
        <v>500</v>
      </c>
      <c r="J934" s="96"/>
      <c r="K934" s="76"/>
      <c r="L934" s="76"/>
      <c r="M934" s="76"/>
      <c r="N934" s="76"/>
      <c r="O934" s="76"/>
      <c r="P934" s="76"/>
      <c r="Q934" s="76"/>
      <c r="R934" s="76"/>
      <c r="S934" s="76"/>
      <c r="T934" s="76"/>
      <c r="U934" s="76"/>
      <c r="V934" s="76"/>
      <c r="W934" s="76"/>
      <c r="X934" s="76"/>
      <c r="Y934" s="76"/>
      <c r="Z934" s="76"/>
      <c r="AA934" s="76"/>
      <c r="AB934" s="76"/>
      <c r="AC934" s="76"/>
      <c r="AD934" s="76"/>
      <c r="AE934" s="76"/>
      <c r="AF934" s="76"/>
      <c r="AG934" s="76"/>
      <c r="AH934" s="76">
        <v>1</v>
      </c>
      <c r="AI934" s="76">
        <v>1</v>
      </c>
      <c r="AJ934" s="73"/>
      <c r="AK934" s="57"/>
      <c r="AL934" s="45"/>
      <c r="AM934" s="45"/>
      <c r="AN934" s="45"/>
    </row>
    <row r="935" spans="1:40" hidden="1" outlineLevel="3" x14ac:dyDescent="0.25">
      <c r="A935" s="45"/>
      <c r="B935" s="54"/>
      <c r="C935" s="47">
        <f t="shared" si="149"/>
        <v>4</v>
      </c>
      <c r="D935" s="73"/>
      <c r="E935" s="70"/>
      <c r="F935" s="70" t="s">
        <v>1641</v>
      </c>
      <c r="G935" s="73"/>
      <c r="H935" s="76" t="s">
        <v>1491</v>
      </c>
      <c r="I935" s="96" t="s">
        <v>500</v>
      </c>
      <c r="J935" s="96"/>
      <c r="K935" s="76"/>
      <c r="L935" s="76"/>
      <c r="M935" s="76"/>
      <c r="N935" s="76"/>
      <c r="O935" s="76"/>
      <c r="P935" s="76"/>
      <c r="Q935" s="76"/>
      <c r="R935" s="76"/>
      <c r="S935" s="76"/>
      <c r="T935" s="76"/>
      <c r="U935" s="76"/>
      <c r="V935" s="76"/>
      <c r="W935" s="76"/>
      <c r="X935" s="76"/>
      <c r="Y935" s="76"/>
      <c r="Z935" s="76"/>
      <c r="AA935" s="76"/>
      <c r="AB935" s="76"/>
      <c r="AC935" s="76"/>
      <c r="AD935" s="76"/>
      <c r="AE935" s="76"/>
      <c r="AF935" s="76"/>
      <c r="AG935" s="76"/>
      <c r="AH935" s="76">
        <v>1</v>
      </c>
      <c r="AI935" s="76">
        <v>1</v>
      </c>
      <c r="AJ935" s="73"/>
      <c r="AK935" s="57"/>
      <c r="AL935" s="45"/>
      <c r="AM935" s="45"/>
      <c r="AN935" s="45"/>
    </row>
    <row r="936" spans="1:40" hidden="1" outlineLevel="3" x14ac:dyDescent="0.25">
      <c r="A936" s="45"/>
      <c r="B936" s="54"/>
      <c r="C936" s="47">
        <f t="shared" si="149"/>
        <v>4</v>
      </c>
      <c r="D936" s="73"/>
      <c r="E936" s="70"/>
      <c r="F936" s="70" t="s">
        <v>1642</v>
      </c>
      <c r="G936" s="73"/>
      <c r="H936" s="76" t="s">
        <v>1493</v>
      </c>
      <c r="I936" s="96" t="s">
        <v>500</v>
      </c>
      <c r="J936" s="96"/>
      <c r="K936" s="76"/>
      <c r="L936" s="76"/>
      <c r="M936" s="76"/>
      <c r="N936" s="76"/>
      <c r="O936" s="76"/>
      <c r="P936" s="76"/>
      <c r="Q936" s="76"/>
      <c r="R936" s="76"/>
      <c r="S936" s="76"/>
      <c r="T936" s="76"/>
      <c r="U936" s="76"/>
      <c r="V936" s="76"/>
      <c r="W936" s="76"/>
      <c r="X936" s="76"/>
      <c r="Y936" s="76"/>
      <c r="Z936" s="76"/>
      <c r="AA936" s="76"/>
      <c r="AB936" s="76"/>
      <c r="AC936" s="76"/>
      <c r="AD936" s="76"/>
      <c r="AE936" s="76"/>
      <c r="AF936" s="76"/>
      <c r="AG936" s="76"/>
      <c r="AH936" s="76">
        <v>1</v>
      </c>
      <c r="AI936" s="76">
        <v>1</v>
      </c>
      <c r="AJ936" s="73"/>
      <c r="AK936" s="57"/>
      <c r="AL936" s="45"/>
      <c r="AM936" s="45"/>
      <c r="AN936" s="45"/>
    </row>
    <row r="937" spans="1:40" hidden="1" outlineLevel="3" x14ac:dyDescent="0.25">
      <c r="A937" s="45"/>
      <c r="B937" s="54"/>
      <c r="C937" s="47">
        <f t="shared" si="149"/>
        <v>4</v>
      </c>
      <c r="D937" s="73"/>
      <c r="E937" s="70"/>
      <c r="F937" s="70" t="s">
        <v>1643</v>
      </c>
      <c r="G937" s="73"/>
      <c r="H937" s="76" t="s">
        <v>1487</v>
      </c>
      <c r="I937" s="96" t="s">
        <v>500</v>
      </c>
      <c r="J937" s="96"/>
      <c r="K937" s="76"/>
      <c r="L937" s="76"/>
      <c r="M937" s="76"/>
      <c r="N937" s="76"/>
      <c r="O937" s="76"/>
      <c r="P937" s="76"/>
      <c r="Q937" s="76"/>
      <c r="R937" s="76"/>
      <c r="S937" s="76"/>
      <c r="T937" s="76"/>
      <c r="U937" s="76"/>
      <c r="V937" s="76"/>
      <c r="W937" s="76"/>
      <c r="X937" s="76"/>
      <c r="Y937" s="76"/>
      <c r="Z937" s="76"/>
      <c r="AA937" s="76"/>
      <c r="AB937" s="76"/>
      <c r="AC937" s="76"/>
      <c r="AD937" s="76"/>
      <c r="AE937" s="76"/>
      <c r="AF937" s="76"/>
      <c r="AG937" s="76"/>
      <c r="AH937" s="76">
        <v>1</v>
      </c>
      <c r="AI937" s="76">
        <v>1</v>
      </c>
      <c r="AJ937" s="73"/>
      <c r="AK937" s="57"/>
      <c r="AL937" s="45"/>
      <c r="AM937" s="45"/>
      <c r="AN937" s="45"/>
    </row>
    <row r="938" spans="1:40" hidden="1" outlineLevel="3" x14ac:dyDescent="0.25">
      <c r="A938" s="45"/>
      <c r="B938" s="54"/>
      <c r="C938" s="47">
        <f t="shared" si="149"/>
        <v>4</v>
      </c>
      <c r="D938" s="73"/>
      <c r="E938" s="70"/>
      <c r="F938" s="70" t="s">
        <v>1644</v>
      </c>
      <c r="G938" s="73"/>
      <c r="H938" s="76" t="s">
        <v>1489</v>
      </c>
      <c r="I938" s="96" t="s">
        <v>500</v>
      </c>
      <c r="J938" s="96"/>
      <c r="K938" s="76"/>
      <c r="L938" s="76"/>
      <c r="M938" s="76"/>
      <c r="N938" s="76"/>
      <c r="O938" s="76"/>
      <c r="P938" s="76"/>
      <c r="Q938" s="76"/>
      <c r="R938" s="76"/>
      <c r="S938" s="76"/>
      <c r="T938" s="76"/>
      <c r="U938" s="76"/>
      <c r="V938" s="76"/>
      <c r="W938" s="76"/>
      <c r="X938" s="76"/>
      <c r="Y938" s="76"/>
      <c r="Z938" s="76"/>
      <c r="AA938" s="76"/>
      <c r="AB938" s="76"/>
      <c r="AC938" s="76"/>
      <c r="AD938" s="76"/>
      <c r="AE938" s="76"/>
      <c r="AF938" s="76"/>
      <c r="AG938" s="76"/>
      <c r="AH938" s="76">
        <v>1</v>
      </c>
      <c r="AI938" s="76">
        <v>1</v>
      </c>
      <c r="AJ938" s="73"/>
      <c r="AK938" s="57"/>
      <c r="AL938" s="45"/>
      <c r="AM938" s="45"/>
      <c r="AN938" s="45"/>
    </row>
    <row r="939" spans="1:40" hidden="1" outlineLevel="3" x14ac:dyDescent="0.25">
      <c r="A939" s="45"/>
      <c r="B939" s="54"/>
      <c r="C939" s="47">
        <f t="shared" si="149"/>
        <v>4</v>
      </c>
      <c r="D939" s="73"/>
      <c r="E939" s="70"/>
      <c r="F939" s="70" t="s">
        <v>1645</v>
      </c>
      <c r="G939" s="73"/>
      <c r="H939" s="76" t="s">
        <v>1491</v>
      </c>
      <c r="I939" s="96" t="s">
        <v>500</v>
      </c>
      <c r="J939" s="96"/>
      <c r="K939" s="76"/>
      <c r="L939" s="76"/>
      <c r="M939" s="76"/>
      <c r="N939" s="76"/>
      <c r="O939" s="76"/>
      <c r="P939" s="76"/>
      <c r="Q939" s="76"/>
      <c r="R939" s="76"/>
      <c r="S939" s="76"/>
      <c r="T939" s="76"/>
      <c r="U939" s="76"/>
      <c r="V939" s="76"/>
      <c r="W939" s="76"/>
      <c r="X939" s="76"/>
      <c r="Y939" s="76"/>
      <c r="Z939" s="76"/>
      <c r="AA939" s="76"/>
      <c r="AB939" s="76"/>
      <c r="AC939" s="76"/>
      <c r="AD939" s="76"/>
      <c r="AE939" s="76"/>
      <c r="AF939" s="76"/>
      <c r="AG939" s="76"/>
      <c r="AH939" s="76">
        <v>1</v>
      </c>
      <c r="AI939" s="76">
        <v>1</v>
      </c>
      <c r="AJ939" s="73"/>
      <c r="AK939" s="57"/>
      <c r="AL939" s="45"/>
      <c r="AM939" s="45"/>
      <c r="AN939" s="45"/>
    </row>
    <row r="940" spans="1:40" hidden="1" outlineLevel="3" x14ac:dyDescent="0.25">
      <c r="A940" s="45"/>
      <c r="B940" s="54"/>
      <c r="C940" s="47">
        <f t="shared" si="149"/>
        <v>4</v>
      </c>
      <c r="D940" s="73"/>
      <c r="E940" s="70"/>
      <c r="F940" s="70" t="s">
        <v>1646</v>
      </c>
      <c r="G940" s="73"/>
      <c r="H940" s="76" t="s">
        <v>1493</v>
      </c>
      <c r="I940" s="96" t="s">
        <v>500</v>
      </c>
      <c r="J940" s="96"/>
      <c r="K940" s="76"/>
      <c r="L940" s="76"/>
      <c r="M940" s="76"/>
      <c r="N940" s="76"/>
      <c r="O940" s="76"/>
      <c r="P940" s="76"/>
      <c r="Q940" s="76"/>
      <c r="R940" s="76"/>
      <c r="S940" s="76"/>
      <c r="T940" s="76"/>
      <c r="U940" s="76"/>
      <c r="V940" s="76"/>
      <c r="W940" s="76"/>
      <c r="X940" s="76"/>
      <c r="Y940" s="76"/>
      <c r="Z940" s="76"/>
      <c r="AA940" s="76"/>
      <c r="AB940" s="76"/>
      <c r="AC940" s="76"/>
      <c r="AD940" s="76"/>
      <c r="AE940" s="76"/>
      <c r="AF940" s="76"/>
      <c r="AG940" s="76"/>
      <c r="AH940" s="76">
        <v>1</v>
      </c>
      <c r="AI940" s="76">
        <v>1</v>
      </c>
      <c r="AJ940" s="73"/>
      <c r="AK940" s="57"/>
      <c r="AL940" s="45"/>
      <c r="AM940" s="45"/>
      <c r="AN940" s="45"/>
    </row>
    <row r="941" spans="1:40" hidden="1" outlineLevel="3" x14ac:dyDescent="0.25">
      <c r="A941" s="45"/>
      <c r="B941" s="54"/>
      <c r="C941" s="47">
        <f t="shared" si="149"/>
        <v>4</v>
      </c>
      <c r="D941" s="73"/>
      <c r="E941" s="70"/>
      <c r="F941" s="70" t="s">
        <v>1647</v>
      </c>
      <c r="G941" s="73"/>
      <c r="H941" s="76" t="s">
        <v>1487</v>
      </c>
      <c r="I941" s="96" t="s">
        <v>500</v>
      </c>
      <c r="J941" s="96"/>
      <c r="K941" s="76"/>
      <c r="L941" s="76"/>
      <c r="M941" s="76"/>
      <c r="N941" s="76"/>
      <c r="O941" s="76"/>
      <c r="P941" s="76"/>
      <c r="Q941" s="76"/>
      <c r="R941" s="76"/>
      <c r="S941" s="76"/>
      <c r="T941" s="76"/>
      <c r="U941" s="76"/>
      <c r="V941" s="76"/>
      <c r="W941" s="76"/>
      <c r="X941" s="76"/>
      <c r="Y941" s="76"/>
      <c r="Z941" s="76"/>
      <c r="AA941" s="76"/>
      <c r="AB941" s="76"/>
      <c r="AC941" s="76"/>
      <c r="AD941" s="76"/>
      <c r="AE941" s="76"/>
      <c r="AF941" s="76"/>
      <c r="AG941" s="76"/>
      <c r="AH941" s="76">
        <v>1</v>
      </c>
      <c r="AI941" s="76">
        <v>1</v>
      </c>
      <c r="AJ941" s="73"/>
      <c r="AK941" s="57"/>
      <c r="AL941" s="45"/>
      <c r="AM941" s="45"/>
      <c r="AN941" s="45"/>
    </row>
    <row r="942" spans="1:40" hidden="1" outlineLevel="3" x14ac:dyDescent="0.25">
      <c r="A942" s="45"/>
      <c r="B942" s="54"/>
      <c r="C942" s="47">
        <f t="shared" si="149"/>
        <v>4</v>
      </c>
      <c r="D942" s="73"/>
      <c r="E942" s="70"/>
      <c r="F942" s="70" t="s">
        <v>1648</v>
      </c>
      <c r="G942" s="73"/>
      <c r="H942" s="76" t="s">
        <v>1489</v>
      </c>
      <c r="I942" s="96" t="s">
        <v>500</v>
      </c>
      <c r="J942" s="96"/>
      <c r="K942" s="76"/>
      <c r="L942" s="76"/>
      <c r="M942" s="76"/>
      <c r="N942" s="76"/>
      <c r="O942" s="76"/>
      <c r="P942" s="76"/>
      <c r="Q942" s="76"/>
      <c r="R942" s="76"/>
      <c r="S942" s="76"/>
      <c r="T942" s="76"/>
      <c r="U942" s="76"/>
      <c r="V942" s="76"/>
      <c r="W942" s="76"/>
      <c r="X942" s="76"/>
      <c r="Y942" s="76"/>
      <c r="Z942" s="76"/>
      <c r="AA942" s="76"/>
      <c r="AB942" s="76"/>
      <c r="AC942" s="76"/>
      <c r="AD942" s="76"/>
      <c r="AE942" s="76"/>
      <c r="AF942" s="76"/>
      <c r="AG942" s="76"/>
      <c r="AH942" s="76">
        <v>1</v>
      </c>
      <c r="AI942" s="76">
        <v>1</v>
      </c>
      <c r="AJ942" s="73"/>
      <c r="AK942" s="57"/>
      <c r="AL942" s="45"/>
      <c r="AM942" s="45"/>
      <c r="AN942" s="45"/>
    </row>
    <row r="943" spans="1:40" hidden="1" outlineLevel="3" x14ac:dyDescent="0.25">
      <c r="A943" s="45"/>
      <c r="B943" s="54"/>
      <c r="C943" s="47">
        <f t="shared" si="149"/>
        <v>4</v>
      </c>
      <c r="D943" s="73"/>
      <c r="E943" s="70"/>
      <c r="F943" s="70" t="s">
        <v>1649</v>
      </c>
      <c r="G943" s="73"/>
      <c r="H943" s="76" t="s">
        <v>1491</v>
      </c>
      <c r="I943" s="96" t="s">
        <v>500</v>
      </c>
      <c r="J943" s="96"/>
      <c r="K943" s="76"/>
      <c r="L943" s="76"/>
      <c r="M943" s="76"/>
      <c r="N943" s="76"/>
      <c r="O943" s="76"/>
      <c r="P943" s="76"/>
      <c r="Q943" s="76"/>
      <c r="R943" s="76"/>
      <c r="S943" s="76"/>
      <c r="T943" s="76"/>
      <c r="U943" s="76"/>
      <c r="V943" s="76"/>
      <c r="W943" s="76"/>
      <c r="X943" s="76"/>
      <c r="Y943" s="76"/>
      <c r="Z943" s="76"/>
      <c r="AA943" s="76"/>
      <c r="AB943" s="76"/>
      <c r="AC943" s="76"/>
      <c r="AD943" s="76"/>
      <c r="AE943" s="76"/>
      <c r="AF943" s="76"/>
      <c r="AG943" s="76"/>
      <c r="AH943" s="76">
        <v>1</v>
      </c>
      <c r="AI943" s="76">
        <v>1</v>
      </c>
      <c r="AJ943" s="73"/>
      <c r="AK943" s="57"/>
      <c r="AL943" s="45"/>
      <c r="AM943" s="45"/>
      <c r="AN943" s="45"/>
    </row>
    <row r="944" spans="1:40" hidden="1" outlineLevel="3" x14ac:dyDescent="0.25">
      <c r="A944" s="45"/>
      <c r="B944" s="54"/>
      <c r="C944" s="47">
        <f t="shared" si="149"/>
        <v>4</v>
      </c>
      <c r="D944" s="73"/>
      <c r="E944" s="70"/>
      <c r="F944" s="70" t="s">
        <v>1650</v>
      </c>
      <c r="G944" s="73"/>
      <c r="H944" s="76" t="s">
        <v>1493</v>
      </c>
      <c r="I944" s="96" t="s">
        <v>500</v>
      </c>
      <c r="J944" s="96"/>
      <c r="K944" s="76"/>
      <c r="L944" s="76"/>
      <c r="M944" s="76"/>
      <c r="N944" s="76"/>
      <c r="O944" s="76"/>
      <c r="P944" s="76"/>
      <c r="Q944" s="76"/>
      <c r="R944" s="76"/>
      <c r="S944" s="76"/>
      <c r="T944" s="76"/>
      <c r="U944" s="76"/>
      <c r="V944" s="76"/>
      <c r="W944" s="76"/>
      <c r="X944" s="76"/>
      <c r="Y944" s="76"/>
      <c r="Z944" s="76"/>
      <c r="AA944" s="76"/>
      <c r="AB944" s="76"/>
      <c r="AC944" s="76"/>
      <c r="AD944" s="76"/>
      <c r="AE944" s="76"/>
      <c r="AF944" s="76"/>
      <c r="AG944" s="76"/>
      <c r="AH944" s="76">
        <v>1</v>
      </c>
      <c r="AI944" s="76">
        <v>1</v>
      </c>
      <c r="AJ944" s="73"/>
      <c r="AK944" s="57"/>
      <c r="AL944" s="45"/>
      <c r="AM944" s="45"/>
      <c r="AN944" s="45"/>
    </row>
    <row r="945" spans="1:40" hidden="1" outlineLevel="3" x14ac:dyDescent="0.25">
      <c r="A945" s="45"/>
      <c r="B945" s="54"/>
      <c r="C945" s="47">
        <f t="shared" si="149"/>
        <v>4</v>
      </c>
      <c r="D945" s="73"/>
      <c r="E945" s="70"/>
      <c r="F945" s="70" t="s">
        <v>1651</v>
      </c>
      <c r="G945" s="73"/>
      <c r="H945" s="76" t="s">
        <v>1487</v>
      </c>
      <c r="I945" s="96" t="s">
        <v>500</v>
      </c>
      <c r="J945" s="96"/>
      <c r="K945" s="76"/>
      <c r="L945" s="76"/>
      <c r="M945" s="76"/>
      <c r="N945" s="76"/>
      <c r="O945" s="76"/>
      <c r="P945" s="76"/>
      <c r="Q945" s="76"/>
      <c r="R945" s="76"/>
      <c r="S945" s="76"/>
      <c r="T945" s="76"/>
      <c r="U945" s="76"/>
      <c r="V945" s="76"/>
      <c r="W945" s="76"/>
      <c r="X945" s="76"/>
      <c r="Y945" s="76"/>
      <c r="Z945" s="76"/>
      <c r="AA945" s="76"/>
      <c r="AB945" s="76"/>
      <c r="AC945" s="76"/>
      <c r="AD945" s="76"/>
      <c r="AE945" s="76"/>
      <c r="AF945" s="76"/>
      <c r="AG945" s="76"/>
      <c r="AH945" s="76">
        <v>1</v>
      </c>
      <c r="AI945" s="76">
        <v>1</v>
      </c>
      <c r="AJ945" s="73"/>
      <c r="AK945" s="57"/>
      <c r="AL945" s="45"/>
      <c r="AM945" s="45"/>
      <c r="AN945" s="45"/>
    </row>
    <row r="946" spans="1:40" hidden="1" outlineLevel="3" x14ac:dyDescent="0.25">
      <c r="A946" s="45"/>
      <c r="B946" s="54"/>
      <c r="C946" s="47">
        <f t="shared" si="149"/>
        <v>4</v>
      </c>
      <c r="D946" s="73"/>
      <c r="E946" s="70"/>
      <c r="F946" s="70" t="s">
        <v>1652</v>
      </c>
      <c r="G946" s="73"/>
      <c r="H946" s="76" t="s">
        <v>1489</v>
      </c>
      <c r="I946" s="96" t="s">
        <v>500</v>
      </c>
      <c r="J946" s="96"/>
      <c r="K946" s="76"/>
      <c r="L946" s="76"/>
      <c r="M946" s="76"/>
      <c r="N946" s="76"/>
      <c r="O946" s="76"/>
      <c r="P946" s="76"/>
      <c r="Q946" s="76"/>
      <c r="R946" s="76"/>
      <c r="S946" s="76"/>
      <c r="T946" s="76"/>
      <c r="U946" s="76"/>
      <c r="V946" s="76"/>
      <c r="W946" s="76"/>
      <c r="X946" s="76"/>
      <c r="Y946" s="76"/>
      <c r="Z946" s="76"/>
      <c r="AA946" s="76"/>
      <c r="AB946" s="76"/>
      <c r="AC946" s="76"/>
      <c r="AD946" s="76"/>
      <c r="AE946" s="76"/>
      <c r="AF946" s="76"/>
      <c r="AG946" s="76"/>
      <c r="AH946" s="76">
        <v>1</v>
      </c>
      <c r="AI946" s="76">
        <v>1</v>
      </c>
      <c r="AJ946" s="73"/>
      <c r="AK946" s="57"/>
      <c r="AL946" s="45"/>
      <c r="AM946" s="45"/>
      <c r="AN946" s="45"/>
    </row>
    <row r="947" spans="1:40" hidden="1" outlineLevel="3" x14ac:dyDescent="0.25">
      <c r="A947" s="45"/>
      <c r="B947" s="54"/>
      <c r="C947" s="47">
        <f t="shared" si="149"/>
        <v>4</v>
      </c>
      <c r="D947" s="73"/>
      <c r="E947" s="70"/>
      <c r="F947" s="70" t="s">
        <v>1653</v>
      </c>
      <c r="G947" s="73"/>
      <c r="H947" s="76" t="s">
        <v>1491</v>
      </c>
      <c r="I947" s="96" t="s">
        <v>500</v>
      </c>
      <c r="J947" s="96"/>
      <c r="K947" s="76"/>
      <c r="L947" s="76"/>
      <c r="M947" s="76"/>
      <c r="N947" s="76"/>
      <c r="O947" s="76"/>
      <c r="P947" s="76"/>
      <c r="Q947" s="76"/>
      <c r="R947" s="76"/>
      <c r="S947" s="76"/>
      <c r="T947" s="76"/>
      <c r="U947" s="76"/>
      <c r="V947" s="76"/>
      <c r="W947" s="76"/>
      <c r="X947" s="76"/>
      <c r="Y947" s="76"/>
      <c r="Z947" s="76"/>
      <c r="AA947" s="76"/>
      <c r="AB947" s="76"/>
      <c r="AC947" s="76"/>
      <c r="AD947" s="76"/>
      <c r="AE947" s="76"/>
      <c r="AF947" s="76"/>
      <c r="AG947" s="76"/>
      <c r="AH947" s="76">
        <v>1</v>
      </c>
      <c r="AI947" s="76">
        <v>1</v>
      </c>
      <c r="AJ947" s="73"/>
      <c r="AK947" s="57"/>
      <c r="AL947" s="45"/>
      <c r="AM947" s="45"/>
      <c r="AN947" s="45"/>
    </row>
    <row r="948" spans="1:40" hidden="1" outlineLevel="3" x14ac:dyDescent="0.25">
      <c r="A948" s="45"/>
      <c r="B948" s="54"/>
      <c r="C948" s="47">
        <f t="shared" si="149"/>
        <v>4</v>
      </c>
      <c r="D948" s="73"/>
      <c r="E948" s="70"/>
      <c r="F948" s="70" t="s">
        <v>1654</v>
      </c>
      <c r="G948" s="73"/>
      <c r="H948" s="76" t="s">
        <v>1493</v>
      </c>
      <c r="I948" s="96" t="s">
        <v>500</v>
      </c>
      <c r="J948" s="96"/>
      <c r="K948" s="76"/>
      <c r="L948" s="76"/>
      <c r="M948" s="76"/>
      <c r="N948" s="76"/>
      <c r="O948" s="76"/>
      <c r="P948" s="76"/>
      <c r="Q948" s="76"/>
      <c r="R948" s="76"/>
      <c r="S948" s="76"/>
      <c r="T948" s="76"/>
      <c r="U948" s="76"/>
      <c r="V948" s="76"/>
      <c r="W948" s="76"/>
      <c r="X948" s="76"/>
      <c r="Y948" s="76"/>
      <c r="Z948" s="76"/>
      <c r="AA948" s="76"/>
      <c r="AB948" s="76"/>
      <c r="AC948" s="76"/>
      <c r="AD948" s="76"/>
      <c r="AE948" s="76"/>
      <c r="AF948" s="76"/>
      <c r="AG948" s="76"/>
      <c r="AH948" s="76">
        <v>1</v>
      </c>
      <c r="AI948" s="76">
        <v>1</v>
      </c>
      <c r="AJ948" s="73"/>
      <c r="AK948" s="57"/>
      <c r="AL948" s="45"/>
      <c r="AM948" s="45"/>
      <c r="AN948" s="45"/>
    </row>
    <row r="949" spans="1:40" hidden="1" outlineLevel="3" x14ac:dyDescent="0.25">
      <c r="A949" s="45"/>
      <c r="B949" s="54"/>
      <c r="C949" s="47">
        <f t="shared" si="149"/>
        <v>4</v>
      </c>
      <c r="D949" s="73"/>
      <c r="E949" s="70"/>
      <c r="F949" s="70" t="s">
        <v>1655</v>
      </c>
      <c r="G949" s="73"/>
      <c r="H949" s="76" t="s">
        <v>1487</v>
      </c>
      <c r="I949" s="96" t="s">
        <v>500</v>
      </c>
      <c r="J949" s="96"/>
      <c r="K949" s="76"/>
      <c r="L949" s="76"/>
      <c r="M949" s="76"/>
      <c r="N949" s="76"/>
      <c r="O949" s="76"/>
      <c r="P949" s="76"/>
      <c r="Q949" s="76"/>
      <c r="R949" s="76"/>
      <c r="S949" s="76"/>
      <c r="T949" s="76"/>
      <c r="U949" s="76"/>
      <c r="V949" s="76"/>
      <c r="W949" s="76"/>
      <c r="X949" s="76"/>
      <c r="Y949" s="76"/>
      <c r="Z949" s="76"/>
      <c r="AA949" s="76"/>
      <c r="AB949" s="76"/>
      <c r="AC949" s="76"/>
      <c r="AD949" s="76"/>
      <c r="AE949" s="76"/>
      <c r="AF949" s="76"/>
      <c r="AG949" s="76"/>
      <c r="AH949" s="76">
        <v>1</v>
      </c>
      <c r="AI949" s="76">
        <v>1</v>
      </c>
      <c r="AJ949" s="73"/>
      <c r="AK949" s="57"/>
      <c r="AL949" s="45"/>
      <c r="AM949" s="45"/>
      <c r="AN949" s="45"/>
    </row>
    <row r="950" spans="1:40" hidden="1" outlineLevel="3" x14ac:dyDescent="0.25">
      <c r="A950" s="45"/>
      <c r="B950" s="54"/>
      <c r="C950" s="47">
        <f t="shared" si="149"/>
        <v>4</v>
      </c>
      <c r="D950" s="73"/>
      <c r="E950" s="70"/>
      <c r="F950" s="70" t="s">
        <v>1656</v>
      </c>
      <c r="G950" s="73"/>
      <c r="H950" s="76" t="s">
        <v>1489</v>
      </c>
      <c r="I950" s="96" t="s">
        <v>500</v>
      </c>
      <c r="J950" s="96"/>
      <c r="K950" s="76"/>
      <c r="L950" s="76"/>
      <c r="M950" s="76"/>
      <c r="N950" s="76"/>
      <c r="O950" s="76"/>
      <c r="P950" s="76"/>
      <c r="Q950" s="76"/>
      <c r="R950" s="76"/>
      <c r="S950" s="76"/>
      <c r="T950" s="76"/>
      <c r="U950" s="76"/>
      <c r="V950" s="76"/>
      <c r="W950" s="76"/>
      <c r="X950" s="76"/>
      <c r="Y950" s="76"/>
      <c r="Z950" s="76"/>
      <c r="AA950" s="76"/>
      <c r="AB950" s="76"/>
      <c r="AC950" s="76"/>
      <c r="AD950" s="76"/>
      <c r="AE950" s="76"/>
      <c r="AF950" s="76"/>
      <c r="AG950" s="76"/>
      <c r="AH950" s="76">
        <v>1</v>
      </c>
      <c r="AI950" s="76">
        <v>1</v>
      </c>
      <c r="AJ950" s="73"/>
      <c r="AK950" s="57"/>
      <c r="AL950" s="45"/>
      <c r="AM950" s="45"/>
      <c r="AN950" s="45"/>
    </row>
    <row r="951" spans="1:40" hidden="1" outlineLevel="3" x14ac:dyDescent="0.25">
      <c r="A951" s="45"/>
      <c r="B951" s="54"/>
      <c r="C951" s="47">
        <f t="shared" si="149"/>
        <v>4</v>
      </c>
      <c r="D951" s="73"/>
      <c r="E951" s="70"/>
      <c r="F951" s="70" t="s">
        <v>1657</v>
      </c>
      <c r="G951" s="73"/>
      <c r="H951" s="76" t="s">
        <v>1491</v>
      </c>
      <c r="I951" s="96" t="s">
        <v>500</v>
      </c>
      <c r="J951" s="96"/>
      <c r="K951" s="76"/>
      <c r="L951" s="76"/>
      <c r="M951" s="76"/>
      <c r="N951" s="76"/>
      <c r="O951" s="76"/>
      <c r="P951" s="76"/>
      <c r="Q951" s="76"/>
      <c r="R951" s="76"/>
      <c r="S951" s="76"/>
      <c r="T951" s="76"/>
      <c r="U951" s="76"/>
      <c r="V951" s="76"/>
      <c r="W951" s="76"/>
      <c r="X951" s="76"/>
      <c r="Y951" s="76"/>
      <c r="Z951" s="76"/>
      <c r="AA951" s="76"/>
      <c r="AB951" s="76"/>
      <c r="AC951" s="76"/>
      <c r="AD951" s="76"/>
      <c r="AE951" s="76"/>
      <c r="AF951" s="76"/>
      <c r="AG951" s="76"/>
      <c r="AH951" s="76">
        <v>1</v>
      </c>
      <c r="AI951" s="76">
        <v>1</v>
      </c>
      <c r="AJ951" s="73"/>
      <c r="AK951" s="57"/>
      <c r="AL951" s="45"/>
      <c r="AM951" s="45"/>
      <c r="AN951" s="45"/>
    </row>
    <row r="952" spans="1:40" hidden="1" outlineLevel="3" x14ac:dyDescent="0.25">
      <c r="A952" s="45"/>
      <c r="B952" s="54"/>
      <c r="C952" s="47">
        <f t="shared" si="149"/>
        <v>4</v>
      </c>
      <c r="D952" s="73"/>
      <c r="E952" s="70"/>
      <c r="F952" s="70" t="s">
        <v>1658</v>
      </c>
      <c r="G952" s="73"/>
      <c r="H952" s="76" t="s">
        <v>1493</v>
      </c>
      <c r="I952" s="96" t="s">
        <v>500</v>
      </c>
      <c r="J952" s="96"/>
      <c r="K952" s="76"/>
      <c r="L952" s="76"/>
      <c r="M952" s="76"/>
      <c r="N952" s="76"/>
      <c r="O952" s="76"/>
      <c r="P952" s="76"/>
      <c r="Q952" s="76"/>
      <c r="R952" s="76"/>
      <c r="S952" s="76"/>
      <c r="T952" s="76"/>
      <c r="U952" s="76"/>
      <c r="V952" s="76"/>
      <c r="W952" s="76"/>
      <c r="X952" s="76"/>
      <c r="Y952" s="76"/>
      <c r="Z952" s="76"/>
      <c r="AA952" s="76"/>
      <c r="AB952" s="76"/>
      <c r="AC952" s="76"/>
      <c r="AD952" s="76"/>
      <c r="AE952" s="76"/>
      <c r="AF952" s="76"/>
      <c r="AG952" s="76"/>
      <c r="AH952" s="76">
        <v>1</v>
      </c>
      <c r="AI952" s="76">
        <v>1</v>
      </c>
      <c r="AJ952" s="73"/>
      <c r="AK952" s="57"/>
      <c r="AL952" s="45"/>
      <c r="AM952" s="45"/>
      <c r="AN952" s="45"/>
    </row>
    <row r="953" spans="1:40" hidden="1" outlineLevel="3" x14ac:dyDescent="0.25">
      <c r="A953" s="45"/>
      <c r="B953" s="54"/>
      <c r="C953" s="47">
        <f t="shared" si="149"/>
        <v>4</v>
      </c>
      <c r="D953" s="73"/>
      <c r="E953" s="70"/>
      <c r="F953" s="70" t="s">
        <v>1659</v>
      </c>
      <c r="G953" s="73"/>
      <c r="H953" s="76" t="s">
        <v>1487</v>
      </c>
      <c r="I953" s="96" t="s">
        <v>500</v>
      </c>
      <c r="J953" s="96"/>
      <c r="K953" s="76"/>
      <c r="L953" s="76"/>
      <c r="M953" s="76"/>
      <c r="N953" s="76"/>
      <c r="O953" s="76"/>
      <c r="P953" s="76"/>
      <c r="Q953" s="76"/>
      <c r="R953" s="76"/>
      <c r="S953" s="76"/>
      <c r="T953" s="76"/>
      <c r="U953" s="76"/>
      <c r="V953" s="76"/>
      <c r="W953" s="76"/>
      <c r="X953" s="76"/>
      <c r="Y953" s="76"/>
      <c r="Z953" s="76"/>
      <c r="AA953" s="76"/>
      <c r="AB953" s="76"/>
      <c r="AC953" s="76"/>
      <c r="AD953" s="76"/>
      <c r="AE953" s="76"/>
      <c r="AF953" s="76"/>
      <c r="AG953" s="76"/>
      <c r="AH953" s="76">
        <v>1</v>
      </c>
      <c r="AI953" s="76">
        <v>1</v>
      </c>
      <c r="AJ953" s="73"/>
      <c r="AK953" s="57"/>
      <c r="AL953" s="45"/>
      <c r="AM953" s="45"/>
      <c r="AN953" s="45"/>
    </row>
    <row r="954" spans="1:40" hidden="1" outlineLevel="3" x14ac:dyDescent="0.25">
      <c r="A954" s="45"/>
      <c r="B954" s="54"/>
      <c r="C954" s="47">
        <f t="shared" si="149"/>
        <v>4</v>
      </c>
      <c r="D954" s="73"/>
      <c r="E954" s="70"/>
      <c r="F954" s="70" t="s">
        <v>1660</v>
      </c>
      <c r="G954" s="73"/>
      <c r="H954" s="76" t="s">
        <v>1489</v>
      </c>
      <c r="I954" s="96" t="s">
        <v>500</v>
      </c>
      <c r="J954" s="96"/>
      <c r="K954" s="76"/>
      <c r="L954" s="76"/>
      <c r="M954" s="76"/>
      <c r="N954" s="76"/>
      <c r="O954" s="76"/>
      <c r="P954" s="76"/>
      <c r="Q954" s="76"/>
      <c r="R954" s="76"/>
      <c r="S954" s="76"/>
      <c r="T954" s="76"/>
      <c r="U954" s="76"/>
      <c r="V954" s="76"/>
      <c r="W954" s="76"/>
      <c r="X954" s="76"/>
      <c r="Y954" s="76"/>
      <c r="Z954" s="76"/>
      <c r="AA954" s="76"/>
      <c r="AB954" s="76"/>
      <c r="AC954" s="76"/>
      <c r="AD954" s="76"/>
      <c r="AE954" s="76"/>
      <c r="AF954" s="76"/>
      <c r="AG954" s="76"/>
      <c r="AH954" s="76">
        <v>1</v>
      </c>
      <c r="AI954" s="76">
        <v>1</v>
      </c>
      <c r="AJ954" s="73"/>
      <c r="AK954" s="57"/>
      <c r="AL954" s="45"/>
      <c r="AM954" s="45"/>
      <c r="AN954" s="45"/>
    </row>
    <row r="955" spans="1:40" hidden="1" outlineLevel="3" x14ac:dyDescent="0.25">
      <c r="A955" s="45"/>
      <c r="B955" s="54"/>
      <c r="C955" s="47">
        <f t="shared" si="149"/>
        <v>4</v>
      </c>
      <c r="D955" s="73"/>
      <c r="E955" s="70"/>
      <c r="F955" s="70" t="s">
        <v>1661</v>
      </c>
      <c r="G955" s="73"/>
      <c r="H955" s="76" t="s">
        <v>1491</v>
      </c>
      <c r="I955" s="96" t="s">
        <v>500</v>
      </c>
      <c r="J955" s="96"/>
      <c r="K955" s="76"/>
      <c r="L955" s="76"/>
      <c r="M955" s="76"/>
      <c r="N955" s="76"/>
      <c r="O955" s="76"/>
      <c r="P955" s="76"/>
      <c r="Q955" s="76"/>
      <c r="R955" s="76"/>
      <c r="S955" s="76"/>
      <c r="T955" s="76"/>
      <c r="U955" s="76"/>
      <c r="V955" s="76"/>
      <c r="W955" s="76"/>
      <c r="X955" s="76"/>
      <c r="Y955" s="76"/>
      <c r="Z955" s="76"/>
      <c r="AA955" s="76"/>
      <c r="AB955" s="76"/>
      <c r="AC955" s="76"/>
      <c r="AD955" s="76"/>
      <c r="AE955" s="76"/>
      <c r="AF955" s="76"/>
      <c r="AG955" s="76"/>
      <c r="AH955" s="76">
        <v>1</v>
      </c>
      <c r="AI955" s="76">
        <v>1</v>
      </c>
      <c r="AJ955" s="73"/>
      <c r="AK955" s="57"/>
      <c r="AL955" s="45"/>
      <c r="AM955" s="45"/>
      <c r="AN955" s="45"/>
    </row>
    <row r="956" spans="1:40" hidden="1" outlineLevel="3" x14ac:dyDescent="0.25">
      <c r="A956" s="45"/>
      <c r="B956" s="54"/>
      <c r="C956" s="47">
        <f t="shared" si="149"/>
        <v>4</v>
      </c>
      <c r="D956" s="73"/>
      <c r="E956" s="70"/>
      <c r="F956" s="70" t="s">
        <v>1662</v>
      </c>
      <c r="G956" s="73"/>
      <c r="H956" s="76" t="s">
        <v>1493</v>
      </c>
      <c r="I956" s="96" t="s">
        <v>500</v>
      </c>
      <c r="J956" s="96"/>
      <c r="K956" s="76"/>
      <c r="L956" s="76"/>
      <c r="M956" s="76"/>
      <c r="N956" s="76"/>
      <c r="O956" s="76"/>
      <c r="P956" s="76"/>
      <c r="Q956" s="76"/>
      <c r="R956" s="76"/>
      <c r="S956" s="76"/>
      <c r="T956" s="76"/>
      <c r="U956" s="76"/>
      <c r="V956" s="76"/>
      <c r="W956" s="76"/>
      <c r="X956" s="76"/>
      <c r="Y956" s="76"/>
      <c r="Z956" s="76"/>
      <c r="AA956" s="76"/>
      <c r="AB956" s="76"/>
      <c r="AC956" s="76"/>
      <c r="AD956" s="76"/>
      <c r="AE956" s="76"/>
      <c r="AF956" s="76"/>
      <c r="AG956" s="76"/>
      <c r="AH956" s="76">
        <v>1</v>
      </c>
      <c r="AI956" s="76">
        <v>1</v>
      </c>
      <c r="AJ956" s="73"/>
      <c r="AK956" s="57"/>
      <c r="AL956" s="45"/>
      <c r="AM956" s="45"/>
      <c r="AN956" s="45"/>
    </row>
    <row r="957" spans="1:40" hidden="1" outlineLevel="3" x14ac:dyDescent="0.25">
      <c r="A957" s="45"/>
      <c r="B957" s="54"/>
      <c r="C957" s="47">
        <f t="shared" si="149"/>
        <v>4</v>
      </c>
      <c r="D957" s="73"/>
      <c r="E957" s="70"/>
      <c r="F957" s="70" t="s">
        <v>1663</v>
      </c>
      <c r="G957" s="73"/>
      <c r="H957" s="76" t="s">
        <v>1487</v>
      </c>
      <c r="I957" s="96" t="s">
        <v>500</v>
      </c>
      <c r="J957" s="96"/>
      <c r="K957" s="76"/>
      <c r="L957" s="76"/>
      <c r="M957" s="76"/>
      <c r="N957" s="76"/>
      <c r="O957" s="76"/>
      <c r="P957" s="76"/>
      <c r="Q957" s="76"/>
      <c r="R957" s="76"/>
      <c r="S957" s="76"/>
      <c r="T957" s="76"/>
      <c r="U957" s="76"/>
      <c r="V957" s="76"/>
      <c r="W957" s="76"/>
      <c r="X957" s="76"/>
      <c r="Y957" s="76"/>
      <c r="Z957" s="76"/>
      <c r="AA957" s="76"/>
      <c r="AB957" s="76"/>
      <c r="AC957" s="76"/>
      <c r="AD957" s="76"/>
      <c r="AE957" s="76"/>
      <c r="AF957" s="76"/>
      <c r="AG957" s="76"/>
      <c r="AH957" s="76">
        <v>1</v>
      </c>
      <c r="AI957" s="76">
        <v>1</v>
      </c>
      <c r="AJ957" s="73"/>
      <c r="AK957" s="57"/>
      <c r="AL957" s="45"/>
      <c r="AM957" s="45"/>
      <c r="AN957" s="45"/>
    </row>
    <row r="958" spans="1:40" hidden="1" outlineLevel="3" x14ac:dyDescent="0.25">
      <c r="A958" s="45"/>
      <c r="B958" s="54"/>
      <c r="C958" s="47">
        <f t="shared" si="149"/>
        <v>4</v>
      </c>
      <c r="D958" s="73"/>
      <c r="E958" s="70"/>
      <c r="F958" s="70" t="s">
        <v>1664</v>
      </c>
      <c r="G958" s="73"/>
      <c r="H958" s="76" t="s">
        <v>1489</v>
      </c>
      <c r="I958" s="96" t="s">
        <v>500</v>
      </c>
      <c r="J958" s="96"/>
      <c r="K958" s="76"/>
      <c r="L958" s="76"/>
      <c r="M958" s="76"/>
      <c r="N958" s="76"/>
      <c r="O958" s="76"/>
      <c r="P958" s="76"/>
      <c r="Q958" s="76"/>
      <c r="R958" s="76"/>
      <c r="S958" s="76"/>
      <c r="T958" s="76"/>
      <c r="U958" s="76"/>
      <c r="V958" s="76"/>
      <c r="W958" s="76"/>
      <c r="X958" s="76"/>
      <c r="Y958" s="76"/>
      <c r="Z958" s="76"/>
      <c r="AA958" s="76"/>
      <c r="AB958" s="76"/>
      <c r="AC958" s="76"/>
      <c r="AD958" s="76"/>
      <c r="AE958" s="76"/>
      <c r="AF958" s="76"/>
      <c r="AG958" s="76"/>
      <c r="AH958" s="76">
        <v>1</v>
      </c>
      <c r="AI958" s="76">
        <v>1</v>
      </c>
      <c r="AJ958" s="73"/>
      <c r="AK958" s="57"/>
      <c r="AL958" s="45"/>
      <c r="AM958" s="45"/>
      <c r="AN958" s="45"/>
    </row>
    <row r="959" spans="1:40" hidden="1" outlineLevel="3" x14ac:dyDescent="0.25">
      <c r="A959" s="45"/>
      <c r="B959" s="54"/>
      <c r="C959" s="47">
        <f t="shared" si="149"/>
        <v>4</v>
      </c>
      <c r="D959" s="73"/>
      <c r="E959" s="70"/>
      <c r="F959" s="70" t="s">
        <v>1665</v>
      </c>
      <c r="G959" s="73"/>
      <c r="H959" s="76" t="s">
        <v>1491</v>
      </c>
      <c r="I959" s="96" t="s">
        <v>500</v>
      </c>
      <c r="J959" s="96"/>
      <c r="K959" s="76"/>
      <c r="L959" s="76"/>
      <c r="M959" s="76"/>
      <c r="N959" s="76"/>
      <c r="O959" s="76"/>
      <c r="P959" s="76"/>
      <c r="Q959" s="76"/>
      <c r="R959" s="76"/>
      <c r="S959" s="76"/>
      <c r="T959" s="76"/>
      <c r="U959" s="76"/>
      <c r="V959" s="76"/>
      <c r="W959" s="76"/>
      <c r="X959" s="76"/>
      <c r="Y959" s="76"/>
      <c r="Z959" s="76"/>
      <c r="AA959" s="76"/>
      <c r="AB959" s="76"/>
      <c r="AC959" s="76"/>
      <c r="AD959" s="76"/>
      <c r="AE959" s="76"/>
      <c r="AF959" s="76"/>
      <c r="AG959" s="76"/>
      <c r="AH959" s="76">
        <v>1</v>
      </c>
      <c r="AI959" s="76">
        <v>1</v>
      </c>
      <c r="AJ959" s="73"/>
      <c r="AK959" s="57"/>
      <c r="AL959" s="45"/>
      <c r="AM959" s="45"/>
      <c r="AN959" s="45"/>
    </row>
    <row r="960" spans="1:40" hidden="1" outlineLevel="3" x14ac:dyDescent="0.25">
      <c r="A960" s="45"/>
      <c r="B960" s="54"/>
      <c r="C960" s="47">
        <f t="shared" si="149"/>
        <v>4</v>
      </c>
      <c r="D960" s="73"/>
      <c r="E960" s="70"/>
      <c r="F960" s="70" t="s">
        <v>1666</v>
      </c>
      <c r="G960" s="73"/>
      <c r="H960" s="76" t="s">
        <v>1493</v>
      </c>
      <c r="I960" s="96" t="s">
        <v>500</v>
      </c>
      <c r="J960" s="96"/>
      <c r="K960" s="76"/>
      <c r="L960" s="76"/>
      <c r="M960" s="76"/>
      <c r="N960" s="76"/>
      <c r="O960" s="76"/>
      <c r="P960" s="76"/>
      <c r="Q960" s="76"/>
      <c r="R960" s="76"/>
      <c r="S960" s="76"/>
      <c r="T960" s="76"/>
      <c r="U960" s="76"/>
      <c r="V960" s="76"/>
      <c r="W960" s="76"/>
      <c r="X960" s="76"/>
      <c r="Y960" s="76"/>
      <c r="Z960" s="76"/>
      <c r="AA960" s="76"/>
      <c r="AB960" s="76"/>
      <c r="AC960" s="76"/>
      <c r="AD960" s="76"/>
      <c r="AE960" s="76"/>
      <c r="AF960" s="76"/>
      <c r="AG960" s="76"/>
      <c r="AH960" s="76">
        <v>1</v>
      </c>
      <c r="AI960" s="76">
        <v>1</v>
      </c>
      <c r="AJ960" s="73"/>
      <c r="AK960" s="57"/>
      <c r="AL960" s="45"/>
      <c r="AM960" s="45"/>
      <c r="AN960" s="45"/>
    </row>
    <row r="961" spans="1:40" hidden="1" outlineLevel="3" x14ac:dyDescent="0.25">
      <c r="A961" s="45"/>
      <c r="B961" s="54"/>
      <c r="C961" s="47">
        <f t="shared" ref="C961:C992" si="150">INT($C$29)+3</f>
        <v>4</v>
      </c>
      <c r="D961" s="73"/>
      <c r="E961" s="70"/>
      <c r="F961" s="70" t="s">
        <v>1667</v>
      </c>
      <c r="G961" s="73"/>
      <c r="H961" s="76" t="s">
        <v>1487</v>
      </c>
      <c r="I961" s="96" t="s">
        <v>500</v>
      </c>
      <c r="J961" s="96"/>
      <c r="K961" s="76"/>
      <c r="L961" s="76"/>
      <c r="M961" s="76"/>
      <c r="N961" s="76"/>
      <c r="O961" s="76"/>
      <c r="P961" s="76"/>
      <c r="Q961" s="76"/>
      <c r="R961" s="76"/>
      <c r="S961" s="76"/>
      <c r="T961" s="76"/>
      <c r="U961" s="76"/>
      <c r="V961" s="76"/>
      <c r="W961" s="76"/>
      <c r="X961" s="76"/>
      <c r="Y961" s="76"/>
      <c r="Z961" s="76"/>
      <c r="AA961" s="76"/>
      <c r="AB961" s="76"/>
      <c r="AC961" s="76"/>
      <c r="AD961" s="76"/>
      <c r="AE961" s="76"/>
      <c r="AF961" s="76"/>
      <c r="AG961" s="76"/>
      <c r="AH961" s="76">
        <v>1</v>
      </c>
      <c r="AI961" s="76">
        <v>1</v>
      </c>
      <c r="AJ961" s="73"/>
      <c r="AK961" s="57"/>
      <c r="AL961" s="45"/>
      <c r="AM961" s="45"/>
      <c r="AN961" s="45"/>
    </row>
    <row r="962" spans="1:40" hidden="1" outlineLevel="3" x14ac:dyDescent="0.25">
      <c r="A962" s="45"/>
      <c r="B962" s="54"/>
      <c r="C962" s="47">
        <f t="shared" si="150"/>
        <v>4</v>
      </c>
      <c r="D962" s="73"/>
      <c r="E962" s="70"/>
      <c r="F962" s="70" t="s">
        <v>1668</v>
      </c>
      <c r="G962" s="73"/>
      <c r="H962" s="76" t="s">
        <v>1489</v>
      </c>
      <c r="I962" s="96" t="s">
        <v>500</v>
      </c>
      <c r="J962" s="96"/>
      <c r="K962" s="76"/>
      <c r="L962" s="76"/>
      <c r="M962" s="76"/>
      <c r="N962" s="76"/>
      <c r="O962" s="76"/>
      <c r="P962" s="76"/>
      <c r="Q962" s="76"/>
      <c r="R962" s="76"/>
      <c r="S962" s="76"/>
      <c r="T962" s="76"/>
      <c r="U962" s="76"/>
      <c r="V962" s="76"/>
      <c r="W962" s="76"/>
      <c r="X962" s="76"/>
      <c r="Y962" s="76"/>
      <c r="Z962" s="76"/>
      <c r="AA962" s="76"/>
      <c r="AB962" s="76"/>
      <c r="AC962" s="76"/>
      <c r="AD962" s="76"/>
      <c r="AE962" s="76"/>
      <c r="AF962" s="76"/>
      <c r="AG962" s="76"/>
      <c r="AH962" s="76">
        <v>1</v>
      </c>
      <c r="AI962" s="76">
        <v>1</v>
      </c>
      <c r="AJ962" s="73"/>
      <c r="AK962" s="57"/>
      <c r="AL962" s="45"/>
      <c r="AM962" s="45"/>
      <c r="AN962" s="45"/>
    </row>
    <row r="963" spans="1:40" hidden="1" outlineLevel="3" x14ac:dyDescent="0.25">
      <c r="A963" s="45"/>
      <c r="B963" s="54"/>
      <c r="C963" s="47">
        <f t="shared" si="150"/>
        <v>4</v>
      </c>
      <c r="D963" s="73"/>
      <c r="E963" s="70"/>
      <c r="F963" s="70" t="s">
        <v>1669</v>
      </c>
      <c r="G963" s="73"/>
      <c r="H963" s="76" t="s">
        <v>1491</v>
      </c>
      <c r="I963" s="96" t="s">
        <v>500</v>
      </c>
      <c r="J963" s="96"/>
      <c r="K963" s="76"/>
      <c r="L963" s="76"/>
      <c r="M963" s="76"/>
      <c r="N963" s="76"/>
      <c r="O963" s="76"/>
      <c r="P963" s="76"/>
      <c r="Q963" s="76"/>
      <c r="R963" s="76"/>
      <c r="S963" s="76"/>
      <c r="T963" s="76"/>
      <c r="U963" s="76"/>
      <c r="V963" s="76"/>
      <c r="W963" s="76"/>
      <c r="X963" s="76"/>
      <c r="Y963" s="76"/>
      <c r="Z963" s="76"/>
      <c r="AA963" s="76"/>
      <c r="AB963" s="76"/>
      <c r="AC963" s="76"/>
      <c r="AD963" s="76"/>
      <c r="AE963" s="76"/>
      <c r="AF963" s="76"/>
      <c r="AG963" s="76"/>
      <c r="AH963" s="76">
        <v>1</v>
      </c>
      <c r="AI963" s="76">
        <v>1</v>
      </c>
      <c r="AJ963" s="73"/>
      <c r="AK963" s="57"/>
      <c r="AL963" s="45"/>
      <c r="AM963" s="45"/>
      <c r="AN963" s="45"/>
    </row>
    <row r="964" spans="1:40" hidden="1" outlineLevel="3" x14ac:dyDescent="0.25">
      <c r="A964" s="45"/>
      <c r="B964" s="54"/>
      <c r="C964" s="47">
        <f t="shared" si="150"/>
        <v>4</v>
      </c>
      <c r="D964" s="73"/>
      <c r="E964" s="70"/>
      <c r="F964" s="70" t="s">
        <v>1670</v>
      </c>
      <c r="G964" s="73"/>
      <c r="H964" s="76" t="s">
        <v>1493</v>
      </c>
      <c r="I964" s="96" t="s">
        <v>500</v>
      </c>
      <c r="J964" s="96"/>
      <c r="K964" s="76"/>
      <c r="L964" s="76"/>
      <c r="M964" s="76"/>
      <c r="N964" s="76"/>
      <c r="O964" s="76"/>
      <c r="P964" s="76"/>
      <c r="Q964" s="76"/>
      <c r="R964" s="76"/>
      <c r="S964" s="76"/>
      <c r="T964" s="76"/>
      <c r="U964" s="76"/>
      <c r="V964" s="76"/>
      <c r="W964" s="76"/>
      <c r="X964" s="76"/>
      <c r="Y964" s="76"/>
      <c r="Z964" s="76"/>
      <c r="AA964" s="76"/>
      <c r="AB964" s="76"/>
      <c r="AC964" s="76"/>
      <c r="AD964" s="76"/>
      <c r="AE964" s="76"/>
      <c r="AF964" s="76"/>
      <c r="AG964" s="76"/>
      <c r="AH964" s="76">
        <v>1</v>
      </c>
      <c r="AI964" s="76">
        <v>1</v>
      </c>
      <c r="AJ964" s="73"/>
      <c r="AK964" s="57"/>
      <c r="AL964" s="45"/>
      <c r="AM964" s="45"/>
      <c r="AN964" s="45"/>
    </row>
    <row r="965" spans="1:40" hidden="1" outlineLevel="3" x14ac:dyDescent="0.25">
      <c r="A965" s="45"/>
      <c r="B965" s="54"/>
      <c r="C965" s="47">
        <f t="shared" si="150"/>
        <v>4</v>
      </c>
      <c r="D965" s="73"/>
      <c r="E965" s="70"/>
      <c r="F965" s="70" t="s">
        <v>1671</v>
      </c>
      <c r="G965" s="73"/>
      <c r="H965" s="76" t="s">
        <v>1487</v>
      </c>
      <c r="I965" s="96" t="s">
        <v>500</v>
      </c>
      <c r="J965" s="96"/>
      <c r="K965" s="76"/>
      <c r="L965" s="76"/>
      <c r="M965" s="76"/>
      <c r="N965" s="76"/>
      <c r="O965" s="76"/>
      <c r="P965" s="76"/>
      <c r="Q965" s="76"/>
      <c r="R965" s="76"/>
      <c r="S965" s="76"/>
      <c r="T965" s="76"/>
      <c r="U965" s="76"/>
      <c r="V965" s="76"/>
      <c r="W965" s="76"/>
      <c r="X965" s="76"/>
      <c r="Y965" s="76"/>
      <c r="Z965" s="76"/>
      <c r="AA965" s="76"/>
      <c r="AB965" s="76"/>
      <c r="AC965" s="76"/>
      <c r="AD965" s="76"/>
      <c r="AE965" s="76"/>
      <c r="AF965" s="76"/>
      <c r="AG965" s="76"/>
      <c r="AH965" s="76">
        <v>1</v>
      </c>
      <c r="AI965" s="76">
        <v>1</v>
      </c>
      <c r="AJ965" s="73"/>
      <c r="AK965" s="57"/>
      <c r="AL965" s="45"/>
      <c r="AM965" s="45"/>
      <c r="AN965" s="45"/>
    </row>
    <row r="966" spans="1:40" hidden="1" outlineLevel="3" x14ac:dyDescent="0.25">
      <c r="A966" s="45"/>
      <c r="B966" s="54"/>
      <c r="C966" s="47">
        <f t="shared" si="150"/>
        <v>4</v>
      </c>
      <c r="D966" s="73"/>
      <c r="E966" s="70"/>
      <c r="F966" s="70" t="s">
        <v>1672</v>
      </c>
      <c r="G966" s="73"/>
      <c r="H966" s="76" t="s">
        <v>1489</v>
      </c>
      <c r="I966" s="96" t="s">
        <v>500</v>
      </c>
      <c r="J966" s="96"/>
      <c r="K966" s="76"/>
      <c r="L966" s="76"/>
      <c r="M966" s="76"/>
      <c r="N966" s="76"/>
      <c r="O966" s="76"/>
      <c r="P966" s="76"/>
      <c r="Q966" s="76"/>
      <c r="R966" s="76"/>
      <c r="S966" s="76"/>
      <c r="T966" s="76"/>
      <c r="U966" s="76"/>
      <c r="V966" s="76"/>
      <c r="W966" s="76"/>
      <c r="X966" s="76"/>
      <c r="Y966" s="76"/>
      <c r="Z966" s="76"/>
      <c r="AA966" s="76"/>
      <c r="AB966" s="76"/>
      <c r="AC966" s="76"/>
      <c r="AD966" s="76"/>
      <c r="AE966" s="76"/>
      <c r="AF966" s="76"/>
      <c r="AG966" s="76"/>
      <c r="AH966" s="76">
        <v>1</v>
      </c>
      <c r="AI966" s="76">
        <v>1</v>
      </c>
      <c r="AJ966" s="73"/>
      <c r="AK966" s="57"/>
      <c r="AL966" s="45"/>
      <c r="AM966" s="45"/>
      <c r="AN966" s="45"/>
    </row>
    <row r="967" spans="1:40" hidden="1" outlineLevel="3" x14ac:dyDescent="0.25">
      <c r="A967" s="45"/>
      <c r="B967" s="54"/>
      <c r="C967" s="47">
        <f t="shared" si="150"/>
        <v>4</v>
      </c>
      <c r="D967" s="73"/>
      <c r="E967" s="70"/>
      <c r="F967" s="70" t="s">
        <v>1673</v>
      </c>
      <c r="G967" s="73"/>
      <c r="H967" s="76" t="s">
        <v>1491</v>
      </c>
      <c r="I967" s="96" t="s">
        <v>500</v>
      </c>
      <c r="J967" s="96"/>
      <c r="K967" s="76"/>
      <c r="L967" s="76"/>
      <c r="M967" s="76"/>
      <c r="N967" s="76"/>
      <c r="O967" s="76"/>
      <c r="P967" s="76"/>
      <c r="Q967" s="76"/>
      <c r="R967" s="76"/>
      <c r="S967" s="76"/>
      <c r="T967" s="76"/>
      <c r="U967" s="76"/>
      <c r="V967" s="76"/>
      <c r="W967" s="76"/>
      <c r="X967" s="76"/>
      <c r="Y967" s="76"/>
      <c r="Z967" s="76"/>
      <c r="AA967" s="76"/>
      <c r="AB967" s="76"/>
      <c r="AC967" s="76"/>
      <c r="AD967" s="76"/>
      <c r="AE967" s="76"/>
      <c r="AF967" s="76"/>
      <c r="AG967" s="76"/>
      <c r="AH967" s="76">
        <v>1</v>
      </c>
      <c r="AI967" s="76">
        <v>1</v>
      </c>
      <c r="AJ967" s="73"/>
      <c r="AK967" s="57"/>
      <c r="AL967" s="45"/>
      <c r="AM967" s="45"/>
      <c r="AN967" s="45"/>
    </row>
    <row r="968" spans="1:40" hidden="1" outlineLevel="3" x14ac:dyDescent="0.25">
      <c r="A968" s="45"/>
      <c r="B968" s="54"/>
      <c r="C968" s="47">
        <f t="shared" si="150"/>
        <v>4</v>
      </c>
      <c r="D968" s="73"/>
      <c r="E968" s="70"/>
      <c r="F968" s="70" t="s">
        <v>1674</v>
      </c>
      <c r="G968" s="73"/>
      <c r="H968" s="76" t="s">
        <v>1493</v>
      </c>
      <c r="I968" s="96" t="s">
        <v>500</v>
      </c>
      <c r="J968" s="96"/>
      <c r="K968" s="76"/>
      <c r="L968" s="76"/>
      <c r="M968" s="76"/>
      <c r="N968" s="76"/>
      <c r="O968" s="76"/>
      <c r="P968" s="76"/>
      <c r="Q968" s="76"/>
      <c r="R968" s="76"/>
      <c r="S968" s="76"/>
      <c r="T968" s="76"/>
      <c r="U968" s="76"/>
      <c r="V968" s="76"/>
      <c r="W968" s="76"/>
      <c r="X968" s="76"/>
      <c r="Y968" s="76"/>
      <c r="Z968" s="76"/>
      <c r="AA968" s="76"/>
      <c r="AB968" s="76"/>
      <c r="AC968" s="76"/>
      <c r="AD968" s="76"/>
      <c r="AE968" s="76"/>
      <c r="AF968" s="76"/>
      <c r="AG968" s="76"/>
      <c r="AH968" s="76">
        <v>1</v>
      </c>
      <c r="AI968" s="76">
        <v>1</v>
      </c>
      <c r="AJ968" s="73"/>
      <c r="AK968" s="57"/>
      <c r="AL968" s="45"/>
      <c r="AM968" s="45"/>
      <c r="AN968" s="45"/>
    </row>
    <row r="969" spans="1:40" hidden="1" outlineLevel="3" x14ac:dyDescent="0.25">
      <c r="A969" s="45"/>
      <c r="B969" s="54"/>
      <c r="C969" s="47">
        <f t="shared" si="150"/>
        <v>4</v>
      </c>
      <c r="D969" s="73"/>
      <c r="E969" s="70"/>
      <c r="F969" s="70" t="s">
        <v>1675</v>
      </c>
      <c r="G969" s="73"/>
      <c r="H969" s="76" t="s">
        <v>1487</v>
      </c>
      <c r="I969" s="96" t="s">
        <v>500</v>
      </c>
      <c r="J969" s="96"/>
      <c r="K969" s="76"/>
      <c r="L969" s="76"/>
      <c r="M969" s="76"/>
      <c r="N969" s="76"/>
      <c r="O969" s="76"/>
      <c r="P969" s="76"/>
      <c r="Q969" s="76"/>
      <c r="R969" s="76"/>
      <c r="S969" s="76"/>
      <c r="T969" s="76"/>
      <c r="U969" s="76"/>
      <c r="V969" s="76"/>
      <c r="W969" s="76"/>
      <c r="X969" s="76"/>
      <c r="Y969" s="76"/>
      <c r="Z969" s="76"/>
      <c r="AA969" s="76"/>
      <c r="AB969" s="76"/>
      <c r="AC969" s="76"/>
      <c r="AD969" s="76"/>
      <c r="AE969" s="76"/>
      <c r="AF969" s="76"/>
      <c r="AG969" s="76"/>
      <c r="AH969" s="76">
        <v>1</v>
      </c>
      <c r="AI969" s="76">
        <v>1</v>
      </c>
      <c r="AJ969" s="73"/>
      <c r="AK969" s="57"/>
      <c r="AL969" s="45"/>
      <c r="AM969" s="45"/>
      <c r="AN969" s="45"/>
    </row>
    <row r="970" spans="1:40" hidden="1" outlineLevel="3" x14ac:dyDescent="0.25">
      <c r="A970" s="45"/>
      <c r="B970" s="54"/>
      <c r="C970" s="47">
        <f t="shared" si="150"/>
        <v>4</v>
      </c>
      <c r="D970" s="73"/>
      <c r="E970" s="70"/>
      <c r="F970" s="70" t="s">
        <v>1676</v>
      </c>
      <c r="G970" s="73"/>
      <c r="H970" s="76" t="s">
        <v>1489</v>
      </c>
      <c r="I970" s="96" t="s">
        <v>500</v>
      </c>
      <c r="J970" s="96"/>
      <c r="K970" s="76"/>
      <c r="L970" s="76"/>
      <c r="M970" s="76"/>
      <c r="N970" s="76"/>
      <c r="O970" s="76"/>
      <c r="P970" s="76"/>
      <c r="Q970" s="76"/>
      <c r="R970" s="76"/>
      <c r="S970" s="76"/>
      <c r="T970" s="76"/>
      <c r="U970" s="76"/>
      <c r="V970" s="76"/>
      <c r="W970" s="76"/>
      <c r="X970" s="76"/>
      <c r="Y970" s="76"/>
      <c r="Z970" s="76"/>
      <c r="AA970" s="76"/>
      <c r="AB970" s="76"/>
      <c r="AC970" s="76"/>
      <c r="AD970" s="76"/>
      <c r="AE970" s="76"/>
      <c r="AF970" s="76"/>
      <c r="AG970" s="76"/>
      <c r="AH970" s="76">
        <v>1</v>
      </c>
      <c r="AI970" s="76">
        <v>1</v>
      </c>
      <c r="AJ970" s="73"/>
      <c r="AK970" s="57"/>
      <c r="AL970" s="45"/>
      <c r="AM970" s="45"/>
      <c r="AN970" s="45"/>
    </row>
    <row r="971" spans="1:40" hidden="1" outlineLevel="3" x14ac:dyDescent="0.25">
      <c r="A971" s="45"/>
      <c r="B971" s="54"/>
      <c r="C971" s="47">
        <f t="shared" si="150"/>
        <v>4</v>
      </c>
      <c r="D971" s="73"/>
      <c r="E971" s="70"/>
      <c r="F971" s="70" t="s">
        <v>1677</v>
      </c>
      <c r="G971" s="73"/>
      <c r="H971" s="76" t="s">
        <v>1491</v>
      </c>
      <c r="I971" s="96" t="s">
        <v>500</v>
      </c>
      <c r="J971" s="96"/>
      <c r="K971" s="76"/>
      <c r="L971" s="76"/>
      <c r="M971" s="76"/>
      <c r="N971" s="76"/>
      <c r="O971" s="76"/>
      <c r="P971" s="76"/>
      <c r="Q971" s="76"/>
      <c r="R971" s="76"/>
      <c r="S971" s="76"/>
      <c r="T971" s="76"/>
      <c r="U971" s="76"/>
      <c r="V971" s="76"/>
      <c r="W971" s="76"/>
      <c r="X971" s="76"/>
      <c r="Y971" s="76"/>
      <c r="Z971" s="76"/>
      <c r="AA971" s="76"/>
      <c r="AB971" s="76"/>
      <c r="AC971" s="76"/>
      <c r="AD971" s="76"/>
      <c r="AE971" s="76"/>
      <c r="AF971" s="76"/>
      <c r="AG971" s="76"/>
      <c r="AH971" s="76">
        <v>1</v>
      </c>
      <c r="AI971" s="76">
        <v>1</v>
      </c>
      <c r="AJ971" s="73"/>
      <c r="AK971" s="57"/>
      <c r="AL971" s="45"/>
      <c r="AM971" s="45"/>
      <c r="AN971" s="45"/>
    </row>
    <row r="972" spans="1:40" hidden="1" outlineLevel="3" x14ac:dyDescent="0.25">
      <c r="A972" s="45"/>
      <c r="B972" s="54"/>
      <c r="C972" s="47">
        <f t="shared" si="150"/>
        <v>4</v>
      </c>
      <c r="D972" s="73"/>
      <c r="E972" s="70"/>
      <c r="F972" s="70" t="s">
        <v>1678</v>
      </c>
      <c r="G972" s="73"/>
      <c r="H972" s="76" t="s">
        <v>1493</v>
      </c>
      <c r="I972" s="96" t="s">
        <v>500</v>
      </c>
      <c r="J972" s="96"/>
      <c r="K972" s="76"/>
      <c r="L972" s="76"/>
      <c r="M972" s="76"/>
      <c r="N972" s="76"/>
      <c r="O972" s="76"/>
      <c r="P972" s="76"/>
      <c r="Q972" s="76"/>
      <c r="R972" s="76"/>
      <c r="S972" s="76"/>
      <c r="T972" s="76"/>
      <c r="U972" s="76"/>
      <c r="V972" s="76"/>
      <c r="W972" s="76"/>
      <c r="X972" s="76"/>
      <c r="Y972" s="76"/>
      <c r="Z972" s="76"/>
      <c r="AA972" s="76"/>
      <c r="AB972" s="76"/>
      <c r="AC972" s="76"/>
      <c r="AD972" s="76"/>
      <c r="AE972" s="76"/>
      <c r="AF972" s="76"/>
      <c r="AG972" s="76"/>
      <c r="AH972" s="76">
        <v>1</v>
      </c>
      <c r="AI972" s="76">
        <v>1</v>
      </c>
      <c r="AJ972" s="73"/>
      <c r="AK972" s="57"/>
      <c r="AL972" s="45"/>
      <c r="AM972" s="45"/>
      <c r="AN972" s="45"/>
    </row>
    <row r="973" spans="1:40" hidden="1" outlineLevel="3" x14ac:dyDescent="0.25">
      <c r="A973" s="45"/>
      <c r="B973" s="54"/>
      <c r="C973" s="47">
        <f t="shared" si="150"/>
        <v>4</v>
      </c>
      <c r="D973" s="73"/>
      <c r="E973" s="70"/>
      <c r="F973" s="70" t="s">
        <v>1679</v>
      </c>
      <c r="G973" s="73"/>
      <c r="H973" s="76" t="s">
        <v>1575</v>
      </c>
      <c r="I973" s="96" t="s">
        <v>500</v>
      </c>
      <c r="J973" s="96"/>
      <c r="K973" s="76"/>
      <c r="L973" s="76"/>
      <c r="M973" s="76"/>
      <c r="N973" s="76"/>
      <c r="O973" s="76"/>
      <c r="P973" s="76"/>
      <c r="Q973" s="76"/>
      <c r="R973" s="76"/>
      <c r="S973" s="76"/>
      <c r="T973" s="76"/>
      <c r="U973" s="76"/>
      <c r="V973" s="76"/>
      <c r="W973" s="76"/>
      <c r="X973" s="76"/>
      <c r="Y973" s="76"/>
      <c r="Z973" s="76"/>
      <c r="AA973" s="76"/>
      <c r="AB973" s="76"/>
      <c r="AC973" s="76"/>
      <c r="AD973" s="76"/>
      <c r="AE973" s="76"/>
      <c r="AF973" s="76"/>
      <c r="AG973" s="76"/>
      <c r="AH973" s="76">
        <v>1</v>
      </c>
      <c r="AI973" s="76">
        <v>1</v>
      </c>
      <c r="AJ973" s="73"/>
      <c r="AK973" s="57"/>
      <c r="AL973" s="45"/>
      <c r="AM973" s="45"/>
      <c r="AN973" s="45"/>
    </row>
    <row r="974" spans="1:40" hidden="1" outlineLevel="3" x14ac:dyDescent="0.25">
      <c r="A974" s="45"/>
      <c r="B974" s="54"/>
      <c r="C974" s="47">
        <f t="shared" si="150"/>
        <v>4</v>
      </c>
      <c r="D974" s="73"/>
      <c r="E974" s="70"/>
      <c r="F974" s="70" t="s">
        <v>1680</v>
      </c>
      <c r="G974" s="73"/>
      <c r="H974" s="76" t="s">
        <v>1489</v>
      </c>
      <c r="I974" s="96" t="s">
        <v>500</v>
      </c>
      <c r="J974" s="96"/>
      <c r="K974" s="76"/>
      <c r="L974" s="76"/>
      <c r="M974" s="76"/>
      <c r="N974" s="76"/>
      <c r="O974" s="76"/>
      <c r="P974" s="76"/>
      <c r="Q974" s="76"/>
      <c r="R974" s="76"/>
      <c r="S974" s="76"/>
      <c r="T974" s="76"/>
      <c r="U974" s="76"/>
      <c r="V974" s="76"/>
      <c r="W974" s="76"/>
      <c r="X974" s="76"/>
      <c r="Y974" s="76"/>
      <c r="Z974" s="76"/>
      <c r="AA974" s="76"/>
      <c r="AB974" s="76"/>
      <c r="AC974" s="76"/>
      <c r="AD974" s="76"/>
      <c r="AE974" s="76"/>
      <c r="AF974" s="76"/>
      <c r="AG974" s="76"/>
      <c r="AH974" s="76">
        <v>1</v>
      </c>
      <c r="AI974" s="76">
        <v>1</v>
      </c>
      <c r="AJ974" s="73"/>
      <c r="AK974" s="57"/>
      <c r="AL974" s="45"/>
      <c r="AM974" s="45"/>
      <c r="AN974" s="45"/>
    </row>
    <row r="975" spans="1:40" hidden="1" outlineLevel="3" x14ac:dyDescent="0.25">
      <c r="A975" s="45"/>
      <c r="B975" s="54"/>
      <c r="C975" s="47">
        <f t="shared" si="150"/>
        <v>4</v>
      </c>
      <c r="D975" s="73"/>
      <c r="E975" s="70"/>
      <c r="F975" s="70" t="s">
        <v>1681</v>
      </c>
      <c r="G975" s="73"/>
      <c r="H975" s="76" t="s">
        <v>1491</v>
      </c>
      <c r="I975" s="96" t="s">
        <v>500</v>
      </c>
      <c r="J975" s="96"/>
      <c r="K975" s="76"/>
      <c r="L975" s="76"/>
      <c r="M975" s="76"/>
      <c r="N975" s="76"/>
      <c r="O975" s="76"/>
      <c r="P975" s="76"/>
      <c r="Q975" s="76"/>
      <c r="R975" s="76"/>
      <c r="S975" s="76"/>
      <c r="T975" s="76"/>
      <c r="U975" s="76"/>
      <c r="V975" s="76"/>
      <c r="W975" s="76"/>
      <c r="X975" s="76"/>
      <c r="Y975" s="76"/>
      <c r="Z975" s="76"/>
      <c r="AA975" s="76"/>
      <c r="AB975" s="76"/>
      <c r="AC975" s="76"/>
      <c r="AD975" s="76"/>
      <c r="AE975" s="76"/>
      <c r="AF975" s="76"/>
      <c r="AG975" s="76"/>
      <c r="AH975" s="76">
        <v>1</v>
      </c>
      <c r="AI975" s="76">
        <v>1</v>
      </c>
      <c r="AJ975" s="73"/>
      <c r="AK975" s="57"/>
      <c r="AL975" s="45"/>
      <c r="AM975" s="45"/>
      <c r="AN975" s="45"/>
    </row>
    <row r="976" spans="1:40" hidden="1" outlineLevel="3" x14ac:dyDescent="0.25">
      <c r="A976" s="45"/>
      <c r="B976" s="54"/>
      <c r="C976" s="47">
        <f t="shared" si="150"/>
        <v>4</v>
      </c>
      <c r="D976" s="73"/>
      <c r="E976" s="70"/>
      <c r="F976" s="70" t="s">
        <v>1682</v>
      </c>
      <c r="G976" s="73"/>
      <c r="H976" s="76" t="s">
        <v>1493</v>
      </c>
      <c r="I976" s="96" t="s">
        <v>500</v>
      </c>
      <c r="J976" s="96"/>
      <c r="K976" s="76"/>
      <c r="L976" s="76"/>
      <c r="M976" s="76"/>
      <c r="N976" s="76"/>
      <c r="O976" s="76"/>
      <c r="P976" s="76"/>
      <c r="Q976" s="76"/>
      <c r="R976" s="76"/>
      <c r="S976" s="76"/>
      <c r="T976" s="76"/>
      <c r="U976" s="76"/>
      <c r="V976" s="76"/>
      <c r="W976" s="76"/>
      <c r="X976" s="76"/>
      <c r="Y976" s="76"/>
      <c r="Z976" s="76"/>
      <c r="AA976" s="76"/>
      <c r="AB976" s="76"/>
      <c r="AC976" s="76"/>
      <c r="AD976" s="76"/>
      <c r="AE976" s="76"/>
      <c r="AF976" s="76"/>
      <c r="AG976" s="76"/>
      <c r="AH976" s="76">
        <v>1</v>
      </c>
      <c r="AI976" s="76">
        <v>1</v>
      </c>
      <c r="AJ976" s="73"/>
      <c r="AK976" s="57"/>
      <c r="AL976" s="45"/>
      <c r="AM976" s="45"/>
      <c r="AN976" s="45"/>
    </row>
    <row r="977" spans="1:40" hidden="1" outlineLevel="3" x14ac:dyDescent="0.25">
      <c r="A977" s="45"/>
      <c r="B977" s="54"/>
      <c r="C977" s="47">
        <f t="shared" si="150"/>
        <v>4</v>
      </c>
      <c r="D977" s="73"/>
      <c r="E977" s="70"/>
      <c r="F977" s="70" t="s">
        <v>1683</v>
      </c>
      <c r="G977" s="73"/>
      <c r="H977" s="76" t="s">
        <v>1580</v>
      </c>
      <c r="I977" s="96" t="s">
        <v>500</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25">
      <c r="A978" s="45"/>
      <c r="B978" s="54"/>
      <c r="C978" s="47">
        <f t="shared" si="150"/>
        <v>4</v>
      </c>
      <c r="D978" s="73"/>
      <c r="E978" s="70"/>
      <c r="F978" s="70" t="s">
        <v>1684</v>
      </c>
      <c r="G978" s="73"/>
      <c r="H978" s="76" t="s">
        <v>1489</v>
      </c>
      <c r="I978" s="96" t="s">
        <v>500</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25">
      <c r="A979" s="45"/>
      <c r="B979" s="54"/>
      <c r="C979" s="47">
        <f t="shared" si="150"/>
        <v>4</v>
      </c>
      <c r="D979" s="73"/>
      <c r="E979" s="70"/>
      <c r="F979" s="70" t="s">
        <v>1685</v>
      </c>
      <c r="G979" s="73"/>
      <c r="H979" s="76" t="s">
        <v>1491</v>
      </c>
      <c r="I979" s="96" t="s">
        <v>500</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25">
      <c r="A980" s="45"/>
      <c r="B980" s="54"/>
      <c r="C980" s="47">
        <f t="shared" si="150"/>
        <v>4</v>
      </c>
      <c r="D980" s="73"/>
      <c r="E980" s="70"/>
      <c r="F980" s="70" t="s">
        <v>1686</v>
      </c>
      <c r="G980" s="73"/>
      <c r="H980" s="76" t="s">
        <v>1493</v>
      </c>
      <c r="I980" s="96" t="s">
        <v>500</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25">
      <c r="A981" s="45"/>
      <c r="B981" s="54"/>
      <c r="C981" s="47">
        <f t="shared" si="150"/>
        <v>4</v>
      </c>
      <c r="D981" s="73"/>
      <c r="E981" s="70"/>
      <c r="F981" s="70" t="s">
        <v>1687</v>
      </c>
      <c r="G981" s="73"/>
      <c r="H981" s="76" t="s">
        <v>1487</v>
      </c>
      <c r="I981" s="96" t="s">
        <v>500</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150"/>
        <v>4</v>
      </c>
      <c r="D982" s="73"/>
      <c r="E982" s="70"/>
      <c r="F982" s="70" t="s">
        <v>1688</v>
      </c>
      <c r="G982" s="73"/>
      <c r="H982" s="76" t="s">
        <v>1489</v>
      </c>
      <c r="I982" s="96" t="s">
        <v>500</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150"/>
        <v>4</v>
      </c>
      <c r="D983" s="73"/>
      <c r="E983" s="70"/>
      <c r="F983" s="70" t="s">
        <v>1689</v>
      </c>
      <c r="G983" s="73"/>
      <c r="H983" s="76" t="s">
        <v>1491</v>
      </c>
      <c r="I983" s="96" t="s">
        <v>500</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150"/>
        <v>4</v>
      </c>
      <c r="D984" s="73"/>
      <c r="E984" s="70"/>
      <c r="F984" s="70" t="s">
        <v>1690</v>
      </c>
      <c r="G984" s="73"/>
      <c r="H984" s="76" t="s">
        <v>1493</v>
      </c>
      <c r="I984" s="96" t="s">
        <v>500</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150"/>
        <v>4</v>
      </c>
      <c r="D985" s="73"/>
      <c r="E985" s="70"/>
      <c r="F985" s="70" t="s">
        <v>1691</v>
      </c>
      <c r="G985" s="73"/>
      <c r="H985" s="76" t="s">
        <v>1487</v>
      </c>
      <c r="I985" s="96" t="s">
        <v>500</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150"/>
        <v>4</v>
      </c>
      <c r="D986" s="73"/>
      <c r="E986" s="70"/>
      <c r="F986" s="70" t="s">
        <v>1692</v>
      </c>
      <c r="G986" s="73"/>
      <c r="H986" s="76" t="s">
        <v>1489</v>
      </c>
      <c r="I986" s="96" t="s">
        <v>500</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150"/>
        <v>4</v>
      </c>
      <c r="D987" s="73"/>
      <c r="E987" s="70"/>
      <c r="F987" s="70" t="s">
        <v>1693</v>
      </c>
      <c r="G987" s="73"/>
      <c r="H987" s="76" t="s">
        <v>1491</v>
      </c>
      <c r="I987" s="96" t="s">
        <v>500</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150"/>
        <v>4</v>
      </c>
      <c r="D988" s="73"/>
      <c r="E988" s="70"/>
      <c r="F988" s="70" t="s">
        <v>1694</v>
      </c>
      <c r="G988" s="73"/>
      <c r="H988" s="76" t="s">
        <v>1493</v>
      </c>
      <c r="I988" s="96" t="s">
        <v>500</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150"/>
        <v>4</v>
      </c>
      <c r="D989" s="73"/>
      <c r="E989" s="70"/>
      <c r="F989" s="70" t="s">
        <v>1695</v>
      </c>
      <c r="G989" s="73"/>
      <c r="H989" s="76" t="s">
        <v>1487</v>
      </c>
      <c r="I989" s="96" t="s">
        <v>500</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150"/>
        <v>4</v>
      </c>
      <c r="D990" s="73"/>
      <c r="E990" s="70"/>
      <c r="F990" s="70" t="s">
        <v>1696</v>
      </c>
      <c r="G990" s="73"/>
      <c r="H990" s="76" t="s">
        <v>1489</v>
      </c>
      <c r="I990" s="96" t="s">
        <v>500</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150"/>
        <v>4</v>
      </c>
      <c r="D991" s="73"/>
      <c r="E991" s="70"/>
      <c r="F991" s="70" t="s">
        <v>1697</v>
      </c>
      <c r="G991" s="73"/>
      <c r="H991" s="76" t="s">
        <v>1491</v>
      </c>
      <c r="I991" s="96" t="s">
        <v>500</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150"/>
        <v>4</v>
      </c>
      <c r="D992" s="73"/>
      <c r="E992" s="70"/>
      <c r="F992" s="70" t="s">
        <v>1698</v>
      </c>
      <c r="G992" s="73"/>
      <c r="H992" s="76" t="s">
        <v>1493</v>
      </c>
      <c r="I992" s="96" t="s">
        <v>500</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ref="C993:C1000" si="151">INT($C$29)+3</f>
        <v>4</v>
      </c>
      <c r="D993" s="73"/>
      <c r="E993" s="70"/>
      <c r="F993" s="70" t="s">
        <v>1699</v>
      </c>
      <c r="G993" s="73"/>
      <c r="H993" s="76" t="s">
        <v>1609</v>
      </c>
      <c r="I993" s="96" t="s">
        <v>500</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151"/>
        <v>4</v>
      </c>
      <c r="D994" s="73"/>
      <c r="E994" s="70"/>
      <c r="F994" s="70" t="s">
        <v>1700</v>
      </c>
      <c r="G994" s="73"/>
      <c r="H994" s="76" t="s">
        <v>1489</v>
      </c>
      <c r="I994" s="96" t="s">
        <v>500</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151"/>
        <v>4</v>
      </c>
      <c r="D995" s="73"/>
      <c r="E995" s="70"/>
      <c r="F995" s="70" t="s">
        <v>1701</v>
      </c>
      <c r="G995" s="73"/>
      <c r="H995" s="76" t="s">
        <v>1491</v>
      </c>
      <c r="I995" s="96" t="s">
        <v>500</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151"/>
        <v>4</v>
      </c>
      <c r="D996" s="73"/>
      <c r="E996" s="70"/>
      <c r="F996" s="70" t="s">
        <v>1702</v>
      </c>
      <c r="G996" s="73"/>
      <c r="H996" s="76" t="s">
        <v>1493</v>
      </c>
      <c r="I996" s="96" t="s">
        <v>500</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151"/>
        <v>4</v>
      </c>
      <c r="D997" s="73"/>
      <c r="E997" s="70"/>
      <c r="F997" s="70" t="s">
        <v>1703</v>
      </c>
      <c r="G997" s="73"/>
      <c r="H997" s="76" t="s">
        <v>1614</v>
      </c>
      <c r="I997" s="96" t="s">
        <v>500</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151"/>
        <v>4</v>
      </c>
      <c r="D998" s="73"/>
      <c r="E998" s="70"/>
      <c r="F998" s="70" t="s">
        <v>1704</v>
      </c>
      <c r="G998" s="73"/>
      <c r="H998" s="76" t="s">
        <v>1616</v>
      </c>
      <c r="I998" s="96" t="s">
        <v>500</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151"/>
        <v>4</v>
      </c>
      <c r="D999" s="73"/>
      <c r="E999" s="70"/>
      <c r="F999" s="70" t="s">
        <v>1705</v>
      </c>
      <c r="G999" s="73"/>
      <c r="H999" s="76" t="s">
        <v>1618</v>
      </c>
      <c r="I999" s="96" t="s">
        <v>500</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151"/>
        <v>4</v>
      </c>
      <c r="D1000" s="73"/>
      <c r="E1000" s="70"/>
      <c r="F1000" s="70" t="s">
        <v>1706</v>
      </c>
      <c r="G1000" s="73"/>
      <c r="H1000" s="76" t="s">
        <v>1620</v>
      </c>
      <c r="I1000" s="96" t="s">
        <v>500</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2" x14ac:dyDescent="0.25">
      <c r="A1001" s="45"/>
      <c r="B1001" s="54"/>
      <c r="C1001" s="47">
        <f>INT($C$29)+2</f>
        <v>3</v>
      </c>
      <c r="D1001" s="73"/>
      <c r="E1001" s="70" t="s">
        <v>1707</v>
      </c>
      <c r="F1001" s="70" t="s">
        <v>1708</v>
      </c>
      <c r="G1001" s="73"/>
      <c r="H1001" s="76" t="s">
        <v>1709</v>
      </c>
      <c r="I1001" s="96" t="s">
        <v>500</v>
      </c>
      <c r="J1001" s="96"/>
      <c r="K1001" s="76"/>
      <c r="L1001" s="76"/>
      <c r="M1001" s="76"/>
      <c r="N1001" s="76"/>
      <c r="O1001" s="76"/>
      <c r="P1001" s="76"/>
      <c r="Q1001" s="76"/>
      <c r="R1001" s="76"/>
      <c r="S1001" s="76"/>
      <c r="T1001" s="76"/>
      <c r="U1001" s="76">
        <v>0</v>
      </c>
      <c r="V1001" s="76">
        <v>0</v>
      </c>
      <c r="W1001" s="76">
        <v>0</v>
      </c>
      <c r="X1001" s="76">
        <v>0</v>
      </c>
      <c r="Y1001" s="76">
        <v>0</v>
      </c>
      <c r="Z1001" s="76">
        <v>0</v>
      </c>
      <c r="AA1001" s="76">
        <v>0</v>
      </c>
      <c r="AB1001" s="76">
        <v>0</v>
      </c>
      <c r="AC1001" s="76">
        <v>0</v>
      </c>
      <c r="AD1001" s="76">
        <v>0</v>
      </c>
      <c r="AE1001" s="76"/>
      <c r="AF1001" s="263" t="s">
        <v>1710</v>
      </c>
      <c r="AG1001" s="76"/>
      <c r="AH1001" s="76">
        <v>1</v>
      </c>
      <c r="AI1001" s="76">
        <v>1</v>
      </c>
      <c r="AJ1001" s="73"/>
      <c r="AK1001" s="57"/>
      <c r="AL1001" s="45"/>
      <c r="AM1001" s="45"/>
      <c r="AN1001" s="45"/>
    </row>
    <row r="1002" spans="1:40" hidden="1" outlineLevel="2" x14ac:dyDescent="0.25">
      <c r="A1002" s="45"/>
      <c r="B1002" s="54"/>
      <c r="C1002" s="47">
        <f>INT($C$29)+2</f>
        <v>3</v>
      </c>
      <c r="D1002" s="73"/>
      <c r="E1002" s="70"/>
      <c r="F1002" s="70" t="s">
        <v>1711</v>
      </c>
      <c r="G1002" s="73"/>
      <c r="H1002" s="76" t="s">
        <v>1712</v>
      </c>
      <c r="I1002" s="96" t="s">
        <v>500</v>
      </c>
      <c r="J1002" s="96"/>
      <c r="K1002" s="97">
        <v>0.52400000000000002</v>
      </c>
      <c r="L1002" s="97">
        <v>0.65500000000000003</v>
      </c>
      <c r="M1002" s="97">
        <v>0.41599999999999998</v>
      </c>
      <c r="N1002" s="97">
        <v>0.41599999999999998</v>
      </c>
      <c r="O1002" s="97">
        <v>0.41599999999999998</v>
      </c>
      <c r="P1002" s="97">
        <v>0.57699999999999996</v>
      </c>
      <c r="Q1002" s="76"/>
      <c r="R1002" s="76" t="s">
        <v>548</v>
      </c>
      <c r="S1002" s="76" t="s">
        <v>548</v>
      </c>
      <c r="T1002" s="76"/>
      <c r="U1002" s="252">
        <f t="shared" ref="U1002:X1004" si="152">INDEX($K1002:$Q1002,1,U$43)</f>
        <v>0.52400000000000002</v>
      </c>
      <c r="V1002" s="252">
        <f t="shared" si="152"/>
        <v>0.52400000000000002</v>
      </c>
      <c r="W1002" s="252">
        <f t="shared" si="152"/>
        <v>0.52400000000000002</v>
      </c>
      <c r="X1002" s="252">
        <f t="shared" si="152"/>
        <v>0.52400000000000002</v>
      </c>
      <c r="Y1002" s="252">
        <v>0.52400000000000002</v>
      </c>
      <c r="Z1002" s="252">
        <v>0.52400000000000002</v>
      </c>
      <c r="AA1002" s="252">
        <v>0.52400000000000002</v>
      </c>
      <c r="AB1002" s="252">
        <v>0.65500000000000003</v>
      </c>
      <c r="AC1002" s="252">
        <f t="shared" ref="AC1002:AD1004" si="153">INDEX($K1002:$Q1002,1,AC$43)</f>
        <v>0.65500000000000003</v>
      </c>
      <c r="AD1002" s="252">
        <f t="shared" si="153"/>
        <v>0.65500000000000003</v>
      </c>
      <c r="AE1002" s="76"/>
      <c r="AF1002" s="76"/>
      <c r="AG1002" s="76"/>
      <c r="AH1002" s="97">
        <v>1</v>
      </c>
      <c r="AI1002" s="97">
        <v>1</v>
      </c>
      <c r="AJ1002" s="73"/>
      <c r="AK1002" s="57"/>
      <c r="AL1002" s="45"/>
      <c r="AM1002" s="45"/>
      <c r="AN1002" s="45"/>
    </row>
    <row r="1003" spans="1:40" hidden="1" outlineLevel="2" x14ac:dyDescent="0.25">
      <c r="A1003" s="45"/>
      <c r="B1003" s="54"/>
      <c r="C1003" s="47">
        <f>INT($C$29)+2</f>
        <v>3</v>
      </c>
      <c r="D1003" s="73"/>
      <c r="E1003" s="70"/>
      <c r="F1003" s="70" t="s">
        <v>1713</v>
      </c>
      <c r="G1003" s="73"/>
      <c r="H1003" s="76" t="s">
        <v>1714</v>
      </c>
      <c r="I1003" s="96" t="s">
        <v>500</v>
      </c>
      <c r="J1003" s="96"/>
      <c r="K1003" s="97">
        <v>0.70699999999999996</v>
      </c>
      <c r="L1003" s="97">
        <v>0.88400000000000001</v>
      </c>
      <c r="M1003" s="76"/>
      <c r="N1003" s="76"/>
      <c r="O1003" s="76"/>
      <c r="P1003" s="76"/>
      <c r="Q1003" s="76"/>
      <c r="R1003" s="76" t="s">
        <v>548</v>
      </c>
      <c r="S1003" s="76"/>
      <c r="T1003" s="76"/>
      <c r="U1003" s="252">
        <f t="shared" si="152"/>
        <v>0.70699999999999996</v>
      </c>
      <c r="V1003" s="252">
        <f t="shared" si="152"/>
        <v>0.70699999999999996</v>
      </c>
      <c r="W1003" s="252">
        <f t="shared" si="152"/>
        <v>0.70699999999999996</v>
      </c>
      <c r="X1003" s="252">
        <f t="shared" si="152"/>
        <v>0.70699999999999996</v>
      </c>
      <c r="Y1003" s="252">
        <v>0.70699999999999996</v>
      </c>
      <c r="Z1003" s="252">
        <v>0.70699999999999996</v>
      </c>
      <c r="AA1003" s="252">
        <v>0.70699999999999996</v>
      </c>
      <c r="AB1003" s="252">
        <v>0.88400000000000001</v>
      </c>
      <c r="AC1003" s="252">
        <f t="shared" si="153"/>
        <v>0.88400000000000001</v>
      </c>
      <c r="AD1003" s="252">
        <f t="shared" si="153"/>
        <v>0.88400000000000001</v>
      </c>
      <c r="AE1003" s="76"/>
      <c r="AF1003" s="76"/>
      <c r="AG1003" s="76"/>
      <c r="AH1003" s="97">
        <v>1</v>
      </c>
      <c r="AI1003" s="97">
        <v>1</v>
      </c>
      <c r="AJ1003" s="73"/>
      <c r="AK1003" s="57"/>
      <c r="AL1003" s="45"/>
      <c r="AM1003" s="45"/>
      <c r="AN1003" s="45"/>
    </row>
    <row r="1004" spans="1:40" hidden="1" outlineLevel="2" x14ac:dyDescent="0.25">
      <c r="A1004" s="45"/>
      <c r="B1004" s="54"/>
      <c r="C1004" s="47">
        <f>INT($C$29)+2</f>
        <v>3</v>
      </c>
      <c r="D1004" s="73"/>
      <c r="E1004" s="70"/>
      <c r="F1004" s="70" t="s">
        <v>1715</v>
      </c>
      <c r="G1004" s="73"/>
      <c r="H1004" s="76" t="s">
        <v>1716</v>
      </c>
      <c r="I1004" s="96" t="s">
        <v>500</v>
      </c>
      <c r="J1004" s="96"/>
      <c r="K1004" s="97">
        <v>0.89100000000000001</v>
      </c>
      <c r="L1004" s="97">
        <v>1.1140000000000001</v>
      </c>
      <c r="M1004" s="76"/>
      <c r="N1004" s="76"/>
      <c r="O1004" s="76"/>
      <c r="P1004" s="76"/>
      <c r="Q1004" s="76"/>
      <c r="R1004" s="76" t="s">
        <v>548</v>
      </c>
      <c r="S1004" s="76"/>
      <c r="T1004" s="76"/>
      <c r="U1004" s="252">
        <f t="shared" si="152"/>
        <v>0.89100000000000001</v>
      </c>
      <c r="V1004" s="252">
        <f t="shared" si="152"/>
        <v>0.89100000000000001</v>
      </c>
      <c r="W1004" s="252">
        <f t="shared" si="152"/>
        <v>0.89100000000000001</v>
      </c>
      <c r="X1004" s="252">
        <f t="shared" si="152"/>
        <v>0.89100000000000001</v>
      </c>
      <c r="Y1004" s="252">
        <v>0.89100000000000001</v>
      </c>
      <c r="Z1004" s="252">
        <v>0.89100000000000001</v>
      </c>
      <c r="AA1004" s="252">
        <v>0.89100000000000001</v>
      </c>
      <c r="AB1004" s="252">
        <v>1.1140000000000001</v>
      </c>
      <c r="AC1004" s="252">
        <f t="shared" si="153"/>
        <v>1.1140000000000001</v>
      </c>
      <c r="AD1004" s="252">
        <f t="shared" si="153"/>
        <v>1.1140000000000001</v>
      </c>
      <c r="AE1004" s="76"/>
      <c r="AF1004" s="76"/>
      <c r="AG1004" s="76"/>
      <c r="AH1004" s="97">
        <v>1</v>
      </c>
      <c r="AI1004" s="97">
        <v>1</v>
      </c>
      <c r="AJ1004" s="73"/>
      <c r="AK1004" s="57"/>
      <c r="AL1004" s="45"/>
      <c r="AM1004" s="45"/>
      <c r="AN1004" s="45"/>
    </row>
    <row r="1005" spans="1:40" hidden="1" outlineLevel="3" x14ac:dyDescent="0.25">
      <c r="A1005" s="45"/>
      <c r="B1005" s="54"/>
      <c r="C1005" s="47">
        <f t="shared" ref="C1005:C1028" si="154">INT($C$29)+3</f>
        <v>4</v>
      </c>
      <c r="D1005" s="73"/>
      <c r="E1005" s="70"/>
      <c r="F1005" s="70" t="s">
        <v>2543</v>
      </c>
      <c r="G1005" s="73"/>
      <c r="H1005" s="76" t="s">
        <v>1487</v>
      </c>
      <c r="I1005" s="96" t="s">
        <v>500</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154"/>
        <v>4</v>
      </c>
      <c r="D1006" s="73"/>
      <c r="E1006" s="70"/>
      <c r="F1006" s="70" t="s">
        <v>2544</v>
      </c>
      <c r="G1006" s="73"/>
      <c r="H1006" s="76" t="s">
        <v>1489</v>
      </c>
      <c r="I1006" s="96" t="s">
        <v>500</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154"/>
        <v>4</v>
      </c>
      <c r="D1007" s="73"/>
      <c r="E1007" s="70"/>
      <c r="F1007" s="70" t="s">
        <v>2545</v>
      </c>
      <c r="G1007" s="73"/>
      <c r="H1007" s="76" t="s">
        <v>1491</v>
      </c>
      <c r="I1007" s="96" t="s">
        <v>500</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154"/>
        <v>4</v>
      </c>
      <c r="D1008" s="73"/>
      <c r="E1008" s="70"/>
      <c r="F1008" s="70" t="s">
        <v>2546</v>
      </c>
      <c r="G1008" s="73"/>
      <c r="H1008" s="76" t="s">
        <v>1493</v>
      </c>
      <c r="I1008" s="96" t="s">
        <v>500</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154"/>
        <v>4</v>
      </c>
      <c r="D1009" s="73"/>
      <c r="E1009" s="70"/>
      <c r="F1009" s="70" t="s">
        <v>2547</v>
      </c>
      <c r="G1009" s="73"/>
      <c r="H1009" s="76" t="s">
        <v>1487</v>
      </c>
      <c r="I1009" s="96" t="s">
        <v>500</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154"/>
        <v>4</v>
      </c>
      <c r="D1010" s="73"/>
      <c r="E1010" s="70"/>
      <c r="F1010" s="70" t="s">
        <v>2548</v>
      </c>
      <c r="G1010" s="73"/>
      <c r="H1010" s="76" t="s">
        <v>1489</v>
      </c>
      <c r="I1010" s="96" t="s">
        <v>500</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154"/>
        <v>4</v>
      </c>
      <c r="D1011" s="73"/>
      <c r="E1011" s="70"/>
      <c r="F1011" s="70" t="s">
        <v>2549</v>
      </c>
      <c r="G1011" s="73"/>
      <c r="H1011" s="76" t="s">
        <v>1491</v>
      </c>
      <c r="I1011" s="96" t="s">
        <v>500</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154"/>
        <v>4</v>
      </c>
      <c r="D1012" s="73"/>
      <c r="E1012" s="70"/>
      <c r="F1012" s="70" t="s">
        <v>2550</v>
      </c>
      <c r="G1012" s="73"/>
      <c r="H1012" s="76" t="s">
        <v>1493</v>
      </c>
      <c r="I1012" s="96" t="s">
        <v>500</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154"/>
        <v>4</v>
      </c>
      <c r="D1013" s="73"/>
      <c r="E1013" s="70"/>
      <c r="F1013" s="70" t="s">
        <v>2551</v>
      </c>
      <c r="G1013" s="73"/>
      <c r="H1013" s="76" t="s">
        <v>1487</v>
      </c>
      <c r="I1013" s="96" t="s">
        <v>500</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154"/>
        <v>4</v>
      </c>
      <c r="D1014" s="73"/>
      <c r="E1014" s="70"/>
      <c r="F1014" s="70" t="s">
        <v>2552</v>
      </c>
      <c r="G1014" s="73"/>
      <c r="H1014" s="76" t="s">
        <v>1489</v>
      </c>
      <c r="I1014" s="96" t="s">
        <v>500</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154"/>
        <v>4</v>
      </c>
      <c r="D1015" s="73"/>
      <c r="E1015" s="70"/>
      <c r="F1015" s="70" t="s">
        <v>2553</v>
      </c>
      <c r="G1015" s="73"/>
      <c r="H1015" s="76" t="s">
        <v>1491</v>
      </c>
      <c r="I1015" s="96" t="s">
        <v>500</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154"/>
        <v>4</v>
      </c>
      <c r="D1016" s="73"/>
      <c r="E1016" s="70"/>
      <c r="F1016" s="70" t="s">
        <v>2554</v>
      </c>
      <c r="G1016" s="73"/>
      <c r="H1016" s="76" t="s">
        <v>1493</v>
      </c>
      <c r="I1016" s="96" t="s">
        <v>500</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154"/>
        <v>4</v>
      </c>
      <c r="D1017" s="73"/>
      <c r="E1017" s="70"/>
      <c r="F1017" s="70" t="s">
        <v>2555</v>
      </c>
      <c r="G1017" s="73"/>
      <c r="H1017" s="76" t="s">
        <v>1487</v>
      </c>
      <c r="I1017" s="96" t="s">
        <v>500</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154"/>
        <v>4</v>
      </c>
      <c r="D1018" s="73"/>
      <c r="E1018" s="70"/>
      <c r="F1018" s="70" t="s">
        <v>2556</v>
      </c>
      <c r="G1018" s="73"/>
      <c r="H1018" s="76" t="s">
        <v>1489</v>
      </c>
      <c r="I1018" s="96" t="s">
        <v>500</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154"/>
        <v>4</v>
      </c>
      <c r="D1019" s="73"/>
      <c r="E1019" s="70"/>
      <c r="F1019" s="70" t="s">
        <v>2557</v>
      </c>
      <c r="G1019" s="73"/>
      <c r="H1019" s="76" t="s">
        <v>1491</v>
      </c>
      <c r="I1019" s="96" t="s">
        <v>500</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154"/>
        <v>4</v>
      </c>
      <c r="D1020" s="73"/>
      <c r="E1020" s="70"/>
      <c r="F1020" s="70" t="s">
        <v>2558</v>
      </c>
      <c r="G1020" s="73"/>
      <c r="H1020" s="76" t="s">
        <v>1493</v>
      </c>
      <c r="I1020" s="96" t="s">
        <v>500</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154"/>
        <v>4</v>
      </c>
      <c r="D1021" s="73"/>
      <c r="E1021" s="70"/>
      <c r="F1021" s="70" t="s">
        <v>2559</v>
      </c>
      <c r="G1021" s="73"/>
      <c r="H1021" s="76" t="s">
        <v>1487</v>
      </c>
      <c r="I1021" s="96" t="s">
        <v>500</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154"/>
        <v>4</v>
      </c>
      <c r="D1022" s="73"/>
      <c r="E1022" s="70"/>
      <c r="F1022" s="70" t="s">
        <v>2560</v>
      </c>
      <c r="G1022" s="73"/>
      <c r="H1022" s="76" t="s">
        <v>1489</v>
      </c>
      <c r="I1022" s="96" t="s">
        <v>500</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154"/>
        <v>4</v>
      </c>
      <c r="D1023" s="73"/>
      <c r="E1023" s="70"/>
      <c r="F1023" s="70" t="s">
        <v>2561</v>
      </c>
      <c r="G1023" s="73"/>
      <c r="H1023" s="76" t="s">
        <v>1491</v>
      </c>
      <c r="I1023" s="96" t="s">
        <v>500</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154"/>
        <v>4</v>
      </c>
      <c r="D1024" s="73"/>
      <c r="E1024" s="70"/>
      <c r="F1024" s="70" t="s">
        <v>2562</v>
      </c>
      <c r="G1024" s="73"/>
      <c r="H1024" s="76" t="s">
        <v>1493</v>
      </c>
      <c r="I1024" s="96" t="s">
        <v>500</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154"/>
        <v>4</v>
      </c>
      <c r="D1025" s="73"/>
      <c r="E1025" s="70"/>
      <c r="F1025" s="70" t="s">
        <v>2563</v>
      </c>
      <c r="G1025" s="73"/>
      <c r="H1025" s="76" t="s">
        <v>1487</v>
      </c>
      <c r="I1025" s="96" t="s">
        <v>500</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154"/>
        <v>4</v>
      </c>
      <c r="D1026" s="73"/>
      <c r="E1026" s="70"/>
      <c r="F1026" s="70" t="s">
        <v>2564</v>
      </c>
      <c r="G1026" s="73"/>
      <c r="H1026" s="76" t="s">
        <v>1489</v>
      </c>
      <c r="I1026" s="96" t="s">
        <v>500</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154"/>
        <v>4</v>
      </c>
      <c r="D1027" s="73"/>
      <c r="E1027" s="70"/>
      <c r="F1027" s="70" t="s">
        <v>2565</v>
      </c>
      <c r="G1027" s="73"/>
      <c r="H1027" s="76" t="s">
        <v>1491</v>
      </c>
      <c r="I1027" s="96" t="s">
        <v>500</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154"/>
        <v>4</v>
      </c>
      <c r="D1028" s="73"/>
      <c r="E1028" s="70"/>
      <c r="F1028" s="70" t="s">
        <v>2566</v>
      </c>
      <c r="G1028" s="73"/>
      <c r="H1028" s="76" t="s">
        <v>1493</v>
      </c>
      <c r="I1028" s="96" t="s">
        <v>500</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outlineLevel="1" collapsed="1" x14ac:dyDescent="0.25">
      <c r="A1029" s="45"/>
      <c r="B1029" s="54"/>
      <c r="C1029" s="47">
        <f>INT($C$29)+1</f>
        <v>2</v>
      </c>
      <c r="D1029" s="73"/>
      <c r="E1029" s="70"/>
      <c r="F1029" s="264" t="s">
        <v>1717</v>
      </c>
      <c r="G1029" s="73"/>
      <c r="H1029" s="246" t="s">
        <v>1718</v>
      </c>
      <c r="I1029" s="96"/>
      <c r="J1029" s="96" t="s">
        <v>517</v>
      </c>
      <c r="K1029" s="76"/>
      <c r="L1029" s="76"/>
      <c r="M1029" s="76"/>
      <c r="N1029" s="76"/>
      <c r="O1029" s="76"/>
      <c r="P1029" s="76"/>
      <c r="Q1029" s="76"/>
      <c r="R1029" s="76"/>
      <c r="S1029" s="76"/>
      <c r="T1029" s="76"/>
      <c r="U1029" s="79">
        <v>5</v>
      </c>
      <c r="V1029" s="76"/>
      <c r="W1029" s="79">
        <v>0</v>
      </c>
      <c r="X1029" s="76"/>
      <c r="Y1029" s="79">
        <v>0</v>
      </c>
      <c r="Z1029" s="79">
        <v>0</v>
      </c>
      <c r="AA1029" s="79">
        <v>0</v>
      </c>
      <c r="AB1029" s="76"/>
      <c r="AC1029" s="76"/>
      <c r="AD1029" s="76"/>
      <c r="AE1029" s="76"/>
      <c r="AF1029" s="76"/>
      <c r="AG1029" s="76"/>
      <c r="AH1029" s="76"/>
      <c r="AI1029" s="76"/>
      <c r="AJ1029" s="73"/>
      <c r="AK1029" s="57"/>
      <c r="AL1029" s="45"/>
      <c r="AM1029" s="45"/>
      <c r="AN1029" s="45"/>
    </row>
    <row r="1030" spans="1:40" hidden="1" outlineLevel="2" x14ac:dyDescent="0.25">
      <c r="A1030" s="45"/>
      <c r="B1030" s="54"/>
      <c r="C1030" s="47">
        <f>INT($C$29)+2</f>
        <v>3</v>
      </c>
      <c r="D1030" s="73"/>
      <c r="E1030" s="70" t="s">
        <v>1719</v>
      </c>
      <c r="F1030" s="70" t="s">
        <v>1720</v>
      </c>
      <c r="G1030" s="73"/>
      <c r="H1030" s="76" t="s">
        <v>1721</v>
      </c>
      <c r="I1030" s="76"/>
      <c r="J1030" s="76"/>
      <c r="K1030" s="97">
        <v>0.99704199999999998</v>
      </c>
      <c r="L1030" s="97">
        <v>0.99704199999999998</v>
      </c>
      <c r="M1030" s="76"/>
      <c r="N1030" s="76"/>
      <c r="O1030" s="76"/>
      <c r="P1030" s="76"/>
      <c r="Q1030" s="76"/>
      <c r="R1030" s="76"/>
      <c r="S1030" s="76"/>
      <c r="T1030" s="76"/>
      <c r="U1030" s="252">
        <f>INDEX($K1030:$Q1030,1,U$43)</f>
        <v>0.99704199999999998</v>
      </c>
      <c r="V1030" s="252">
        <f>INDEX($K1030:$Q1030,1,V$43)</f>
        <v>0.99704199999999998</v>
      </c>
      <c r="W1030" s="252">
        <f>INDEX($K1030:$Q1030,1,W$43)</f>
        <v>0.99704199999999998</v>
      </c>
      <c r="X1030" s="252">
        <f>INDEX($K1030:$Q1030,1,X$43)</f>
        <v>0.99704199999999998</v>
      </c>
      <c r="Y1030" s="252">
        <v>0.99704199999999998</v>
      </c>
      <c r="Z1030" s="252">
        <v>0.99704199999999998</v>
      </c>
      <c r="AA1030" s="252">
        <v>0.99704199999999998</v>
      </c>
      <c r="AB1030" s="252">
        <v>0.99704199999999998</v>
      </c>
      <c r="AC1030" s="252">
        <f>INDEX($K1030:$Q1030,1,AC$43)</f>
        <v>0.99704199999999998</v>
      </c>
      <c r="AD1030" s="252">
        <f>INDEX($K1030:$Q1030,1,AD$43)</f>
        <v>0.99704199999999998</v>
      </c>
      <c r="AE1030" s="76"/>
      <c r="AF1030" s="76"/>
      <c r="AG1030" s="76"/>
      <c r="AH1030" s="97">
        <v>1</v>
      </c>
      <c r="AI1030" s="97">
        <v>1</v>
      </c>
      <c r="AJ1030" s="73"/>
      <c r="AK1030" s="57"/>
      <c r="AL1030" s="45"/>
      <c r="AM1030" s="45"/>
      <c r="AN1030" s="45"/>
    </row>
    <row r="1031" spans="1:40" hidden="1" outlineLevel="2" x14ac:dyDescent="0.25">
      <c r="A1031" s="45"/>
      <c r="B1031" s="54"/>
      <c r="C1031" s="47">
        <f>INT($C$29)+2</f>
        <v>3</v>
      </c>
      <c r="D1031" s="73"/>
      <c r="E1031" s="70"/>
      <c r="F1031" s="70" t="s">
        <v>1722</v>
      </c>
      <c r="G1031" s="73"/>
      <c r="H1031" s="129" t="s">
        <v>2786</v>
      </c>
      <c r="I1031" s="96"/>
      <c r="J1031" s="96"/>
      <c r="K1031" s="76"/>
      <c r="L1031" s="76"/>
      <c r="M1031" s="76"/>
      <c r="N1031" s="76"/>
      <c r="O1031" s="76"/>
      <c r="P1031" s="76"/>
      <c r="Q1031" s="76"/>
      <c r="R1031" s="76"/>
      <c r="S1031" s="76"/>
      <c r="T1031" s="76"/>
      <c r="U1031" s="265">
        <v>0.19</v>
      </c>
      <c r="V1031" s="265">
        <v>0.19</v>
      </c>
      <c r="W1031" s="265">
        <v>0.19</v>
      </c>
      <c r="X1031" s="265">
        <v>0.19</v>
      </c>
      <c r="Y1031" s="265">
        <v>0.19</v>
      </c>
      <c r="Z1031" s="265">
        <v>0.19</v>
      </c>
      <c r="AA1031" s="265">
        <v>0.19</v>
      </c>
      <c r="AB1031" s="265">
        <v>0.25</v>
      </c>
      <c r="AC1031" s="265">
        <v>0.25</v>
      </c>
      <c r="AD1031" s="265">
        <v>0.25</v>
      </c>
      <c r="AE1031" s="76"/>
      <c r="AF1031" s="97" t="s">
        <v>1724</v>
      </c>
      <c r="AG1031" s="76"/>
      <c r="AH1031" s="97">
        <v>1</v>
      </c>
      <c r="AI1031" s="97">
        <v>1</v>
      </c>
      <c r="AJ1031" s="73"/>
      <c r="AK1031" s="57"/>
      <c r="AL1031" s="45"/>
      <c r="AM1031" s="45"/>
      <c r="AN1031" s="45"/>
    </row>
    <row r="1032" spans="1:40" hidden="1" outlineLevel="2" x14ac:dyDescent="0.25">
      <c r="A1032" s="45"/>
      <c r="B1032" s="54"/>
      <c r="C1032" s="47">
        <f>INT($C$29)+2</f>
        <v>3</v>
      </c>
      <c r="D1032" s="73"/>
      <c r="E1032" s="70"/>
      <c r="F1032" s="70" t="s">
        <v>1725</v>
      </c>
      <c r="G1032" s="73"/>
      <c r="H1032" s="76" t="s">
        <v>1726</v>
      </c>
      <c r="I1032" s="76"/>
      <c r="J1032" s="76"/>
      <c r="K1032" s="76"/>
      <c r="L1032" s="76"/>
      <c r="M1032" s="76"/>
      <c r="N1032" s="76"/>
      <c r="O1032" s="76"/>
      <c r="P1032" s="76"/>
      <c r="Q1032" s="76"/>
      <c r="R1032" s="76"/>
      <c r="S1032" s="76"/>
      <c r="T1032" s="76"/>
      <c r="U1032" s="97">
        <v>0.13739999999999999</v>
      </c>
      <c r="V1032" s="97">
        <v>0.13739999999999999</v>
      </c>
      <c r="W1032" s="97">
        <v>0.13739999999999999</v>
      </c>
      <c r="X1032" s="97">
        <v>0.13739999999999999</v>
      </c>
      <c r="Y1032" s="97">
        <v>0.13739999999999999</v>
      </c>
      <c r="Z1032" s="97">
        <v>0.13739999999999999</v>
      </c>
      <c r="AA1032" s="97">
        <v>0.13739999999999999</v>
      </c>
      <c r="AB1032" s="254">
        <v>0.13739999999999999</v>
      </c>
      <c r="AC1032" s="254">
        <f t="shared" ref="AC1032:AD1034" si="155">AB1032</f>
        <v>0.13739999999999999</v>
      </c>
      <c r="AD1032" s="254">
        <f t="shared" si="155"/>
        <v>0.13739999999999999</v>
      </c>
      <c r="AE1032" s="76"/>
      <c r="AF1032" s="76"/>
      <c r="AG1032" s="76"/>
      <c r="AH1032" s="97">
        <v>1</v>
      </c>
      <c r="AI1032" s="97">
        <v>1</v>
      </c>
      <c r="AJ1032" s="73"/>
      <c r="AK1032" s="57"/>
      <c r="AL1032" s="45"/>
      <c r="AM1032" s="45"/>
      <c r="AN1032" s="45"/>
    </row>
    <row r="1033" spans="1:40" hidden="1" outlineLevel="2" x14ac:dyDescent="0.25">
      <c r="A1033" s="45"/>
      <c r="B1033" s="54"/>
      <c r="C1033" s="47">
        <f>INT($C$29)+2</f>
        <v>3</v>
      </c>
      <c r="D1033" s="73"/>
      <c r="E1033" s="70"/>
      <c r="F1033" s="70" t="s">
        <v>1727</v>
      </c>
      <c r="G1033" s="73"/>
      <c r="H1033" s="76" t="s">
        <v>1728</v>
      </c>
      <c r="I1033" s="76"/>
      <c r="J1033" s="76"/>
      <c r="K1033" s="76"/>
      <c r="L1033" s="76"/>
      <c r="M1033" s="76"/>
      <c r="N1033" s="76"/>
      <c r="O1033" s="76"/>
      <c r="P1033" s="76"/>
      <c r="Q1033" s="76"/>
      <c r="R1033" s="76"/>
      <c r="S1033" s="76"/>
      <c r="T1033" s="76"/>
      <c r="U1033" s="97">
        <v>0.16700000000000001</v>
      </c>
      <c r="V1033" s="97">
        <v>0.16700000000000001</v>
      </c>
      <c r="W1033" s="97">
        <v>0.16700000000000001</v>
      </c>
      <c r="X1033" s="97">
        <v>0.16700000000000001</v>
      </c>
      <c r="Y1033" s="97">
        <v>0.16700000000000001</v>
      </c>
      <c r="Z1033" s="97">
        <v>0.16700000000000001</v>
      </c>
      <c r="AA1033" s="97">
        <v>0.16700000000000001</v>
      </c>
      <c r="AB1033" s="254">
        <v>0.16700000000000001</v>
      </c>
      <c r="AC1033" s="254">
        <f t="shared" si="155"/>
        <v>0.16700000000000001</v>
      </c>
      <c r="AD1033" s="254">
        <f t="shared" si="155"/>
        <v>0.16700000000000001</v>
      </c>
      <c r="AE1033" s="76"/>
      <c r="AF1033" s="76"/>
      <c r="AG1033" s="76"/>
      <c r="AH1033" s="97">
        <v>1</v>
      </c>
      <c r="AI1033" s="97">
        <v>1</v>
      </c>
      <c r="AJ1033" s="73"/>
      <c r="AK1033" s="57"/>
      <c r="AL1033" s="45"/>
      <c r="AM1033" s="45"/>
      <c r="AN1033" s="45"/>
    </row>
    <row r="1034" spans="1:40" hidden="1" outlineLevel="2" x14ac:dyDescent="0.25">
      <c r="A1034" s="45"/>
      <c r="B1034" s="54"/>
      <c r="C1034" s="47">
        <f>INT($C$29)+2</f>
        <v>3</v>
      </c>
      <c r="D1034" s="73"/>
      <c r="E1034" s="70"/>
      <c r="F1034" s="70" t="s">
        <v>1729</v>
      </c>
      <c r="G1034" s="73"/>
      <c r="H1034" s="76" t="s">
        <v>1730</v>
      </c>
      <c r="I1034" s="76"/>
      <c r="J1034" s="76"/>
      <c r="K1034" s="76"/>
      <c r="L1034" s="76"/>
      <c r="M1034" s="76"/>
      <c r="N1034" s="76"/>
      <c r="O1034" s="76"/>
      <c r="P1034" s="76"/>
      <c r="Q1034" s="76"/>
      <c r="R1034" s="76"/>
      <c r="S1034" s="76"/>
      <c r="T1034" s="76"/>
      <c r="U1034" s="97">
        <v>0.08</v>
      </c>
      <c r="V1034" s="97">
        <v>0.08</v>
      </c>
      <c r="W1034" s="97">
        <v>0.08</v>
      </c>
      <c r="X1034" s="97">
        <v>0.08</v>
      </c>
      <c r="Y1034" s="97">
        <v>0.08</v>
      </c>
      <c r="Z1034" s="97">
        <v>0.08</v>
      </c>
      <c r="AA1034" s="97">
        <v>0.08</v>
      </c>
      <c r="AB1034" s="254">
        <v>0.08</v>
      </c>
      <c r="AC1034" s="254">
        <f t="shared" si="155"/>
        <v>0.08</v>
      </c>
      <c r="AD1034" s="254">
        <f t="shared" si="155"/>
        <v>0.08</v>
      </c>
      <c r="AE1034" s="76"/>
      <c r="AF1034" s="76"/>
      <c r="AG1034" s="76"/>
      <c r="AH1034" s="97">
        <v>1</v>
      </c>
      <c r="AI1034" s="97">
        <v>1</v>
      </c>
      <c r="AJ1034" s="73"/>
      <c r="AK1034" s="57"/>
      <c r="AL1034" s="45"/>
      <c r="AM1034" s="45"/>
      <c r="AN1034" s="45"/>
    </row>
    <row r="1035" spans="1:40" outlineLevel="1" collapsed="1" x14ac:dyDescent="0.25">
      <c r="A1035" s="45"/>
      <c r="B1035" s="54"/>
      <c r="C1035" s="47">
        <f>INT($C$29)+1</f>
        <v>2</v>
      </c>
      <c r="D1035" s="73"/>
      <c r="E1035" s="70"/>
      <c r="F1035" s="264" t="s">
        <v>1717</v>
      </c>
      <c r="G1035" s="73"/>
      <c r="H1035" s="266" t="s">
        <v>1731</v>
      </c>
      <c r="I1035" s="129"/>
      <c r="J1035" s="129" t="s">
        <v>1043</v>
      </c>
      <c r="K1035" s="76"/>
      <c r="L1035" s="76"/>
      <c r="M1035" s="76"/>
      <c r="N1035" s="76"/>
      <c r="O1035" s="76"/>
      <c r="P1035" s="76"/>
      <c r="Q1035" s="76"/>
      <c r="R1035" s="76"/>
      <c r="S1035" s="76"/>
      <c r="T1035" s="76"/>
      <c r="U1035" s="79">
        <v>19</v>
      </c>
      <c r="V1035" s="79">
        <v>8</v>
      </c>
      <c r="W1035" s="79">
        <v>0</v>
      </c>
      <c r="X1035" s="76"/>
      <c r="Y1035" s="79">
        <v>0</v>
      </c>
      <c r="Z1035" s="79">
        <v>0</v>
      </c>
      <c r="AA1035" s="79">
        <v>0</v>
      </c>
      <c r="AB1035" s="76"/>
      <c r="AC1035" s="76"/>
      <c r="AD1035" s="76"/>
      <c r="AE1035" s="76"/>
      <c r="AF1035" s="76"/>
      <c r="AG1035" s="76"/>
      <c r="AH1035" s="76"/>
      <c r="AI1035" s="76"/>
      <c r="AJ1035" s="73"/>
      <c r="AK1035" s="57"/>
      <c r="AL1035" s="45"/>
      <c r="AM1035" s="45"/>
      <c r="AN1035" s="45"/>
    </row>
    <row r="1036" spans="1:40" hidden="1" outlineLevel="3" x14ac:dyDescent="0.25">
      <c r="A1036" s="45"/>
      <c r="B1036" s="54"/>
      <c r="C1036" s="47">
        <f t="shared" ref="C1036:C1043" si="156">INT($C$29)+2</f>
        <v>3</v>
      </c>
      <c r="D1036" s="73"/>
      <c r="E1036" s="70"/>
      <c r="F1036" s="70" t="s">
        <v>1732</v>
      </c>
      <c r="G1036" s="73"/>
      <c r="H1036" s="76" t="s">
        <v>1733</v>
      </c>
      <c r="I1036" s="76"/>
      <c r="J1036" s="7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156"/>
        <v>3</v>
      </c>
      <c r="D1037" s="73"/>
      <c r="E1037" s="70"/>
      <c r="F1037" s="70" t="s">
        <v>1734</v>
      </c>
      <c r="G1037" s="73"/>
      <c r="H1037" s="76" t="s">
        <v>1735</v>
      </c>
      <c r="I1037" s="76"/>
      <c r="J1037" s="7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156"/>
        <v>3</v>
      </c>
      <c r="D1038" s="73"/>
      <c r="E1038" s="70"/>
      <c r="F1038" s="70" t="s">
        <v>1736</v>
      </c>
      <c r="G1038" s="73"/>
      <c r="H1038" s="76" t="s">
        <v>1737</v>
      </c>
      <c r="I1038" s="76"/>
      <c r="J1038" s="7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156"/>
        <v>3</v>
      </c>
      <c r="D1039" s="73"/>
      <c r="E1039" s="70"/>
      <c r="F1039" s="70" t="s">
        <v>1738</v>
      </c>
      <c r="G1039" s="73"/>
      <c r="H1039" s="76" t="s">
        <v>1739</v>
      </c>
      <c r="I1039" s="76"/>
      <c r="J1039" s="7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156"/>
        <v>3</v>
      </c>
      <c r="D1040" s="73"/>
      <c r="E1040" s="70"/>
      <c r="F1040" s="70" t="s">
        <v>1740</v>
      </c>
      <c r="G1040" s="73"/>
      <c r="H1040" s="76" t="s">
        <v>1741</v>
      </c>
      <c r="I1040" s="76"/>
      <c r="J1040" s="7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156"/>
        <v>3</v>
      </c>
      <c r="D1041" s="73"/>
      <c r="E1041" s="70"/>
      <c r="F1041" s="70" t="s">
        <v>1742</v>
      </c>
      <c r="G1041" s="73"/>
      <c r="H1041" s="76" t="s">
        <v>1743</v>
      </c>
      <c r="I1041" s="76"/>
      <c r="J1041" s="7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156"/>
        <v>3</v>
      </c>
      <c r="D1042" s="73"/>
      <c r="E1042" s="70"/>
      <c r="F1042" s="70" t="s">
        <v>1744</v>
      </c>
      <c r="G1042" s="73"/>
      <c r="H1042" s="76" t="s">
        <v>1745</v>
      </c>
      <c r="I1042" s="76"/>
      <c r="J1042" s="7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156"/>
        <v>3</v>
      </c>
      <c r="D1043" s="73"/>
      <c r="E1043" s="70"/>
      <c r="F1043" s="70" t="s">
        <v>1746</v>
      </c>
      <c r="G1043" s="73"/>
      <c r="H1043" s="76" t="s">
        <v>1747</v>
      </c>
      <c r="I1043" s="76"/>
      <c r="J1043" s="7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ref="C1044:C1075" si="157">INT($C$29)+3</f>
        <v>4</v>
      </c>
      <c r="D1044" s="73"/>
      <c r="E1044" s="70"/>
      <c r="F1044" s="70" t="s">
        <v>1748</v>
      </c>
      <c r="G1044" s="73"/>
      <c r="H1044" s="76" t="s">
        <v>602</v>
      </c>
      <c r="I1044" s="76"/>
      <c r="J1044" s="7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157"/>
        <v>4</v>
      </c>
      <c r="D1045" s="73"/>
      <c r="E1045" s="70"/>
      <c r="F1045" s="70" t="s">
        <v>1749</v>
      </c>
      <c r="G1045" s="73"/>
      <c r="H1045" s="76"/>
      <c r="I1045" s="76"/>
      <c r="J1045" s="7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157"/>
        <v>4</v>
      </c>
      <c r="D1046" s="73"/>
      <c r="E1046" s="70"/>
      <c r="F1046" s="70" t="s">
        <v>1750</v>
      </c>
      <c r="G1046" s="73"/>
      <c r="H1046" s="76"/>
      <c r="I1046" s="76"/>
      <c r="J1046" s="7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157"/>
        <v>4</v>
      </c>
      <c r="D1047" s="73"/>
      <c r="E1047" s="70"/>
      <c r="F1047" s="70" t="s">
        <v>1751</v>
      </c>
      <c r="G1047" s="73"/>
      <c r="H1047" s="76"/>
      <c r="I1047" s="76"/>
      <c r="J1047" s="7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157"/>
        <v>4</v>
      </c>
      <c r="D1048" s="73"/>
      <c r="E1048" s="70"/>
      <c r="F1048" s="70" t="s">
        <v>1752</v>
      </c>
      <c r="G1048" s="73"/>
      <c r="H1048" s="76"/>
      <c r="I1048" s="76"/>
      <c r="J1048" s="7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157"/>
        <v>4</v>
      </c>
      <c r="D1049" s="73"/>
      <c r="E1049" s="70"/>
      <c r="F1049" s="70" t="s">
        <v>1753</v>
      </c>
      <c r="G1049" s="73"/>
      <c r="H1049" s="76"/>
      <c r="I1049" s="76"/>
      <c r="J1049" s="7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157"/>
        <v>4</v>
      </c>
      <c r="D1050" s="73"/>
      <c r="E1050" s="70"/>
      <c r="F1050" s="70" t="s">
        <v>1754</v>
      </c>
      <c r="G1050" s="73"/>
      <c r="H1050" s="76"/>
      <c r="I1050" s="76"/>
      <c r="J1050" s="7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157"/>
        <v>4</v>
      </c>
      <c r="D1051" s="73"/>
      <c r="E1051" s="70"/>
      <c r="F1051" s="70" t="s">
        <v>1755</v>
      </c>
      <c r="G1051" s="73"/>
      <c r="H1051" s="76"/>
      <c r="I1051" s="76"/>
      <c r="J1051" s="7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157"/>
        <v>4</v>
      </c>
      <c r="D1052" s="73"/>
      <c r="E1052" s="70"/>
      <c r="F1052" s="70" t="s">
        <v>1756</v>
      </c>
      <c r="G1052" s="73"/>
      <c r="H1052" s="76" t="s">
        <v>602</v>
      </c>
      <c r="I1052" s="76"/>
      <c r="J1052" s="7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157"/>
        <v>4</v>
      </c>
      <c r="D1053" s="73"/>
      <c r="E1053" s="70"/>
      <c r="F1053" s="70" t="s">
        <v>1757</v>
      </c>
      <c r="G1053" s="73"/>
      <c r="H1053" s="76"/>
      <c r="I1053" s="76"/>
      <c r="J1053" s="7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157"/>
        <v>4</v>
      </c>
      <c r="D1054" s="73"/>
      <c r="E1054" s="70"/>
      <c r="F1054" s="70" t="s">
        <v>1758</v>
      </c>
      <c r="G1054" s="73"/>
      <c r="H1054" s="76"/>
      <c r="I1054" s="76"/>
      <c r="J1054" s="7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157"/>
        <v>4</v>
      </c>
      <c r="D1055" s="73"/>
      <c r="E1055" s="70"/>
      <c r="F1055" s="70" t="s">
        <v>1759</v>
      </c>
      <c r="G1055" s="73"/>
      <c r="H1055" s="76"/>
      <c r="I1055" s="76"/>
      <c r="J1055" s="7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157"/>
        <v>4</v>
      </c>
      <c r="D1056" s="73"/>
      <c r="E1056" s="70"/>
      <c r="F1056" s="70" t="s">
        <v>1760</v>
      </c>
      <c r="G1056" s="73"/>
      <c r="H1056" s="76"/>
      <c r="I1056" s="76"/>
      <c r="J1056" s="7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157"/>
        <v>4</v>
      </c>
      <c r="D1057" s="73"/>
      <c r="E1057" s="70"/>
      <c r="F1057" s="70" t="s">
        <v>1761</v>
      </c>
      <c r="G1057" s="73"/>
      <c r="H1057" s="76"/>
      <c r="I1057" s="76"/>
      <c r="J1057" s="7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157"/>
        <v>4</v>
      </c>
      <c r="D1058" s="73"/>
      <c r="E1058" s="70"/>
      <c r="F1058" s="70" t="s">
        <v>1762</v>
      </c>
      <c r="G1058" s="73"/>
      <c r="H1058" s="76"/>
      <c r="I1058" s="76"/>
      <c r="J1058" s="7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157"/>
        <v>4</v>
      </c>
      <c r="D1059" s="73"/>
      <c r="E1059" s="70"/>
      <c r="F1059" s="70" t="s">
        <v>1763</v>
      </c>
      <c r="G1059" s="73"/>
      <c r="H1059" s="76"/>
      <c r="I1059" s="76"/>
      <c r="J1059" s="7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157"/>
        <v>4</v>
      </c>
      <c r="D1060" s="73"/>
      <c r="E1060" s="70"/>
      <c r="F1060" s="70" t="s">
        <v>1764</v>
      </c>
      <c r="G1060" s="73"/>
      <c r="H1060" s="76" t="s">
        <v>602</v>
      </c>
      <c r="I1060" s="76"/>
      <c r="J1060" s="7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25">
      <c r="A1061" s="45"/>
      <c r="B1061" s="54"/>
      <c r="C1061" s="47">
        <f t="shared" si="157"/>
        <v>4</v>
      </c>
      <c r="D1061" s="73"/>
      <c r="E1061" s="70"/>
      <c r="F1061" s="70" t="s">
        <v>1765</v>
      </c>
      <c r="G1061" s="73"/>
      <c r="H1061" s="76"/>
      <c r="I1061" s="76"/>
      <c r="J1061" s="7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3" x14ac:dyDescent="0.25">
      <c r="A1062" s="45"/>
      <c r="B1062" s="54"/>
      <c r="C1062" s="47">
        <f t="shared" si="157"/>
        <v>4</v>
      </c>
      <c r="D1062" s="73"/>
      <c r="E1062" s="70"/>
      <c r="F1062" s="70" t="s">
        <v>1766</v>
      </c>
      <c r="G1062" s="73"/>
      <c r="H1062" s="76"/>
      <c r="I1062" s="76"/>
      <c r="J1062" s="7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3" x14ac:dyDescent="0.25">
      <c r="A1063" s="45"/>
      <c r="B1063" s="54"/>
      <c r="C1063" s="47">
        <f t="shared" si="157"/>
        <v>4</v>
      </c>
      <c r="D1063" s="73"/>
      <c r="E1063" s="70"/>
      <c r="F1063" s="70" t="s">
        <v>1767</v>
      </c>
      <c r="G1063" s="73"/>
      <c r="H1063" s="76"/>
      <c r="I1063" s="76"/>
      <c r="J1063" s="7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3" x14ac:dyDescent="0.25">
      <c r="A1064" s="45"/>
      <c r="B1064" s="54"/>
      <c r="C1064" s="47">
        <f t="shared" si="157"/>
        <v>4</v>
      </c>
      <c r="D1064" s="73"/>
      <c r="E1064" s="70"/>
      <c r="F1064" s="70" t="s">
        <v>1768</v>
      </c>
      <c r="G1064" s="73"/>
      <c r="H1064" s="76"/>
      <c r="I1064" s="76"/>
      <c r="J1064" s="7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hidden="1" outlineLevel="3" x14ac:dyDescent="0.25">
      <c r="A1065" s="45"/>
      <c r="B1065" s="54"/>
      <c r="C1065" s="47">
        <f t="shared" si="157"/>
        <v>4</v>
      </c>
      <c r="D1065" s="73"/>
      <c r="E1065" s="70"/>
      <c r="F1065" s="70" t="s">
        <v>1769</v>
      </c>
      <c r="G1065" s="73"/>
      <c r="H1065" s="76"/>
      <c r="I1065" s="76"/>
      <c r="J1065" s="7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157"/>
        <v>4</v>
      </c>
      <c r="D1066" s="73"/>
      <c r="E1066" s="70"/>
      <c r="F1066" s="70" t="s">
        <v>1770</v>
      </c>
      <c r="G1066" s="73"/>
      <c r="H1066" s="76"/>
      <c r="I1066" s="76"/>
      <c r="J1066" s="7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157"/>
        <v>4</v>
      </c>
      <c r="D1067" s="73"/>
      <c r="E1067" s="70"/>
      <c r="F1067" s="70" t="s">
        <v>1771</v>
      </c>
      <c r="G1067" s="73"/>
      <c r="H1067" s="76"/>
      <c r="I1067" s="76"/>
      <c r="J1067" s="7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157"/>
        <v>4</v>
      </c>
      <c r="D1068" s="73"/>
      <c r="E1068" s="70"/>
      <c r="F1068" s="70" t="s">
        <v>1772</v>
      </c>
      <c r="G1068" s="73"/>
      <c r="H1068" s="76" t="s">
        <v>602</v>
      </c>
      <c r="I1068" s="76"/>
      <c r="J1068" s="7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157"/>
        <v>4</v>
      </c>
      <c r="D1069" s="73"/>
      <c r="E1069" s="70"/>
      <c r="F1069" s="70" t="s">
        <v>1773</v>
      </c>
      <c r="G1069" s="73"/>
      <c r="H1069" s="76"/>
      <c r="I1069" s="76"/>
      <c r="J1069" s="7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157"/>
        <v>4</v>
      </c>
      <c r="D1070" s="73"/>
      <c r="E1070" s="70"/>
      <c r="F1070" s="70" t="s">
        <v>1774</v>
      </c>
      <c r="G1070" s="73"/>
      <c r="H1070" s="76"/>
      <c r="I1070" s="76"/>
      <c r="J1070" s="7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157"/>
        <v>4</v>
      </c>
      <c r="D1071" s="73"/>
      <c r="E1071" s="70"/>
      <c r="F1071" s="70" t="s">
        <v>1775</v>
      </c>
      <c r="G1071" s="73"/>
      <c r="H1071" s="76"/>
      <c r="I1071" s="76"/>
      <c r="J1071" s="7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157"/>
        <v>4</v>
      </c>
      <c r="D1072" s="73"/>
      <c r="E1072" s="70"/>
      <c r="F1072" s="70" t="s">
        <v>1776</v>
      </c>
      <c r="G1072" s="73"/>
      <c r="H1072" s="76"/>
      <c r="I1072" s="76"/>
      <c r="J1072" s="7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157"/>
        <v>4</v>
      </c>
      <c r="D1073" s="73"/>
      <c r="E1073" s="70"/>
      <c r="F1073" s="70" t="s">
        <v>1777</v>
      </c>
      <c r="G1073" s="73"/>
      <c r="H1073" s="76"/>
      <c r="I1073" s="76"/>
      <c r="J1073" s="7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157"/>
        <v>4</v>
      </c>
      <c r="D1074" s="73"/>
      <c r="E1074" s="70"/>
      <c r="F1074" s="70" t="s">
        <v>1778</v>
      </c>
      <c r="G1074" s="73"/>
      <c r="H1074" s="76"/>
      <c r="I1074" s="76"/>
      <c r="J1074" s="7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157"/>
        <v>4</v>
      </c>
      <c r="D1075" s="73"/>
      <c r="E1075" s="70"/>
      <c r="F1075" s="70" t="s">
        <v>1779</v>
      </c>
      <c r="G1075" s="73"/>
      <c r="H1075" s="76"/>
      <c r="I1075" s="76"/>
      <c r="J1075" s="7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ref="C1076:C1107" si="158">INT($C$29)+3</f>
        <v>4</v>
      </c>
      <c r="D1076" s="73"/>
      <c r="E1076" s="70"/>
      <c r="F1076" s="70" t="s">
        <v>1780</v>
      </c>
      <c r="G1076" s="73"/>
      <c r="H1076" s="76" t="s">
        <v>602</v>
      </c>
      <c r="I1076" s="76"/>
      <c r="J1076" s="7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158"/>
        <v>4</v>
      </c>
      <c r="D1077" s="73"/>
      <c r="E1077" s="70"/>
      <c r="F1077" s="70" t="s">
        <v>1781</v>
      </c>
      <c r="G1077" s="73"/>
      <c r="H1077" s="76"/>
      <c r="I1077" s="76"/>
      <c r="J1077" s="7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158"/>
        <v>4</v>
      </c>
      <c r="D1078" s="73"/>
      <c r="E1078" s="70"/>
      <c r="F1078" s="70" t="s">
        <v>1782</v>
      </c>
      <c r="G1078" s="73"/>
      <c r="H1078" s="76"/>
      <c r="I1078" s="76"/>
      <c r="J1078" s="7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158"/>
        <v>4</v>
      </c>
      <c r="D1079" s="73"/>
      <c r="E1079" s="70"/>
      <c r="F1079" s="70" t="s">
        <v>1783</v>
      </c>
      <c r="G1079" s="73"/>
      <c r="H1079" s="76"/>
      <c r="I1079" s="76"/>
      <c r="J1079" s="7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158"/>
        <v>4</v>
      </c>
      <c r="D1080" s="73"/>
      <c r="E1080" s="70"/>
      <c r="F1080" s="70" t="s">
        <v>1784</v>
      </c>
      <c r="G1080" s="73"/>
      <c r="H1080" s="76"/>
      <c r="I1080" s="76"/>
      <c r="J1080" s="7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158"/>
        <v>4</v>
      </c>
      <c r="D1081" s="73"/>
      <c r="E1081" s="70"/>
      <c r="F1081" s="70" t="s">
        <v>1785</v>
      </c>
      <c r="G1081" s="73"/>
      <c r="H1081" s="76"/>
      <c r="I1081" s="76"/>
      <c r="J1081" s="7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158"/>
        <v>4</v>
      </c>
      <c r="D1082" s="73"/>
      <c r="E1082" s="70"/>
      <c r="F1082" s="70" t="s">
        <v>1786</v>
      </c>
      <c r="G1082" s="73"/>
      <c r="H1082" s="76"/>
      <c r="I1082" s="76"/>
      <c r="J1082" s="7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158"/>
        <v>4</v>
      </c>
      <c r="D1083" s="73"/>
      <c r="E1083" s="70"/>
      <c r="F1083" s="70" t="s">
        <v>1787</v>
      </c>
      <c r="G1083" s="73"/>
      <c r="H1083" s="76"/>
      <c r="I1083" s="76"/>
      <c r="J1083" s="7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158"/>
        <v>4</v>
      </c>
      <c r="D1084" s="73"/>
      <c r="E1084" s="70"/>
      <c r="F1084" s="70" t="s">
        <v>1788</v>
      </c>
      <c r="G1084" s="73"/>
      <c r="H1084" s="76" t="s">
        <v>602</v>
      </c>
      <c r="I1084" s="76"/>
      <c r="J1084" s="7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158"/>
        <v>4</v>
      </c>
      <c r="D1085" s="73"/>
      <c r="E1085" s="70"/>
      <c r="F1085" s="70" t="s">
        <v>1789</v>
      </c>
      <c r="G1085" s="73"/>
      <c r="H1085" s="76"/>
      <c r="I1085" s="76"/>
      <c r="J1085" s="7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158"/>
        <v>4</v>
      </c>
      <c r="D1086" s="73"/>
      <c r="E1086" s="70"/>
      <c r="F1086" s="70" t="s">
        <v>1790</v>
      </c>
      <c r="G1086" s="73"/>
      <c r="H1086" s="76"/>
      <c r="I1086" s="76"/>
      <c r="J1086" s="7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158"/>
        <v>4</v>
      </c>
      <c r="D1087" s="73"/>
      <c r="E1087" s="70"/>
      <c r="F1087" s="70" t="s">
        <v>1791</v>
      </c>
      <c r="G1087" s="73"/>
      <c r="H1087" s="76"/>
      <c r="I1087" s="76"/>
      <c r="J1087" s="7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158"/>
        <v>4</v>
      </c>
      <c r="D1088" s="73"/>
      <c r="E1088" s="70"/>
      <c r="F1088" s="70" t="s">
        <v>1792</v>
      </c>
      <c r="G1088" s="73"/>
      <c r="H1088" s="76"/>
      <c r="I1088" s="76"/>
      <c r="J1088" s="7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158"/>
        <v>4</v>
      </c>
      <c r="D1089" s="73"/>
      <c r="E1089" s="70"/>
      <c r="F1089" s="70" t="s">
        <v>1793</v>
      </c>
      <c r="G1089" s="73"/>
      <c r="H1089" s="76"/>
      <c r="I1089" s="76"/>
      <c r="J1089" s="7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158"/>
        <v>4</v>
      </c>
      <c r="D1090" s="73"/>
      <c r="E1090" s="70"/>
      <c r="F1090" s="70" t="s">
        <v>1794</v>
      </c>
      <c r="G1090" s="73"/>
      <c r="H1090" s="76"/>
      <c r="I1090" s="76"/>
      <c r="J1090" s="7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158"/>
        <v>4</v>
      </c>
      <c r="D1091" s="73"/>
      <c r="E1091" s="70"/>
      <c r="F1091" s="70" t="s">
        <v>1795</v>
      </c>
      <c r="G1091" s="73"/>
      <c r="H1091" s="76"/>
      <c r="I1091" s="76"/>
      <c r="J1091" s="7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158"/>
        <v>4</v>
      </c>
      <c r="D1092" s="73"/>
      <c r="E1092" s="70"/>
      <c r="F1092" s="70" t="s">
        <v>1796</v>
      </c>
      <c r="G1092" s="73"/>
      <c r="H1092" s="76" t="s">
        <v>602</v>
      </c>
      <c r="I1092" s="76"/>
      <c r="J1092" s="7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158"/>
        <v>4</v>
      </c>
      <c r="D1093" s="73"/>
      <c r="E1093" s="70"/>
      <c r="F1093" s="70" t="s">
        <v>1797</v>
      </c>
      <c r="G1093" s="73"/>
      <c r="H1093" s="76"/>
      <c r="I1093" s="76"/>
      <c r="J1093" s="7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158"/>
        <v>4</v>
      </c>
      <c r="D1094" s="73"/>
      <c r="E1094" s="70"/>
      <c r="F1094" s="70" t="s">
        <v>1798</v>
      </c>
      <c r="G1094" s="73"/>
      <c r="H1094" s="76"/>
      <c r="I1094" s="76"/>
      <c r="J1094" s="7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158"/>
        <v>4</v>
      </c>
      <c r="D1095" s="73"/>
      <c r="E1095" s="70"/>
      <c r="F1095" s="70" t="s">
        <v>1799</v>
      </c>
      <c r="G1095" s="73"/>
      <c r="H1095" s="76"/>
      <c r="I1095" s="76"/>
      <c r="J1095" s="7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158"/>
        <v>4</v>
      </c>
      <c r="D1096" s="73"/>
      <c r="E1096" s="70"/>
      <c r="F1096" s="70" t="s">
        <v>1800</v>
      </c>
      <c r="G1096" s="73"/>
      <c r="H1096" s="76"/>
      <c r="I1096" s="76"/>
      <c r="J1096" s="7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158"/>
        <v>4</v>
      </c>
      <c r="D1097" s="73"/>
      <c r="E1097" s="70"/>
      <c r="F1097" s="70" t="s">
        <v>1801</v>
      </c>
      <c r="G1097" s="73"/>
      <c r="H1097" s="76"/>
      <c r="I1097" s="76"/>
      <c r="J1097" s="7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158"/>
        <v>4</v>
      </c>
      <c r="D1098" s="73"/>
      <c r="E1098" s="70"/>
      <c r="F1098" s="70" t="s">
        <v>1802</v>
      </c>
      <c r="G1098" s="73"/>
      <c r="H1098" s="76"/>
      <c r="I1098" s="76"/>
      <c r="J1098" s="7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158"/>
        <v>4</v>
      </c>
      <c r="D1099" s="73"/>
      <c r="E1099" s="70"/>
      <c r="F1099" s="70" t="s">
        <v>1803</v>
      </c>
      <c r="G1099" s="73"/>
      <c r="H1099" s="76"/>
      <c r="I1099" s="76"/>
      <c r="J1099" s="7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158"/>
        <v>4</v>
      </c>
      <c r="D1100" s="73"/>
      <c r="E1100" s="70"/>
      <c r="F1100" s="70" t="s">
        <v>1804</v>
      </c>
      <c r="G1100" s="73"/>
      <c r="H1100" s="76" t="s">
        <v>602</v>
      </c>
      <c r="I1100" s="76"/>
      <c r="J1100" s="7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158"/>
        <v>4</v>
      </c>
      <c r="D1101" s="73"/>
      <c r="E1101" s="70"/>
      <c r="F1101" s="70" t="s">
        <v>1805</v>
      </c>
      <c r="G1101" s="73"/>
      <c r="H1101" s="76"/>
      <c r="I1101" s="76"/>
      <c r="J1101" s="7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158"/>
        <v>4</v>
      </c>
      <c r="D1102" s="73"/>
      <c r="E1102" s="70"/>
      <c r="F1102" s="70" t="s">
        <v>1806</v>
      </c>
      <c r="G1102" s="73"/>
      <c r="H1102" s="76"/>
      <c r="I1102" s="76"/>
      <c r="J1102" s="7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158"/>
        <v>4</v>
      </c>
      <c r="D1103" s="73"/>
      <c r="E1103" s="70"/>
      <c r="F1103" s="70" t="s">
        <v>1807</v>
      </c>
      <c r="G1103" s="73"/>
      <c r="H1103" s="76"/>
      <c r="I1103" s="76"/>
      <c r="J1103" s="7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158"/>
        <v>4</v>
      </c>
      <c r="D1104" s="73"/>
      <c r="E1104" s="70"/>
      <c r="F1104" s="70" t="s">
        <v>1808</v>
      </c>
      <c r="G1104" s="73"/>
      <c r="H1104" s="76"/>
      <c r="I1104" s="76"/>
      <c r="J1104" s="7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158"/>
        <v>4</v>
      </c>
      <c r="D1105" s="73"/>
      <c r="E1105" s="70"/>
      <c r="F1105" s="70" t="s">
        <v>1809</v>
      </c>
      <c r="G1105" s="73"/>
      <c r="H1105" s="76"/>
      <c r="I1105" s="76"/>
      <c r="J1105" s="7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158"/>
        <v>4</v>
      </c>
      <c r="D1106" s="73"/>
      <c r="E1106" s="70"/>
      <c r="F1106" s="70" t="s">
        <v>1810</v>
      </c>
      <c r="G1106" s="73"/>
      <c r="H1106" s="76"/>
      <c r="I1106" s="76"/>
      <c r="J1106" s="7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158"/>
        <v>4</v>
      </c>
      <c r="D1107" s="73"/>
      <c r="E1107" s="70"/>
      <c r="F1107" s="70" t="s">
        <v>1811</v>
      </c>
      <c r="G1107" s="73"/>
      <c r="H1107" s="76"/>
      <c r="I1107" s="76"/>
      <c r="J1107" s="7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ref="C1108:C1131" si="159">INT($C$29)+3</f>
        <v>4</v>
      </c>
      <c r="D1108" s="73"/>
      <c r="E1108" s="70"/>
      <c r="F1108" s="70" t="s">
        <v>1812</v>
      </c>
      <c r="G1108" s="73"/>
      <c r="H1108" s="76" t="s">
        <v>602</v>
      </c>
      <c r="I1108" s="76"/>
      <c r="J1108" s="7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159"/>
        <v>4</v>
      </c>
      <c r="D1109" s="73"/>
      <c r="E1109" s="70"/>
      <c r="F1109" s="70" t="s">
        <v>1813</v>
      </c>
      <c r="G1109" s="73"/>
      <c r="H1109" s="76"/>
      <c r="I1109" s="76"/>
      <c r="J1109" s="7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159"/>
        <v>4</v>
      </c>
      <c r="D1110" s="73"/>
      <c r="E1110" s="70"/>
      <c r="F1110" s="70" t="s">
        <v>1814</v>
      </c>
      <c r="G1110" s="73"/>
      <c r="H1110" s="76"/>
      <c r="I1110" s="76"/>
      <c r="J1110" s="7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159"/>
        <v>4</v>
      </c>
      <c r="D1111" s="73"/>
      <c r="E1111" s="70"/>
      <c r="F1111" s="70" t="s">
        <v>1815</v>
      </c>
      <c r="G1111" s="73"/>
      <c r="H1111" s="76"/>
      <c r="I1111" s="76"/>
      <c r="J1111" s="7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159"/>
        <v>4</v>
      </c>
      <c r="D1112" s="73"/>
      <c r="E1112" s="70"/>
      <c r="F1112" s="70" t="s">
        <v>1816</v>
      </c>
      <c r="G1112" s="73"/>
      <c r="H1112" s="76"/>
      <c r="I1112" s="76"/>
      <c r="J1112" s="7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159"/>
        <v>4</v>
      </c>
      <c r="D1113" s="73"/>
      <c r="E1113" s="70"/>
      <c r="F1113" s="70" t="s">
        <v>1817</v>
      </c>
      <c r="G1113" s="73"/>
      <c r="H1113" s="76"/>
      <c r="I1113" s="76"/>
      <c r="J1113" s="7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159"/>
        <v>4</v>
      </c>
      <c r="D1114" s="73"/>
      <c r="E1114" s="70"/>
      <c r="F1114" s="70" t="s">
        <v>1818</v>
      </c>
      <c r="G1114" s="73"/>
      <c r="H1114" s="76"/>
      <c r="I1114" s="76"/>
      <c r="J1114" s="7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159"/>
        <v>4</v>
      </c>
      <c r="D1115" s="73"/>
      <c r="E1115" s="70"/>
      <c r="F1115" s="70" t="s">
        <v>1819</v>
      </c>
      <c r="G1115" s="73"/>
      <c r="H1115" s="76"/>
      <c r="I1115" s="76"/>
      <c r="J1115" s="7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159"/>
        <v>4</v>
      </c>
      <c r="D1116" s="73"/>
      <c r="E1116" s="70"/>
      <c r="F1116" s="70" t="s">
        <v>1820</v>
      </c>
      <c r="G1116" s="73"/>
      <c r="H1116" s="76" t="s">
        <v>602</v>
      </c>
      <c r="I1116" s="76"/>
      <c r="J1116" s="7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159"/>
        <v>4</v>
      </c>
      <c r="D1117" s="73"/>
      <c r="E1117" s="70"/>
      <c r="F1117" s="70" t="s">
        <v>1821</v>
      </c>
      <c r="G1117" s="73"/>
      <c r="H1117" s="76"/>
      <c r="I1117" s="76"/>
      <c r="J1117" s="7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159"/>
        <v>4</v>
      </c>
      <c r="D1118" s="73"/>
      <c r="E1118" s="70"/>
      <c r="F1118" s="70" t="s">
        <v>1822</v>
      </c>
      <c r="G1118" s="73"/>
      <c r="H1118" s="76"/>
      <c r="I1118" s="76"/>
      <c r="J1118" s="7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159"/>
        <v>4</v>
      </c>
      <c r="D1119" s="73"/>
      <c r="E1119" s="70"/>
      <c r="F1119" s="70" t="s">
        <v>1823</v>
      </c>
      <c r="G1119" s="73"/>
      <c r="H1119" s="76"/>
      <c r="I1119" s="76"/>
      <c r="J1119" s="7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159"/>
        <v>4</v>
      </c>
      <c r="D1120" s="73"/>
      <c r="E1120" s="70"/>
      <c r="F1120" s="70" t="s">
        <v>1824</v>
      </c>
      <c r="G1120" s="73"/>
      <c r="H1120" s="76"/>
      <c r="I1120" s="76"/>
      <c r="J1120" s="7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159"/>
        <v>4</v>
      </c>
      <c r="D1121" s="73"/>
      <c r="E1121" s="70"/>
      <c r="F1121" s="70" t="s">
        <v>1825</v>
      </c>
      <c r="G1121" s="73"/>
      <c r="H1121" s="76"/>
      <c r="I1121" s="76"/>
      <c r="J1121" s="7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159"/>
        <v>4</v>
      </c>
      <c r="D1122" s="73"/>
      <c r="E1122" s="70"/>
      <c r="F1122" s="70" t="s">
        <v>1826</v>
      </c>
      <c r="G1122" s="73"/>
      <c r="H1122" s="76"/>
      <c r="I1122" s="76"/>
      <c r="J1122" s="7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159"/>
        <v>4</v>
      </c>
      <c r="D1123" s="73"/>
      <c r="E1123" s="70"/>
      <c r="F1123" s="70" t="s">
        <v>1827</v>
      </c>
      <c r="G1123" s="73"/>
      <c r="H1123" s="76"/>
      <c r="I1123" s="76"/>
      <c r="J1123" s="7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159"/>
        <v>4</v>
      </c>
      <c r="D1124" s="73"/>
      <c r="E1124" s="70"/>
      <c r="F1124" s="70" t="s">
        <v>1828</v>
      </c>
      <c r="G1124" s="73"/>
      <c r="H1124" s="76" t="s">
        <v>602</v>
      </c>
      <c r="I1124" s="76"/>
      <c r="J1124" s="7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159"/>
        <v>4</v>
      </c>
      <c r="D1125" s="73"/>
      <c r="E1125" s="70"/>
      <c r="F1125" s="70" t="s">
        <v>1829</v>
      </c>
      <c r="G1125" s="73"/>
      <c r="H1125" s="76"/>
      <c r="I1125" s="76"/>
      <c r="J1125" s="7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159"/>
        <v>4</v>
      </c>
      <c r="D1126" s="73"/>
      <c r="E1126" s="70"/>
      <c r="F1126" s="70" t="s">
        <v>1830</v>
      </c>
      <c r="G1126" s="73"/>
      <c r="H1126" s="76"/>
      <c r="I1126" s="76"/>
      <c r="J1126" s="7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159"/>
        <v>4</v>
      </c>
      <c r="D1127" s="73"/>
      <c r="E1127" s="70"/>
      <c r="F1127" s="70" t="s">
        <v>1831</v>
      </c>
      <c r="G1127" s="73"/>
      <c r="H1127" s="76"/>
      <c r="I1127" s="76"/>
      <c r="J1127" s="7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159"/>
        <v>4</v>
      </c>
      <c r="D1128" s="73"/>
      <c r="E1128" s="70"/>
      <c r="F1128" s="70" t="s">
        <v>1832</v>
      </c>
      <c r="G1128" s="73"/>
      <c r="H1128" s="76"/>
      <c r="I1128" s="76"/>
      <c r="J1128" s="7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159"/>
        <v>4</v>
      </c>
      <c r="D1129" s="73"/>
      <c r="E1129" s="70"/>
      <c r="F1129" s="70" t="s">
        <v>1833</v>
      </c>
      <c r="G1129" s="73"/>
      <c r="H1129" s="76"/>
      <c r="I1129" s="76"/>
      <c r="J1129" s="7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159"/>
        <v>4</v>
      </c>
      <c r="D1130" s="73"/>
      <c r="E1130" s="70"/>
      <c r="F1130" s="70" t="s">
        <v>1834</v>
      </c>
      <c r="G1130" s="73"/>
      <c r="H1130" s="76"/>
      <c r="I1130" s="76"/>
      <c r="J1130" s="7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159"/>
        <v>4</v>
      </c>
      <c r="D1131" s="73"/>
      <c r="E1131" s="70"/>
      <c r="F1131" s="70" t="s">
        <v>1835</v>
      </c>
      <c r="G1131" s="73"/>
      <c r="H1131" s="76"/>
      <c r="I1131" s="76"/>
      <c r="J1131" s="7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2" x14ac:dyDescent="0.25">
      <c r="A1132" s="45"/>
      <c r="B1132" s="54"/>
      <c r="C1132" s="47">
        <f>INT($C$29)+2</f>
        <v>3</v>
      </c>
      <c r="D1132" s="73"/>
      <c r="E1132" s="70"/>
      <c r="F1132" s="70" t="s">
        <v>1836</v>
      </c>
      <c r="G1132" s="73"/>
      <c r="H1132" s="76" t="s">
        <v>1837</v>
      </c>
      <c r="I1132" s="96" t="s">
        <v>2170</v>
      </c>
      <c r="J1132" s="96"/>
      <c r="K1132" s="76"/>
      <c r="L1132" s="76"/>
      <c r="M1132" s="76"/>
      <c r="N1132" s="76"/>
      <c r="O1132" s="76"/>
      <c r="P1132" s="76"/>
      <c r="Q1132" s="76"/>
      <c r="R1132" s="76"/>
      <c r="S1132" s="76"/>
      <c r="T1132" s="76"/>
      <c r="U1132" s="97">
        <v>1.2E-2</v>
      </c>
      <c r="V1132" s="97">
        <v>1.2E-2</v>
      </c>
      <c r="W1132" s="97">
        <v>1.2E-2</v>
      </c>
      <c r="X1132" s="97">
        <v>1.2E-2</v>
      </c>
      <c r="Y1132" s="97">
        <v>1.2E-2</v>
      </c>
      <c r="Z1132" s="97">
        <v>1.2E-2</v>
      </c>
      <c r="AA1132" s="97">
        <v>1.2E-2</v>
      </c>
      <c r="AB1132" s="254">
        <v>1.2E-2</v>
      </c>
      <c r="AC1132" s="254">
        <f>AB1132</f>
        <v>1.2E-2</v>
      </c>
      <c r="AD1132" s="254">
        <f>AC1132</f>
        <v>1.2E-2</v>
      </c>
      <c r="AE1132" s="76"/>
      <c r="AF1132" s="97" t="s">
        <v>1838</v>
      </c>
      <c r="AG1132" s="76"/>
      <c r="AH1132" s="97">
        <v>1</v>
      </c>
      <c r="AI1132" s="97">
        <v>1</v>
      </c>
      <c r="AJ1132" s="73"/>
      <c r="AK1132" s="57"/>
      <c r="AL1132" s="45"/>
      <c r="AM1132" s="45"/>
      <c r="AN1132" s="45"/>
    </row>
    <row r="1133" spans="1:40" hidden="1" outlineLevel="2" x14ac:dyDescent="0.25">
      <c r="A1133" s="45"/>
      <c r="B1133" s="54"/>
      <c r="C1133" s="47">
        <f>INT($C$29)+2</f>
        <v>3</v>
      </c>
      <c r="D1133" s="73"/>
      <c r="E1133" s="70"/>
      <c r="F1133" s="70" t="s">
        <v>1839</v>
      </c>
      <c r="G1133" s="73"/>
      <c r="H1133" s="76" t="s">
        <v>1840</v>
      </c>
      <c r="I1133" s="96"/>
      <c r="J1133" s="96"/>
      <c r="K1133" s="76"/>
      <c r="L1133" s="76"/>
      <c r="M1133" s="76"/>
      <c r="N1133" s="76"/>
      <c r="O1133" s="76"/>
      <c r="P1133" s="76"/>
      <c r="Q1133" s="76"/>
      <c r="R1133" s="76"/>
      <c r="S1133" s="76"/>
      <c r="T1133" s="76"/>
      <c r="U1133" s="279">
        <f>U1134</f>
        <v>9.9999999999999985E-3</v>
      </c>
      <c r="V1133" s="252">
        <f>V1134</f>
        <v>9.9999999999999985E-3</v>
      </c>
      <c r="W1133" s="252">
        <f>W1134</f>
        <v>9.9999999999999985E-3</v>
      </c>
      <c r="X1133" s="252">
        <f>X1134</f>
        <v>9.9999999999999985E-3</v>
      </c>
      <c r="Y1133" s="252">
        <v>9.9999999999999985E-3</v>
      </c>
      <c r="Z1133" s="252">
        <v>9.9999999999999985E-3</v>
      </c>
      <c r="AA1133" s="252">
        <v>9.9999999999999985E-3</v>
      </c>
      <c r="AB1133" s="252">
        <v>9.9999999999999985E-3</v>
      </c>
      <c r="AC1133" s="252">
        <f>AC1134</f>
        <v>9.9999999999999985E-3</v>
      </c>
      <c r="AD1133" s="252">
        <f>AD1134</f>
        <v>9.9999999999999985E-3</v>
      </c>
      <c r="AE1133" s="76"/>
      <c r="AF1133" s="76"/>
      <c r="AG1133" s="76"/>
      <c r="AH1133" s="252">
        <f>AH1134</f>
        <v>1</v>
      </c>
      <c r="AI1133" s="252">
        <f>AI1134</f>
        <v>1</v>
      </c>
      <c r="AJ1133" s="73"/>
      <c r="AK1133" s="57"/>
      <c r="AL1133" s="45"/>
      <c r="AM1133" s="45"/>
      <c r="AN1133" s="45"/>
    </row>
    <row r="1134" spans="1:40" hidden="1" outlineLevel="2" x14ac:dyDescent="0.25">
      <c r="A1134" s="45"/>
      <c r="B1134" s="54"/>
      <c r="C1134" s="47">
        <f>INT($C$29)+2</f>
        <v>3</v>
      </c>
      <c r="D1134" s="73"/>
      <c r="E1134" s="70"/>
      <c r="F1134" s="70" t="s">
        <v>1841</v>
      </c>
      <c r="G1134" s="73"/>
      <c r="H1134" s="76" t="s">
        <v>1842</v>
      </c>
      <c r="I1134" s="96" t="s">
        <v>2169</v>
      </c>
      <c r="J1134" s="96"/>
      <c r="K1134" s="76"/>
      <c r="L1134" s="76"/>
      <c r="M1134" s="76"/>
      <c r="N1134" s="76"/>
      <c r="O1134" s="76"/>
      <c r="P1134" s="76"/>
      <c r="Q1134" s="76"/>
      <c r="R1134" s="76"/>
      <c r="S1134" s="76"/>
      <c r="T1134" s="76"/>
      <c r="U1134" s="280">
        <f>0.022-U$1132</f>
        <v>9.9999999999999985E-3</v>
      </c>
      <c r="V1134" s="97">
        <f>0.022-V$1132</f>
        <v>9.9999999999999985E-3</v>
      </c>
      <c r="W1134" s="97">
        <f>0.022-W$1132</f>
        <v>9.9999999999999985E-3</v>
      </c>
      <c r="X1134" s="97">
        <f>0.022-X$1132</f>
        <v>9.9999999999999985E-3</v>
      </c>
      <c r="Y1134" s="97">
        <v>9.9999999999999985E-3</v>
      </c>
      <c r="Z1134" s="97">
        <v>9.9999999999999985E-3</v>
      </c>
      <c r="AA1134" s="97">
        <v>9.9999999999999985E-3</v>
      </c>
      <c r="AB1134" s="254">
        <v>9.9999999999999985E-3</v>
      </c>
      <c r="AC1134" s="254">
        <f>AB1134</f>
        <v>9.9999999999999985E-3</v>
      </c>
      <c r="AD1134" s="254">
        <f>AC1134</f>
        <v>9.9999999999999985E-3</v>
      </c>
      <c r="AE1134" s="76"/>
      <c r="AF1134" s="76"/>
      <c r="AG1134" s="76"/>
      <c r="AH1134" s="97">
        <v>1</v>
      </c>
      <c r="AI1134" s="97">
        <v>1</v>
      </c>
      <c r="AJ1134" s="73"/>
      <c r="AK1134" s="57"/>
      <c r="AL1134" s="45"/>
      <c r="AM1134" s="45"/>
      <c r="AN1134" s="45"/>
    </row>
    <row r="1135" spans="1:40" hidden="1" outlineLevel="2" collapsed="1" x14ac:dyDescent="0.25">
      <c r="A1135" s="45"/>
      <c r="B1135" s="54"/>
      <c r="C1135" s="47">
        <f>INT($C$29)+2</f>
        <v>3</v>
      </c>
      <c r="D1135" s="73"/>
      <c r="E1135" s="70"/>
      <c r="F1135" s="70" t="s">
        <v>1843</v>
      </c>
      <c r="G1135" s="73"/>
      <c r="H1135" s="76" t="s">
        <v>1844</v>
      </c>
      <c r="I1135" s="96" t="s">
        <v>2169</v>
      </c>
      <c r="J1135" s="96"/>
      <c r="K1135" s="76"/>
      <c r="L1135" s="76"/>
      <c r="M1135" s="76"/>
      <c r="N1135" s="76"/>
      <c r="O1135" s="76"/>
      <c r="P1135" s="76"/>
      <c r="Q1135" s="76"/>
      <c r="R1135" s="76"/>
      <c r="S1135" s="76"/>
      <c r="T1135" s="76"/>
      <c r="U1135" s="280">
        <f>0.021-U$1132</f>
        <v>9.0000000000000011E-3</v>
      </c>
      <c r="V1135" s="97">
        <f>0.021-V$1132</f>
        <v>9.0000000000000011E-3</v>
      </c>
      <c r="W1135" s="97">
        <f>0.021-W$1132</f>
        <v>9.0000000000000011E-3</v>
      </c>
      <c r="X1135" s="97">
        <f>0.021-X$1132</f>
        <v>9.0000000000000011E-3</v>
      </c>
      <c r="Y1135" s="97">
        <v>9.0000000000000011E-3</v>
      </c>
      <c r="Z1135" s="97">
        <v>9.0000000000000011E-3</v>
      </c>
      <c r="AA1135" s="97">
        <v>9.0000000000000011E-3</v>
      </c>
      <c r="AB1135" s="254">
        <v>9.0000000000000011E-3</v>
      </c>
      <c r="AC1135" s="254">
        <f>AB1135</f>
        <v>9.0000000000000011E-3</v>
      </c>
      <c r="AD1135" s="254">
        <f>AC1135</f>
        <v>9.0000000000000011E-3</v>
      </c>
      <c r="AE1135" s="76"/>
      <c r="AF1135" s="76"/>
      <c r="AG1135" s="76"/>
      <c r="AH1135" s="97">
        <v>1</v>
      </c>
      <c r="AI1135" s="97">
        <v>1</v>
      </c>
      <c r="AJ1135" s="73"/>
      <c r="AK1135" s="57"/>
      <c r="AL1135" s="45"/>
      <c r="AM1135" s="45"/>
      <c r="AN1135" s="45"/>
    </row>
    <row r="1136" spans="1:40" hidden="1" outlineLevel="3" x14ac:dyDescent="0.25">
      <c r="A1136" s="45"/>
      <c r="B1136" s="54"/>
      <c r="C1136" s="47">
        <f>INT($C$29)+3</f>
        <v>4</v>
      </c>
      <c r="D1136" s="73"/>
      <c r="E1136" s="70"/>
      <c r="F1136" s="70" t="s">
        <v>1845</v>
      </c>
      <c r="G1136" s="73"/>
      <c r="H1136" s="76" t="s">
        <v>1846</v>
      </c>
      <c r="I1136" s="76"/>
      <c r="J1136" s="76"/>
      <c r="K1136" s="76"/>
      <c r="L1136" s="76"/>
      <c r="M1136" s="76"/>
      <c r="N1136" s="76"/>
      <c r="O1136" s="76"/>
      <c r="P1136" s="76"/>
      <c r="Q1136" s="76"/>
      <c r="R1136" s="76"/>
      <c r="S1136" s="76"/>
      <c r="T1136" s="76"/>
      <c r="U1136" s="76">
        <v>0</v>
      </c>
      <c r="V1136" s="76">
        <v>0</v>
      </c>
      <c r="W1136" s="76">
        <v>0</v>
      </c>
      <c r="X1136" s="76">
        <v>0</v>
      </c>
      <c r="Y1136" s="76">
        <v>0</v>
      </c>
      <c r="Z1136" s="76">
        <v>0</v>
      </c>
      <c r="AA1136" s="76">
        <v>0</v>
      </c>
      <c r="AB1136" s="76">
        <v>0</v>
      </c>
      <c r="AC1136" s="76">
        <v>0</v>
      </c>
      <c r="AD1136" s="76">
        <v>0</v>
      </c>
      <c r="AE1136" s="76"/>
      <c r="AF1136" s="76"/>
      <c r="AG1136" s="76"/>
      <c r="AH1136" s="76">
        <v>1</v>
      </c>
      <c r="AI1136" s="76">
        <v>1</v>
      </c>
      <c r="AJ1136" s="73"/>
      <c r="AK1136" s="57"/>
      <c r="AL1136" s="45"/>
      <c r="AM1136" s="45"/>
      <c r="AN1136" s="45"/>
    </row>
    <row r="1137" spans="1:40" hidden="1" outlineLevel="3" x14ac:dyDescent="0.25">
      <c r="A1137" s="45"/>
      <c r="B1137" s="54"/>
      <c r="C1137" s="47">
        <f>INT($C$29)+3</f>
        <v>4</v>
      </c>
      <c r="D1137" s="73"/>
      <c r="E1137" s="70"/>
      <c r="F1137" s="70" t="s">
        <v>1847</v>
      </c>
      <c r="G1137" s="73"/>
      <c r="H1137" s="76" t="s">
        <v>1848</v>
      </c>
      <c r="I1137" s="76"/>
      <c r="J1137" s="76"/>
      <c r="K1137" s="76"/>
      <c r="L1137" s="76"/>
      <c r="M1137" s="76"/>
      <c r="N1137" s="76"/>
      <c r="O1137" s="76"/>
      <c r="P1137" s="76"/>
      <c r="Q1137" s="76"/>
      <c r="R1137" s="76"/>
      <c r="S1137" s="76"/>
      <c r="T1137" s="76"/>
      <c r="U1137" s="76">
        <v>0</v>
      </c>
      <c r="V1137" s="76">
        <v>0</v>
      </c>
      <c r="W1137" s="76">
        <v>0</v>
      </c>
      <c r="X1137" s="76">
        <v>0</v>
      </c>
      <c r="Y1137" s="76">
        <v>0</v>
      </c>
      <c r="Z1137" s="76">
        <v>0</v>
      </c>
      <c r="AA1137" s="76">
        <v>0</v>
      </c>
      <c r="AB1137" s="76">
        <v>0</v>
      </c>
      <c r="AC1137" s="76">
        <v>0</v>
      </c>
      <c r="AD1137" s="76">
        <v>0</v>
      </c>
      <c r="AE1137" s="76"/>
      <c r="AF1137" s="76"/>
      <c r="AG1137" s="76"/>
      <c r="AH1137" s="76">
        <v>1</v>
      </c>
      <c r="AI1137" s="76">
        <v>1</v>
      </c>
      <c r="AJ1137" s="73"/>
      <c r="AK1137" s="57"/>
      <c r="AL1137" s="45"/>
      <c r="AM1137" s="45"/>
      <c r="AN1137" s="45"/>
    </row>
    <row r="1138" spans="1:40" hidden="1" outlineLevel="3" x14ac:dyDescent="0.25">
      <c r="A1138" s="45"/>
      <c r="B1138" s="54"/>
      <c r="C1138" s="47">
        <f>INT($C$29)+3</f>
        <v>4</v>
      </c>
      <c r="D1138" s="73"/>
      <c r="E1138" s="70"/>
      <c r="F1138" s="70" t="s">
        <v>1849</v>
      </c>
      <c r="G1138" s="73"/>
      <c r="H1138" s="76" t="s">
        <v>1850</v>
      </c>
      <c r="I1138" s="76"/>
      <c r="J1138" s="76"/>
      <c r="K1138" s="76"/>
      <c r="L1138" s="76"/>
      <c r="M1138" s="76"/>
      <c r="N1138" s="76"/>
      <c r="O1138" s="76"/>
      <c r="P1138" s="76"/>
      <c r="Q1138" s="76"/>
      <c r="R1138" s="76"/>
      <c r="S1138" s="76"/>
      <c r="T1138" s="76"/>
      <c r="U1138" s="76">
        <v>0</v>
      </c>
      <c r="V1138" s="76">
        <v>0</v>
      </c>
      <c r="W1138" s="76">
        <v>0</v>
      </c>
      <c r="X1138" s="76">
        <v>0</v>
      </c>
      <c r="Y1138" s="76">
        <v>0</v>
      </c>
      <c r="Z1138" s="76">
        <v>0</v>
      </c>
      <c r="AA1138" s="76">
        <v>0</v>
      </c>
      <c r="AB1138" s="76">
        <v>0</v>
      </c>
      <c r="AC1138" s="76">
        <v>0</v>
      </c>
      <c r="AD1138" s="76">
        <v>0</v>
      </c>
      <c r="AE1138" s="76"/>
      <c r="AF1138" s="76"/>
      <c r="AG1138" s="76"/>
      <c r="AH1138" s="76">
        <v>1</v>
      </c>
      <c r="AI1138" s="76">
        <v>1</v>
      </c>
      <c r="AJ1138" s="73"/>
      <c r="AK1138" s="57"/>
      <c r="AL1138" s="45"/>
      <c r="AM1138" s="45"/>
      <c r="AN1138" s="45"/>
    </row>
    <row r="1139" spans="1:40" hidden="1" outlineLevel="2" x14ac:dyDescent="0.25">
      <c r="A1139" s="45"/>
      <c r="B1139" s="54"/>
      <c r="C1139" s="47">
        <f>INT($C$29)+2</f>
        <v>3</v>
      </c>
      <c r="D1139" s="73"/>
      <c r="E1139" s="70"/>
      <c r="F1139" s="70" t="s">
        <v>1851</v>
      </c>
      <c r="G1139" s="73"/>
      <c r="H1139" s="76" t="s">
        <v>1852</v>
      </c>
      <c r="I1139" s="76"/>
      <c r="J1139" s="76"/>
      <c r="K1139" s="76"/>
      <c r="L1139" s="76"/>
      <c r="M1139" s="76"/>
      <c r="N1139" s="76"/>
      <c r="O1139" s="76"/>
      <c r="P1139" s="76"/>
      <c r="Q1139" s="76"/>
      <c r="R1139" s="76"/>
      <c r="S1139" s="76"/>
      <c r="T1139" s="76"/>
      <c r="U1139" s="97">
        <v>0</v>
      </c>
      <c r="V1139" s="97">
        <v>0</v>
      </c>
      <c r="W1139" s="97">
        <v>0</v>
      </c>
      <c r="X1139" s="97">
        <v>0</v>
      </c>
      <c r="Y1139" s="97">
        <v>0</v>
      </c>
      <c r="Z1139" s="97">
        <v>0</v>
      </c>
      <c r="AA1139" s="97">
        <v>0</v>
      </c>
      <c r="AB1139" s="254">
        <v>0</v>
      </c>
      <c r="AC1139" s="254">
        <f>AB1139</f>
        <v>0</v>
      </c>
      <c r="AD1139" s="254">
        <f>AC1139</f>
        <v>0</v>
      </c>
      <c r="AE1139" s="76"/>
      <c r="AF1139" s="97" t="s">
        <v>2167</v>
      </c>
      <c r="AG1139" s="76"/>
      <c r="AH1139" s="97">
        <v>1</v>
      </c>
      <c r="AI1139" s="97">
        <v>1</v>
      </c>
      <c r="AJ1139" s="73"/>
      <c r="AK1139" s="57"/>
      <c r="AL1139" s="45"/>
      <c r="AM1139" s="45"/>
      <c r="AN1139" s="45"/>
    </row>
    <row r="1140" spans="1:40" hidden="1" outlineLevel="2" x14ac:dyDescent="0.25">
      <c r="A1140" s="45"/>
      <c r="B1140" s="54"/>
      <c r="C1140" s="47">
        <f>INT($C$29)+2</f>
        <v>3</v>
      </c>
      <c r="D1140" s="73"/>
      <c r="E1140" s="70"/>
      <c r="F1140" s="70" t="s">
        <v>1853</v>
      </c>
      <c r="G1140" s="73"/>
      <c r="H1140" s="76" t="s">
        <v>1854</v>
      </c>
      <c r="I1140" s="96" t="s">
        <v>2172</v>
      </c>
      <c r="J1140" s="96"/>
      <c r="K1140" s="76"/>
      <c r="L1140" s="76"/>
      <c r="M1140" s="76"/>
      <c r="N1140" s="76"/>
      <c r="O1140" s="76"/>
      <c r="P1140" s="76"/>
      <c r="Q1140" s="76"/>
      <c r="R1140" s="76"/>
      <c r="S1140" s="76"/>
      <c r="T1140" s="76"/>
      <c r="U1140" s="97">
        <v>0</v>
      </c>
      <c r="V1140" s="97">
        <v>0</v>
      </c>
      <c r="W1140" s="97">
        <v>0</v>
      </c>
      <c r="X1140" s="97">
        <v>0</v>
      </c>
      <c r="Y1140" s="97">
        <v>0</v>
      </c>
      <c r="Z1140" s="97">
        <v>0</v>
      </c>
      <c r="AA1140" s="97">
        <v>0</v>
      </c>
      <c r="AB1140" s="254">
        <v>0</v>
      </c>
      <c r="AC1140" s="254">
        <f>AB1140</f>
        <v>0</v>
      </c>
      <c r="AD1140" s="254">
        <f>AC1140</f>
        <v>0</v>
      </c>
      <c r="AE1140" s="76"/>
      <c r="AF1140" s="97" t="s">
        <v>1855</v>
      </c>
      <c r="AG1140" s="76"/>
      <c r="AH1140" s="97">
        <v>1</v>
      </c>
      <c r="AI1140" s="97">
        <v>1</v>
      </c>
      <c r="AJ1140" s="73"/>
      <c r="AK1140" s="57"/>
      <c r="AL1140" s="45"/>
      <c r="AM1140" s="45"/>
      <c r="AN1140" s="45"/>
    </row>
    <row r="1141" spans="1:40" hidden="1" outlineLevel="2" x14ac:dyDescent="0.25">
      <c r="A1141" s="45"/>
      <c r="B1141" s="54"/>
      <c r="C1141" s="47">
        <f>INT($C$29)+2</f>
        <v>3</v>
      </c>
      <c r="D1141" s="73"/>
      <c r="E1141" s="70"/>
      <c r="F1141" s="70" t="s">
        <v>1856</v>
      </c>
      <c r="G1141" s="73"/>
      <c r="H1141" s="76" t="s">
        <v>1857</v>
      </c>
      <c r="I1141" s="96"/>
      <c r="J1141" s="96"/>
      <c r="K1141" s="76"/>
      <c r="L1141" s="76"/>
      <c r="M1141" s="76"/>
      <c r="N1141" s="76"/>
      <c r="O1141" s="76"/>
      <c r="P1141" s="76"/>
      <c r="Q1141" s="76"/>
      <c r="R1141" s="76"/>
      <c r="S1141" s="76"/>
      <c r="T1141" s="76"/>
      <c r="U1141" s="252">
        <f>U1142</f>
        <v>-1.9E-2</v>
      </c>
      <c r="V1141" s="252">
        <f>V1142</f>
        <v>-1.9E-2</v>
      </c>
      <c r="W1141" s="252">
        <f>W1142</f>
        <v>-1.9E-2</v>
      </c>
      <c r="X1141" s="252">
        <f>X1142</f>
        <v>-1.9E-2</v>
      </c>
      <c r="Y1141" s="252">
        <v>-1.9E-2</v>
      </c>
      <c r="Z1141" s="252">
        <v>-1.9E-2</v>
      </c>
      <c r="AA1141" s="252">
        <v>-1.9E-2</v>
      </c>
      <c r="AB1141" s="252">
        <v>-1.9E-2</v>
      </c>
      <c r="AC1141" s="252">
        <f>AC1142</f>
        <v>-1.9E-2</v>
      </c>
      <c r="AD1141" s="252">
        <f>AD1142</f>
        <v>-1.9E-2</v>
      </c>
      <c r="AE1141" s="76"/>
      <c r="AF1141" s="76"/>
      <c r="AG1141" s="76"/>
      <c r="AH1141" s="252">
        <f>AH1142</f>
        <v>1</v>
      </c>
      <c r="AI1141" s="252">
        <f>AI1142</f>
        <v>1</v>
      </c>
      <c r="AJ1141" s="73"/>
      <c r="AK1141" s="57"/>
      <c r="AL1141" s="45"/>
      <c r="AM1141" s="45"/>
      <c r="AN1141" s="45"/>
    </row>
    <row r="1142" spans="1:40" hidden="1" outlineLevel="2" x14ac:dyDescent="0.25">
      <c r="A1142" s="45"/>
      <c r="B1142" s="54"/>
      <c r="C1142" s="47">
        <f>INT($C$29)+2</f>
        <v>3</v>
      </c>
      <c r="D1142" s="73"/>
      <c r="E1142" s="70"/>
      <c r="F1142" s="70" t="s">
        <v>1858</v>
      </c>
      <c r="G1142" s="73"/>
      <c r="H1142" s="76" t="s">
        <v>1859</v>
      </c>
      <c r="I1142" s="96" t="s">
        <v>2171</v>
      </c>
      <c r="J1142" s="96"/>
      <c r="K1142" s="76"/>
      <c r="L1142" s="76"/>
      <c r="M1142" s="76"/>
      <c r="N1142" s="76"/>
      <c r="O1142" s="76"/>
      <c r="P1142" s="76"/>
      <c r="Q1142" s="76"/>
      <c r="R1142" s="76"/>
      <c r="S1142" s="76"/>
      <c r="T1142" s="76"/>
      <c r="U1142" s="97">
        <f>-0.019-U$1140</f>
        <v>-1.9E-2</v>
      </c>
      <c r="V1142" s="97">
        <f>-0.019-V$1140</f>
        <v>-1.9E-2</v>
      </c>
      <c r="W1142" s="97">
        <f>-0.019-W$1140</f>
        <v>-1.9E-2</v>
      </c>
      <c r="X1142" s="97">
        <f>-0.019-X$1140</f>
        <v>-1.9E-2</v>
      </c>
      <c r="Y1142" s="97">
        <v>-1.9E-2</v>
      </c>
      <c r="Z1142" s="97">
        <v>-1.9E-2</v>
      </c>
      <c r="AA1142" s="97">
        <v>-1.9E-2</v>
      </c>
      <c r="AB1142" s="254">
        <v>-1.9E-2</v>
      </c>
      <c r="AC1142" s="254">
        <f>AB1142</f>
        <v>-1.9E-2</v>
      </c>
      <c r="AD1142" s="254">
        <f>AC1142</f>
        <v>-1.9E-2</v>
      </c>
      <c r="AE1142" s="76"/>
      <c r="AF1142" s="76"/>
      <c r="AG1142" s="76"/>
      <c r="AH1142" s="97">
        <v>1</v>
      </c>
      <c r="AI1142" s="97">
        <v>1</v>
      </c>
      <c r="AJ1142" s="73"/>
      <c r="AK1142" s="57"/>
      <c r="AL1142" s="45"/>
      <c r="AM1142" s="45"/>
      <c r="AN1142" s="45"/>
    </row>
    <row r="1143" spans="1:40" hidden="1" outlineLevel="2" collapsed="1" x14ac:dyDescent="0.25">
      <c r="A1143" s="45"/>
      <c r="B1143" s="54"/>
      <c r="C1143" s="47">
        <f>INT($C$29)+2</f>
        <v>3</v>
      </c>
      <c r="D1143" s="73"/>
      <c r="E1143" s="70"/>
      <c r="F1143" s="70" t="s">
        <v>1860</v>
      </c>
      <c r="G1143" s="73"/>
      <c r="H1143" s="76" t="s">
        <v>1861</v>
      </c>
      <c r="I1143" s="96" t="s">
        <v>2171</v>
      </c>
      <c r="J1143" s="96"/>
      <c r="K1143" s="76"/>
      <c r="L1143" s="76"/>
      <c r="M1143" s="76"/>
      <c r="N1143" s="76"/>
      <c r="O1143" s="76"/>
      <c r="P1143" s="76"/>
      <c r="Q1143" s="76"/>
      <c r="R1143" s="76"/>
      <c r="S1143" s="76"/>
      <c r="T1143" s="76"/>
      <c r="U1143" s="97">
        <f>-0.031-U$1140</f>
        <v>-3.1E-2</v>
      </c>
      <c r="V1143" s="97">
        <f>-0.031-V$1140</f>
        <v>-3.1E-2</v>
      </c>
      <c r="W1143" s="97">
        <f>-0.031-W$1140</f>
        <v>-3.1E-2</v>
      </c>
      <c r="X1143" s="97">
        <f>-0.031-X$1140</f>
        <v>-3.1E-2</v>
      </c>
      <c r="Y1143" s="97">
        <v>-3.1E-2</v>
      </c>
      <c r="Z1143" s="97">
        <v>-3.1E-2</v>
      </c>
      <c r="AA1143" s="97">
        <v>-3.1E-2</v>
      </c>
      <c r="AB1143" s="254">
        <v>-3.1E-2</v>
      </c>
      <c r="AC1143" s="254">
        <f>AB1143</f>
        <v>-3.1E-2</v>
      </c>
      <c r="AD1143" s="254">
        <f>AC1143</f>
        <v>-3.1E-2</v>
      </c>
      <c r="AE1143" s="76"/>
      <c r="AF1143" s="76"/>
      <c r="AG1143" s="76"/>
      <c r="AH1143" s="97">
        <v>1</v>
      </c>
      <c r="AI1143" s="97">
        <v>1</v>
      </c>
      <c r="AJ1143" s="73"/>
      <c r="AK1143" s="57"/>
      <c r="AL1143" s="45"/>
      <c r="AM1143" s="45"/>
      <c r="AN1143" s="45"/>
    </row>
    <row r="1144" spans="1:40" hidden="1" outlineLevel="3" x14ac:dyDescent="0.25">
      <c r="A1144" s="45"/>
      <c r="B1144" s="54"/>
      <c r="C1144" s="47">
        <f>INT($C$29)+3</f>
        <v>4</v>
      </c>
      <c r="D1144" s="73"/>
      <c r="E1144" s="70"/>
      <c r="F1144" s="70" t="s">
        <v>1862</v>
      </c>
      <c r="G1144" s="73"/>
      <c r="H1144" s="76" t="s">
        <v>1863</v>
      </c>
      <c r="I1144" s="76"/>
      <c r="J1144" s="76"/>
      <c r="K1144" s="76"/>
      <c r="L1144" s="76"/>
      <c r="M1144" s="76"/>
      <c r="N1144" s="76"/>
      <c r="O1144" s="76"/>
      <c r="P1144" s="76"/>
      <c r="Q1144" s="76"/>
      <c r="R1144" s="76"/>
      <c r="S1144" s="76"/>
      <c r="T1144" s="76"/>
      <c r="U1144" s="76">
        <v>0</v>
      </c>
      <c r="V1144" s="76">
        <v>0</v>
      </c>
      <c r="W1144" s="76">
        <v>0</v>
      </c>
      <c r="X1144" s="76">
        <v>0</v>
      </c>
      <c r="Y1144" s="76">
        <v>0</v>
      </c>
      <c r="Z1144" s="76">
        <v>0</v>
      </c>
      <c r="AA1144" s="76">
        <v>0</v>
      </c>
      <c r="AB1144" s="76">
        <v>0</v>
      </c>
      <c r="AC1144" s="76">
        <v>0</v>
      </c>
      <c r="AD1144" s="76">
        <v>0</v>
      </c>
      <c r="AE1144" s="76"/>
      <c r="AF1144" s="76"/>
      <c r="AG1144" s="76"/>
      <c r="AH1144" s="76">
        <v>1</v>
      </c>
      <c r="AI1144" s="76">
        <v>1</v>
      </c>
      <c r="AJ1144" s="73"/>
      <c r="AK1144" s="57"/>
      <c r="AL1144" s="45"/>
      <c r="AM1144" s="45"/>
      <c r="AN1144" s="45"/>
    </row>
    <row r="1145" spans="1:40" hidden="1" outlineLevel="3" x14ac:dyDescent="0.25">
      <c r="A1145" s="45"/>
      <c r="B1145" s="54"/>
      <c r="C1145" s="47">
        <f>INT($C$29)+3</f>
        <v>4</v>
      </c>
      <c r="D1145" s="73"/>
      <c r="E1145" s="70"/>
      <c r="F1145" s="70" t="s">
        <v>1864</v>
      </c>
      <c r="G1145" s="73"/>
      <c r="H1145" s="76" t="s">
        <v>1865</v>
      </c>
      <c r="I1145" s="76"/>
      <c r="J1145" s="76"/>
      <c r="K1145" s="76"/>
      <c r="L1145" s="76"/>
      <c r="M1145" s="76"/>
      <c r="N1145" s="76"/>
      <c r="O1145" s="76"/>
      <c r="P1145" s="76"/>
      <c r="Q1145" s="76"/>
      <c r="R1145" s="76"/>
      <c r="S1145" s="76"/>
      <c r="T1145" s="76"/>
      <c r="U1145" s="76">
        <v>0</v>
      </c>
      <c r="V1145" s="76">
        <v>0</v>
      </c>
      <c r="W1145" s="76">
        <v>0</v>
      </c>
      <c r="X1145" s="76">
        <v>0</v>
      </c>
      <c r="Y1145" s="76">
        <v>0</v>
      </c>
      <c r="Z1145" s="76">
        <v>0</v>
      </c>
      <c r="AA1145" s="76">
        <v>0</v>
      </c>
      <c r="AB1145" s="76">
        <v>0</v>
      </c>
      <c r="AC1145" s="76">
        <v>0</v>
      </c>
      <c r="AD1145" s="76">
        <v>0</v>
      </c>
      <c r="AE1145" s="76"/>
      <c r="AF1145" s="76"/>
      <c r="AG1145" s="76"/>
      <c r="AH1145" s="76">
        <v>1</v>
      </c>
      <c r="AI1145" s="76">
        <v>1</v>
      </c>
      <c r="AJ1145" s="73"/>
      <c r="AK1145" s="57"/>
      <c r="AL1145" s="45"/>
      <c r="AM1145" s="45"/>
      <c r="AN1145" s="45"/>
    </row>
    <row r="1146" spans="1:40" hidden="1" outlineLevel="3" x14ac:dyDescent="0.25">
      <c r="A1146" s="45"/>
      <c r="B1146" s="54"/>
      <c r="C1146" s="47">
        <f>INT($C$29)+3</f>
        <v>4</v>
      </c>
      <c r="D1146" s="73"/>
      <c r="E1146" s="70"/>
      <c r="F1146" s="70" t="s">
        <v>1866</v>
      </c>
      <c r="G1146" s="73"/>
      <c r="H1146" s="76" t="s">
        <v>1867</v>
      </c>
      <c r="I1146" s="76"/>
      <c r="J1146" s="76"/>
      <c r="K1146" s="76"/>
      <c r="L1146" s="76"/>
      <c r="M1146" s="76"/>
      <c r="N1146" s="76"/>
      <c r="O1146" s="76"/>
      <c r="P1146" s="76"/>
      <c r="Q1146" s="76"/>
      <c r="R1146" s="76"/>
      <c r="S1146" s="76"/>
      <c r="T1146" s="76"/>
      <c r="U1146" s="76">
        <v>0</v>
      </c>
      <c r="V1146" s="76">
        <v>0</v>
      </c>
      <c r="W1146" s="76">
        <v>0</v>
      </c>
      <c r="X1146" s="76">
        <v>0</v>
      </c>
      <c r="Y1146" s="76">
        <v>0</v>
      </c>
      <c r="Z1146" s="76">
        <v>0</v>
      </c>
      <c r="AA1146" s="76">
        <v>0</v>
      </c>
      <c r="AB1146" s="76">
        <v>0</v>
      </c>
      <c r="AC1146" s="76">
        <v>0</v>
      </c>
      <c r="AD1146" s="76">
        <v>0</v>
      </c>
      <c r="AE1146" s="76"/>
      <c r="AF1146" s="76"/>
      <c r="AG1146" s="76"/>
      <c r="AH1146" s="76">
        <v>1</v>
      </c>
      <c r="AI1146" s="76">
        <v>1</v>
      </c>
      <c r="AJ1146" s="73"/>
      <c r="AK1146" s="57"/>
      <c r="AL1146" s="45"/>
      <c r="AM1146" s="45"/>
      <c r="AN1146" s="45"/>
    </row>
    <row r="1147" spans="1:40" hidden="1" outlineLevel="2" collapsed="1" x14ac:dyDescent="0.25">
      <c r="A1147" s="45"/>
      <c r="B1147" s="54"/>
      <c r="C1147" s="47">
        <f>INT($C$29)+2</f>
        <v>3</v>
      </c>
      <c r="D1147" s="73"/>
      <c r="E1147" s="70"/>
      <c r="F1147" s="70" t="s">
        <v>1868</v>
      </c>
      <c r="G1147" s="73"/>
      <c r="H1147" s="76" t="s">
        <v>1747</v>
      </c>
      <c r="I1147" s="76"/>
      <c r="J1147" s="76"/>
      <c r="K1147" s="76"/>
      <c r="L1147" s="76"/>
      <c r="M1147" s="76"/>
      <c r="N1147" s="76"/>
      <c r="O1147" s="76"/>
      <c r="P1147" s="76"/>
      <c r="Q1147" s="76"/>
      <c r="R1147" s="76"/>
      <c r="S1147" s="76"/>
      <c r="T1147" s="76"/>
      <c r="U1147" s="97">
        <v>0</v>
      </c>
      <c r="V1147" s="97">
        <v>0</v>
      </c>
      <c r="W1147" s="97">
        <v>0</v>
      </c>
      <c r="X1147" s="97">
        <v>0</v>
      </c>
      <c r="Y1147" s="97">
        <v>0</v>
      </c>
      <c r="Z1147" s="97">
        <v>0</v>
      </c>
      <c r="AA1147" s="97">
        <v>0</v>
      </c>
      <c r="AB1147" s="254">
        <v>0</v>
      </c>
      <c r="AC1147" s="254">
        <f>AB1147</f>
        <v>0</v>
      </c>
      <c r="AD1147" s="254">
        <f>AC1147</f>
        <v>0</v>
      </c>
      <c r="AE1147" s="76"/>
      <c r="AF1147" s="97" t="s">
        <v>2167</v>
      </c>
      <c r="AG1147" s="76"/>
      <c r="AH1147" s="97">
        <v>1</v>
      </c>
      <c r="AI1147" s="97">
        <v>1</v>
      </c>
      <c r="AJ1147" s="73"/>
      <c r="AK1147" s="57"/>
      <c r="AL1147" s="45"/>
      <c r="AM1147" s="45"/>
      <c r="AN1147" s="45"/>
    </row>
    <row r="1148" spans="1:40" hidden="1" outlineLevel="3" x14ac:dyDescent="0.25">
      <c r="A1148" s="45"/>
      <c r="B1148" s="54"/>
      <c r="C1148" s="47">
        <f t="shared" ref="C1148:C1163" si="160">INT($C$29)+3</f>
        <v>4</v>
      </c>
      <c r="D1148" s="73"/>
      <c r="E1148" s="70"/>
      <c r="F1148" s="70" t="s">
        <v>1869</v>
      </c>
      <c r="G1148" s="73"/>
      <c r="H1148" s="76" t="s">
        <v>602</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160"/>
        <v>4</v>
      </c>
      <c r="D1149" s="73"/>
      <c r="E1149" s="70"/>
      <c r="F1149" s="70" t="s">
        <v>1870</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160"/>
        <v>4</v>
      </c>
      <c r="D1150" s="73"/>
      <c r="E1150" s="70"/>
      <c r="F1150" s="70" t="s">
        <v>1871</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160"/>
        <v>4</v>
      </c>
      <c r="D1151" s="73"/>
      <c r="E1151" s="70"/>
      <c r="F1151" s="70" t="s">
        <v>1872</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25">
      <c r="A1152" s="45"/>
      <c r="B1152" s="54"/>
      <c r="C1152" s="47">
        <f t="shared" si="160"/>
        <v>4</v>
      </c>
      <c r="D1152" s="73"/>
      <c r="E1152" s="70"/>
      <c r="F1152" s="70" t="s">
        <v>1873</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25">
      <c r="A1153" s="45"/>
      <c r="B1153" s="54"/>
      <c r="C1153" s="47">
        <f t="shared" si="160"/>
        <v>4</v>
      </c>
      <c r="D1153" s="73"/>
      <c r="E1153" s="70"/>
      <c r="F1153" s="70" t="s">
        <v>1874</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25">
      <c r="A1154" s="45"/>
      <c r="B1154" s="54"/>
      <c r="C1154" s="47">
        <f t="shared" si="160"/>
        <v>4</v>
      </c>
      <c r="D1154" s="73"/>
      <c r="E1154" s="70"/>
      <c r="F1154" s="70" t="s">
        <v>1875</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25">
      <c r="A1155" s="45"/>
      <c r="B1155" s="54"/>
      <c r="C1155" s="47">
        <f t="shared" si="160"/>
        <v>4</v>
      </c>
      <c r="D1155" s="73"/>
      <c r="E1155" s="70"/>
      <c r="F1155" s="70" t="s">
        <v>1876</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25">
      <c r="A1156" s="45"/>
      <c r="B1156" s="54"/>
      <c r="C1156" s="47">
        <f t="shared" si="160"/>
        <v>4</v>
      </c>
      <c r="D1156" s="73"/>
      <c r="E1156" s="70"/>
      <c r="F1156" s="70" t="s">
        <v>1877</v>
      </c>
      <c r="G1156" s="73"/>
      <c r="H1156" s="76" t="s">
        <v>602</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160"/>
        <v>4</v>
      </c>
      <c r="D1157" s="73"/>
      <c r="E1157" s="70"/>
      <c r="F1157" s="70" t="s">
        <v>1878</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160"/>
        <v>4</v>
      </c>
      <c r="D1158" s="73"/>
      <c r="E1158" s="70"/>
      <c r="F1158" s="70" t="s">
        <v>1879</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160"/>
        <v>4</v>
      </c>
      <c r="D1159" s="73"/>
      <c r="E1159" s="70"/>
      <c r="F1159" s="70" t="s">
        <v>1880</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160"/>
        <v>4</v>
      </c>
      <c r="D1160" s="73"/>
      <c r="E1160" s="70"/>
      <c r="F1160" s="70" t="s">
        <v>1881</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160"/>
        <v>4</v>
      </c>
      <c r="D1161" s="73"/>
      <c r="E1161" s="70"/>
      <c r="F1161" s="70" t="s">
        <v>1882</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160"/>
        <v>4</v>
      </c>
      <c r="D1162" s="73"/>
      <c r="E1162" s="70"/>
      <c r="F1162" s="70" t="s">
        <v>1883</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160"/>
        <v>4</v>
      </c>
      <c r="D1163" s="73"/>
      <c r="E1163" s="401"/>
      <c r="F1163" s="401" t="s">
        <v>1884</v>
      </c>
      <c r="G1163" s="73"/>
      <c r="H1163" s="109"/>
      <c r="I1163" s="109"/>
      <c r="J1163" s="109"/>
      <c r="K1163" s="109"/>
      <c r="L1163" s="109"/>
      <c r="M1163" s="109"/>
      <c r="N1163" s="109"/>
      <c r="O1163" s="109"/>
      <c r="P1163" s="109"/>
      <c r="Q1163" s="109"/>
      <c r="R1163" s="109"/>
      <c r="S1163" s="109"/>
      <c r="T1163" s="109"/>
      <c r="U1163" s="109"/>
      <c r="V1163" s="109"/>
      <c r="W1163" s="109"/>
      <c r="X1163" s="109"/>
      <c r="Y1163" s="109"/>
      <c r="Z1163" s="109"/>
      <c r="AA1163" s="109"/>
      <c r="AB1163" s="109"/>
      <c r="AC1163" s="109"/>
      <c r="AD1163" s="109"/>
      <c r="AE1163" s="109"/>
      <c r="AF1163" s="109"/>
      <c r="AG1163" s="109"/>
      <c r="AH1163" s="109">
        <v>1</v>
      </c>
      <c r="AI1163" s="109">
        <v>1</v>
      </c>
      <c r="AJ1163" s="73"/>
      <c r="AK1163" s="57"/>
      <c r="AL1163" s="45"/>
      <c r="AM1163" s="45"/>
      <c r="AN1163" s="45"/>
    </row>
    <row r="1164" spans="1:40" hidden="1" outlineLevel="2" x14ac:dyDescent="0.25">
      <c r="A1164" s="45"/>
      <c r="B1164" s="54"/>
      <c r="C1164" s="47">
        <f>INT($C$29)+2</f>
        <v>3</v>
      </c>
      <c r="D1164" s="73"/>
      <c r="E1164" s="405"/>
      <c r="F1164" s="405" t="s">
        <v>1885</v>
      </c>
      <c r="G1164" s="406"/>
      <c r="H1164" s="181" t="s">
        <v>1886</v>
      </c>
      <c r="I1164" s="151"/>
      <c r="J1164" s="151"/>
      <c r="K1164" s="181"/>
      <c r="L1164" s="181"/>
      <c r="M1164" s="181"/>
      <c r="N1164" s="181"/>
      <c r="O1164" s="181"/>
      <c r="P1164" s="181"/>
      <c r="Q1164" s="181"/>
      <c r="R1164" s="181"/>
      <c r="S1164" s="181"/>
      <c r="T1164" s="181"/>
      <c r="U1164" s="407">
        <v>3.024E-2</v>
      </c>
      <c r="V1164" s="408">
        <f>U1164</f>
        <v>3.024E-2</v>
      </c>
      <c r="W1164" s="408">
        <f>U1164</f>
        <v>3.024E-2</v>
      </c>
      <c r="X1164" s="408">
        <f>V1164</f>
        <v>3.024E-2</v>
      </c>
      <c r="Y1164" s="408">
        <v>3.024E-2</v>
      </c>
      <c r="Z1164" s="408">
        <v>3.024E-2</v>
      </c>
      <c r="AA1164" s="408">
        <v>3.024E-2</v>
      </c>
      <c r="AB1164" s="408">
        <v>2.248E-2</v>
      </c>
      <c r="AC1164" s="408">
        <f>AB1164</f>
        <v>2.248E-2</v>
      </c>
      <c r="AD1164" s="408">
        <f>AC1164</f>
        <v>2.248E-2</v>
      </c>
      <c r="AE1164" s="181"/>
      <c r="AF1164" s="407" t="s">
        <v>1887</v>
      </c>
      <c r="AG1164" s="181"/>
      <c r="AH1164" s="407">
        <v>1</v>
      </c>
      <c r="AI1164" s="407">
        <v>1</v>
      </c>
      <c r="AJ1164" s="73"/>
      <c r="AK1164" s="57"/>
      <c r="AL1164" s="45"/>
      <c r="AM1164" s="45"/>
      <c r="AN1164" s="45"/>
    </row>
    <row r="1165" spans="1:40" hidden="1" outlineLevel="2" x14ac:dyDescent="0.25">
      <c r="A1165" s="45"/>
      <c r="B1165" s="54"/>
      <c r="C1165" s="47">
        <f>INT($C$29)+2</f>
        <v>3</v>
      </c>
      <c r="D1165" s="73"/>
      <c r="E1165" s="70"/>
      <c r="F1165" s="70" t="s">
        <v>1888</v>
      </c>
      <c r="G1165" s="234"/>
      <c r="H1165" s="76" t="s">
        <v>1889</v>
      </c>
      <c r="I1165" s="96"/>
      <c r="J1165" s="96"/>
      <c r="K1165" s="76"/>
      <c r="L1165" s="76"/>
      <c r="M1165" s="76"/>
      <c r="N1165" s="76"/>
      <c r="O1165" s="76"/>
      <c r="P1165" s="76"/>
      <c r="Q1165" s="76"/>
      <c r="R1165" s="76"/>
      <c r="S1165" s="76"/>
      <c r="T1165" s="76"/>
      <c r="U1165" s="252">
        <f>U1166</f>
        <v>8.5699999999999995E-3</v>
      </c>
      <c r="V1165" s="252">
        <f>V1166</f>
        <v>8.5699999999999995E-3</v>
      </c>
      <c r="W1165" s="252">
        <f>W1166</f>
        <v>8.5699999999999995E-3</v>
      </c>
      <c r="X1165" s="252">
        <f>X1166</f>
        <v>8.5699999999999995E-3</v>
      </c>
      <c r="Y1165" s="252">
        <v>8.5699999999999995E-3</v>
      </c>
      <c r="Z1165" s="252">
        <v>8.5699999999999995E-3</v>
      </c>
      <c r="AA1165" s="252">
        <v>8.5699999999999995E-3</v>
      </c>
      <c r="AB1165" s="252">
        <v>2.7799999999999999E-3</v>
      </c>
      <c r="AC1165" s="252">
        <f>AC1166</f>
        <v>2.7799999999999999E-3</v>
      </c>
      <c r="AD1165" s="252">
        <f>AD1166</f>
        <v>2.7799999999999999E-3</v>
      </c>
      <c r="AE1165" s="76"/>
      <c r="AF1165" s="97" t="s">
        <v>2180</v>
      </c>
      <c r="AG1165" s="76"/>
      <c r="AH1165" s="252">
        <f>AH1166</f>
        <v>1</v>
      </c>
      <c r="AI1165" s="252">
        <f>AI1166</f>
        <v>1</v>
      </c>
      <c r="AJ1165" s="73"/>
      <c r="AK1165" s="57"/>
      <c r="AL1165" s="45"/>
      <c r="AM1165" s="45"/>
      <c r="AN1165" s="45"/>
    </row>
    <row r="1166" spans="1:40" hidden="1" outlineLevel="2" x14ac:dyDescent="0.25">
      <c r="A1166" s="45"/>
      <c r="B1166" s="54"/>
      <c r="C1166" s="47">
        <f>INT($C$29)+2</f>
        <v>3</v>
      </c>
      <c r="D1166" s="73"/>
      <c r="E1166" s="70"/>
      <c r="F1166" s="70" t="s">
        <v>1890</v>
      </c>
      <c r="G1166" s="234"/>
      <c r="H1166" s="76" t="s">
        <v>1891</v>
      </c>
      <c r="I1166" s="96"/>
      <c r="J1166" s="96"/>
      <c r="K1166" s="76"/>
      <c r="L1166" s="76"/>
      <c r="M1166" s="76"/>
      <c r="N1166" s="76"/>
      <c r="O1166" s="76"/>
      <c r="P1166" s="76"/>
      <c r="Q1166" s="76"/>
      <c r="R1166" s="76"/>
      <c r="S1166" s="76"/>
      <c r="T1166" s="76"/>
      <c r="U1166" s="97">
        <v>8.5699999999999995E-3</v>
      </c>
      <c r="V1166" s="403">
        <f>U1166</f>
        <v>8.5699999999999995E-3</v>
      </c>
      <c r="W1166" s="403">
        <f>U1166</f>
        <v>8.5699999999999995E-3</v>
      </c>
      <c r="X1166" s="403">
        <f>V1166</f>
        <v>8.5699999999999995E-3</v>
      </c>
      <c r="Y1166" s="403">
        <v>8.5699999999999995E-3</v>
      </c>
      <c r="Z1166" s="403">
        <v>8.5699999999999995E-3</v>
      </c>
      <c r="AA1166" s="403">
        <v>8.5699999999999995E-3</v>
      </c>
      <c r="AB1166" s="403">
        <v>2.7799999999999999E-3</v>
      </c>
      <c r="AC1166" s="403">
        <f>AB1166</f>
        <v>2.7799999999999999E-3</v>
      </c>
      <c r="AD1166" s="403">
        <f>AC1166</f>
        <v>2.7799999999999999E-3</v>
      </c>
      <c r="AE1166" s="76"/>
      <c r="AF1166" s="76"/>
      <c r="AG1166" s="76"/>
      <c r="AH1166" s="97">
        <v>1</v>
      </c>
      <c r="AI1166" s="97">
        <v>1</v>
      </c>
      <c r="AJ1166" s="73"/>
      <c r="AK1166" s="57"/>
      <c r="AL1166" s="45"/>
      <c r="AM1166" s="45"/>
      <c r="AN1166" s="45"/>
    </row>
    <row r="1167" spans="1:40" hidden="1" outlineLevel="2" collapsed="1" x14ac:dyDescent="0.25">
      <c r="A1167" s="45"/>
      <c r="B1167" s="54"/>
      <c r="C1167" s="47">
        <f>INT($C$29)+2</f>
        <v>3</v>
      </c>
      <c r="D1167" s="73"/>
      <c r="E1167" s="70"/>
      <c r="F1167" s="70" t="s">
        <v>1892</v>
      </c>
      <c r="G1167" s="234"/>
      <c r="H1167" s="76" t="s">
        <v>1893</v>
      </c>
      <c r="I1167" s="96"/>
      <c r="J1167" s="96"/>
      <c r="K1167" s="76"/>
      <c r="L1167" s="76"/>
      <c r="M1167" s="76"/>
      <c r="N1167" s="76"/>
      <c r="O1167" s="76"/>
      <c r="P1167" s="76"/>
      <c r="Q1167" s="76"/>
      <c r="R1167" s="76"/>
      <c r="S1167" s="76"/>
      <c r="T1167" s="76"/>
      <c r="U1167" s="97">
        <v>1.626E-2</v>
      </c>
      <c r="V1167" s="403">
        <f>U1167</f>
        <v>1.626E-2</v>
      </c>
      <c r="W1167" s="403">
        <f>U1167</f>
        <v>1.626E-2</v>
      </c>
      <c r="X1167" s="403">
        <f>V1167</f>
        <v>1.626E-2</v>
      </c>
      <c r="Y1167" s="403">
        <v>1.626E-2</v>
      </c>
      <c r="Z1167" s="403">
        <v>1.626E-2</v>
      </c>
      <c r="AA1167" s="403">
        <v>1.626E-2</v>
      </c>
      <c r="AB1167" s="403">
        <v>1.6129999999999999E-2</v>
      </c>
      <c r="AC1167" s="403">
        <f>AB1167</f>
        <v>1.6129999999999999E-2</v>
      </c>
      <c r="AD1167" s="403">
        <f>AC1167</f>
        <v>1.6129999999999999E-2</v>
      </c>
      <c r="AE1167" s="76"/>
      <c r="AF1167" s="76"/>
      <c r="AG1167" s="76"/>
      <c r="AH1167" s="97">
        <v>1</v>
      </c>
      <c r="AI1167" s="97">
        <v>1</v>
      </c>
      <c r="AJ1167" s="73"/>
      <c r="AK1167" s="57"/>
      <c r="AL1167" s="45"/>
      <c r="AM1167" s="45"/>
      <c r="AN1167" s="45"/>
    </row>
    <row r="1168" spans="1:40" hidden="1" outlineLevel="3" x14ac:dyDescent="0.25">
      <c r="A1168" s="45"/>
      <c r="B1168" s="54"/>
      <c r="C1168" s="47">
        <f>INT($C$29)+3</f>
        <v>4</v>
      </c>
      <c r="D1168" s="73"/>
      <c r="E1168" s="70"/>
      <c r="F1168" s="70" t="s">
        <v>1894</v>
      </c>
      <c r="G1168" s="234"/>
      <c r="H1168" s="76" t="s">
        <v>1895</v>
      </c>
      <c r="I1168" s="76"/>
      <c r="J1168" s="76"/>
      <c r="K1168" s="76"/>
      <c r="L1168" s="76"/>
      <c r="M1168" s="76"/>
      <c r="N1168" s="76"/>
      <c r="O1168" s="76"/>
      <c r="P1168" s="76"/>
      <c r="Q1168" s="76"/>
      <c r="R1168" s="76"/>
      <c r="S1168" s="76"/>
      <c r="T1168" s="76"/>
      <c r="U1168" s="76">
        <v>0</v>
      </c>
      <c r="V1168" s="76">
        <v>0</v>
      </c>
      <c r="W1168" s="76">
        <v>0</v>
      </c>
      <c r="X1168" s="76">
        <v>0</v>
      </c>
      <c r="Y1168" s="76">
        <v>0</v>
      </c>
      <c r="Z1168" s="76">
        <v>0</v>
      </c>
      <c r="AA1168" s="76">
        <v>0</v>
      </c>
      <c r="AB1168" s="76">
        <v>0</v>
      </c>
      <c r="AC1168" s="76">
        <v>0</v>
      </c>
      <c r="AD1168" s="76">
        <v>0</v>
      </c>
      <c r="AE1168" s="76"/>
      <c r="AF1168" s="76"/>
      <c r="AG1168" s="76"/>
      <c r="AH1168" s="76">
        <v>1</v>
      </c>
      <c r="AI1168" s="76">
        <v>1</v>
      </c>
      <c r="AJ1168" s="73"/>
      <c r="AK1168" s="57"/>
      <c r="AL1168" s="45"/>
      <c r="AM1168" s="45"/>
      <c r="AN1168" s="45"/>
    </row>
    <row r="1169" spans="1:40" hidden="1" outlineLevel="3" x14ac:dyDescent="0.25">
      <c r="A1169" s="45"/>
      <c r="B1169" s="54"/>
      <c r="C1169" s="47">
        <f>INT($C$29)+3</f>
        <v>4</v>
      </c>
      <c r="D1169" s="73"/>
      <c r="E1169" s="70"/>
      <c r="F1169" s="70" t="s">
        <v>1896</v>
      </c>
      <c r="G1169" s="234"/>
      <c r="H1169" s="76" t="s">
        <v>1897</v>
      </c>
      <c r="I1169" s="76"/>
      <c r="J1169" s="76"/>
      <c r="K1169" s="76"/>
      <c r="L1169" s="76"/>
      <c r="M1169" s="76"/>
      <c r="N1169" s="76"/>
      <c r="O1169" s="76"/>
      <c r="P1169" s="76"/>
      <c r="Q1169" s="76"/>
      <c r="R1169" s="76"/>
      <c r="S1169" s="76"/>
      <c r="T1169" s="76"/>
      <c r="U1169" s="76">
        <v>0</v>
      </c>
      <c r="V1169" s="76">
        <v>0</v>
      </c>
      <c r="W1169" s="76">
        <v>0</v>
      </c>
      <c r="X1169" s="76">
        <v>0</v>
      </c>
      <c r="Y1169" s="76">
        <v>0</v>
      </c>
      <c r="Z1169" s="76">
        <v>0</v>
      </c>
      <c r="AA1169" s="76">
        <v>0</v>
      </c>
      <c r="AB1169" s="76">
        <v>0</v>
      </c>
      <c r="AC1169" s="76">
        <v>0</v>
      </c>
      <c r="AD1169" s="76">
        <v>0</v>
      </c>
      <c r="AE1169" s="76"/>
      <c r="AF1169" s="76"/>
      <c r="AG1169" s="76"/>
      <c r="AH1169" s="76">
        <v>1</v>
      </c>
      <c r="AI1169" s="76">
        <v>1</v>
      </c>
      <c r="AJ1169" s="73"/>
      <c r="AK1169" s="57"/>
      <c r="AL1169" s="45"/>
      <c r="AM1169" s="45"/>
      <c r="AN1169" s="45"/>
    </row>
    <row r="1170" spans="1:40" hidden="1" outlineLevel="3" x14ac:dyDescent="0.25">
      <c r="A1170" s="45"/>
      <c r="B1170" s="54"/>
      <c r="C1170" s="47">
        <f>INT($C$29)+3</f>
        <v>4</v>
      </c>
      <c r="D1170" s="73"/>
      <c r="E1170" s="70"/>
      <c r="F1170" s="70" t="s">
        <v>1898</v>
      </c>
      <c r="G1170" s="234"/>
      <c r="H1170" s="76" t="s">
        <v>1899</v>
      </c>
      <c r="I1170" s="76"/>
      <c r="J1170" s="76"/>
      <c r="K1170" s="76"/>
      <c r="L1170" s="76"/>
      <c r="M1170" s="76"/>
      <c r="N1170" s="76"/>
      <c r="O1170" s="76"/>
      <c r="P1170" s="76"/>
      <c r="Q1170" s="76"/>
      <c r="R1170" s="76"/>
      <c r="S1170" s="76"/>
      <c r="T1170" s="76"/>
      <c r="U1170" s="76">
        <v>0</v>
      </c>
      <c r="V1170" s="76">
        <v>0</v>
      </c>
      <c r="W1170" s="76">
        <v>0</v>
      </c>
      <c r="X1170" s="76">
        <v>0</v>
      </c>
      <c r="Y1170" s="76">
        <v>0</v>
      </c>
      <c r="Z1170" s="76">
        <v>0</v>
      </c>
      <c r="AA1170" s="76">
        <v>0</v>
      </c>
      <c r="AB1170" s="76">
        <v>0</v>
      </c>
      <c r="AC1170" s="76">
        <v>0</v>
      </c>
      <c r="AD1170" s="76">
        <v>0</v>
      </c>
      <c r="AE1170" s="76"/>
      <c r="AF1170" s="76"/>
      <c r="AG1170" s="76"/>
      <c r="AH1170" s="76">
        <v>1</v>
      </c>
      <c r="AI1170" s="76">
        <v>1</v>
      </c>
      <c r="AJ1170" s="73"/>
      <c r="AK1170" s="57"/>
      <c r="AL1170" s="45"/>
      <c r="AM1170" s="45"/>
      <c r="AN1170" s="45"/>
    </row>
    <row r="1171" spans="1:40" hidden="1" outlineLevel="2" x14ac:dyDescent="0.25">
      <c r="A1171" s="45"/>
      <c r="B1171" s="54"/>
      <c r="C1171" s="47">
        <f t="shared" ref="C1171:C1187" si="161">INT($C$29)+2</f>
        <v>3</v>
      </c>
      <c r="D1171" s="73"/>
      <c r="E1171" s="409"/>
      <c r="F1171" s="409" t="s">
        <v>1900</v>
      </c>
      <c r="G1171" s="410"/>
      <c r="H1171" s="184" t="s">
        <v>1901</v>
      </c>
      <c r="I1171" s="184"/>
      <c r="J1171" s="184"/>
      <c r="K1171" s="184"/>
      <c r="L1171" s="184"/>
      <c r="M1171" s="184"/>
      <c r="N1171" s="184"/>
      <c r="O1171" s="184"/>
      <c r="P1171" s="184"/>
      <c r="Q1171" s="184"/>
      <c r="R1171" s="184"/>
      <c r="S1171" s="184"/>
      <c r="T1171" s="184"/>
      <c r="U1171" s="411">
        <v>3.496</v>
      </c>
      <c r="V1171" s="411">
        <v>3.496</v>
      </c>
      <c r="W1171" s="411">
        <v>3.496</v>
      </c>
      <c r="X1171" s="411">
        <v>3.496</v>
      </c>
      <c r="Y1171" s="411">
        <v>3.496</v>
      </c>
      <c r="Z1171" s="411">
        <v>3.496</v>
      </c>
      <c r="AA1171" s="411">
        <v>3.496</v>
      </c>
      <c r="AB1171" s="414">
        <v>4.2411000000000003</v>
      </c>
      <c r="AC1171" s="414">
        <f>AB1171</f>
        <v>4.2411000000000003</v>
      </c>
      <c r="AD1171" s="414">
        <f>AC1171</f>
        <v>4.2411000000000003</v>
      </c>
      <c r="AE1171" s="184"/>
      <c r="AF1171" s="184"/>
      <c r="AG1171" s="184"/>
      <c r="AH1171" s="412">
        <v>1</v>
      </c>
      <c r="AI1171" s="412">
        <v>1</v>
      </c>
      <c r="AJ1171" s="73"/>
      <c r="AK1171" s="57"/>
      <c r="AL1171" s="45"/>
      <c r="AM1171" s="45"/>
      <c r="AN1171" s="45"/>
    </row>
    <row r="1172" spans="1:40" hidden="1" outlineLevel="2" x14ac:dyDescent="0.25">
      <c r="A1172" s="45"/>
      <c r="B1172" s="54"/>
      <c r="C1172" s="47">
        <f t="shared" si="161"/>
        <v>3</v>
      </c>
      <c r="D1172" s="73"/>
      <c r="E1172" s="402"/>
      <c r="F1172" s="402" t="s">
        <v>1902</v>
      </c>
      <c r="G1172" s="73"/>
      <c r="H1172" s="105" t="s">
        <v>1903</v>
      </c>
      <c r="I1172" s="177"/>
      <c r="J1172" s="177"/>
      <c r="K1172" s="105"/>
      <c r="L1172" s="105"/>
      <c r="M1172" s="105"/>
      <c r="N1172" s="105"/>
      <c r="O1172" s="105"/>
      <c r="P1172" s="105"/>
      <c r="Q1172" s="105"/>
      <c r="R1172" s="105"/>
      <c r="S1172" s="105"/>
      <c r="T1172" s="105"/>
      <c r="U1172" s="119">
        <v>0.18</v>
      </c>
      <c r="V1172" s="119">
        <v>0.18</v>
      </c>
      <c r="W1172" s="119">
        <v>0.18</v>
      </c>
      <c r="X1172" s="119">
        <v>0.18</v>
      </c>
      <c r="Y1172" s="119">
        <v>0.18</v>
      </c>
      <c r="Z1172" s="119">
        <v>0.18</v>
      </c>
      <c r="AA1172" s="119">
        <v>0.18</v>
      </c>
      <c r="AB1172" s="404">
        <v>0.13919999999999999</v>
      </c>
      <c r="AC1172" s="404">
        <f>AB1172</f>
        <v>0.13919999999999999</v>
      </c>
      <c r="AD1172" s="404">
        <f>AC1172</f>
        <v>0.13919999999999999</v>
      </c>
      <c r="AE1172" s="105"/>
      <c r="AF1172" s="119" t="s">
        <v>1281</v>
      </c>
      <c r="AG1172" s="105"/>
      <c r="AH1172" s="119">
        <v>1</v>
      </c>
      <c r="AI1172" s="119">
        <v>1</v>
      </c>
      <c r="AJ1172" s="73"/>
      <c r="AK1172" s="57"/>
      <c r="AL1172" s="45"/>
      <c r="AM1172" s="45"/>
      <c r="AN1172" s="45"/>
    </row>
    <row r="1173" spans="1:40" hidden="1" outlineLevel="2" x14ac:dyDescent="0.25">
      <c r="A1173" s="45"/>
      <c r="B1173" s="54"/>
      <c r="C1173" s="47">
        <f t="shared" si="161"/>
        <v>3</v>
      </c>
      <c r="D1173" s="73"/>
      <c r="E1173" s="70"/>
      <c r="F1173" s="70" t="s">
        <v>1904</v>
      </c>
      <c r="G1173" s="73"/>
      <c r="H1173" s="76" t="s">
        <v>1905</v>
      </c>
      <c r="I1173" s="96"/>
      <c r="J1173" s="96"/>
      <c r="K1173" s="76"/>
      <c r="L1173" s="76"/>
      <c r="M1173" s="76"/>
      <c r="N1173" s="76"/>
      <c r="O1173" s="76"/>
      <c r="P1173" s="76"/>
      <c r="Q1173" s="76"/>
      <c r="R1173" s="76"/>
      <c r="S1173" s="76"/>
      <c r="T1173" s="76"/>
      <c r="U1173" s="252">
        <f>U1174</f>
        <v>0.03</v>
      </c>
      <c r="V1173" s="252">
        <f>V1174</f>
        <v>0.03</v>
      </c>
      <c r="W1173" s="252">
        <f>W1174</f>
        <v>0.03</v>
      </c>
      <c r="X1173" s="252">
        <f>X1174</f>
        <v>0.03</v>
      </c>
      <c r="Y1173" s="252">
        <v>0.03</v>
      </c>
      <c r="Z1173" s="252">
        <v>0.03</v>
      </c>
      <c r="AA1173" s="252">
        <v>0.03</v>
      </c>
      <c r="AB1173" s="252">
        <v>7.0000000000000062E-3</v>
      </c>
      <c r="AC1173" s="252">
        <f>AC1174</f>
        <v>7.0000000000000062E-3</v>
      </c>
      <c r="AD1173" s="252">
        <f>AD1174</f>
        <v>7.0000000000000062E-3</v>
      </c>
      <c r="AE1173" s="76"/>
      <c r="AF1173" s="97" t="s">
        <v>2180</v>
      </c>
      <c r="AG1173" s="76"/>
      <c r="AH1173" s="252">
        <f>AH1174</f>
        <v>1</v>
      </c>
      <c r="AI1173" s="252">
        <f>AI1174</f>
        <v>1</v>
      </c>
      <c r="AJ1173" s="73"/>
      <c r="AK1173" s="57"/>
      <c r="AL1173" s="45"/>
      <c r="AM1173" s="45"/>
      <c r="AN1173" s="45"/>
    </row>
    <row r="1174" spans="1:40" hidden="1" outlineLevel="2" x14ac:dyDescent="0.25">
      <c r="A1174" s="45"/>
      <c r="B1174" s="54"/>
      <c r="C1174" s="47">
        <f t="shared" si="161"/>
        <v>3</v>
      </c>
      <c r="D1174" s="73"/>
      <c r="E1174" s="70"/>
      <c r="F1174" s="70" t="s">
        <v>1906</v>
      </c>
      <c r="G1174" s="73"/>
      <c r="H1174" s="76" t="s">
        <v>1737</v>
      </c>
      <c r="I1174" s="96"/>
      <c r="J1174" s="96"/>
      <c r="K1174" s="76"/>
      <c r="L1174" s="76"/>
      <c r="M1174" s="76"/>
      <c r="N1174" s="76"/>
      <c r="O1174" s="76"/>
      <c r="P1174" s="76"/>
      <c r="Q1174" s="76"/>
      <c r="R1174" s="76"/>
      <c r="S1174" s="76"/>
      <c r="T1174" s="76"/>
      <c r="U1174" s="97">
        <f>0.21-U$1172</f>
        <v>0.03</v>
      </c>
      <c r="V1174" s="97">
        <f>0.21-V$1172</f>
        <v>0.03</v>
      </c>
      <c r="W1174" s="97">
        <f>0.21-W$1172</f>
        <v>0.03</v>
      </c>
      <c r="X1174" s="97">
        <f>0.21-X$1172</f>
        <v>0.03</v>
      </c>
      <c r="Y1174" s="97">
        <v>0.03</v>
      </c>
      <c r="Z1174" s="97">
        <v>0.03</v>
      </c>
      <c r="AA1174" s="97">
        <v>0.03</v>
      </c>
      <c r="AB1174" s="254">
        <v>7.0000000000000062E-3</v>
      </c>
      <c r="AC1174" s="254">
        <f t="shared" ref="AC1174:AD1180" si="162">AB1174</f>
        <v>7.0000000000000062E-3</v>
      </c>
      <c r="AD1174" s="254">
        <f t="shared" si="162"/>
        <v>7.0000000000000062E-3</v>
      </c>
      <c r="AE1174" s="76"/>
      <c r="AF1174" s="76"/>
      <c r="AG1174" s="76"/>
      <c r="AH1174" s="97">
        <v>1</v>
      </c>
      <c r="AI1174" s="97">
        <v>1</v>
      </c>
      <c r="AJ1174" s="73"/>
      <c r="AK1174" s="57"/>
      <c r="AL1174" s="45"/>
      <c r="AM1174" s="45"/>
      <c r="AN1174" s="45"/>
    </row>
    <row r="1175" spans="1:40" hidden="1" outlineLevel="2" x14ac:dyDescent="0.25">
      <c r="A1175" s="45"/>
      <c r="B1175" s="54"/>
      <c r="C1175" s="47">
        <f t="shared" si="161"/>
        <v>3</v>
      </c>
      <c r="D1175" s="73"/>
      <c r="E1175" s="70"/>
      <c r="F1175" s="70" t="s">
        <v>1907</v>
      </c>
      <c r="G1175" s="73"/>
      <c r="H1175" s="76" t="s">
        <v>1739</v>
      </c>
      <c r="I1175" s="96"/>
      <c r="J1175" s="96"/>
      <c r="K1175" s="76"/>
      <c r="L1175" s="76"/>
      <c r="M1175" s="76"/>
      <c r="N1175" s="76"/>
      <c r="O1175" s="76"/>
      <c r="P1175" s="76"/>
      <c r="Q1175" s="76"/>
      <c r="R1175" s="76"/>
      <c r="S1175" s="76"/>
      <c r="T1175" s="76"/>
      <c r="U1175" s="97">
        <f>0.14-U$1172</f>
        <v>-3.999999999999998E-2</v>
      </c>
      <c r="V1175" s="97">
        <f>0.14-V$1172</f>
        <v>-3.999999999999998E-2</v>
      </c>
      <c r="W1175" s="97">
        <f>0.14-W$1172</f>
        <v>-3.999999999999998E-2</v>
      </c>
      <c r="X1175" s="97">
        <f>0.14-X$1172</f>
        <v>-3.999999999999998E-2</v>
      </c>
      <c r="Y1175" s="97">
        <v>-3.999999999999998E-2</v>
      </c>
      <c r="Z1175" s="97">
        <v>-3.999999999999998E-2</v>
      </c>
      <c r="AA1175" s="97">
        <v>-3.999999999999998E-2</v>
      </c>
      <c r="AB1175" s="254">
        <v>-3.0299999999999994E-2</v>
      </c>
      <c r="AC1175" s="254">
        <f t="shared" si="162"/>
        <v>-3.0299999999999994E-2</v>
      </c>
      <c r="AD1175" s="254">
        <f t="shared" si="162"/>
        <v>-3.0299999999999994E-2</v>
      </c>
      <c r="AE1175" s="76"/>
      <c r="AF1175" s="76"/>
      <c r="AG1175" s="76"/>
      <c r="AH1175" s="97">
        <v>1</v>
      </c>
      <c r="AI1175" s="97">
        <v>1</v>
      </c>
      <c r="AJ1175" s="73"/>
      <c r="AK1175" s="57"/>
      <c r="AL1175" s="45"/>
      <c r="AM1175" s="45"/>
      <c r="AN1175" s="45"/>
    </row>
    <row r="1176" spans="1:40" hidden="1" outlineLevel="2" x14ac:dyDescent="0.25">
      <c r="A1176" s="45"/>
      <c r="B1176" s="54"/>
      <c r="C1176" s="47">
        <f t="shared" si="161"/>
        <v>3</v>
      </c>
      <c r="D1176" s="73"/>
      <c r="E1176" s="70"/>
      <c r="F1176" s="70" t="s">
        <v>1908</v>
      </c>
      <c r="G1176" s="73"/>
      <c r="H1176" s="76" t="s">
        <v>1741</v>
      </c>
      <c r="I1176" s="76"/>
      <c r="J1176" s="76"/>
      <c r="K1176" s="76"/>
      <c r="L1176" s="76"/>
      <c r="M1176" s="76"/>
      <c r="N1176" s="76"/>
      <c r="O1176" s="76"/>
      <c r="P1176" s="76"/>
      <c r="Q1176" s="76"/>
      <c r="R1176" s="76"/>
      <c r="S1176" s="76"/>
      <c r="T1176" s="76"/>
      <c r="U1176" s="97">
        <f>0-U$1172</f>
        <v>-0.18</v>
      </c>
      <c r="V1176" s="97">
        <f>0-V$1172</f>
        <v>-0.18</v>
      </c>
      <c r="W1176" s="97">
        <f>0-W$1172</f>
        <v>-0.18</v>
      </c>
      <c r="X1176" s="97">
        <f>0-X$1172</f>
        <v>-0.18</v>
      </c>
      <c r="Y1176" s="97">
        <v>-0.18</v>
      </c>
      <c r="Z1176" s="97">
        <v>-0.18</v>
      </c>
      <c r="AA1176" s="97">
        <v>-0.18</v>
      </c>
      <c r="AB1176" s="254">
        <v>-0.13919999999999999</v>
      </c>
      <c r="AC1176" s="254">
        <f t="shared" si="162"/>
        <v>-0.13919999999999999</v>
      </c>
      <c r="AD1176" s="254">
        <f t="shared" si="162"/>
        <v>-0.13919999999999999</v>
      </c>
      <c r="AE1176" s="76"/>
      <c r="AF1176" s="76"/>
      <c r="AG1176" s="76"/>
      <c r="AH1176" s="97">
        <v>1</v>
      </c>
      <c r="AI1176" s="97">
        <v>1</v>
      </c>
      <c r="AJ1176" s="73"/>
      <c r="AK1176" s="57"/>
      <c r="AL1176" s="45"/>
      <c r="AM1176" s="45"/>
      <c r="AN1176" s="45"/>
    </row>
    <row r="1177" spans="1:40" hidden="1" outlineLevel="2" x14ac:dyDescent="0.25">
      <c r="A1177" s="45"/>
      <c r="B1177" s="54"/>
      <c r="C1177" s="47">
        <f t="shared" si="161"/>
        <v>3</v>
      </c>
      <c r="D1177" s="73"/>
      <c r="E1177" s="70"/>
      <c r="F1177" s="70" t="s">
        <v>1909</v>
      </c>
      <c r="G1177" s="73"/>
      <c r="H1177" s="76" t="s">
        <v>1897</v>
      </c>
      <c r="I1177" s="76"/>
      <c r="J1177" s="76"/>
      <c r="K1177" s="76"/>
      <c r="L1177" s="76"/>
      <c r="M1177" s="76"/>
      <c r="N1177" s="76"/>
      <c r="O1177" s="76"/>
      <c r="P1177" s="76"/>
      <c r="Q1177" s="76"/>
      <c r="R1177" s="76"/>
      <c r="S1177" s="76"/>
      <c r="T1177" s="76"/>
      <c r="U1177" s="97">
        <v>7.9000000000000008E-3</v>
      </c>
      <c r="V1177" s="97">
        <v>7.9000000000000008E-3</v>
      </c>
      <c r="W1177" s="97">
        <v>7.9000000000000008E-3</v>
      </c>
      <c r="X1177" s="97">
        <v>7.9000000000000008E-3</v>
      </c>
      <c r="Y1177" s="97">
        <v>7.9000000000000008E-3</v>
      </c>
      <c r="Z1177" s="97">
        <v>7.9000000000000008E-3</v>
      </c>
      <c r="AA1177" s="97">
        <v>7.9000000000000008E-3</v>
      </c>
      <c r="AB1177" s="254">
        <v>0</v>
      </c>
      <c r="AC1177" s="254">
        <f t="shared" si="162"/>
        <v>0</v>
      </c>
      <c r="AD1177" s="254">
        <f t="shared" si="162"/>
        <v>0</v>
      </c>
      <c r="AE1177" s="76"/>
      <c r="AF1177" s="76"/>
      <c r="AG1177" s="76"/>
      <c r="AH1177" s="97">
        <v>1</v>
      </c>
      <c r="AI1177" s="97">
        <v>1</v>
      </c>
      <c r="AJ1177" s="73"/>
      <c r="AK1177" s="57"/>
      <c r="AL1177" s="45"/>
      <c r="AM1177" s="45"/>
      <c r="AN1177" s="45"/>
    </row>
    <row r="1178" spans="1:40" hidden="1" outlineLevel="2" x14ac:dyDescent="0.25">
      <c r="A1178" s="45"/>
      <c r="B1178" s="54"/>
      <c r="C1178" s="47">
        <f t="shared" si="161"/>
        <v>3</v>
      </c>
      <c r="D1178" s="73"/>
      <c r="E1178" s="70"/>
      <c r="F1178" s="70" t="s">
        <v>1910</v>
      </c>
      <c r="G1178" s="73"/>
      <c r="H1178" s="76" t="s">
        <v>1899</v>
      </c>
      <c r="I1178" s="76"/>
      <c r="J1178" s="76"/>
      <c r="K1178" s="76"/>
      <c r="L1178" s="76"/>
      <c r="M1178" s="76"/>
      <c r="N1178" s="76"/>
      <c r="O1178" s="76"/>
      <c r="P1178" s="76"/>
      <c r="Q1178" s="76"/>
      <c r="R1178" s="76"/>
      <c r="S1178" s="76"/>
      <c r="T1178" s="76"/>
      <c r="U1178" s="97">
        <v>-1.5E-6</v>
      </c>
      <c r="V1178" s="97">
        <v>-1.5E-6</v>
      </c>
      <c r="W1178" s="97">
        <v>-1.5E-6</v>
      </c>
      <c r="X1178" s="97">
        <v>-1.5E-6</v>
      </c>
      <c r="Y1178" s="97">
        <v>-1.5E-6</v>
      </c>
      <c r="Z1178" s="97">
        <v>-1.5E-6</v>
      </c>
      <c r="AA1178" s="97">
        <v>-1.5E-6</v>
      </c>
      <c r="AB1178" s="254">
        <v>0</v>
      </c>
      <c r="AC1178" s="254">
        <f t="shared" si="162"/>
        <v>0</v>
      </c>
      <c r="AD1178" s="254">
        <f t="shared" si="162"/>
        <v>0</v>
      </c>
      <c r="AE1178" s="76"/>
      <c r="AF1178" s="76"/>
      <c r="AG1178" s="76"/>
      <c r="AH1178" s="97">
        <v>1</v>
      </c>
      <c r="AI1178" s="97">
        <v>1</v>
      </c>
      <c r="AJ1178" s="73"/>
      <c r="AK1178" s="57"/>
      <c r="AL1178" s="45"/>
      <c r="AM1178" s="45"/>
      <c r="AN1178" s="45"/>
    </row>
    <row r="1179" spans="1:40" hidden="1" outlineLevel="2" x14ac:dyDescent="0.25">
      <c r="A1179" s="45"/>
      <c r="B1179" s="54"/>
      <c r="C1179" s="47">
        <f t="shared" si="161"/>
        <v>3</v>
      </c>
      <c r="D1179" s="73"/>
      <c r="E1179" s="70"/>
      <c r="F1179" s="70" t="s">
        <v>1911</v>
      </c>
      <c r="G1179" s="73"/>
      <c r="H1179" s="76" t="s">
        <v>1912</v>
      </c>
      <c r="I1179" s="76"/>
      <c r="J1179" s="76"/>
      <c r="K1179" s="76"/>
      <c r="L1179" s="76"/>
      <c r="M1179" s="76"/>
      <c r="N1179" s="76"/>
      <c r="O1179" s="76"/>
      <c r="P1179" s="76"/>
      <c r="Q1179" s="76"/>
      <c r="R1179" s="76"/>
      <c r="S1179" s="76"/>
      <c r="T1179" s="76"/>
      <c r="U1179" s="97">
        <v>4.5599999999999996</v>
      </c>
      <c r="V1179" s="97">
        <v>4.5599999999999996</v>
      </c>
      <c r="W1179" s="97">
        <v>4.5599999999999996</v>
      </c>
      <c r="X1179" s="97">
        <v>4.5599999999999996</v>
      </c>
      <c r="Y1179" s="97">
        <v>4.5599999999999996</v>
      </c>
      <c r="Z1179" s="97">
        <v>4.5599999999999996</v>
      </c>
      <c r="AA1179" s="97">
        <v>4.5599999999999996</v>
      </c>
      <c r="AB1179" s="254">
        <v>24.748000000000001</v>
      </c>
      <c r="AC1179" s="254">
        <f t="shared" si="162"/>
        <v>24.748000000000001</v>
      </c>
      <c r="AD1179" s="254">
        <f t="shared" si="162"/>
        <v>24.748000000000001</v>
      </c>
      <c r="AE1179" s="76"/>
      <c r="AF1179" s="76"/>
      <c r="AG1179" s="76"/>
      <c r="AH1179" s="97">
        <v>1</v>
      </c>
      <c r="AI1179" s="97">
        <v>1</v>
      </c>
      <c r="AJ1179" s="73"/>
      <c r="AK1179" s="57"/>
      <c r="AL1179" s="45"/>
      <c r="AM1179" s="45"/>
      <c r="AN1179" s="45"/>
    </row>
    <row r="1180" spans="1:40" hidden="1" outlineLevel="2" x14ac:dyDescent="0.25">
      <c r="A1180" s="45"/>
      <c r="B1180" s="54"/>
      <c r="C1180" s="47">
        <f t="shared" si="161"/>
        <v>3</v>
      </c>
      <c r="D1180" s="73"/>
      <c r="E1180" s="70"/>
      <c r="F1180" s="70" t="s">
        <v>1913</v>
      </c>
      <c r="G1180" s="73"/>
      <c r="H1180" s="76" t="s">
        <v>1914</v>
      </c>
      <c r="I1180" s="96"/>
      <c r="J1180" s="96"/>
      <c r="K1180" s="76"/>
      <c r="L1180" s="76"/>
      <c r="M1180" s="76"/>
      <c r="N1180" s="76"/>
      <c r="O1180" s="76"/>
      <c r="P1180" s="76"/>
      <c r="Q1180" s="76"/>
      <c r="R1180" s="76"/>
      <c r="S1180" s="76"/>
      <c r="T1180" s="76"/>
      <c r="U1180" s="97">
        <f>2.05/1000</f>
        <v>2.0499999999999997E-3</v>
      </c>
      <c r="V1180" s="97">
        <f>2.05/1000</f>
        <v>2.0499999999999997E-3</v>
      </c>
      <c r="W1180" s="97">
        <f>2.05/1000</f>
        <v>2.0499999999999997E-3</v>
      </c>
      <c r="X1180" s="97">
        <f>2.05/1000</f>
        <v>2.0499999999999997E-3</v>
      </c>
      <c r="Y1180" s="97">
        <v>2.0499999999999997E-3</v>
      </c>
      <c r="Z1180" s="97">
        <v>2.0499999999999997E-3</v>
      </c>
      <c r="AA1180" s="97">
        <v>2.0499999999999997E-3</v>
      </c>
      <c r="AB1180" s="254">
        <v>2.0499999999999997E-3</v>
      </c>
      <c r="AC1180" s="254">
        <f t="shared" si="162"/>
        <v>2.0499999999999997E-3</v>
      </c>
      <c r="AD1180" s="254">
        <f t="shared" si="162"/>
        <v>2.0499999999999997E-3</v>
      </c>
      <c r="AE1180" s="76"/>
      <c r="AF1180" s="97" t="s">
        <v>1288</v>
      </c>
      <c r="AG1180" s="76"/>
      <c r="AH1180" s="97">
        <v>1</v>
      </c>
      <c r="AI1180" s="97">
        <v>1</v>
      </c>
      <c r="AJ1180" s="73"/>
      <c r="AK1180" s="57"/>
      <c r="AL1180" s="45"/>
      <c r="AM1180" s="45"/>
      <c r="AN1180" s="45"/>
    </row>
    <row r="1181" spans="1:40" hidden="1" outlineLevel="2" x14ac:dyDescent="0.25">
      <c r="A1181" s="45"/>
      <c r="B1181" s="54"/>
      <c r="C1181" s="47">
        <f t="shared" si="161"/>
        <v>3</v>
      </c>
      <c r="D1181" s="73"/>
      <c r="E1181" s="70"/>
      <c r="F1181" s="70" t="s">
        <v>1915</v>
      </c>
      <c r="G1181" s="73"/>
      <c r="H1181" s="76" t="s">
        <v>1916</v>
      </c>
      <c r="I1181" s="96"/>
      <c r="J1181" s="96"/>
      <c r="K1181" s="76"/>
      <c r="L1181" s="76"/>
      <c r="M1181" s="76"/>
      <c r="N1181" s="76"/>
      <c r="O1181" s="76"/>
      <c r="P1181" s="76"/>
      <c r="Q1181" s="76"/>
      <c r="R1181" s="76"/>
      <c r="S1181" s="76"/>
      <c r="T1181" s="76"/>
      <c r="U1181" s="252">
        <f>U1182</f>
        <v>-5.9999999999999724E-5</v>
      </c>
      <c r="V1181" s="252">
        <f>V1182</f>
        <v>-5.9999999999999724E-5</v>
      </c>
      <c r="W1181" s="252">
        <f>W1182</f>
        <v>-5.9999999999999724E-5</v>
      </c>
      <c r="X1181" s="252">
        <f>X1182</f>
        <v>-5.9999999999999724E-5</v>
      </c>
      <c r="Y1181" s="252">
        <v>-5.9999999999999724E-5</v>
      </c>
      <c r="Z1181" s="252">
        <v>-5.9999999999999724E-5</v>
      </c>
      <c r="AA1181" s="252">
        <v>-5.9999999999999724E-5</v>
      </c>
      <c r="AB1181" s="252">
        <v>-5.9999999999999724E-5</v>
      </c>
      <c r="AC1181" s="252">
        <f>AC1182</f>
        <v>-5.9999999999999724E-5</v>
      </c>
      <c r="AD1181" s="252">
        <f>AD1182</f>
        <v>-5.9999999999999724E-5</v>
      </c>
      <c r="AE1181" s="76"/>
      <c r="AF1181" s="76"/>
      <c r="AG1181" s="76"/>
      <c r="AH1181" s="252">
        <f>AH1182</f>
        <v>1</v>
      </c>
      <c r="AI1181" s="252">
        <f>AI1182</f>
        <v>1</v>
      </c>
      <c r="AJ1181" s="73"/>
      <c r="AK1181" s="57"/>
      <c r="AL1181" s="45"/>
      <c r="AM1181" s="45"/>
      <c r="AN1181" s="45"/>
    </row>
    <row r="1182" spans="1:40" hidden="1" outlineLevel="2" x14ac:dyDescent="0.25">
      <c r="A1182" s="45"/>
      <c r="B1182" s="54"/>
      <c r="C1182" s="47">
        <f t="shared" si="161"/>
        <v>3</v>
      </c>
      <c r="D1182" s="73"/>
      <c r="E1182" s="70"/>
      <c r="F1182" s="70" t="s">
        <v>1917</v>
      </c>
      <c r="G1182" s="73"/>
      <c r="H1182" s="76" t="s">
        <v>1918</v>
      </c>
      <c r="I1182" s="96"/>
      <c r="J1182" s="96"/>
      <c r="K1182" s="76"/>
      <c r="L1182" s="76"/>
      <c r="M1182" s="76"/>
      <c r="N1182" s="76"/>
      <c r="O1182" s="76"/>
      <c r="P1182" s="76"/>
      <c r="Q1182" s="76"/>
      <c r="R1182" s="76"/>
      <c r="S1182" s="76"/>
      <c r="T1182" s="76"/>
      <c r="U1182" s="97">
        <f>1.99/1000-U$1180</f>
        <v>-5.9999999999999724E-5</v>
      </c>
      <c r="V1182" s="97">
        <f>1.99/1000-V$1180</f>
        <v>-5.9999999999999724E-5</v>
      </c>
      <c r="W1182" s="97">
        <f>1.99/1000-W$1180</f>
        <v>-5.9999999999999724E-5</v>
      </c>
      <c r="X1182" s="97">
        <f>1.99/1000-X$1180</f>
        <v>-5.9999999999999724E-5</v>
      </c>
      <c r="Y1182" s="97">
        <v>-5.9999999999999724E-5</v>
      </c>
      <c r="Z1182" s="97">
        <v>-5.9999999999999724E-5</v>
      </c>
      <c r="AA1182" s="97">
        <v>-5.9999999999999724E-5</v>
      </c>
      <c r="AB1182" s="254">
        <v>-5.9999999999999724E-5</v>
      </c>
      <c r="AC1182" s="254">
        <f t="shared" ref="AC1182:AD1187" si="163">AB1182</f>
        <v>-5.9999999999999724E-5</v>
      </c>
      <c r="AD1182" s="254">
        <f t="shared" si="163"/>
        <v>-5.9999999999999724E-5</v>
      </c>
      <c r="AE1182" s="76"/>
      <c r="AF1182" s="76"/>
      <c r="AG1182" s="76"/>
      <c r="AH1182" s="97">
        <v>1</v>
      </c>
      <c r="AI1182" s="97">
        <v>1</v>
      </c>
      <c r="AJ1182" s="73"/>
      <c r="AK1182" s="57"/>
      <c r="AL1182" s="45"/>
      <c r="AM1182" s="45"/>
      <c r="AN1182" s="45"/>
    </row>
    <row r="1183" spans="1:40" hidden="1" outlineLevel="2" x14ac:dyDescent="0.25">
      <c r="A1183" s="45"/>
      <c r="B1183" s="54"/>
      <c r="C1183" s="47">
        <f t="shared" si="161"/>
        <v>3</v>
      </c>
      <c r="D1183" s="73"/>
      <c r="E1183" s="70"/>
      <c r="F1183" s="70" t="s">
        <v>1919</v>
      </c>
      <c r="G1183" s="73"/>
      <c r="H1183" s="76" t="s">
        <v>1920</v>
      </c>
      <c r="I1183" s="96"/>
      <c r="J1183" s="96"/>
      <c r="K1183" s="76"/>
      <c r="L1183" s="76"/>
      <c r="M1183" s="76"/>
      <c r="N1183" s="76"/>
      <c r="O1183" s="76"/>
      <c r="P1183" s="76"/>
      <c r="Q1183" s="76"/>
      <c r="R1183" s="76"/>
      <c r="S1183" s="76"/>
      <c r="T1183" s="76"/>
      <c r="U1183" s="97">
        <f>1.4/1000-U$1180</f>
        <v>-6.4999999999999975E-4</v>
      </c>
      <c r="V1183" s="97">
        <f>1.4/1000-V$1180</f>
        <v>-6.4999999999999975E-4</v>
      </c>
      <c r="W1183" s="97">
        <f>1.4/1000-W$1180</f>
        <v>-6.4999999999999975E-4</v>
      </c>
      <c r="X1183" s="97">
        <f>1.4/1000-X$1180</f>
        <v>-6.4999999999999975E-4</v>
      </c>
      <c r="Y1183" s="97">
        <v>-6.4999999999999975E-4</v>
      </c>
      <c r="Z1183" s="97">
        <v>-6.4999999999999975E-4</v>
      </c>
      <c r="AA1183" s="97">
        <v>-6.4999999999999975E-4</v>
      </c>
      <c r="AB1183" s="254">
        <v>-6.4999999999999975E-4</v>
      </c>
      <c r="AC1183" s="254">
        <f t="shared" si="163"/>
        <v>-6.4999999999999975E-4</v>
      </c>
      <c r="AD1183" s="254">
        <f t="shared" si="163"/>
        <v>-6.4999999999999975E-4</v>
      </c>
      <c r="AE1183" s="76"/>
      <c r="AF1183" s="76"/>
      <c r="AG1183" s="76"/>
      <c r="AH1183" s="97">
        <v>1</v>
      </c>
      <c r="AI1183" s="97">
        <v>1</v>
      </c>
      <c r="AJ1183" s="73"/>
      <c r="AK1183" s="57"/>
      <c r="AL1183" s="45"/>
      <c r="AM1183" s="45"/>
      <c r="AN1183" s="45"/>
    </row>
    <row r="1184" spans="1:40" hidden="1" outlineLevel="2" x14ac:dyDescent="0.25">
      <c r="A1184" s="45"/>
      <c r="B1184" s="54"/>
      <c r="C1184" s="47">
        <f t="shared" si="161"/>
        <v>3</v>
      </c>
      <c r="D1184" s="73"/>
      <c r="E1184" s="70"/>
      <c r="F1184" s="70" t="s">
        <v>1921</v>
      </c>
      <c r="G1184" s="73"/>
      <c r="H1184" s="76" t="s">
        <v>1922</v>
      </c>
      <c r="I1184" s="76"/>
      <c r="J1184" s="76"/>
      <c r="K1184" s="76"/>
      <c r="L1184" s="76"/>
      <c r="M1184" s="76"/>
      <c r="N1184" s="76"/>
      <c r="O1184" s="76"/>
      <c r="P1184" s="76"/>
      <c r="Q1184" s="76"/>
      <c r="R1184" s="76"/>
      <c r="S1184" s="76"/>
      <c r="T1184" s="76"/>
      <c r="U1184" s="97">
        <f>0-U$1180</f>
        <v>-2.0499999999999997E-3</v>
      </c>
      <c r="V1184" s="97">
        <f>0-V$1180</f>
        <v>-2.0499999999999997E-3</v>
      </c>
      <c r="W1184" s="97">
        <f>0-W$1180</f>
        <v>-2.0499999999999997E-3</v>
      </c>
      <c r="X1184" s="97">
        <f>0-X$1180</f>
        <v>-2.0499999999999997E-3</v>
      </c>
      <c r="Y1184" s="97">
        <v>-2.0499999999999997E-3</v>
      </c>
      <c r="Z1184" s="97">
        <v>-2.0499999999999997E-3</v>
      </c>
      <c r="AA1184" s="97">
        <v>-2.0499999999999997E-3</v>
      </c>
      <c r="AB1184" s="254">
        <v>-2.0499999999999997E-3</v>
      </c>
      <c r="AC1184" s="254">
        <f t="shared" si="163"/>
        <v>-2.0499999999999997E-3</v>
      </c>
      <c r="AD1184" s="254">
        <f t="shared" si="163"/>
        <v>-2.0499999999999997E-3</v>
      </c>
      <c r="AE1184" s="76"/>
      <c r="AF1184" s="76"/>
      <c r="AG1184" s="76"/>
      <c r="AH1184" s="97">
        <v>1</v>
      </c>
      <c r="AI1184" s="97">
        <v>1</v>
      </c>
      <c r="AJ1184" s="73"/>
      <c r="AK1184" s="57"/>
      <c r="AL1184" s="45"/>
      <c r="AM1184" s="45"/>
      <c r="AN1184" s="45"/>
    </row>
    <row r="1185" spans="1:40" hidden="1" outlineLevel="2" x14ac:dyDescent="0.25">
      <c r="A1185" s="45"/>
      <c r="B1185" s="54"/>
      <c r="C1185" s="47">
        <f t="shared" si="161"/>
        <v>3</v>
      </c>
      <c r="D1185" s="73"/>
      <c r="E1185" s="70"/>
      <c r="F1185" s="70" t="s">
        <v>1923</v>
      </c>
      <c r="G1185" s="73"/>
      <c r="H1185" s="76" t="s">
        <v>1924</v>
      </c>
      <c r="I1185" s="76"/>
      <c r="J1185" s="76"/>
      <c r="K1185" s="76"/>
      <c r="L1185" s="76"/>
      <c r="M1185" s="76"/>
      <c r="N1185" s="76"/>
      <c r="O1185" s="76"/>
      <c r="P1185" s="76"/>
      <c r="Q1185" s="76"/>
      <c r="R1185" s="76"/>
      <c r="S1185" s="76"/>
      <c r="T1185" s="76"/>
      <c r="U1185" s="97">
        <f>0.102/1000</f>
        <v>1.02E-4</v>
      </c>
      <c r="V1185" s="97">
        <f>0.102/1000</f>
        <v>1.02E-4</v>
      </c>
      <c r="W1185" s="97">
        <f>0.102/1000</f>
        <v>1.02E-4</v>
      </c>
      <c r="X1185" s="97">
        <f>0.102/1000</f>
        <v>1.02E-4</v>
      </c>
      <c r="Y1185" s="97">
        <v>1.02E-4</v>
      </c>
      <c r="Z1185" s="97">
        <v>1.02E-4</v>
      </c>
      <c r="AA1185" s="97">
        <v>1.02E-4</v>
      </c>
      <c r="AB1185" s="254">
        <v>1.02E-4</v>
      </c>
      <c r="AC1185" s="254">
        <f t="shared" si="163"/>
        <v>1.02E-4</v>
      </c>
      <c r="AD1185" s="254">
        <f t="shared" si="163"/>
        <v>1.02E-4</v>
      </c>
      <c r="AE1185" s="76"/>
      <c r="AF1185" s="76"/>
      <c r="AG1185" s="76"/>
      <c r="AH1185" s="97">
        <v>1</v>
      </c>
      <c r="AI1185" s="97">
        <v>1</v>
      </c>
      <c r="AJ1185" s="73"/>
      <c r="AK1185" s="57"/>
      <c r="AL1185" s="45"/>
      <c r="AM1185" s="45"/>
      <c r="AN1185" s="45"/>
    </row>
    <row r="1186" spans="1:40" hidden="1" outlineLevel="2" x14ac:dyDescent="0.25">
      <c r="A1186" s="45"/>
      <c r="B1186" s="54"/>
      <c r="C1186" s="47">
        <f t="shared" si="161"/>
        <v>3</v>
      </c>
      <c r="D1186" s="73"/>
      <c r="E1186" s="70"/>
      <c r="F1186" s="70" t="s">
        <v>1925</v>
      </c>
      <c r="G1186" s="73"/>
      <c r="H1186" s="76" t="s">
        <v>1926</v>
      </c>
      <c r="I1186" s="76"/>
      <c r="J1186" s="76"/>
      <c r="K1186" s="76"/>
      <c r="L1186" s="76"/>
      <c r="M1186" s="76"/>
      <c r="N1186" s="76"/>
      <c r="O1186" s="76"/>
      <c r="P1186" s="76"/>
      <c r="Q1186" s="76"/>
      <c r="R1186" s="76"/>
      <c r="S1186" s="76"/>
      <c r="T1186" s="76"/>
      <c r="U1186" s="97">
        <f>-0.000019/1000</f>
        <v>-1.9000000000000001E-8</v>
      </c>
      <c r="V1186" s="97">
        <f>-0.000019/1000</f>
        <v>-1.9000000000000001E-8</v>
      </c>
      <c r="W1186" s="97">
        <f>-0.000019/1000</f>
        <v>-1.9000000000000001E-8</v>
      </c>
      <c r="X1186" s="97">
        <f>-0.000019/1000</f>
        <v>-1.9000000000000001E-8</v>
      </c>
      <c r="Y1186" s="97">
        <v>-1.9000000000000001E-8</v>
      </c>
      <c r="Z1186" s="97">
        <v>-1.9000000000000001E-8</v>
      </c>
      <c r="AA1186" s="97">
        <v>-1.9000000000000001E-8</v>
      </c>
      <c r="AB1186" s="254">
        <v>-1.9000000000000001E-8</v>
      </c>
      <c r="AC1186" s="254">
        <f t="shared" si="163"/>
        <v>-1.9000000000000001E-8</v>
      </c>
      <c r="AD1186" s="254">
        <f t="shared" si="163"/>
        <v>-1.9000000000000001E-8</v>
      </c>
      <c r="AE1186" s="76"/>
      <c r="AF1186" s="76"/>
      <c r="AG1186" s="76"/>
      <c r="AH1186" s="97">
        <v>1</v>
      </c>
      <c r="AI1186" s="97">
        <v>1</v>
      </c>
      <c r="AJ1186" s="73"/>
      <c r="AK1186" s="57"/>
      <c r="AL1186" s="45"/>
      <c r="AM1186" s="45"/>
      <c r="AN1186" s="45"/>
    </row>
    <row r="1187" spans="1:40" hidden="1" outlineLevel="2" x14ac:dyDescent="0.25">
      <c r="A1187" s="45"/>
      <c r="B1187" s="54"/>
      <c r="C1187" s="47">
        <f t="shared" si="161"/>
        <v>3</v>
      </c>
      <c r="D1187" s="73"/>
      <c r="E1187" s="70"/>
      <c r="F1187" s="70" t="s">
        <v>1927</v>
      </c>
      <c r="G1187" s="73"/>
      <c r="H1187" s="76" t="s">
        <v>1928</v>
      </c>
      <c r="I1187" s="76"/>
      <c r="J1187" s="76"/>
      <c r="K1187" s="76"/>
      <c r="L1187" s="76"/>
      <c r="M1187" s="76"/>
      <c r="N1187" s="76"/>
      <c r="O1187" s="76"/>
      <c r="P1187" s="76"/>
      <c r="Q1187" s="76"/>
      <c r="R1187" s="76"/>
      <c r="S1187" s="76"/>
      <c r="T1187" s="76"/>
      <c r="U1187" s="97">
        <f>14.9/1000</f>
        <v>1.49E-2</v>
      </c>
      <c r="V1187" s="97">
        <f>14.9/1000</f>
        <v>1.49E-2</v>
      </c>
      <c r="W1187" s="97">
        <f>14.9/1000</f>
        <v>1.49E-2</v>
      </c>
      <c r="X1187" s="97">
        <f>14.9/1000</f>
        <v>1.49E-2</v>
      </c>
      <c r="Y1187" s="97">
        <v>1.49E-2</v>
      </c>
      <c r="Z1187" s="97">
        <v>1.49E-2</v>
      </c>
      <c r="AA1187" s="97">
        <v>1.49E-2</v>
      </c>
      <c r="AB1187" s="254">
        <v>1.49E-2</v>
      </c>
      <c r="AC1187" s="254">
        <f t="shared" si="163"/>
        <v>1.49E-2</v>
      </c>
      <c r="AD1187" s="254">
        <f t="shared" si="163"/>
        <v>1.49E-2</v>
      </c>
      <c r="AE1187" s="76"/>
      <c r="AF1187" s="76"/>
      <c r="AG1187" s="76"/>
      <c r="AH1187" s="97">
        <v>1</v>
      </c>
      <c r="AI1187" s="97">
        <v>1</v>
      </c>
      <c r="AJ1187" s="73"/>
      <c r="AK1187" s="57"/>
      <c r="AL1187" s="45"/>
      <c r="AM1187" s="45"/>
      <c r="AN1187" s="45"/>
    </row>
    <row r="1188" spans="1:40" outlineLevel="1" collapsed="1" x14ac:dyDescent="0.25">
      <c r="A1188" s="45"/>
      <c r="B1188" s="54"/>
      <c r="C1188" s="47">
        <f>INT($C$29)+1</f>
        <v>2</v>
      </c>
      <c r="D1188" s="73"/>
      <c r="E1188" s="70"/>
      <c r="F1188" s="264" t="s">
        <v>1717</v>
      </c>
      <c r="G1188" s="73"/>
      <c r="H1188" s="266" t="s">
        <v>2653</v>
      </c>
      <c r="I1188" s="129"/>
      <c r="J1188" s="129" t="s">
        <v>1043</v>
      </c>
      <c r="K1188" s="76"/>
      <c r="L1188" s="76"/>
      <c r="M1188" s="76"/>
      <c r="N1188" s="76"/>
      <c r="O1188" s="76"/>
      <c r="P1188" s="76"/>
      <c r="Q1188" s="76"/>
      <c r="R1188" s="76"/>
      <c r="S1188" s="76"/>
      <c r="T1188" s="76"/>
      <c r="U1188" s="79">
        <v>26</v>
      </c>
      <c r="V1188" s="79">
        <v>13</v>
      </c>
      <c r="W1188" s="79">
        <v>-15</v>
      </c>
      <c r="X1188" s="76"/>
      <c r="Y1188" s="79">
        <v>-15</v>
      </c>
      <c r="Z1188" s="79">
        <v>-15</v>
      </c>
      <c r="AA1188" s="79">
        <v>-15</v>
      </c>
      <c r="AB1188" s="76"/>
      <c r="AC1188" s="76"/>
      <c r="AD1188" s="76"/>
      <c r="AE1188" s="76"/>
      <c r="AF1188" s="76"/>
      <c r="AG1188" s="76"/>
      <c r="AH1188" s="76"/>
      <c r="AI1188" s="76"/>
      <c r="AJ1188" s="73"/>
      <c r="AK1188" s="57"/>
      <c r="AL1188" s="45"/>
      <c r="AM1188" s="45"/>
      <c r="AN1188" s="45"/>
    </row>
    <row r="1189" spans="1:40" hidden="1" outlineLevel="3" x14ac:dyDescent="0.25">
      <c r="A1189" s="45"/>
      <c r="B1189" s="54"/>
      <c r="C1189" s="47">
        <f t="shared" ref="C1189:C1206" si="164">INT($C$29)+3</f>
        <v>4</v>
      </c>
      <c r="D1189" s="73"/>
      <c r="E1189" s="70"/>
      <c r="F1189" s="70" t="s">
        <v>1929</v>
      </c>
      <c r="G1189" s="73"/>
      <c r="H1189" s="76" t="s">
        <v>1930</v>
      </c>
      <c r="I1189" s="96" t="s">
        <v>2352</v>
      </c>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164"/>
        <v>4</v>
      </c>
      <c r="D1190" s="73"/>
      <c r="E1190" s="70"/>
      <c r="F1190" s="70" t="s">
        <v>1931</v>
      </c>
      <c r="G1190" s="73"/>
      <c r="H1190" s="76" t="s">
        <v>1932</v>
      </c>
      <c r="I1190" s="96" t="s">
        <v>2353</v>
      </c>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164"/>
        <v>4</v>
      </c>
      <c r="D1191" s="73"/>
      <c r="E1191" s="70"/>
      <c r="F1191" s="70" t="s">
        <v>1933</v>
      </c>
      <c r="G1191" s="73"/>
      <c r="H1191" s="76" t="s">
        <v>1934</v>
      </c>
      <c r="I1191" s="96" t="s">
        <v>2354</v>
      </c>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164"/>
        <v>4</v>
      </c>
      <c r="D1192" s="73"/>
      <c r="E1192" s="70"/>
      <c r="F1192" s="70" t="s">
        <v>1935</v>
      </c>
      <c r="G1192" s="73"/>
      <c r="H1192" s="76" t="s">
        <v>2387</v>
      </c>
      <c r="I1192" s="96" t="s">
        <v>2388</v>
      </c>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164"/>
        <v>4</v>
      </c>
      <c r="D1193" s="73"/>
      <c r="E1193" s="70"/>
      <c r="F1193" s="70" t="s">
        <v>1937</v>
      </c>
      <c r="G1193" s="73"/>
      <c r="H1193" s="76" t="s">
        <v>1936</v>
      </c>
      <c r="I1193" s="96" t="s">
        <v>2355</v>
      </c>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164"/>
        <v>4</v>
      </c>
      <c r="D1194" s="73"/>
      <c r="E1194" s="70"/>
      <c r="F1194" s="70" t="s">
        <v>2393</v>
      </c>
      <c r="G1194" s="73"/>
      <c r="H1194" s="76" t="s">
        <v>1938</v>
      </c>
      <c r="I1194" s="96" t="s">
        <v>2356</v>
      </c>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164"/>
        <v>4</v>
      </c>
      <c r="D1195" s="73"/>
      <c r="E1195" s="70"/>
      <c r="F1195" s="70" t="s">
        <v>2394</v>
      </c>
      <c r="G1195" s="73"/>
      <c r="H1195" s="76" t="s">
        <v>2389</v>
      </c>
      <c r="I1195" s="96" t="s">
        <v>2390</v>
      </c>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164"/>
        <v>4</v>
      </c>
      <c r="D1196" s="73"/>
      <c r="E1196" s="70"/>
      <c r="F1196" s="70" t="s">
        <v>2395</v>
      </c>
      <c r="G1196" s="73"/>
      <c r="H1196" s="76" t="s">
        <v>2391</v>
      </c>
      <c r="I1196" s="96" t="s">
        <v>2392</v>
      </c>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164"/>
        <v>4</v>
      </c>
      <c r="D1197" s="73"/>
      <c r="E1197" s="70"/>
      <c r="F1197" s="70" t="str">
        <f>SUBSTITUTE(F1193,",4)",",8)")</f>
        <v>C(U2,0,8)</v>
      </c>
      <c r="G1197" s="73"/>
      <c r="H1197" s="76" t="s">
        <v>2745</v>
      </c>
      <c r="I1197" s="96" t="s">
        <v>2749</v>
      </c>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164"/>
        <v>4</v>
      </c>
      <c r="D1198" s="73"/>
      <c r="E1198" s="70"/>
      <c r="F1198" s="70" t="str">
        <f>SUBSTITUTE(F1194,",5)",",9)")</f>
        <v>C(U2,0,9)</v>
      </c>
      <c r="G1198" s="73"/>
      <c r="H1198" s="76" t="s">
        <v>2746</v>
      </c>
      <c r="I1198" s="96" t="s">
        <v>2750</v>
      </c>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164"/>
        <v>4</v>
      </c>
      <c r="D1199" s="73"/>
      <c r="E1199" s="70"/>
      <c r="F1199" s="70" t="str">
        <f>SUBSTITUTE(F1195,",6)",",10)")</f>
        <v>C(U2,0,10)</v>
      </c>
      <c r="G1199" s="73"/>
      <c r="H1199" s="76" t="s">
        <v>2747</v>
      </c>
      <c r="I1199" s="96" t="s">
        <v>2751</v>
      </c>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164"/>
        <v>4</v>
      </c>
      <c r="D1200" s="73"/>
      <c r="E1200" s="70"/>
      <c r="F1200" s="70" t="str">
        <f>SUBSTITUTE(F1196,",7)",",11)")</f>
        <v>C(U2,0,11)</v>
      </c>
      <c r="G1200" s="73"/>
      <c r="H1200" s="76" t="s">
        <v>2748</v>
      </c>
      <c r="I1200" s="96" t="s">
        <v>2752</v>
      </c>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164"/>
        <v>4</v>
      </c>
      <c r="D1201" s="73"/>
      <c r="E1201" s="70"/>
      <c r="F1201" s="70" t="s">
        <v>1939</v>
      </c>
      <c r="G1201" s="73"/>
      <c r="H1201" s="76" t="s">
        <v>1940</v>
      </c>
      <c r="I1201" s="96" t="s">
        <v>2357</v>
      </c>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164"/>
        <v>4</v>
      </c>
      <c r="D1202" s="73"/>
      <c r="E1202" s="70"/>
      <c r="F1202" s="70" t="s">
        <v>1941</v>
      </c>
      <c r="G1202" s="73"/>
      <c r="H1202" s="76" t="s">
        <v>602</v>
      </c>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164"/>
        <v>4</v>
      </c>
      <c r="D1203" s="73"/>
      <c r="E1203" s="70"/>
      <c r="F1203" s="70" t="s">
        <v>1942</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164"/>
        <v>4</v>
      </c>
      <c r="D1204" s="73"/>
      <c r="E1204" s="70"/>
      <c r="F1204" s="70" t="s">
        <v>1943</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164"/>
        <v>4</v>
      </c>
      <c r="D1205" s="73"/>
      <c r="E1205" s="70"/>
      <c r="F1205" s="70" t="s">
        <v>1944</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164"/>
        <v>4</v>
      </c>
      <c r="D1206" s="73"/>
      <c r="E1206" s="70"/>
      <c r="F1206" s="70" t="s">
        <v>1945</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c r="D1207" s="73"/>
      <c r="E1207" s="70"/>
      <c r="F1207" s="70" t="s">
        <v>2396</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c r="D1208" s="73"/>
      <c r="E1208" s="70"/>
      <c r="F1208" s="70" t="s">
        <v>2397</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c r="D1209" s="73"/>
      <c r="E1209" s="70"/>
      <c r="F1209" s="70" t="s">
        <v>2398</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ref="C1210:C1219" si="165">INT($C$29)+3</f>
        <v>4</v>
      </c>
      <c r="D1210" s="73"/>
      <c r="E1210" s="70"/>
      <c r="F1210" s="70" t="str">
        <f>SUBSTITUTE(F1206,",4)",",8)")</f>
        <v>C(U2,1,8)</v>
      </c>
      <c r="G1210" s="73"/>
      <c r="H1210" s="76"/>
      <c r="I1210" s="9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165"/>
        <v>4</v>
      </c>
      <c r="D1211" s="73"/>
      <c r="E1211" s="70"/>
      <c r="F1211" s="70" t="str">
        <f>SUBSTITUTE(F1207,",5)",",9)")</f>
        <v>C(U2,1,9)</v>
      </c>
      <c r="G1211" s="73"/>
      <c r="H1211" s="76"/>
      <c r="I1211" s="9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165"/>
        <v>4</v>
      </c>
      <c r="D1212" s="73"/>
      <c r="E1212" s="70"/>
      <c r="F1212" s="70" t="str">
        <f>SUBSTITUTE(F1208,",6)",",10)")</f>
        <v>C(U2,1,10)</v>
      </c>
      <c r="G1212" s="73"/>
      <c r="H1212" s="76"/>
      <c r="I1212" s="9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165"/>
        <v>4</v>
      </c>
      <c r="D1213" s="73"/>
      <c r="E1213" s="70"/>
      <c r="F1213" s="70" t="str">
        <f>SUBSTITUTE(F1209,",7)",",11)")</f>
        <v>C(U2,1,11)</v>
      </c>
      <c r="G1213" s="73"/>
      <c r="H1213" s="76"/>
      <c r="I1213" s="9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165"/>
        <v>4</v>
      </c>
      <c r="D1214" s="73"/>
      <c r="E1214" s="70"/>
      <c r="F1214" s="70" t="s">
        <v>1946</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165"/>
        <v>4</v>
      </c>
      <c r="D1215" s="73"/>
      <c r="E1215" s="70"/>
      <c r="F1215" s="70" t="s">
        <v>1947</v>
      </c>
      <c r="G1215" s="73"/>
      <c r="H1215" s="76" t="s">
        <v>602</v>
      </c>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165"/>
        <v>4</v>
      </c>
      <c r="D1216" s="73"/>
      <c r="E1216" s="70"/>
      <c r="F1216" s="70" t="s">
        <v>1948</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165"/>
        <v>4</v>
      </c>
      <c r="D1217" s="73"/>
      <c r="E1217" s="70"/>
      <c r="F1217" s="70" t="s">
        <v>1949</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165"/>
        <v>4</v>
      </c>
      <c r="D1218" s="73"/>
      <c r="E1218" s="70"/>
      <c r="F1218" s="70" t="s">
        <v>1950</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165"/>
        <v>4</v>
      </c>
      <c r="D1219" s="73"/>
      <c r="E1219" s="70"/>
      <c r="F1219" s="70" t="s">
        <v>1951</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c r="D1220" s="73"/>
      <c r="E1220" s="70"/>
      <c r="F1220" s="70" t="s">
        <v>2399</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c r="D1221" s="73"/>
      <c r="E1221" s="70"/>
      <c r="F1221" s="70" t="s">
        <v>2400</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c r="D1222" s="73"/>
      <c r="E1222" s="70"/>
      <c r="F1222" s="70" t="s">
        <v>2401</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ref="C1223:C1232" si="166">INT($C$29)+3</f>
        <v>4</v>
      </c>
      <c r="D1223" s="73"/>
      <c r="E1223" s="70"/>
      <c r="F1223" s="70" t="str">
        <f>SUBSTITUTE(F1219,",4)",",8)")</f>
        <v>C(U2,2,8)</v>
      </c>
      <c r="G1223" s="73"/>
      <c r="H1223" s="76"/>
      <c r="I1223" s="9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166"/>
        <v>4</v>
      </c>
      <c r="D1224" s="73"/>
      <c r="E1224" s="70"/>
      <c r="F1224" s="70" t="str">
        <f>SUBSTITUTE(F1220,",5)",",9)")</f>
        <v>C(U2,2,9)</v>
      </c>
      <c r="G1224" s="73"/>
      <c r="H1224" s="76"/>
      <c r="I1224" s="9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166"/>
        <v>4</v>
      </c>
      <c r="D1225" s="73"/>
      <c r="E1225" s="70"/>
      <c r="F1225" s="70" t="str">
        <f>SUBSTITUTE(F1221,",6)",",10)")</f>
        <v>C(U2,2,10)</v>
      </c>
      <c r="G1225" s="73"/>
      <c r="H1225" s="76"/>
      <c r="I1225" s="9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166"/>
        <v>4</v>
      </c>
      <c r="D1226" s="73"/>
      <c r="E1226" s="70"/>
      <c r="F1226" s="70" t="str">
        <f>SUBSTITUTE(F1222,",7)",",11)")</f>
        <v>C(U2,2,11)</v>
      </c>
      <c r="G1226" s="73"/>
      <c r="H1226" s="76"/>
      <c r="I1226" s="9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166"/>
        <v>4</v>
      </c>
      <c r="D1227" s="73"/>
      <c r="E1227" s="70"/>
      <c r="F1227" s="70" t="s">
        <v>1952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166"/>
        <v>4</v>
      </c>
      <c r="D1228" s="73"/>
      <c r="E1228" s="70"/>
      <c r="F1228" s="70" t="s">
        <v>1953</v>
      </c>
      <c r="G1228" s="73"/>
      <c r="H1228" s="76" t="s">
        <v>602</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166"/>
        <v>4</v>
      </c>
      <c r="D1229" s="73"/>
      <c r="E1229" s="70"/>
      <c r="F1229" s="70" t="s">
        <v>1954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166"/>
        <v>4</v>
      </c>
      <c r="D1230" s="73"/>
      <c r="E1230" s="70"/>
      <c r="F1230" s="70" t="s">
        <v>1955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166"/>
        <v>4</v>
      </c>
      <c r="D1231" s="73"/>
      <c r="E1231" s="70"/>
      <c r="F1231" s="70" t="s">
        <v>1956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166"/>
        <v>4</v>
      </c>
      <c r="D1232" s="73"/>
      <c r="E1232" s="70"/>
      <c r="F1232" s="70" t="s">
        <v>1957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c r="D1233" s="73"/>
      <c r="E1233" s="70"/>
      <c r="F1233" s="70" t="s">
        <v>2402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c r="D1234" s="73"/>
      <c r="E1234" s="70"/>
      <c r="F1234" s="70" t="s">
        <v>2403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c r="D1235" s="73"/>
      <c r="E1235" s="70"/>
      <c r="F1235" s="70" t="s">
        <v>2404</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ref="C1236:C1245" si="167">INT($C$29)+3</f>
        <v>4</v>
      </c>
      <c r="D1236" s="73"/>
      <c r="E1236" s="70"/>
      <c r="F1236" s="70" t="str">
        <f>SUBSTITUTE(F1232,",4)",",8)")</f>
        <v>C(U2,3,8)</v>
      </c>
      <c r="G1236" s="73"/>
      <c r="H1236" s="76"/>
      <c r="I1236" s="9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167"/>
        <v>4</v>
      </c>
      <c r="D1237" s="73"/>
      <c r="E1237" s="70"/>
      <c r="F1237" s="70" t="str">
        <f>SUBSTITUTE(F1233,",5)",",9)")</f>
        <v>C(U2,3,9)</v>
      </c>
      <c r="G1237" s="73"/>
      <c r="H1237" s="76"/>
      <c r="I1237" s="9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167"/>
        <v>4</v>
      </c>
      <c r="D1238" s="73"/>
      <c r="E1238" s="70"/>
      <c r="F1238" s="70" t="str">
        <f>SUBSTITUTE(F1234,",6)",",10)")</f>
        <v>C(U2,3,10)</v>
      </c>
      <c r="G1238" s="73"/>
      <c r="H1238" s="76"/>
      <c r="I1238" s="9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167"/>
        <v>4</v>
      </c>
      <c r="D1239" s="73"/>
      <c r="E1239" s="70"/>
      <c r="F1239" s="70" t="str">
        <f>SUBSTITUTE(F1235,",7)",",11)")</f>
        <v>C(U2,3,11)</v>
      </c>
      <c r="G1239" s="73"/>
      <c r="H1239" s="76"/>
      <c r="I1239" s="9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167"/>
        <v>4</v>
      </c>
      <c r="D1240" s="73"/>
      <c r="E1240" s="70"/>
      <c r="F1240" s="70" t="s">
        <v>1958</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167"/>
        <v>4</v>
      </c>
      <c r="D1241" s="73"/>
      <c r="E1241" s="70"/>
      <c r="F1241" s="70" t="s">
        <v>1959</v>
      </c>
      <c r="G1241" s="73"/>
      <c r="H1241" s="76" t="s">
        <v>602</v>
      </c>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167"/>
        <v>4</v>
      </c>
      <c r="D1242" s="73"/>
      <c r="E1242" s="70"/>
      <c r="F1242" s="70" t="s">
        <v>1960</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167"/>
        <v>4</v>
      </c>
      <c r="D1243" s="73"/>
      <c r="E1243" s="70"/>
      <c r="F1243" s="70" t="s">
        <v>1961</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167"/>
        <v>4</v>
      </c>
      <c r="D1244" s="73"/>
      <c r="E1244" s="70"/>
      <c r="F1244" s="70" t="s">
        <v>1962</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167"/>
        <v>4</v>
      </c>
      <c r="D1245" s="73"/>
      <c r="E1245" s="70"/>
      <c r="F1245" s="70" t="s">
        <v>1963</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c r="D1246" s="73"/>
      <c r="E1246" s="70"/>
      <c r="F1246" s="70" t="s">
        <v>2426</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c r="D1247" s="73"/>
      <c r="E1247" s="70"/>
      <c r="F1247" s="70" t="s">
        <v>2427</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c r="D1248" s="73"/>
      <c r="E1248" s="70"/>
      <c r="F1248" s="70" t="s">
        <v>2428</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ref="C1249:C1258" si="168">INT($C$29)+3</f>
        <v>4</v>
      </c>
      <c r="D1249" s="73"/>
      <c r="E1249" s="70"/>
      <c r="F1249" s="70" t="str">
        <f>SUBSTITUTE(F1245,",4)",",8)")</f>
        <v>C(U2,4,8)</v>
      </c>
      <c r="G1249" s="73"/>
      <c r="H1249" s="76"/>
      <c r="I1249" s="9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168"/>
        <v>4</v>
      </c>
      <c r="D1250" s="73"/>
      <c r="E1250" s="70"/>
      <c r="F1250" s="70" t="str">
        <f>SUBSTITUTE(F1246,",5)",",9)")</f>
        <v>C(U2,4,9)</v>
      </c>
      <c r="G1250" s="73"/>
      <c r="H1250" s="76"/>
      <c r="I1250" s="9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168"/>
        <v>4</v>
      </c>
      <c r="D1251" s="73"/>
      <c r="E1251" s="70"/>
      <c r="F1251" s="70" t="str">
        <f>SUBSTITUTE(F1247,",6)",",10)")</f>
        <v>C(U2,4,10)</v>
      </c>
      <c r="G1251" s="73"/>
      <c r="H1251" s="76"/>
      <c r="I1251" s="9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168"/>
        <v>4</v>
      </c>
      <c r="D1252" s="73"/>
      <c r="E1252" s="70"/>
      <c r="F1252" s="70" t="str">
        <f>SUBSTITUTE(F1248,",7)",",11)")</f>
        <v>C(U2,4,11)</v>
      </c>
      <c r="G1252" s="73"/>
      <c r="H1252" s="76"/>
      <c r="I1252" s="9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168"/>
        <v>4</v>
      </c>
      <c r="D1253" s="73"/>
      <c r="E1253" s="70"/>
      <c r="F1253" s="70" t="s">
        <v>1964</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168"/>
        <v>4</v>
      </c>
      <c r="D1254" s="73"/>
      <c r="E1254" s="70"/>
      <c r="F1254" s="70" t="s">
        <v>1965</v>
      </c>
      <c r="G1254" s="73"/>
      <c r="H1254" s="76" t="s">
        <v>602</v>
      </c>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25">
      <c r="A1255" s="45"/>
      <c r="B1255" s="54"/>
      <c r="C1255" s="47">
        <f t="shared" si="168"/>
        <v>4</v>
      </c>
      <c r="D1255" s="73"/>
      <c r="E1255" s="70"/>
      <c r="F1255" s="70" t="s">
        <v>1966</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25">
      <c r="A1256" s="45"/>
      <c r="B1256" s="54"/>
      <c r="C1256" s="47">
        <f t="shared" si="168"/>
        <v>4</v>
      </c>
      <c r="D1256" s="73"/>
      <c r="E1256" s="70"/>
      <c r="F1256" s="70" t="s">
        <v>1967</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25">
      <c r="A1257" s="45"/>
      <c r="B1257" s="54"/>
      <c r="C1257" s="47">
        <f t="shared" si="168"/>
        <v>4</v>
      </c>
      <c r="D1257" s="73"/>
      <c r="E1257" s="70"/>
      <c r="F1257" s="70" t="s">
        <v>1968</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25">
      <c r="A1258" s="45"/>
      <c r="B1258" s="54"/>
      <c r="C1258" s="47">
        <f t="shared" si="168"/>
        <v>4</v>
      </c>
      <c r="D1258" s="73"/>
      <c r="E1258" s="70"/>
      <c r="F1258" s="70" t="s">
        <v>1969</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25">
      <c r="A1259" s="45"/>
      <c r="B1259" s="54"/>
      <c r="C1259" s="47"/>
      <c r="D1259" s="73"/>
      <c r="E1259" s="70"/>
      <c r="F1259" s="70" t="s">
        <v>2429</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v>1</v>
      </c>
      <c r="AI1259" s="76">
        <v>1</v>
      </c>
      <c r="AJ1259" s="73"/>
      <c r="AK1259" s="57"/>
      <c r="AL1259" s="45"/>
      <c r="AM1259" s="45"/>
      <c r="AN1259" s="45"/>
    </row>
    <row r="1260" spans="1:40" hidden="1" outlineLevel="3" x14ac:dyDescent="0.25">
      <c r="A1260" s="45"/>
      <c r="B1260" s="54"/>
      <c r="C1260" s="47"/>
      <c r="D1260" s="73"/>
      <c r="E1260" s="70"/>
      <c r="F1260" s="70" t="s">
        <v>2430</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v>1</v>
      </c>
      <c r="AI1260" s="76">
        <v>1</v>
      </c>
      <c r="AJ1260" s="73"/>
      <c r="AK1260" s="57"/>
      <c r="AL1260" s="45"/>
      <c r="AM1260" s="45"/>
      <c r="AN1260" s="45"/>
    </row>
    <row r="1261" spans="1:40" hidden="1" outlineLevel="3" x14ac:dyDescent="0.25">
      <c r="A1261" s="45"/>
      <c r="B1261" s="54"/>
      <c r="C1261" s="47"/>
      <c r="D1261" s="73"/>
      <c r="E1261" s="70"/>
      <c r="F1261" s="70" t="s">
        <v>2431</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v>1</v>
      </c>
      <c r="AI1261" s="76">
        <v>1</v>
      </c>
      <c r="AJ1261" s="73"/>
      <c r="AK1261" s="57"/>
      <c r="AL1261" s="45"/>
      <c r="AM1261" s="45"/>
      <c r="AN1261" s="45"/>
    </row>
    <row r="1262" spans="1:40" hidden="1" outlineLevel="3" x14ac:dyDescent="0.25">
      <c r="A1262" s="45"/>
      <c r="B1262" s="54"/>
      <c r="C1262" s="47">
        <f t="shared" ref="C1262:C1271" si="169">INT($C$29)+3</f>
        <v>4</v>
      </c>
      <c r="D1262" s="73"/>
      <c r="E1262" s="70"/>
      <c r="F1262" s="70" t="str">
        <f>SUBSTITUTE(F1258,",4)",",8)")</f>
        <v>C(U2,5,8)</v>
      </c>
      <c r="G1262" s="73"/>
      <c r="H1262" s="76"/>
      <c r="I1262" s="96"/>
      <c r="J1262" s="76"/>
      <c r="K1262" s="76"/>
      <c r="L1262" s="76"/>
      <c r="M1262" s="76"/>
      <c r="N1262" s="76"/>
      <c r="O1262" s="76"/>
      <c r="P1262" s="76"/>
      <c r="Q1262" s="76"/>
      <c r="R1262" s="76"/>
      <c r="S1262" s="76"/>
      <c r="T1262" s="76"/>
      <c r="U1262" s="76"/>
      <c r="V1262" s="76"/>
      <c r="W1262" s="76"/>
      <c r="X1262" s="76"/>
      <c r="Y1262" s="76"/>
      <c r="Z1262" s="76"/>
      <c r="AA1262" s="76"/>
      <c r="AB1262" s="76"/>
      <c r="AC1262" s="76"/>
      <c r="AD1262" s="76"/>
      <c r="AE1262" s="76"/>
      <c r="AF1262" s="76"/>
      <c r="AG1262" s="76"/>
      <c r="AH1262" s="76">
        <v>1</v>
      </c>
      <c r="AI1262" s="76">
        <v>1</v>
      </c>
      <c r="AJ1262" s="73"/>
      <c r="AK1262" s="57"/>
      <c r="AL1262" s="45"/>
      <c r="AM1262" s="45"/>
      <c r="AN1262" s="45"/>
    </row>
    <row r="1263" spans="1:40" hidden="1" outlineLevel="3" x14ac:dyDescent="0.25">
      <c r="A1263" s="45"/>
      <c r="B1263" s="54"/>
      <c r="C1263" s="47">
        <f t="shared" si="169"/>
        <v>4</v>
      </c>
      <c r="D1263" s="73"/>
      <c r="E1263" s="70"/>
      <c r="F1263" s="70" t="str">
        <f>SUBSTITUTE(F1259,",5)",",9)")</f>
        <v>C(U2,5,9)</v>
      </c>
      <c r="G1263" s="73"/>
      <c r="H1263" s="76"/>
      <c r="I1263" s="96"/>
      <c r="J1263" s="76"/>
      <c r="K1263" s="76"/>
      <c r="L1263" s="76"/>
      <c r="M1263" s="76"/>
      <c r="N1263" s="76"/>
      <c r="O1263" s="76"/>
      <c r="P1263" s="76"/>
      <c r="Q1263" s="76"/>
      <c r="R1263" s="76"/>
      <c r="S1263" s="76"/>
      <c r="T1263" s="76"/>
      <c r="U1263" s="76"/>
      <c r="V1263" s="76"/>
      <c r="W1263" s="76"/>
      <c r="X1263" s="76"/>
      <c r="Y1263" s="76"/>
      <c r="Z1263" s="76"/>
      <c r="AA1263" s="76"/>
      <c r="AB1263" s="76"/>
      <c r="AC1263" s="76"/>
      <c r="AD1263" s="76"/>
      <c r="AE1263" s="76"/>
      <c r="AF1263" s="76"/>
      <c r="AG1263" s="76"/>
      <c r="AH1263" s="76">
        <v>1</v>
      </c>
      <c r="AI1263" s="76">
        <v>1</v>
      </c>
      <c r="AJ1263" s="73"/>
      <c r="AK1263" s="57"/>
      <c r="AL1263" s="45"/>
      <c r="AM1263" s="45"/>
      <c r="AN1263" s="45"/>
    </row>
    <row r="1264" spans="1:40" hidden="1" outlineLevel="3" x14ac:dyDescent="0.25">
      <c r="A1264" s="45"/>
      <c r="B1264" s="54"/>
      <c r="C1264" s="47">
        <f t="shared" si="169"/>
        <v>4</v>
      </c>
      <c r="D1264" s="73"/>
      <c r="E1264" s="70"/>
      <c r="F1264" s="70" t="str">
        <f>SUBSTITUTE(F1260,",6)",",10)")</f>
        <v>C(U2,5,10)</v>
      </c>
      <c r="G1264" s="73"/>
      <c r="H1264" s="76"/>
      <c r="I1264" s="96"/>
      <c r="J1264" s="76"/>
      <c r="K1264" s="76"/>
      <c r="L1264" s="76"/>
      <c r="M1264" s="76"/>
      <c r="N1264" s="76"/>
      <c r="O1264" s="76"/>
      <c r="P1264" s="76"/>
      <c r="Q1264" s="76"/>
      <c r="R1264" s="76"/>
      <c r="S1264" s="76"/>
      <c r="T1264" s="76"/>
      <c r="U1264" s="76"/>
      <c r="V1264" s="76"/>
      <c r="W1264" s="76"/>
      <c r="X1264" s="76"/>
      <c r="Y1264" s="76"/>
      <c r="Z1264" s="76"/>
      <c r="AA1264" s="76"/>
      <c r="AB1264" s="76"/>
      <c r="AC1264" s="76"/>
      <c r="AD1264" s="76"/>
      <c r="AE1264" s="76"/>
      <c r="AF1264" s="76"/>
      <c r="AG1264" s="76"/>
      <c r="AH1264" s="76">
        <v>1</v>
      </c>
      <c r="AI1264" s="76">
        <v>1</v>
      </c>
      <c r="AJ1264" s="73"/>
      <c r="AK1264" s="57"/>
      <c r="AL1264" s="45"/>
      <c r="AM1264" s="45"/>
      <c r="AN1264" s="45"/>
    </row>
    <row r="1265" spans="1:40" hidden="1" outlineLevel="3" x14ac:dyDescent="0.25">
      <c r="A1265" s="45"/>
      <c r="B1265" s="54"/>
      <c r="C1265" s="47">
        <f t="shared" si="169"/>
        <v>4</v>
      </c>
      <c r="D1265" s="73"/>
      <c r="E1265" s="70"/>
      <c r="F1265" s="70" t="str">
        <f>SUBSTITUTE(F1261,",7)",",11)")</f>
        <v>C(U2,5,11)</v>
      </c>
      <c r="G1265" s="73"/>
      <c r="H1265" s="76"/>
      <c r="I1265" s="96"/>
      <c r="J1265" s="76"/>
      <c r="K1265" s="76"/>
      <c r="L1265" s="76"/>
      <c r="M1265" s="76"/>
      <c r="N1265" s="76"/>
      <c r="O1265" s="76"/>
      <c r="P1265" s="76"/>
      <c r="Q1265" s="76"/>
      <c r="R1265" s="76"/>
      <c r="S1265" s="76"/>
      <c r="T1265" s="76"/>
      <c r="U1265" s="76"/>
      <c r="V1265" s="76"/>
      <c r="W1265" s="76"/>
      <c r="X1265" s="76"/>
      <c r="Y1265" s="76"/>
      <c r="Z1265" s="76"/>
      <c r="AA1265" s="76"/>
      <c r="AB1265" s="76"/>
      <c r="AC1265" s="76"/>
      <c r="AD1265" s="76"/>
      <c r="AE1265" s="76"/>
      <c r="AF1265" s="76"/>
      <c r="AG1265" s="76"/>
      <c r="AH1265" s="76">
        <v>1</v>
      </c>
      <c r="AI1265" s="76">
        <v>1</v>
      </c>
      <c r="AJ1265" s="73"/>
      <c r="AK1265" s="57"/>
      <c r="AL1265" s="45"/>
      <c r="AM1265" s="45"/>
      <c r="AN1265" s="45"/>
    </row>
    <row r="1266" spans="1:40" hidden="1" outlineLevel="3" x14ac:dyDescent="0.25">
      <c r="A1266" s="45"/>
      <c r="B1266" s="54"/>
      <c r="C1266" s="47">
        <f t="shared" si="169"/>
        <v>4</v>
      </c>
      <c r="D1266" s="73"/>
      <c r="E1266" s="70"/>
      <c r="F1266" s="70" t="s">
        <v>1970</v>
      </c>
      <c r="G1266" s="73"/>
      <c r="H1266" s="76"/>
      <c r="I1266" s="76"/>
      <c r="J1266" s="76"/>
      <c r="K1266" s="76"/>
      <c r="L1266" s="76"/>
      <c r="M1266" s="76"/>
      <c r="N1266" s="76"/>
      <c r="O1266" s="76"/>
      <c r="P1266" s="76"/>
      <c r="Q1266" s="76"/>
      <c r="R1266" s="76"/>
      <c r="S1266" s="76"/>
      <c r="T1266" s="76"/>
      <c r="U1266" s="76"/>
      <c r="V1266" s="76"/>
      <c r="W1266" s="76"/>
      <c r="X1266" s="76"/>
      <c r="Y1266" s="76"/>
      <c r="Z1266" s="76"/>
      <c r="AA1266" s="76"/>
      <c r="AB1266" s="76"/>
      <c r="AC1266" s="76"/>
      <c r="AD1266" s="76"/>
      <c r="AE1266" s="76"/>
      <c r="AF1266" s="76"/>
      <c r="AG1266" s="76"/>
      <c r="AH1266" s="76">
        <v>1</v>
      </c>
      <c r="AI1266" s="76">
        <v>1</v>
      </c>
      <c r="AJ1266" s="73"/>
      <c r="AK1266" s="57"/>
      <c r="AL1266" s="45"/>
      <c r="AM1266" s="45"/>
      <c r="AN1266" s="45"/>
    </row>
    <row r="1267" spans="1:40" hidden="1" outlineLevel="3" x14ac:dyDescent="0.25">
      <c r="A1267" s="45"/>
      <c r="B1267" s="54"/>
      <c r="C1267" s="47">
        <f t="shared" si="169"/>
        <v>4</v>
      </c>
      <c r="D1267" s="73"/>
      <c r="E1267" s="70"/>
      <c r="F1267" s="70" t="s">
        <v>1971</v>
      </c>
      <c r="G1267" s="73"/>
      <c r="H1267" s="76" t="s">
        <v>602</v>
      </c>
      <c r="I1267" s="76"/>
      <c r="J1267" s="76"/>
      <c r="K1267" s="76"/>
      <c r="L1267" s="76"/>
      <c r="M1267" s="76"/>
      <c r="N1267" s="76"/>
      <c r="O1267" s="76"/>
      <c r="P1267" s="76"/>
      <c r="Q1267" s="76"/>
      <c r="R1267" s="76"/>
      <c r="S1267" s="76"/>
      <c r="T1267" s="76"/>
      <c r="U1267" s="76"/>
      <c r="V1267" s="76"/>
      <c r="W1267" s="76"/>
      <c r="X1267" s="76"/>
      <c r="Y1267" s="76"/>
      <c r="Z1267" s="76"/>
      <c r="AA1267" s="76"/>
      <c r="AB1267" s="76"/>
      <c r="AC1267" s="76"/>
      <c r="AD1267" s="76"/>
      <c r="AE1267" s="76"/>
      <c r="AF1267" s="76"/>
      <c r="AG1267" s="76"/>
      <c r="AH1267" s="76">
        <v>1</v>
      </c>
      <c r="AI1267" s="76">
        <v>1</v>
      </c>
      <c r="AJ1267" s="73"/>
      <c r="AK1267" s="57"/>
      <c r="AL1267" s="45"/>
      <c r="AM1267" s="45"/>
      <c r="AN1267" s="45"/>
    </row>
    <row r="1268" spans="1:40" hidden="1" outlineLevel="3" x14ac:dyDescent="0.25">
      <c r="A1268" s="45"/>
      <c r="B1268" s="54"/>
      <c r="C1268" s="47">
        <f t="shared" si="169"/>
        <v>4</v>
      </c>
      <c r="D1268" s="73"/>
      <c r="E1268" s="70"/>
      <c r="F1268" s="70" t="s">
        <v>1972</v>
      </c>
      <c r="G1268" s="73"/>
      <c r="H1268" s="76"/>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169"/>
        <v>4</v>
      </c>
      <c r="D1269" s="73"/>
      <c r="E1269" s="70"/>
      <c r="F1269" s="70" t="s">
        <v>1973</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169"/>
        <v>4</v>
      </c>
      <c r="D1270" s="73"/>
      <c r="E1270" s="70"/>
      <c r="F1270" s="70" t="s">
        <v>1974</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169"/>
        <v>4</v>
      </c>
      <c r="D1271" s="73"/>
      <c r="E1271" s="70"/>
      <c r="F1271" s="70" t="s">
        <v>1975</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c r="D1272" s="73"/>
      <c r="E1272" s="70"/>
      <c r="F1272" s="70" t="s">
        <v>2432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c r="D1273" s="73"/>
      <c r="E1273" s="70"/>
      <c r="F1273" s="70" t="s">
        <v>2433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c r="D1274" s="73"/>
      <c r="E1274" s="70"/>
      <c r="F1274" s="70" t="s">
        <v>2434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ref="C1275:C1284" si="170">INT($C$29)+3</f>
        <v>4</v>
      </c>
      <c r="D1275" s="73"/>
      <c r="E1275" s="70"/>
      <c r="F1275" s="70" t="str">
        <f>SUBSTITUTE(F1271,",4)",",8)")</f>
        <v>C(U2,6,8)</v>
      </c>
      <c r="G1275" s="73"/>
      <c r="H1275" s="76"/>
      <c r="I1275" s="9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170"/>
        <v>4</v>
      </c>
      <c r="D1276" s="73"/>
      <c r="E1276" s="70"/>
      <c r="F1276" s="70" t="str">
        <f>SUBSTITUTE(F1272,",5)",",9)")</f>
        <v>C(U2,6,9)</v>
      </c>
      <c r="G1276" s="73"/>
      <c r="H1276" s="76"/>
      <c r="I1276" s="9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170"/>
        <v>4</v>
      </c>
      <c r="D1277" s="73"/>
      <c r="E1277" s="70"/>
      <c r="F1277" s="70" t="str">
        <f>SUBSTITUTE(F1273,",6)",",10)")</f>
        <v>C(U2,6,10)</v>
      </c>
      <c r="G1277" s="73"/>
      <c r="H1277" s="76"/>
      <c r="I1277" s="9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170"/>
        <v>4</v>
      </c>
      <c r="D1278" s="73"/>
      <c r="E1278" s="70"/>
      <c r="F1278" s="70" t="str">
        <f>SUBSTITUTE(F1274,",7)",",11)")</f>
        <v>C(U2,6,11)</v>
      </c>
      <c r="G1278" s="73"/>
      <c r="H1278" s="76"/>
      <c r="I1278" s="9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170"/>
        <v>4</v>
      </c>
      <c r="D1279" s="73"/>
      <c r="E1279" s="70"/>
      <c r="F1279" s="70" t="s">
        <v>1976</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170"/>
        <v>4</v>
      </c>
      <c r="D1280" s="73"/>
      <c r="E1280" s="70"/>
      <c r="F1280" s="70" t="s">
        <v>1977</v>
      </c>
      <c r="G1280" s="73"/>
      <c r="H1280" s="76" t="s">
        <v>602</v>
      </c>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170"/>
        <v>4</v>
      </c>
      <c r="D1281" s="73"/>
      <c r="E1281" s="70"/>
      <c r="F1281" s="70" t="s">
        <v>1978</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170"/>
        <v>4</v>
      </c>
      <c r="D1282" s="73"/>
      <c r="E1282" s="70"/>
      <c r="F1282" s="70" t="s">
        <v>1979</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170"/>
        <v>4</v>
      </c>
      <c r="D1283" s="73"/>
      <c r="E1283" s="70"/>
      <c r="F1283" s="70" t="s">
        <v>1980</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170"/>
        <v>4</v>
      </c>
      <c r="D1284" s="73"/>
      <c r="E1284" s="70"/>
      <c r="F1284" s="70" t="s">
        <v>1981</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c r="D1285" s="73"/>
      <c r="E1285" s="70"/>
      <c r="F1285" s="70" t="s">
        <v>2435</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v>1</v>
      </c>
      <c r="AI1285" s="76">
        <v>1</v>
      </c>
      <c r="AJ1285" s="73"/>
      <c r="AK1285" s="57"/>
      <c r="AL1285" s="45"/>
      <c r="AM1285" s="45"/>
      <c r="AN1285" s="45"/>
    </row>
    <row r="1286" spans="1:40" hidden="1" outlineLevel="3" x14ac:dyDescent="0.25">
      <c r="A1286" s="45"/>
      <c r="B1286" s="54"/>
      <c r="C1286" s="47"/>
      <c r="D1286" s="73"/>
      <c r="E1286" s="70"/>
      <c r="F1286" s="70" t="s">
        <v>2436</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v>1</v>
      </c>
      <c r="AI1286" s="76">
        <v>1</v>
      </c>
      <c r="AJ1286" s="73"/>
      <c r="AK1286" s="57"/>
      <c r="AL1286" s="45"/>
      <c r="AM1286" s="45"/>
      <c r="AN1286" s="45"/>
    </row>
    <row r="1287" spans="1:40" hidden="1" outlineLevel="3" x14ac:dyDescent="0.25">
      <c r="A1287" s="45"/>
      <c r="B1287" s="54"/>
      <c r="C1287" s="47"/>
      <c r="D1287" s="73"/>
      <c r="E1287" s="70"/>
      <c r="F1287" s="70" t="s">
        <v>2437</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v>1</v>
      </c>
      <c r="AI1287" s="76">
        <v>1</v>
      </c>
      <c r="AJ1287" s="73"/>
      <c r="AK1287" s="57"/>
      <c r="AL1287" s="45"/>
      <c r="AM1287" s="45"/>
      <c r="AN1287" s="45"/>
    </row>
    <row r="1288" spans="1:40" hidden="1" outlineLevel="3" x14ac:dyDescent="0.25">
      <c r="A1288" s="45"/>
      <c r="B1288" s="54"/>
      <c r="C1288" s="47">
        <f>INT($C$29)+3</f>
        <v>4</v>
      </c>
      <c r="D1288" s="73"/>
      <c r="E1288" s="70"/>
      <c r="F1288" s="70" t="str">
        <f>SUBSTITUTE(F1284,",4)",",8)")</f>
        <v>C(U2,7,8)</v>
      </c>
      <c r="G1288" s="73"/>
      <c r="H1288" s="76"/>
      <c r="I1288" s="9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tr">
        <f>SUBSTITUTE(F1285,",5)",",9)")</f>
        <v>C(U2,7,9)</v>
      </c>
      <c r="G1289" s="73"/>
      <c r="H1289" s="76"/>
      <c r="I1289" s="9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tr">
        <f>SUBSTITUTE(F1286,",6)",",10)")</f>
        <v>C(U2,7,10)</v>
      </c>
      <c r="G1290" s="73"/>
      <c r="H1290" s="76"/>
      <c r="I1290" s="9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tr">
        <f>SUBSTITUTE(F1287,",7)",",11)")</f>
        <v>C(U2,7,11)</v>
      </c>
      <c r="G1291" s="73"/>
      <c r="H1291" s="76"/>
      <c r="I1291" s="9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401"/>
      <c r="F1292" s="401" t="s">
        <v>1982</v>
      </c>
      <c r="G1292" s="73"/>
      <c r="H1292" s="109"/>
      <c r="I1292" s="109"/>
      <c r="J1292" s="109"/>
      <c r="K1292" s="109"/>
      <c r="L1292" s="109"/>
      <c r="M1292" s="109"/>
      <c r="N1292" s="109"/>
      <c r="O1292" s="109"/>
      <c r="P1292" s="109"/>
      <c r="Q1292" s="109"/>
      <c r="R1292" s="109"/>
      <c r="S1292" s="109"/>
      <c r="T1292" s="109"/>
      <c r="U1292" s="109"/>
      <c r="V1292" s="109"/>
      <c r="W1292" s="109"/>
      <c r="X1292" s="109"/>
      <c r="Y1292" s="109"/>
      <c r="Z1292" s="109"/>
      <c r="AA1292" s="109"/>
      <c r="AB1292" s="109"/>
      <c r="AC1292" s="109"/>
      <c r="AD1292" s="109"/>
      <c r="AE1292" s="109"/>
      <c r="AF1292" s="109"/>
      <c r="AG1292" s="109"/>
      <c r="AH1292" s="109">
        <v>1</v>
      </c>
      <c r="AI1292" s="109">
        <v>1</v>
      </c>
      <c r="AJ1292" s="73"/>
      <c r="AK1292" s="57"/>
      <c r="AL1292" s="45"/>
      <c r="AM1292" s="45"/>
      <c r="AN1292" s="45"/>
    </row>
    <row r="1293" spans="1:40" hidden="1" outlineLevel="2" x14ac:dyDescent="0.25">
      <c r="A1293" s="45"/>
      <c r="B1293" s="54"/>
      <c r="C1293" s="47">
        <f>INT($C$29)+2</f>
        <v>3</v>
      </c>
      <c r="D1293" s="73"/>
      <c r="E1293" s="405"/>
      <c r="F1293" s="405" t="s">
        <v>1983</v>
      </c>
      <c r="G1293" s="406"/>
      <c r="H1293" s="181" t="s">
        <v>1984</v>
      </c>
      <c r="I1293" s="181"/>
      <c r="J1293" s="181"/>
      <c r="K1293" s="181"/>
      <c r="L1293" s="181"/>
      <c r="M1293" s="181"/>
      <c r="N1293" s="181"/>
      <c r="O1293" s="181"/>
      <c r="P1293" s="181"/>
      <c r="Q1293" s="181"/>
      <c r="R1293" s="181"/>
      <c r="S1293" s="181"/>
      <c r="T1293" s="181"/>
      <c r="U1293" s="407">
        <v>3.157</v>
      </c>
      <c r="V1293" s="408">
        <f>U1293</f>
        <v>3.157</v>
      </c>
      <c r="W1293" s="408">
        <f t="shared" ref="W1293:X1295" si="171">U1293</f>
        <v>3.157</v>
      </c>
      <c r="X1293" s="408">
        <f t="shared" si="171"/>
        <v>3.157</v>
      </c>
      <c r="Y1293" s="408">
        <v>3.157</v>
      </c>
      <c r="Z1293" s="408">
        <v>3.157</v>
      </c>
      <c r="AA1293" s="408">
        <v>3.157</v>
      </c>
      <c r="AB1293" s="408">
        <v>2.9750000000000001</v>
      </c>
      <c r="AC1293" s="408">
        <f t="shared" ref="AC1293:AD1295" si="172">AB1293</f>
        <v>2.9750000000000001</v>
      </c>
      <c r="AD1293" s="408">
        <f t="shared" si="172"/>
        <v>2.9750000000000001</v>
      </c>
      <c r="AE1293" s="181"/>
      <c r="AF1293" s="407" t="s">
        <v>2587</v>
      </c>
      <c r="AG1293" s="181"/>
      <c r="AH1293" s="407">
        <v>1</v>
      </c>
      <c r="AI1293" s="407">
        <v>1</v>
      </c>
      <c r="AJ1293" s="73"/>
      <c r="AK1293" s="57"/>
      <c r="AL1293" s="45"/>
      <c r="AM1293" s="45"/>
      <c r="AN1293" s="45"/>
    </row>
    <row r="1294" spans="1:40" hidden="1" outlineLevel="2" x14ac:dyDescent="0.25">
      <c r="A1294" s="45"/>
      <c r="B1294" s="54"/>
      <c r="C1294" s="47">
        <f>INT($C$29)+2</f>
        <v>3</v>
      </c>
      <c r="D1294" s="73"/>
      <c r="E1294" s="70"/>
      <c r="F1294" s="70" t="s">
        <v>1985</v>
      </c>
      <c r="G1294" s="234"/>
      <c r="H1294" s="76" t="s">
        <v>1986</v>
      </c>
      <c r="I1294" s="76"/>
      <c r="J1294" s="76"/>
      <c r="K1294" s="76"/>
      <c r="L1294" s="76"/>
      <c r="M1294" s="76"/>
      <c r="N1294" s="76"/>
      <c r="O1294" s="76"/>
      <c r="P1294" s="76"/>
      <c r="Q1294" s="76"/>
      <c r="R1294" s="76"/>
      <c r="S1294" s="76"/>
      <c r="T1294" s="76"/>
      <c r="U1294" s="97">
        <v>-0.28570000000000001</v>
      </c>
      <c r="V1294" s="254">
        <f>U1294</f>
        <v>-0.28570000000000001</v>
      </c>
      <c r="W1294" s="254">
        <f t="shared" si="171"/>
        <v>-0.28570000000000001</v>
      </c>
      <c r="X1294" s="254">
        <f t="shared" si="171"/>
        <v>-0.28570000000000001</v>
      </c>
      <c r="Y1294" s="254">
        <v>-0.28570000000000001</v>
      </c>
      <c r="Z1294" s="254">
        <v>-0.28570000000000001</v>
      </c>
      <c r="AA1294" s="254">
        <v>-0.28570000000000001</v>
      </c>
      <c r="AB1294" s="403">
        <v>-0.23649999999999999</v>
      </c>
      <c r="AC1294" s="403">
        <f t="shared" si="172"/>
        <v>-0.23649999999999999</v>
      </c>
      <c r="AD1294" s="403">
        <f t="shared" si="172"/>
        <v>-0.23649999999999999</v>
      </c>
      <c r="AE1294" s="76"/>
      <c r="AF1294" s="76"/>
      <c r="AG1294" s="76"/>
      <c r="AH1294" s="97">
        <v>1</v>
      </c>
      <c r="AI1294" s="97">
        <v>1</v>
      </c>
      <c r="AJ1294" s="73"/>
      <c r="AK1294" s="57"/>
      <c r="AL1294" s="45"/>
      <c r="AM1294" s="45"/>
      <c r="AN1294" s="45"/>
    </row>
    <row r="1295" spans="1:40" hidden="1" outlineLevel="2" collapsed="1" x14ac:dyDescent="0.25">
      <c r="A1295" s="45"/>
      <c r="B1295" s="54"/>
      <c r="C1295" s="47">
        <f>INT($C$29)+2</f>
        <v>3</v>
      </c>
      <c r="D1295" s="73"/>
      <c r="E1295" s="70"/>
      <c r="F1295" s="70" t="s">
        <v>1987</v>
      </c>
      <c r="G1295" s="234"/>
      <c r="H1295" s="76" t="s">
        <v>1988</v>
      </c>
      <c r="I1295" s="76"/>
      <c r="J1295" s="76"/>
      <c r="K1295" s="76"/>
      <c r="L1295" s="76"/>
      <c r="M1295" s="76"/>
      <c r="N1295" s="76"/>
      <c r="O1295" s="76"/>
      <c r="P1295" s="76"/>
      <c r="Q1295" s="76"/>
      <c r="R1295" s="76"/>
      <c r="S1295" s="76"/>
      <c r="T1295" s="76"/>
      <c r="U1295" s="97">
        <v>-7.9950000000000004E-3</v>
      </c>
      <c r="V1295" s="254">
        <f>U1295</f>
        <v>-7.9950000000000004E-3</v>
      </c>
      <c r="W1295" s="254">
        <f t="shared" si="171"/>
        <v>-7.9950000000000004E-3</v>
      </c>
      <c r="X1295" s="254">
        <f t="shared" si="171"/>
        <v>-7.9950000000000004E-3</v>
      </c>
      <c r="Y1295" s="254">
        <v>-7.9950000000000004E-3</v>
      </c>
      <c r="Z1295" s="254">
        <v>-7.9950000000000004E-3</v>
      </c>
      <c r="AA1295" s="254">
        <v>-7.9950000000000004E-3</v>
      </c>
      <c r="AB1295" s="403">
        <v>-1.761E-3</v>
      </c>
      <c r="AC1295" s="403">
        <f t="shared" si="172"/>
        <v>-1.761E-3</v>
      </c>
      <c r="AD1295" s="403">
        <f t="shared" si="172"/>
        <v>-1.761E-3</v>
      </c>
      <c r="AE1295" s="76"/>
      <c r="AF1295" s="76"/>
      <c r="AG1295" s="76"/>
      <c r="AH1295" s="97">
        <v>1</v>
      </c>
      <c r="AI1295" s="97">
        <v>1</v>
      </c>
      <c r="AJ1295" s="73"/>
      <c r="AK1295" s="57"/>
      <c r="AL1295" s="45"/>
      <c r="AM1295" s="45"/>
      <c r="AN1295" s="45"/>
    </row>
    <row r="1296" spans="1:40" hidden="1" outlineLevel="3" x14ac:dyDescent="0.25">
      <c r="A1296" s="45"/>
      <c r="B1296" s="54"/>
      <c r="C1296" s="47">
        <f>INT($C$29)+3</f>
        <v>4</v>
      </c>
      <c r="D1296" s="73"/>
      <c r="E1296" s="70"/>
      <c r="F1296" s="70" t="s">
        <v>1989</v>
      </c>
      <c r="G1296" s="234"/>
      <c r="H1296" s="76" t="s">
        <v>2490</v>
      </c>
      <c r="I1296" s="96"/>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hidden="1" outlineLevel="2" x14ac:dyDescent="0.25">
      <c r="A1297" s="45"/>
      <c r="B1297" s="54"/>
      <c r="C1297" s="47">
        <f>INT($C$29)+2</f>
        <v>3</v>
      </c>
      <c r="D1297" s="73"/>
      <c r="E1297" s="70"/>
      <c r="F1297" s="70" t="s">
        <v>1991</v>
      </c>
      <c r="G1297" s="234"/>
      <c r="H1297" s="76" t="s">
        <v>1990</v>
      </c>
      <c r="I1297" s="76"/>
      <c r="J1297" s="76"/>
      <c r="K1297" s="76"/>
      <c r="L1297" s="76"/>
      <c r="M1297" s="76"/>
      <c r="N1297" s="76"/>
      <c r="O1297" s="76"/>
      <c r="P1297" s="76"/>
      <c r="Q1297" s="76"/>
      <c r="R1297" s="76"/>
      <c r="S1297" s="76"/>
      <c r="T1297" s="76"/>
      <c r="U1297" s="97">
        <f>0.001337*0</f>
        <v>0</v>
      </c>
      <c r="V1297" s="254">
        <f>U1297</f>
        <v>0</v>
      </c>
      <c r="W1297" s="254">
        <f>U1297</f>
        <v>0</v>
      </c>
      <c r="X1297" s="254">
        <f>V1297</f>
        <v>0</v>
      </c>
      <c r="Y1297" s="254">
        <v>0</v>
      </c>
      <c r="Z1297" s="254">
        <v>0</v>
      </c>
      <c r="AA1297" s="254">
        <v>0</v>
      </c>
      <c r="AB1297" s="403">
        <v>0</v>
      </c>
      <c r="AC1297" s="403">
        <f>AB1297</f>
        <v>0</v>
      </c>
      <c r="AD1297" s="403">
        <f>AC1297</f>
        <v>0</v>
      </c>
      <c r="AE1297" s="76"/>
      <c r="AF1297" s="76"/>
      <c r="AG1297" s="76"/>
      <c r="AH1297" s="97">
        <v>1</v>
      </c>
      <c r="AI1297" s="97">
        <v>1</v>
      </c>
      <c r="AJ1297" s="73"/>
      <c r="AK1297" s="57"/>
      <c r="AL1297" s="45"/>
      <c r="AM1297" s="45"/>
      <c r="AN1297" s="45"/>
    </row>
    <row r="1298" spans="1:40" hidden="1" outlineLevel="2" collapsed="1" x14ac:dyDescent="0.25">
      <c r="A1298" s="45"/>
      <c r="B1298" s="54"/>
      <c r="C1298" s="47">
        <f>INT($C$29)+2</f>
        <v>3</v>
      </c>
      <c r="D1298" s="73"/>
      <c r="E1298" s="70"/>
      <c r="F1298" s="70" t="s">
        <v>2493</v>
      </c>
      <c r="G1298" s="234"/>
      <c r="H1298" s="76" t="s">
        <v>1992</v>
      </c>
      <c r="I1298" s="76"/>
      <c r="J1298" s="76"/>
      <c r="K1298" s="76"/>
      <c r="L1298" s="76"/>
      <c r="M1298" s="76"/>
      <c r="N1298" s="76"/>
      <c r="O1298" s="76"/>
      <c r="P1298" s="76"/>
      <c r="Q1298" s="76"/>
      <c r="R1298" s="76"/>
      <c r="S1298" s="76"/>
      <c r="T1298" s="76"/>
      <c r="U1298" s="97">
        <f>-0.000000272*0</f>
        <v>0</v>
      </c>
      <c r="V1298" s="254">
        <f>U1298</f>
        <v>0</v>
      </c>
      <c r="W1298" s="254">
        <f>U1298</f>
        <v>0</v>
      </c>
      <c r="X1298" s="254">
        <f>V1298</f>
        <v>0</v>
      </c>
      <c r="Y1298" s="254">
        <v>0</v>
      </c>
      <c r="Z1298" s="254">
        <v>0</v>
      </c>
      <c r="AA1298" s="254">
        <v>0</v>
      </c>
      <c r="AB1298" s="403">
        <v>0</v>
      </c>
      <c r="AC1298" s="403">
        <f>AB1298</f>
        <v>0</v>
      </c>
      <c r="AD1298" s="403">
        <f>AC1298</f>
        <v>0</v>
      </c>
      <c r="AE1298" s="76"/>
      <c r="AF1298" s="76"/>
      <c r="AG1298" s="76"/>
      <c r="AH1298" s="97">
        <v>1</v>
      </c>
      <c r="AI1298" s="97">
        <v>1</v>
      </c>
      <c r="AJ1298" s="73"/>
      <c r="AK1298" s="57"/>
      <c r="AL1298" s="45"/>
      <c r="AM1298" s="45"/>
      <c r="AN1298" s="45"/>
    </row>
    <row r="1299" spans="1:40" hidden="1" outlineLevel="3" x14ac:dyDescent="0.25">
      <c r="A1299" s="45"/>
      <c r="B1299" s="54"/>
      <c r="C1299" s="47">
        <f t="shared" ref="C1299:C1304" si="173">INT($C$29)+3</f>
        <v>4</v>
      </c>
      <c r="D1299" s="73"/>
      <c r="E1299" s="70"/>
      <c r="F1299" s="70" t="s">
        <v>2494</v>
      </c>
      <c r="G1299" s="234"/>
      <c r="H1299" s="76" t="s">
        <v>2491</v>
      </c>
      <c r="I1299" s="96"/>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hidden="1" outlineLevel="3" x14ac:dyDescent="0.25">
      <c r="A1300" s="45"/>
      <c r="B1300" s="54"/>
      <c r="C1300" s="47">
        <f t="shared" si="173"/>
        <v>4</v>
      </c>
      <c r="D1300" s="73"/>
      <c r="E1300" s="70"/>
      <c r="F1300" s="70" t="s">
        <v>2495</v>
      </c>
      <c r="G1300" s="234"/>
      <c r="H1300" s="76" t="s">
        <v>2492</v>
      </c>
      <c r="I1300" s="96"/>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hidden="1" outlineLevel="3" x14ac:dyDescent="0.25">
      <c r="A1301" s="45"/>
      <c r="B1301" s="54"/>
      <c r="C1301" s="47">
        <f t="shared" si="173"/>
        <v>4</v>
      </c>
      <c r="D1301" s="73"/>
      <c r="E1301" s="70"/>
      <c r="F1301" s="70" t="str">
        <f>SUBSTITUTE(F1297,",4)",",8)")</f>
        <v>C(U2,8,8)</v>
      </c>
      <c r="G1301" s="73"/>
      <c r="H1301" s="76" t="s">
        <v>2745</v>
      </c>
      <c r="I1301" s="96"/>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hidden="1" outlineLevel="3" x14ac:dyDescent="0.25">
      <c r="A1302" s="45"/>
      <c r="B1302" s="54"/>
      <c r="C1302" s="47">
        <f t="shared" si="173"/>
        <v>4</v>
      </c>
      <c r="D1302" s="73"/>
      <c r="E1302" s="70"/>
      <c r="F1302" s="70" t="str">
        <f>SUBSTITUTE(F1298,",5)",",9)")</f>
        <v>C(U2,8,9)</v>
      </c>
      <c r="G1302" s="73"/>
      <c r="H1302" s="76" t="s">
        <v>2746</v>
      </c>
      <c r="I1302" s="96"/>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hidden="1" outlineLevel="3" x14ac:dyDescent="0.25">
      <c r="A1303" s="45"/>
      <c r="B1303" s="54"/>
      <c r="C1303" s="47">
        <f t="shared" si="173"/>
        <v>4</v>
      </c>
      <c r="D1303" s="73"/>
      <c r="E1303" s="70"/>
      <c r="F1303" s="70" t="str">
        <f>SUBSTITUTE(F1299,",6)",",10)")</f>
        <v>C(U2,8,10)</v>
      </c>
      <c r="G1303" s="73"/>
      <c r="H1303" s="76" t="s">
        <v>2747</v>
      </c>
      <c r="I1303" s="96"/>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hidden="1" outlineLevel="3" x14ac:dyDescent="0.25">
      <c r="A1304" s="45"/>
      <c r="B1304" s="54"/>
      <c r="C1304" s="47">
        <f t="shared" si="173"/>
        <v>4</v>
      </c>
      <c r="D1304" s="73"/>
      <c r="E1304" s="70"/>
      <c r="F1304" s="70" t="str">
        <f>SUBSTITUTE(F1300,",7)",",11)")</f>
        <v>C(U2,8,11)</v>
      </c>
      <c r="G1304" s="73"/>
      <c r="H1304" s="76" t="s">
        <v>2748</v>
      </c>
      <c r="I1304" s="96"/>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hidden="1" outlineLevel="2" collapsed="1" x14ac:dyDescent="0.25">
      <c r="A1305" s="45"/>
      <c r="B1305" s="54"/>
      <c r="C1305" s="47">
        <f>INT($C$29)+2</f>
        <v>3</v>
      </c>
      <c r="D1305" s="73"/>
      <c r="E1305" s="409"/>
      <c r="F1305" s="409" t="s">
        <v>1993</v>
      </c>
      <c r="G1305" s="410"/>
      <c r="H1305" s="184" t="s">
        <v>2654</v>
      </c>
      <c r="I1305" s="184"/>
      <c r="J1305" s="184"/>
      <c r="K1305" s="184"/>
      <c r="L1305" s="184"/>
      <c r="M1305" s="184"/>
      <c r="N1305" s="184"/>
      <c r="O1305" s="184"/>
      <c r="P1305" s="184"/>
      <c r="Q1305" s="184"/>
      <c r="R1305" s="184"/>
      <c r="S1305" s="184"/>
      <c r="T1305" s="184" t="s">
        <v>3324</v>
      </c>
      <c r="U1305" s="412">
        <v>1.7397800000000001</v>
      </c>
      <c r="V1305" s="413">
        <f>U1305</f>
        <v>1.7397800000000001</v>
      </c>
      <c r="W1305" s="412">
        <v>1.79660883152052</v>
      </c>
      <c r="X1305" s="412">
        <v>1.82389032277726</v>
      </c>
      <c r="Y1305" s="412">
        <v>1.7397800000000001</v>
      </c>
      <c r="Z1305" s="412">
        <v>1.7748489852827201</v>
      </c>
      <c r="AA1305" s="412">
        <v>1.88365</v>
      </c>
      <c r="AB1305" s="413">
        <v>-4.3544999999999998</v>
      </c>
      <c r="AC1305" s="413">
        <f>AB1305</f>
        <v>-4.3544999999999998</v>
      </c>
      <c r="AD1305" s="413">
        <f>AC1305</f>
        <v>-4.3544999999999998</v>
      </c>
      <c r="AE1305" s="184"/>
      <c r="AF1305" s="184"/>
      <c r="AG1305" s="184"/>
      <c r="AH1305" s="412">
        <v>1</v>
      </c>
      <c r="AI1305" s="412">
        <v>1</v>
      </c>
      <c r="AJ1305" s="73"/>
      <c r="AK1305" s="57"/>
      <c r="AL1305" s="45"/>
      <c r="AM1305" s="45"/>
      <c r="AN1305" s="45"/>
    </row>
    <row r="1306" spans="1:40" hidden="1" outlineLevel="3" x14ac:dyDescent="0.25">
      <c r="A1306" s="45"/>
      <c r="B1306" s="54"/>
      <c r="C1306" s="47">
        <f>INT($C$29)+3</f>
        <v>4</v>
      </c>
      <c r="D1306" s="73"/>
      <c r="E1306" s="402"/>
      <c r="F1306" s="402" t="s">
        <v>1994</v>
      </c>
      <c r="G1306" s="73"/>
      <c r="H1306" s="105" t="s">
        <v>602</v>
      </c>
      <c r="I1306" s="105"/>
      <c r="J1306" s="105"/>
      <c r="K1306" s="105"/>
      <c r="L1306" s="105"/>
      <c r="M1306" s="105"/>
      <c r="N1306" s="105"/>
      <c r="O1306" s="105"/>
      <c r="P1306" s="105"/>
      <c r="Q1306" s="105"/>
      <c r="R1306" s="105"/>
      <c r="S1306" s="105"/>
      <c r="T1306" s="105"/>
      <c r="U1306" s="105"/>
      <c r="V1306" s="105"/>
      <c r="W1306" s="105"/>
      <c r="X1306" s="105"/>
      <c r="Y1306" s="105"/>
      <c r="Z1306" s="105"/>
      <c r="AA1306" s="105"/>
      <c r="AB1306" s="105"/>
      <c r="AC1306" s="105"/>
      <c r="AD1306" s="105"/>
      <c r="AE1306" s="105"/>
      <c r="AF1306" s="105"/>
      <c r="AG1306" s="105"/>
      <c r="AH1306" s="105">
        <v>1</v>
      </c>
      <c r="AI1306" s="105">
        <v>1</v>
      </c>
      <c r="AJ1306" s="73"/>
      <c r="AK1306" s="57"/>
      <c r="AL1306" s="45"/>
      <c r="AM1306" s="45"/>
      <c r="AN1306" s="45"/>
    </row>
    <row r="1307" spans="1:40" hidden="1" outlineLevel="3" x14ac:dyDescent="0.25">
      <c r="A1307" s="45"/>
      <c r="B1307" s="54"/>
      <c r="C1307" s="47">
        <f>INT($C$29)+3</f>
        <v>4</v>
      </c>
      <c r="D1307" s="73"/>
      <c r="E1307" s="70"/>
      <c r="F1307" s="70" t="s">
        <v>1995</v>
      </c>
      <c r="G1307" s="73"/>
      <c r="H1307" s="76"/>
      <c r="I1307" s="76"/>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hidden="1" outlineLevel="3" x14ac:dyDescent="0.25">
      <c r="A1308" s="45"/>
      <c r="B1308" s="54"/>
      <c r="C1308" s="47">
        <f>INT($C$29)+3</f>
        <v>4</v>
      </c>
      <c r="D1308" s="73"/>
      <c r="E1308" s="70"/>
      <c r="F1308" s="70" t="s">
        <v>1996</v>
      </c>
      <c r="G1308" s="73"/>
      <c r="H1308" s="76"/>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3" x14ac:dyDescent="0.25">
      <c r="A1309" s="45"/>
      <c r="B1309" s="54"/>
      <c r="C1309" s="47">
        <f>INT($C$29)+3</f>
        <v>4</v>
      </c>
      <c r="D1309" s="73"/>
      <c r="E1309" s="70"/>
      <c r="F1309" s="70" t="s">
        <v>1997</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3" x14ac:dyDescent="0.25">
      <c r="A1310" s="45"/>
      <c r="B1310" s="54"/>
      <c r="C1310" s="47">
        <f>INT($C$29)+3</f>
        <v>4</v>
      </c>
      <c r="D1310" s="73"/>
      <c r="E1310" s="70"/>
      <c r="F1310" s="70" t="s">
        <v>1998</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3" x14ac:dyDescent="0.25">
      <c r="A1311" s="45"/>
      <c r="B1311" s="54"/>
      <c r="C1311" s="47"/>
      <c r="D1311" s="73"/>
      <c r="E1311" s="70"/>
      <c r="F1311" s="70" t="s">
        <v>2438</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3" x14ac:dyDescent="0.25">
      <c r="A1312" s="45"/>
      <c r="B1312" s="54"/>
      <c r="C1312" s="47"/>
      <c r="D1312" s="73"/>
      <c r="E1312" s="70"/>
      <c r="F1312" s="70" t="s">
        <v>2439</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3" x14ac:dyDescent="0.25">
      <c r="A1313" s="45"/>
      <c r="B1313" s="54"/>
      <c r="C1313" s="47"/>
      <c r="D1313" s="73"/>
      <c r="E1313" s="70"/>
      <c r="F1313" s="70" t="s">
        <v>2440</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 t="shared" ref="C1314:C1323" si="174">INT($C$29)+3</f>
        <v>4</v>
      </c>
      <c r="D1314" s="73"/>
      <c r="E1314" s="70"/>
      <c r="F1314" s="70" t="str">
        <f>SUBSTITUTE(F1310,",4)",",8)")</f>
        <v>C(U2,9,8)</v>
      </c>
      <c r="G1314" s="73"/>
      <c r="H1314" s="76"/>
      <c r="I1314" s="9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 t="shared" si="174"/>
        <v>4</v>
      </c>
      <c r="D1315" s="73"/>
      <c r="E1315" s="70"/>
      <c r="F1315" s="70" t="str">
        <f>SUBSTITUTE(F1311,",5)",",9)")</f>
        <v>C(U2,9,9)</v>
      </c>
      <c r="G1315" s="73"/>
      <c r="H1315" s="76"/>
      <c r="I1315" s="9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 t="shared" si="174"/>
        <v>4</v>
      </c>
      <c r="D1316" s="73"/>
      <c r="E1316" s="70"/>
      <c r="F1316" s="70" t="str">
        <f>SUBSTITUTE(F1312,",6)",",10)")</f>
        <v>C(U2,9,10)</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 t="shared" si="174"/>
        <v>4</v>
      </c>
      <c r="D1317" s="73"/>
      <c r="E1317" s="70"/>
      <c r="F1317" s="70" t="str">
        <f>SUBSTITUTE(F1313,",7)",",11)")</f>
        <v>C(U2,9,11)</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174"/>
        <v>4</v>
      </c>
      <c r="D1318" s="73"/>
      <c r="E1318" s="70"/>
      <c r="F1318" s="70" t="s">
        <v>1999</v>
      </c>
      <c r="G1318" s="73"/>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174"/>
        <v>4</v>
      </c>
      <c r="D1319" s="73"/>
      <c r="E1319" s="70"/>
      <c r="F1319" s="70" t="s">
        <v>2000</v>
      </c>
      <c r="G1319" s="73"/>
      <c r="H1319" s="76" t="s">
        <v>602</v>
      </c>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174"/>
        <v>4</v>
      </c>
      <c r="D1320" s="73"/>
      <c r="E1320" s="70"/>
      <c r="F1320" s="70" t="s">
        <v>2001</v>
      </c>
      <c r="G1320" s="73"/>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174"/>
        <v>4</v>
      </c>
      <c r="D1321" s="73"/>
      <c r="E1321" s="70"/>
      <c r="F1321" s="70" t="s">
        <v>2002</v>
      </c>
      <c r="G1321" s="73"/>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174"/>
        <v>4</v>
      </c>
      <c r="D1322" s="73"/>
      <c r="E1322" s="70"/>
      <c r="F1322" s="70" t="s">
        <v>2003</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174"/>
        <v>4</v>
      </c>
      <c r="D1323" s="73"/>
      <c r="E1323" s="70"/>
      <c r="F1323" s="70" t="s">
        <v>2004</v>
      </c>
      <c r="G1323" s="73"/>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c r="D1324" s="73"/>
      <c r="E1324" s="70"/>
      <c r="F1324" s="70" t="s">
        <v>2441</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c r="D1325" s="73"/>
      <c r="E1325" s="70"/>
      <c r="F1325" s="70" t="s">
        <v>2442</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c r="D1326" s="73"/>
      <c r="E1326" s="70"/>
      <c r="F1326" s="70" t="s">
        <v>2443</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ref="C1327:C1336" si="175">INT($C$29)+3</f>
        <v>4</v>
      </c>
      <c r="D1327" s="73"/>
      <c r="E1327" s="70"/>
      <c r="F1327" s="70" t="str">
        <f>SUBSTITUTE(F1323,",4)",",8)")</f>
        <v>C(U2,10,8)</v>
      </c>
      <c r="G1327" s="73"/>
      <c r="H1327" s="76"/>
      <c r="I1327" s="9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175"/>
        <v>4</v>
      </c>
      <c r="D1328" s="73"/>
      <c r="E1328" s="70"/>
      <c r="F1328" s="70" t="str">
        <f>SUBSTITUTE(F1324,",5)",",9)")</f>
        <v>C(U2,10,9)</v>
      </c>
      <c r="G1328" s="73"/>
      <c r="H1328" s="76"/>
      <c r="I1328" s="9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175"/>
        <v>4</v>
      </c>
      <c r="D1329" s="73"/>
      <c r="E1329" s="70"/>
      <c r="F1329" s="70" t="str">
        <f>SUBSTITUTE(F1325,",6)",",10)")</f>
        <v>C(U2,10,10)</v>
      </c>
      <c r="G1329" s="73"/>
      <c r="H1329" s="76"/>
      <c r="I1329" s="9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175"/>
        <v>4</v>
      </c>
      <c r="D1330" s="73"/>
      <c r="E1330" s="70"/>
      <c r="F1330" s="70" t="str">
        <f>SUBSTITUTE(F1326,",7)",",11)")</f>
        <v>C(U2,10,11)</v>
      </c>
      <c r="G1330" s="73"/>
      <c r="H1330" s="76"/>
      <c r="I1330" s="9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175"/>
        <v>4</v>
      </c>
      <c r="D1331" s="73"/>
      <c r="E1331" s="70"/>
      <c r="F1331" s="70" t="s">
        <v>2005</v>
      </c>
      <c r="G1331" s="73"/>
      <c r="H1331" s="76"/>
      <c r="I1331" s="7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175"/>
        <v>4</v>
      </c>
      <c r="D1332" s="73"/>
      <c r="E1332" s="70"/>
      <c r="F1332" s="70" t="s">
        <v>2006</v>
      </c>
      <c r="G1332" s="73"/>
      <c r="H1332" s="76" t="s">
        <v>602</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175"/>
        <v>4</v>
      </c>
      <c r="D1333" s="73"/>
      <c r="E1333" s="70"/>
      <c r="F1333" s="70" t="s">
        <v>2007</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175"/>
        <v>4</v>
      </c>
      <c r="D1334" s="73"/>
      <c r="E1334" s="70"/>
      <c r="F1334" s="70" t="s">
        <v>2008</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175"/>
        <v>4</v>
      </c>
      <c r="D1335" s="73"/>
      <c r="E1335" s="70"/>
      <c r="F1335" s="70" t="s">
        <v>2009</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175"/>
        <v>4</v>
      </c>
      <c r="D1336" s="73"/>
      <c r="E1336" s="70"/>
      <c r="F1336" s="70" t="s">
        <v>2010</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2444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2445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2446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49" si="176">INT($C$29)+3</f>
        <v>4</v>
      </c>
      <c r="D1340" s="73"/>
      <c r="E1340" s="70"/>
      <c r="F1340" s="70" t="str">
        <f>SUBSTITUTE(F1336,",4)",",8)")</f>
        <v>C(U2,11,8)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176"/>
        <v>4</v>
      </c>
      <c r="D1341" s="73"/>
      <c r="E1341" s="70"/>
      <c r="F1341" s="70" t="str">
        <f>SUBSTITUTE(F1337,",5)",",9)")</f>
        <v>C(U2,11,9)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176"/>
        <v>4</v>
      </c>
      <c r="D1342" s="73"/>
      <c r="E1342" s="70"/>
      <c r="F1342" s="70" t="str">
        <f>SUBSTITUTE(F1338,",6)",",10)")</f>
        <v>C(U2,11,10)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176"/>
        <v>4</v>
      </c>
      <c r="D1343" s="73"/>
      <c r="E1343" s="70"/>
      <c r="F1343" s="70" t="str">
        <f>SUBSTITUTE(F1339,",7)",",11)")</f>
        <v>C(U2,11,11)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176"/>
        <v>4</v>
      </c>
      <c r="D1344" s="73"/>
      <c r="E1344" s="70"/>
      <c r="F1344" s="70" t="s">
        <v>2011</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176"/>
        <v>4</v>
      </c>
      <c r="D1345" s="73"/>
      <c r="E1345" s="70"/>
      <c r="F1345" s="70" t="s">
        <v>2012</v>
      </c>
      <c r="G1345" s="73"/>
      <c r="H1345" s="76" t="s">
        <v>602</v>
      </c>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176"/>
        <v>4</v>
      </c>
      <c r="D1346" s="73"/>
      <c r="E1346" s="70"/>
      <c r="F1346" s="70" t="s">
        <v>2013</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176"/>
        <v>4</v>
      </c>
      <c r="D1347" s="73"/>
      <c r="E1347" s="70"/>
      <c r="F1347" s="70" t="s">
        <v>2014</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176"/>
        <v>4</v>
      </c>
      <c r="D1348" s="73"/>
      <c r="E1348" s="70"/>
      <c r="F1348" s="70" t="s">
        <v>2015</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176"/>
        <v>4</v>
      </c>
      <c r="D1349" s="73"/>
      <c r="E1349" s="70"/>
      <c r="F1349" s="70" t="s">
        <v>2016</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c r="D1350" s="73"/>
      <c r="E1350" s="70"/>
      <c r="F1350" s="70" t="s">
        <v>2447</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c r="D1351" s="73"/>
      <c r="E1351" s="70"/>
      <c r="F1351" s="70" t="s">
        <v>2448</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2449</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ref="C1353:C1362" si="177">INT($C$29)+3</f>
        <v>4</v>
      </c>
      <c r="D1353" s="73"/>
      <c r="E1353" s="70"/>
      <c r="F1353" s="70" t="str">
        <f>SUBSTITUTE(F1349,",4)",",8)")</f>
        <v>C(U2,12,8)</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177"/>
        <v>4</v>
      </c>
      <c r="D1354" s="73"/>
      <c r="E1354" s="70"/>
      <c r="F1354" s="70" t="str">
        <f>SUBSTITUTE(F1350,",5)",",9)")</f>
        <v>C(U2,12,9)</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si="177"/>
        <v>4</v>
      </c>
      <c r="D1355" s="73"/>
      <c r="E1355" s="70"/>
      <c r="F1355" s="70" t="str">
        <f>SUBSTITUTE(F1351,",6)",",10)")</f>
        <v>C(U2,12,10)</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177"/>
        <v>4</v>
      </c>
      <c r="D1356" s="73"/>
      <c r="E1356" s="70"/>
      <c r="F1356" s="70" t="str">
        <f>SUBSTITUTE(F1352,",7)",",11)")</f>
        <v>C(U2,12,11)</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177"/>
        <v>4</v>
      </c>
      <c r="D1357" s="73"/>
      <c r="E1357" s="70"/>
      <c r="F1357" s="70" t="s">
        <v>2017</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177"/>
        <v>4</v>
      </c>
      <c r="D1358" s="73"/>
      <c r="E1358" s="70"/>
      <c r="F1358" s="70" t="s">
        <v>2018</v>
      </c>
      <c r="G1358" s="73"/>
      <c r="H1358" s="76" t="s">
        <v>602</v>
      </c>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177"/>
        <v>4</v>
      </c>
      <c r="D1359" s="73"/>
      <c r="E1359" s="70"/>
      <c r="F1359" s="70" t="s">
        <v>2019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177"/>
        <v>4</v>
      </c>
      <c r="D1360" s="73"/>
      <c r="E1360" s="70"/>
      <c r="F1360" s="70" t="s">
        <v>2020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177"/>
        <v>4</v>
      </c>
      <c r="D1361" s="73"/>
      <c r="E1361" s="70"/>
      <c r="F1361" s="70" t="s">
        <v>2021</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177"/>
        <v>4</v>
      </c>
      <c r="D1362" s="73"/>
      <c r="E1362" s="70"/>
      <c r="F1362" s="70" t="s">
        <v>2022</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c r="D1363" s="73"/>
      <c r="E1363" s="70"/>
      <c r="F1363" s="70" t="s">
        <v>2450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c r="D1364" s="73"/>
      <c r="E1364" s="70"/>
      <c r="F1364" s="70" t="s">
        <v>2451</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c r="D1365" s="73"/>
      <c r="E1365" s="70"/>
      <c r="F1365" s="70" t="s">
        <v>2452</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ref="C1366:C1375" si="178">INT($C$29)+3</f>
        <v>4</v>
      </c>
      <c r="D1366" s="73"/>
      <c r="E1366" s="70"/>
      <c r="F1366" s="70" t="str">
        <f>SUBSTITUTE(F1362,",4)",",8)")</f>
        <v>C(U2,13,8)</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178"/>
        <v>4</v>
      </c>
      <c r="D1367" s="73"/>
      <c r="E1367" s="70"/>
      <c r="F1367" s="70" t="str">
        <f>SUBSTITUTE(F1363,",5)",",9)")</f>
        <v>C(U2,13,9)</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178"/>
        <v>4</v>
      </c>
      <c r="D1368" s="73"/>
      <c r="E1368" s="70"/>
      <c r="F1368" s="70" t="str">
        <f>SUBSTITUTE(F1364,",6)",",10)")</f>
        <v>C(U2,13,10)</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178"/>
        <v>4</v>
      </c>
      <c r="D1369" s="73"/>
      <c r="E1369" s="70"/>
      <c r="F1369" s="70" t="str">
        <f>SUBSTITUTE(F1365,",7)",",11)")</f>
        <v>C(U2,13,11)</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si="178"/>
        <v>4</v>
      </c>
      <c r="D1370" s="73"/>
      <c r="E1370" s="70"/>
      <c r="F1370" s="70" t="s">
        <v>2023</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178"/>
        <v>4</v>
      </c>
      <c r="D1371" s="73"/>
      <c r="E1371" s="70"/>
      <c r="F1371" s="70" t="s">
        <v>2024</v>
      </c>
      <c r="G1371" s="73"/>
      <c r="H1371" s="76" t="s">
        <v>602</v>
      </c>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178"/>
        <v>4</v>
      </c>
      <c r="D1372" s="73"/>
      <c r="E1372" s="70"/>
      <c r="F1372" s="70" t="s">
        <v>2025</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178"/>
        <v>4</v>
      </c>
      <c r="D1373" s="73"/>
      <c r="E1373" s="70"/>
      <c r="F1373" s="70" t="s">
        <v>2026</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178"/>
        <v>4</v>
      </c>
      <c r="D1374" s="73"/>
      <c r="E1374" s="70"/>
      <c r="F1374" s="70" t="s">
        <v>2027</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178"/>
        <v>4</v>
      </c>
      <c r="D1375" s="73"/>
      <c r="E1375" s="70"/>
      <c r="F1375" s="70" t="s">
        <v>2028</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c r="D1376" s="73"/>
      <c r="E1376" s="70"/>
      <c r="F1376" s="70" t="s">
        <v>2453</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c r="D1377" s="73"/>
      <c r="E1377" s="70"/>
      <c r="F1377" s="70" t="s">
        <v>2454</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c r="D1378" s="73"/>
      <c r="E1378" s="70"/>
      <c r="F1378" s="70" t="s">
        <v>2455</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ref="C1379:C1388" si="179">INT($C$29)+3</f>
        <v>4</v>
      </c>
      <c r="D1379" s="73"/>
      <c r="E1379" s="70"/>
      <c r="F1379" s="70" t="str">
        <f>SUBSTITUTE(F1375,",4)",",8)")</f>
        <v>C(U2,14,8)</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179"/>
        <v>4</v>
      </c>
      <c r="D1380" s="73"/>
      <c r="E1380" s="70"/>
      <c r="F1380" s="70" t="str">
        <f>SUBSTITUTE(F1376,",5)",",9)")</f>
        <v>C(U2,14,9)</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179"/>
        <v>4</v>
      </c>
      <c r="D1381" s="73"/>
      <c r="E1381" s="70"/>
      <c r="F1381" s="70" t="str">
        <f>SUBSTITUTE(F1377,",6)",",10)")</f>
        <v>C(U2,14,10)</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179"/>
        <v>4</v>
      </c>
      <c r="D1382" s="73"/>
      <c r="E1382" s="70"/>
      <c r="F1382" s="70" t="str">
        <f>SUBSTITUTE(F1378,",7)",",11)")</f>
        <v>C(U2,14,11)</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179"/>
        <v>4</v>
      </c>
      <c r="D1383" s="73"/>
      <c r="E1383" s="70"/>
      <c r="F1383" s="70" t="s">
        <v>2029</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179"/>
        <v>4</v>
      </c>
      <c r="D1384" s="73"/>
      <c r="E1384" s="70"/>
      <c r="F1384" s="70" t="s">
        <v>2030</v>
      </c>
      <c r="G1384" s="73"/>
      <c r="H1384" s="76" t="s">
        <v>602</v>
      </c>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si="179"/>
        <v>4</v>
      </c>
      <c r="D1385" s="73"/>
      <c r="E1385" s="70"/>
      <c r="F1385" s="70" t="s">
        <v>2031</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179"/>
        <v>4</v>
      </c>
      <c r="D1386" s="73"/>
      <c r="E1386" s="70"/>
      <c r="F1386" s="70" t="s">
        <v>2032</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179"/>
        <v>4</v>
      </c>
      <c r="D1387" s="73"/>
      <c r="E1387" s="70"/>
      <c r="F1387" s="70" t="s">
        <v>2033</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179"/>
        <v>4</v>
      </c>
      <c r="D1388" s="73"/>
      <c r="E1388" s="70"/>
      <c r="F1388" s="70" t="s">
        <v>2034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c r="D1389" s="73"/>
      <c r="E1389" s="70"/>
      <c r="F1389" s="70" t="s">
        <v>2456</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c r="D1390" s="73"/>
      <c r="E1390" s="70"/>
      <c r="F1390" s="70" t="s">
        <v>2457</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c r="D1391" s="73"/>
      <c r="E1391" s="70"/>
      <c r="F1391" s="70" t="s">
        <v>2458</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ref="C1392:C1401" si="180">INT($C$29)+3</f>
        <v>4</v>
      </c>
      <c r="D1392" s="73"/>
      <c r="E1392" s="70"/>
      <c r="F1392" s="70" t="str">
        <f>SUBSTITUTE(F1388,",4)",",8)")</f>
        <v>C(U2,15,8)</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180"/>
        <v>4</v>
      </c>
      <c r="D1393" s="73"/>
      <c r="E1393" s="70"/>
      <c r="F1393" s="70" t="str">
        <f>SUBSTITUTE(F1389,",5)",",9)")</f>
        <v>C(U2,15,9)</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180"/>
        <v>4</v>
      </c>
      <c r="D1394" s="73"/>
      <c r="E1394" s="70"/>
      <c r="F1394" s="70" t="str">
        <f>SUBSTITUTE(F1390,",6)",",10)")</f>
        <v>C(U2,15,10)</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180"/>
        <v>4</v>
      </c>
      <c r="D1395" s="73"/>
      <c r="E1395" s="70"/>
      <c r="F1395" s="70" t="str">
        <f>SUBSTITUTE(F1391,",7)",",11)")</f>
        <v>C(U2,15,11)</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180"/>
        <v>4</v>
      </c>
      <c r="D1396" s="73"/>
      <c r="E1396" s="70"/>
      <c r="F1396" s="70" t="s">
        <v>2035</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180"/>
        <v>4</v>
      </c>
      <c r="D1397" s="73"/>
      <c r="E1397" s="70"/>
      <c r="F1397" s="70" t="s">
        <v>2036</v>
      </c>
      <c r="G1397" s="73"/>
      <c r="H1397" s="76" t="s">
        <v>602</v>
      </c>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180"/>
        <v>4</v>
      </c>
      <c r="D1398" s="73"/>
      <c r="E1398" s="70"/>
      <c r="F1398" s="70" t="s">
        <v>2037</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180"/>
        <v>4</v>
      </c>
      <c r="D1399" s="73"/>
      <c r="E1399" s="70"/>
      <c r="F1399" s="70" t="s">
        <v>2038</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si="180"/>
        <v>4</v>
      </c>
      <c r="D1400" s="73"/>
      <c r="E1400" s="70"/>
      <c r="F1400" s="70" t="s">
        <v>2039</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180"/>
        <v>4</v>
      </c>
      <c r="D1401" s="73"/>
      <c r="E1401" s="70"/>
      <c r="F1401" s="70" t="s">
        <v>2040</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c r="D1402" s="73"/>
      <c r="E1402" s="70"/>
      <c r="F1402" s="70" t="s">
        <v>2459</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c r="D1403" s="73"/>
      <c r="E1403" s="70"/>
      <c r="F1403" s="70" t="s">
        <v>2460</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c r="D1404" s="73"/>
      <c r="E1404" s="70"/>
      <c r="F1404" s="70" t="s">
        <v>2461</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ref="C1405:C1414" si="181">INT($C$29)+3</f>
        <v>4</v>
      </c>
      <c r="D1405" s="73"/>
      <c r="E1405" s="70"/>
      <c r="F1405" s="70" t="str">
        <f>SUBSTITUTE(F1401,",4)",",8)")</f>
        <v>C(U2,16,8)</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181"/>
        <v>4</v>
      </c>
      <c r="D1406" s="73"/>
      <c r="E1406" s="70"/>
      <c r="F1406" s="70" t="str">
        <f>SUBSTITUTE(F1402,",5)",",9)")</f>
        <v>C(U2,16,9)</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181"/>
        <v>4</v>
      </c>
      <c r="D1407" s="73"/>
      <c r="E1407" s="70"/>
      <c r="F1407" s="70" t="str">
        <f>SUBSTITUTE(F1403,",6)",",10)")</f>
        <v>C(U2,16,10)</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181"/>
        <v>4</v>
      </c>
      <c r="D1408" s="73"/>
      <c r="E1408" s="70"/>
      <c r="F1408" s="70" t="str">
        <f>SUBSTITUTE(F1404,",7)",",11)")</f>
        <v>C(U2,16,11)</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181"/>
        <v>4</v>
      </c>
      <c r="D1409" s="73"/>
      <c r="E1409" s="70"/>
      <c r="F1409" s="70" t="s">
        <v>2041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181"/>
        <v>4</v>
      </c>
      <c r="D1410" s="73"/>
      <c r="E1410" s="70"/>
      <c r="F1410" s="70" t="s">
        <v>2042</v>
      </c>
      <c r="G1410" s="73"/>
      <c r="H1410" s="76" t="s">
        <v>602</v>
      </c>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181"/>
        <v>4</v>
      </c>
      <c r="D1411" s="73"/>
      <c r="E1411" s="70"/>
      <c r="F1411" s="70" t="s">
        <v>2043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181"/>
        <v>4</v>
      </c>
      <c r="D1412" s="73"/>
      <c r="E1412" s="70"/>
      <c r="F1412" s="70" t="s">
        <v>2044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181"/>
        <v>4</v>
      </c>
      <c r="D1413" s="73"/>
      <c r="E1413" s="70"/>
      <c r="F1413" s="70" t="s">
        <v>2045</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f t="shared" si="181"/>
        <v>4</v>
      </c>
      <c r="D1414" s="73"/>
      <c r="E1414" s="70"/>
      <c r="F1414" s="70" t="s">
        <v>2046</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2462</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2463</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c r="D1417" s="73"/>
      <c r="E1417" s="70"/>
      <c r="F1417" s="70" t="s">
        <v>2464</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ref="C1418:C1427" si="182">INT($C$29)+3</f>
        <v>4</v>
      </c>
      <c r="D1418" s="73"/>
      <c r="E1418" s="70"/>
      <c r="F1418" s="70" t="str">
        <f>SUBSTITUTE(F1414,",4)",",8)")</f>
        <v>C(U2,17,8)</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182"/>
        <v>4</v>
      </c>
      <c r="D1419" s="73"/>
      <c r="E1419" s="70"/>
      <c r="F1419" s="70" t="str">
        <f>SUBSTITUTE(F1415,",5)",",9)")</f>
        <v>C(U2,17,9)</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182"/>
        <v>4</v>
      </c>
      <c r="D1420" s="73"/>
      <c r="E1420" s="70"/>
      <c r="F1420" s="70" t="str">
        <f>SUBSTITUTE(F1416,",6)",",10)")</f>
        <v>C(U2,17,10)</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182"/>
        <v>4</v>
      </c>
      <c r="D1421" s="73"/>
      <c r="E1421" s="70"/>
      <c r="F1421" s="70" t="str">
        <f>SUBSTITUTE(F1417,",7)",",11)")</f>
        <v>C(U2,17,11)</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182"/>
        <v>4</v>
      </c>
      <c r="D1422" s="73"/>
      <c r="E1422" s="70"/>
      <c r="F1422" s="70" t="s">
        <v>2047</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182"/>
        <v>4</v>
      </c>
      <c r="D1423" s="73"/>
      <c r="E1423" s="70"/>
      <c r="F1423" s="70" t="s">
        <v>2048</v>
      </c>
      <c r="G1423" s="73"/>
      <c r="H1423" s="76" t="s">
        <v>602</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182"/>
        <v>4</v>
      </c>
      <c r="D1424" s="73"/>
      <c r="E1424" s="70"/>
      <c r="F1424" s="70" t="s">
        <v>2049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182"/>
        <v>4</v>
      </c>
      <c r="D1425" s="73"/>
      <c r="E1425" s="70"/>
      <c r="F1425" s="70" t="s">
        <v>2050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182"/>
        <v>4</v>
      </c>
      <c r="D1426" s="73"/>
      <c r="E1426" s="70"/>
      <c r="F1426" s="70" t="s">
        <v>2051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182"/>
        <v>4</v>
      </c>
      <c r="D1427" s="73"/>
      <c r="E1427" s="70"/>
      <c r="F1427" s="70" t="s">
        <v>2052</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2465</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2466</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2467</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 t="shared" ref="C1431:C1440" si="183">INT($C$29)+3</f>
        <v>4</v>
      </c>
      <c r="D1431" s="73"/>
      <c r="E1431" s="70"/>
      <c r="F1431" s="70" t="str">
        <f>SUBSTITUTE(F1427,",4)",",8)")</f>
        <v>C(U2,18,8)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 t="shared" si="183"/>
        <v>4</v>
      </c>
      <c r="D1432" s="73"/>
      <c r="E1432" s="70"/>
      <c r="F1432" s="70" t="str">
        <f>SUBSTITUTE(F1428,",5)",",9)")</f>
        <v>C(U2,18,9)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 t="shared" si="183"/>
        <v>4</v>
      </c>
      <c r="D1433" s="73"/>
      <c r="E1433" s="70"/>
      <c r="F1433" s="70" t="str">
        <f>SUBSTITUTE(F1429,",6)",",10)")</f>
        <v>C(U2,18,10)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si="183"/>
        <v>4</v>
      </c>
      <c r="D1434" s="73"/>
      <c r="E1434" s="70"/>
      <c r="F1434" s="70" t="str">
        <f>SUBSTITUTE(F1430,",7)",",11)")</f>
        <v>C(U2,18,11)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183"/>
        <v>4</v>
      </c>
      <c r="D1435" s="73"/>
      <c r="E1435" s="70"/>
      <c r="F1435" s="70" t="s">
        <v>2053</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183"/>
        <v>4</v>
      </c>
      <c r="D1436" s="73"/>
      <c r="E1436" s="70"/>
      <c r="F1436" s="70" t="s">
        <v>2054</v>
      </c>
      <c r="G1436" s="73"/>
      <c r="H1436" s="76" t="s">
        <v>602</v>
      </c>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183"/>
        <v>4</v>
      </c>
      <c r="D1437" s="73"/>
      <c r="E1437" s="70"/>
      <c r="F1437" s="70" t="s">
        <v>2055</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183"/>
        <v>4</v>
      </c>
      <c r="D1438" s="73"/>
      <c r="E1438" s="70"/>
      <c r="F1438" s="70" t="s">
        <v>2056</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 t="shared" si="183"/>
        <v>4</v>
      </c>
      <c r="D1439" s="73"/>
      <c r="E1439" s="70"/>
      <c r="F1439" s="70" t="s">
        <v>2057</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25">
      <c r="A1440" s="45"/>
      <c r="B1440" s="54"/>
      <c r="C1440" s="47">
        <f t="shared" si="183"/>
        <v>4</v>
      </c>
      <c r="D1440" s="73"/>
      <c r="E1440" s="70"/>
      <c r="F1440" s="70" t="s">
        <v>2058</v>
      </c>
      <c r="G1440" s="73"/>
      <c r="H1440" s="76"/>
      <c r="I1440" s="7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25">
      <c r="A1441" s="45"/>
      <c r="B1441" s="54"/>
      <c r="C1441" s="47"/>
      <c r="D1441" s="73"/>
      <c r="E1441" s="70"/>
      <c r="F1441" s="70" t="s">
        <v>2468</v>
      </c>
      <c r="G1441" s="73"/>
      <c r="H1441" s="76"/>
      <c r="I1441" s="7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25">
      <c r="A1442" s="45"/>
      <c r="B1442" s="54"/>
      <c r="C1442" s="47"/>
      <c r="D1442" s="73"/>
      <c r="E1442" s="70"/>
      <c r="F1442" s="70" t="s">
        <v>2469</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25">
      <c r="A1443" s="45"/>
      <c r="B1443" s="54"/>
      <c r="C1443" s="47"/>
      <c r="D1443" s="73"/>
      <c r="E1443" s="70"/>
      <c r="F1443" s="70" t="s">
        <v>2470</v>
      </c>
      <c r="G1443" s="73"/>
      <c r="H1443" s="76"/>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INT($C$29)+3</f>
        <v>4</v>
      </c>
      <c r="D1444" s="73"/>
      <c r="E1444" s="70"/>
      <c r="F1444" s="70" t="str">
        <f>SUBSTITUTE(F1440,",4)",",8)")</f>
        <v>C(U2,19,8)</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INT($C$29)+3</f>
        <v>4</v>
      </c>
      <c r="D1445" s="73"/>
      <c r="E1445" s="70"/>
      <c r="F1445" s="70" t="str">
        <f>SUBSTITUTE(F1441,",5)",",9)")</f>
        <v>C(U2,19,9)</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INT($C$29)+3</f>
        <v>4</v>
      </c>
      <c r="D1446" s="73"/>
      <c r="E1446" s="70"/>
      <c r="F1446" s="70" t="str">
        <f>SUBSTITUTE(F1442,",6)",",10)")</f>
        <v>C(U2,19,10)</v>
      </c>
      <c r="G1446" s="73"/>
      <c r="H1446" s="76"/>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INT($C$29)+3</f>
        <v>4</v>
      </c>
      <c r="D1447" s="73"/>
      <c r="E1447" s="70"/>
      <c r="F1447" s="70" t="str">
        <f>SUBSTITUTE(F1443,",7)",",11)")</f>
        <v>C(U2,19,11)</v>
      </c>
      <c r="G1447" s="73"/>
      <c r="H1447" s="76"/>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INT($C$29)+3</f>
        <v>4</v>
      </c>
      <c r="D1448" s="73"/>
      <c r="E1448" s="70"/>
      <c r="F1448" s="70" t="s">
        <v>2059</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2" x14ac:dyDescent="0.25">
      <c r="A1449" s="45"/>
      <c r="B1449" s="54"/>
      <c r="C1449" s="47">
        <f>INT($C$29)+2</f>
        <v>3</v>
      </c>
      <c r="D1449" s="73"/>
      <c r="E1449" s="70"/>
      <c r="F1449" s="70" t="s">
        <v>2060</v>
      </c>
      <c r="G1449" s="73"/>
      <c r="H1449" s="76" t="s">
        <v>2061</v>
      </c>
      <c r="I1449" s="76"/>
      <c r="J1449" s="76"/>
      <c r="K1449" s="76"/>
      <c r="L1449" s="76"/>
      <c r="M1449" s="76"/>
      <c r="N1449" s="76"/>
      <c r="O1449" s="76"/>
      <c r="P1449" s="76"/>
      <c r="Q1449" s="76"/>
      <c r="R1449" s="76"/>
      <c r="S1449" s="76"/>
      <c r="T1449" s="76"/>
      <c r="U1449" s="97">
        <v>0.57699999999999996</v>
      </c>
      <c r="V1449" s="97">
        <v>0.57699999999999996</v>
      </c>
      <c r="W1449" s="97">
        <v>0.57699999999999996</v>
      </c>
      <c r="X1449" s="97">
        <v>0.57699999999999996</v>
      </c>
      <c r="Y1449" s="97">
        <v>0.57699999999999996</v>
      </c>
      <c r="Z1449" s="97">
        <v>0.57699999999999996</v>
      </c>
      <c r="AA1449" s="97">
        <v>0.57699999999999996</v>
      </c>
      <c r="AB1449" s="254">
        <v>0.57699999999999996</v>
      </c>
      <c r="AC1449" s="254">
        <f>AB1449</f>
        <v>0.57699999999999996</v>
      </c>
      <c r="AD1449" s="254">
        <f>AC1449</f>
        <v>0.57699999999999996</v>
      </c>
      <c r="AE1449" s="76"/>
      <c r="AF1449" s="97" t="s">
        <v>2062</v>
      </c>
      <c r="AG1449" s="76"/>
      <c r="AH1449" s="97">
        <v>1</v>
      </c>
      <c r="AI1449" s="97">
        <v>1</v>
      </c>
      <c r="AJ1449" s="73"/>
      <c r="AK1449" s="57"/>
      <c r="AL1449" s="45"/>
      <c r="AM1449" s="45"/>
      <c r="AN1449" s="45"/>
    </row>
    <row r="1450" spans="1:40" hidden="1" outlineLevel="2" collapsed="1" x14ac:dyDescent="0.25">
      <c r="A1450" s="45"/>
      <c r="B1450" s="54"/>
      <c r="C1450" s="47">
        <f>INT($C$29)+2</f>
        <v>3</v>
      </c>
      <c r="D1450" s="73"/>
      <c r="E1450" s="70"/>
      <c r="F1450" s="70" t="s">
        <v>2063</v>
      </c>
      <c r="G1450" s="73"/>
      <c r="H1450" s="76" t="s">
        <v>2064</v>
      </c>
      <c r="I1450" s="76"/>
      <c r="J1450" s="76"/>
      <c r="K1450" s="76"/>
      <c r="L1450" s="76"/>
      <c r="M1450" s="76"/>
      <c r="N1450" s="76"/>
      <c r="O1450" s="76"/>
      <c r="P1450" s="76"/>
      <c r="Q1450" s="76"/>
      <c r="R1450" s="76"/>
      <c r="S1450" s="76"/>
      <c r="T1450" s="76"/>
      <c r="U1450" s="97">
        <v>-1.2E-2</v>
      </c>
      <c r="V1450" s="97">
        <v>-1.2E-2</v>
      </c>
      <c r="W1450" s="97">
        <v>-1.2E-2</v>
      </c>
      <c r="X1450" s="97">
        <v>-1.2E-2</v>
      </c>
      <c r="Y1450" s="97">
        <v>-1.2E-2</v>
      </c>
      <c r="Z1450" s="97">
        <v>-1.2E-2</v>
      </c>
      <c r="AA1450" s="97">
        <v>-1.2E-2</v>
      </c>
      <c r="AB1450" s="254">
        <v>-1.2E-2</v>
      </c>
      <c r="AC1450" s="254">
        <f>AB1450</f>
        <v>-1.2E-2</v>
      </c>
      <c r="AD1450" s="254">
        <f>AC1450</f>
        <v>-1.2E-2</v>
      </c>
      <c r="AE1450" s="76"/>
      <c r="AF1450" s="76"/>
      <c r="AG1450" s="76"/>
      <c r="AH1450" s="97">
        <v>1</v>
      </c>
      <c r="AI1450" s="97">
        <v>1</v>
      </c>
      <c r="AJ1450" s="73"/>
      <c r="AK1450" s="57"/>
      <c r="AL1450" s="45"/>
      <c r="AM1450" s="45"/>
      <c r="AN1450" s="45"/>
    </row>
    <row r="1451" spans="1:40" hidden="1" outlineLevel="3" x14ac:dyDescent="0.25">
      <c r="A1451" s="45"/>
      <c r="B1451" s="54"/>
      <c r="C1451" s="47">
        <f>INT($C$29)+2</f>
        <v>3</v>
      </c>
      <c r="D1451" s="73"/>
      <c r="E1451" s="70"/>
      <c r="F1451" s="70" t="s">
        <v>2065</v>
      </c>
      <c r="G1451" s="73"/>
      <c r="H1451" s="76" t="s">
        <v>2066</v>
      </c>
      <c r="I1451" s="76"/>
      <c r="J1451" s="76"/>
      <c r="K1451" s="76"/>
      <c r="L1451" s="76"/>
      <c r="M1451" s="76"/>
      <c r="N1451" s="76"/>
      <c r="O1451" s="76"/>
      <c r="P1451" s="76"/>
      <c r="Q1451" s="76"/>
      <c r="R1451" s="76"/>
      <c r="S1451" s="76"/>
      <c r="T1451" s="76"/>
      <c r="U1451" s="76">
        <v>0</v>
      </c>
      <c r="V1451" s="76">
        <v>0</v>
      </c>
      <c r="W1451" s="76">
        <v>0</v>
      </c>
      <c r="X1451" s="76">
        <v>0</v>
      </c>
      <c r="Y1451" s="76">
        <v>0</v>
      </c>
      <c r="Z1451" s="76">
        <v>0</v>
      </c>
      <c r="AA1451" s="76">
        <v>0</v>
      </c>
      <c r="AB1451" s="76">
        <v>0</v>
      </c>
      <c r="AC1451" s="76">
        <v>0</v>
      </c>
      <c r="AD1451" s="76">
        <v>0</v>
      </c>
      <c r="AE1451" s="76"/>
      <c r="AF1451" s="76"/>
      <c r="AG1451" s="76"/>
      <c r="AH1451" s="76">
        <v>1</v>
      </c>
      <c r="AI1451" s="76">
        <v>1</v>
      </c>
      <c r="AJ1451" s="73"/>
      <c r="AK1451" s="57"/>
      <c r="AL1451" s="45"/>
      <c r="AM1451" s="45"/>
      <c r="AN1451" s="45"/>
    </row>
    <row r="1452" spans="1:40" hidden="1" outlineLevel="3" x14ac:dyDescent="0.25">
      <c r="A1452" s="45"/>
      <c r="B1452" s="54"/>
      <c r="C1452" s="47">
        <f>INT($C$29)+3</f>
        <v>4</v>
      </c>
      <c r="D1452" s="73"/>
      <c r="E1452" s="70"/>
      <c r="F1452" s="70" t="s">
        <v>2067</v>
      </c>
      <c r="G1452" s="73"/>
      <c r="H1452" s="376" t="s">
        <v>2484</v>
      </c>
      <c r="I1452" s="76"/>
      <c r="J1452" s="76"/>
      <c r="K1452" s="76"/>
      <c r="L1452" s="76"/>
      <c r="M1452" s="76"/>
      <c r="N1452" s="76"/>
      <c r="O1452" s="76"/>
      <c r="P1452" s="76"/>
      <c r="Q1452" s="76"/>
      <c r="R1452" s="76"/>
      <c r="S1452" s="76"/>
      <c r="T1452" s="76"/>
      <c r="U1452" s="76">
        <v>0</v>
      </c>
      <c r="V1452" s="76">
        <v>0</v>
      </c>
      <c r="W1452" s="76">
        <v>0</v>
      </c>
      <c r="X1452" s="76">
        <v>0</v>
      </c>
      <c r="Y1452" s="76">
        <v>0</v>
      </c>
      <c r="Z1452" s="76">
        <v>0</v>
      </c>
      <c r="AA1452" s="76">
        <v>0</v>
      </c>
      <c r="AB1452" s="76">
        <v>0</v>
      </c>
      <c r="AC1452" s="76">
        <v>0</v>
      </c>
      <c r="AD1452" s="76">
        <v>0</v>
      </c>
      <c r="AE1452" s="76"/>
      <c r="AF1452" s="76"/>
      <c r="AG1452" s="76"/>
      <c r="AH1452" s="76">
        <v>1</v>
      </c>
      <c r="AI1452" s="76">
        <v>1</v>
      </c>
      <c r="AJ1452" s="73"/>
      <c r="AK1452" s="57"/>
      <c r="AL1452" s="45"/>
      <c r="AM1452" s="45"/>
      <c r="AN1452" s="45"/>
    </row>
    <row r="1453" spans="1:40" hidden="1" outlineLevel="3" x14ac:dyDescent="0.25">
      <c r="A1453" s="45"/>
      <c r="B1453" s="54"/>
      <c r="C1453" s="47">
        <f>INT($C$29)+2</f>
        <v>3</v>
      </c>
      <c r="D1453" s="73"/>
      <c r="E1453" s="70"/>
      <c r="F1453" s="70" t="s">
        <v>2069</v>
      </c>
      <c r="G1453" s="73"/>
      <c r="H1453" s="76" t="s">
        <v>2068</v>
      </c>
      <c r="I1453" s="76"/>
      <c r="J1453" s="76"/>
      <c r="K1453" s="76"/>
      <c r="L1453" s="76"/>
      <c r="M1453" s="76"/>
      <c r="N1453" s="76"/>
      <c r="O1453" s="76"/>
      <c r="P1453" s="76"/>
      <c r="Q1453" s="76"/>
      <c r="R1453" s="76"/>
      <c r="S1453" s="76"/>
      <c r="T1453" s="76"/>
      <c r="U1453" s="76">
        <v>0</v>
      </c>
      <c r="V1453" s="76">
        <v>0</v>
      </c>
      <c r="W1453" s="76">
        <v>0</v>
      </c>
      <c r="X1453" s="76">
        <v>0</v>
      </c>
      <c r="Y1453" s="76">
        <v>0</v>
      </c>
      <c r="Z1453" s="76">
        <v>0</v>
      </c>
      <c r="AA1453" s="76">
        <v>0</v>
      </c>
      <c r="AB1453" s="76">
        <v>0</v>
      </c>
      <c r="AC1453" s="76">
        <v>0</v>
      </c>
      <c r="AD1453" s="76">
        <v>0</v>
      </c>
      <c r="AE1453" s="76"/>
      <c r="AF1453" s="76"/>
      <c r="AG1453" s="76"/>
      <c r="AH1453" s="76">
        <v>1</v>
      </c>
      <c r="AI1453" s="76">
        <v>1</v>
      </c>
      <c r="AJ1453" s="73"/>
      <c r="AK1453" s="57"/>
      <c r="AL1453" s="45"/>
      <c r="AM1453" s="45"/>
      <c r="AN1453" s="45"/>
    </row>
    <row r="1454" spans="1:40" hidden="1" outlineLevel="3" x14ac:dyDescent="0.25">
      <c r="A1454" s="45"/>
      <c r="B1454" s="54"/>
      <c r="C1454" s="47">
        <f>INT($C$29)+2</f>
        <v>3</v>
      </c>
      <c r="D1454" s="73"/>
      <c r="E1454" s="70"/>
      <c r="F1454" s="70" t="s">
        <v>2489</v>
      </c>
      <c r="G1454" s="73"/>
      <c r="H1454" s="76" t="s">
        <v>2070</v>
      </c>
      <c r="I1454" s="76"/>
      <c r="J1454" s="76"/>
      <c r="K1454" s="76"/>
      <c r="L1454" s="76"/>
      <c r="M1454" s="76"/>
      <c r="N1454" s="76"/>
      <c r="O1454" s="76"/>
      <c r="P1454" s="76"/>
      <c r="Q1454" s="76"/>
      <c r="R1454" s="76"/>
      <c r="S1454" s="76"/>
      <c r="T1454" s="76"/>
      <c r="U1454" s="76">
        <v>0</v>
      </c>
      <c r="V1454" s="76">
        <v>0</v>
      </c>
      <c r="W1454" s="76">
        <v>0</v>
      </c>
      <c r="X1454" s="76">
        <v>0</v>
      </c>
      <c r="Y1454" s="76">
        <v>0</v>
      </c>
      <c r="Z1454" s="76">
        <v>0</v>
      </c>
      <c r="AA1454" s="76">
        <v>0</v>
      </c>
      <c r="AB1454" s="76">
        <v>0</v>
      </c>
      <c r="AC1454" s="76">
        <v>0</v>
      </c>
      <c r="AD1454" s="76">
        <v>0</v>
      </c>
      <c r="AE1454" s="76"/>
      <c r="AF1454" s="76"/>
      <c r="AG1454" s="76"/>
      <c r="AH1454" s="76">
        <v>1</v>
      </c>
      <c r="AI1454" s="76">
        <v>1</v>
      </c>
      <c r="AJ1454" s="73"/>
      <c r="AK1454" s="57"/>
      <c r="AL1454" s="45"/>
      <c r="AM1454" s="45"/>
      <c r="AN1454" s="45"/>
    </row>
    <row r="1455" spans="1:40" hidden="1" outlineLevel="3" x14ac:dyDescent="0.25">
      <c r="A1455" s="45"/>
      <c r="B1455" s="54"/>
      <c r="C1455" s="47">
        <f t="shared" ref="C1455:C1460" si="184">INT($C$29)+3</f>
        <v>4</v>
      </c>
      <c r="D1455" s="73"/>
      <c r="E1455" s="70"/>
      <c r="F1455" s="70" t="s">
        <v>2487</v>
      </c>
      <c r="G1455" s="73"/>
      <c r="H1455" s="376" t="s">
        <v>2485</v>
      </c>
      <c r="I1455" s="76"/>
      <c r="J1455" s="76"/>
      <c r="K1455" s="76"/>
      <c r="L1455" s="76"/>
      <c r="M1455" s="76"/>
      <c r="N1455" s="76"/>
      <c r="O1455" s="76"/>
      <c r="P1455" s="76"/>
      <c r="Q1455" s="76"/>
      <c r="R1455" s="76"/>
      <c r="S1455" s="76"/>
      <c r="T1455" s="76"/>
      <c r="U1455" s="76">
        <v>0</v>
      </c>
      <c r="V1455" s="76">
        <v>0</v>
      </c>
      <c r="W1455" s="76">
        <v>0</v>
      </c>
      <c r="X1455" s="76">
        <v>0</v>
      </c>
      <c r="Y1455" s="76">
        <v>0</v>
      </c>
      <c r="Z1455" s="76">
        <v>0</v>
      </c>
      <c r="AA1455" s="76">
        <v>0</v>
      </c>
      <c r="AB1455" s="76">
        <v>0</v>
      </c>
      <c r="AC1455" s="76">
        <v>0</v>
      </c>
      <c r="AD1455" s="76">
        <v>0</v>
      </c>
      <c r="AE1455" s="76"/>
      <c r="AF1455" s="76"/>
      <c r="AG1455" s="76"/>
      <c r="AH1455" s="76">
        <v>1</v>
      </c>
      <c r="AI1455" s="76">
        <v>1</v>
      </c>
      <c r="AJ1455" s="73"/>
      <c r="AK1455" s="57"/>
      <c r="AL1455" s="45"/>
      <c r="AM1455" s="45"/>
      <c r="AN1455" s="45"/>
    </row>
    <row r="1456" spans="1:40" hidden="1" outlineLevel="3" x14ac:dyDescent="0.25">
      <c r="A1456" s="45"/>
      <c r="B1456" s="54"/>
      <c r="C1456" s="47">
        <f t="shared" si="184"/>
        <v>4</v>
      </c>
      <c r="D1456" s="73"/>
      <c r="E1456" s="70"/>
      <c r="F1456" s="70" t="s">
        <v>2488</v>
      </c>
      <c r="G1456" s="73"/>
      <c r="H1456" s="376" t="s">
        <v>2486</v>
      </c>
      <c r="I1456" s="76"/>
      <c r="J1456" s="76"/>
      <c r="K1456" s="76"/>
      <c r="L1456" s="76"/>
      <c r="M1456" s="76"/>
      <c r="N1456" s="76"/>
      <c r="O1456" s="76"/>
      <c r="P1456" s="76"/>
      <c r="Q1456" s="76"/>
      <c r="R1456" s="76"/>
      <c r="S1456" s="76"/>
      <c r="T1456" s="76"/>
      <c r="U1456" s="76">
        <v>0</v>
      </c>
      <c r="V1456" s="76">
        <v>0</v>
      </c>
      <c r="W1456" s="76">
        <v>0</v>
      </c>
      <c r="X1456" s="76">
        <v>0</v>
      </c>
      <c r="Y1456" s="76">
        <v>0</v>
      </c>
      <c r="Z1456" s="76">
        <v>0</v>
      </c>
      <c r="AA1456" s="76">
        <v>0</v>
      </c>
      <c r="AB1456" s="76">
        <v>0</v>
      </c>
      <c r="AC1456" s="76">
        <v>0</v>
      </c>
      <c r="AD1456" s="76">
        <v>0</v>
      </c>
      <c r="AE1456" s="76"/>
      <c r="AF1456" s="76"/>
      <c r="AG1456" s="76"/>
      <c r="AH1456" s="76">
        <v>1</v>
      </c>
      <c r="AI1456" s="76">
        <v>1</v>
      </c>
      <c r="AJ1456" s="73"/>
      <c r="AK1456" s="57"/>
      <c r="AL1456" s="45"/>
      <c r="AM1456" s="45"/>
      <c r="AN1456" s="45"/>
    </row>
    <row r="1457" spans="1:40" hidden="1" outlineLevel="3" x14ac:dyDescent="0.25">
      <c r="A1457" s="45"/>
      <c r="B1457" s="54"/>
      <c r="C1457" s="47">
        <f t="shared" si="184"/>
        <v>4</v>
      </c>
      <c r="D1457" s="73"/>
      <c r="E1457" s="70"/>
      <c r="F1457" s="70" t="str">
        <f>SUBSTITUTE(F1453,",4)",",8)")</f>
        <v>C(U2,20,8)</v>
      </c>
      <c r="G1457" s="73"/>
      <c r="H1457" s="76" t="s">
        <v>2745</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 t="shared" si="184"/>
        <v>4</v>
      </c>
      <c r="D1458" s="73"/>
      <c r="E1458" s="70"/>
      <c r="F1458" s="70" t="str">
        <f>SUBSTITUTE(F1454,",5)",",9)")</f>
        <v>C(U2,20,9)</v>
      </c>
      <c r="G1458" s="73"/>
      <c r="H1458" s="76" t="s">
        <v>2746</v>
      </c>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 t="shared" si="184"/>
        <v>4</v>
      </c>
      <c r="D1459" s="73"/>
      <c r="E1459" s="70"/>
      <c r="F1459" s="70" t="str">
        <f>SUBSTITUTE(F1455,",6)",",10)")</f>
        <v>C(U2,20,10)</v>
      </c>
      <c r="G1459" s="73"/>
      <c r="H1459" s="76" t="s">
        <v>2747</v>
      </c>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si="184"/>
        <v>4</v>
      </c>
      <c r="D1460" s="73"/>
      <c r="E1460" s="70"/>
      <c r="F1460" s="70" t="str">
        <f>SUBSTITUTE(F1456,",7)",",11)")</f>
        <v>C(U2,20,11)</v>
      </c>
      <c r="G1460" s="73"/>
      <c r="H1460" s="76" t="s">
        <v>2748</v>
      </c>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2" collapsed="1" x14ac:dyDescent="0.25">
      <c r="A1461" s="45"/>
      <c r="B1461" s="54"/>
      <c r="C1461" s="47">
        <f>INT($C$29)+2</f>
        <v>3</v>
      </c>
      <c r="D1461" s="73"/>
      <c r="E1461" s="70"/>
      <c r="F1461" s="70" t="s">
        <v>2071</v>
      </c>
      <c r="G1461" s="73"/>
      <c r="H1461" s="76" t="s">
        <v>2072</v>
      </c>
      <c r="I1461" s="76"/>
      <c r="J1461" s="76"/>
      <c r="K1461" s="76"/>
      <c r="L1461" s="76"/>
      <c r="M1461" s="76"/>
      <c r="N1461" s="76"/>
      <c r="O1461" s="76"/>
      <c r="P1461" s="76"/>
      <c r="Q1461" s="76"/>
      <c r="R1461" s="76"/>
      <c r="S1461" s="76"/>
      <c r="T1461" s="76"/>
      <c r="U1461" s="97">
        <v>-4.07</v>
      </c>
      <c r="V1461" s="97">
        <v>-4.07</v>
      </c>
      <c r="W1461" s="97">
        <v>-4.07</v>
      </c>
      <c r="X1461" s="97">
        <v>-4.07</v>
      </c>
      <c r="Y1461" s="97">
        <v>-4.07</v>
      </c>
      <c r="Z1461" s="97">
        <v>-4.07</v>
      </c>
      <c r="AA1461" s="97">
        <v>-4.07</v>
      </c>
      <c r="AB1461" s="254">
        <v>-4.07</v>
      </c>
      <c r="AC1461" s="254">
        <f>AB1461</f>
        <v>-4.07</v>
      </c>
      <c r="AD1461" s="254">
        <f>AC1461</f>
        <v>-4.07</v>
      </c>
      <c r="AE1461" s="76"/>
      <c r="AF1461" s="76"/>
      <c r="AG1461" s="76"/>
      <c r="AH1461" s="97">
        <v>1</v>
      </c>
      <c r="AI1461" s="97">
        <v>1</v>
      </c>
      <c r="AJ1461" s="73"/>
      <c r="AK1461" s="57"/>
      <c r="AL1461" s="45"/>
      <c r="AM1461" s="45"/>
      <c r="AN1461" s="45"/>
    </row>
    <row r="1462" spans="1:40" hidden="1" outlineLevel="3" x14ac:dyDescent="0.25">
      <c r="A1462" s="45"/>
      <c r="B1462" s="54"/>
      <c r="C1462" s="47">
        <f>INT($C$29)+3</f>
        <v>4</v>
      </c>
      <c r="D1462" s="73"/>
      <c r="E1462" s="70"/>
      <c r="F1462" s="70" t="s">
        <v>2073</v>
      </c>
      <c r="G1462" s="73"/>
      <c r="H1462" s="76" t="s">
        <v>602</v>
      </c>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INT($C$29)+3</f>
        <v>4</v>
      </c>
      <c r="D1463" s="73"/>
      <c r="E1463" s="70"/>
      <c r="F1463" s="70" t="s">
        <v>2074</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INT($C$29)+3</f>
        <v>4</v>
      </c>
      <c r="D1464" s="73"/>
      <c r="E1464" s="70"/>
      <c r="F1464" s="70" t="s">
        <v>2075</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INT($C$29)+3</f>
        <v>4</v>
      </c>
      <c r="D1465" s="73"/>
      <c r="E1465" s="70"/>
      <c r="F1465" s="70" t="s">
        <v>2076</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INT($C$29)+3</f>
        <v>4</v>
      </c>
      <c r="D1466" s="73"/>
      <c r="E1466" s="70"/>
      <c r="F1466" s="70" t="s">
        <v>2077</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c r="D1467" s="73"/>
      <c r="E1467" s="70"/>
      <c r="F1467" s="70" t="s">
        <v>2471</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c r="D1468" s="73"/>
      <c r="E1468" s="70"/>
      <c r="F1468" s="70" t="s">
        <v>2472</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c r="D1469" s="73"/>
      <c r="E1469" s="70"/>
      <c r="F1469" s="70" t="s">
        <v>2473</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INT($C$29)+3</f>
        <v>4</v>
      </c>
      <c r="D1470" s="73"/>
      <c r="E1470" s="70"/>
      <c r="F1470" s="70" t="str">
        <f>SUBSTITUTE(F1466,",4)",",8)")</f>
        <v>C(U2,21,8)</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INT($C$29)+3</f>
        <v>4</v>
      </c>
      <c r="D1471" s="73"/>
      <c r="E1471" s="70"/>
      <c r="F1471" s="70" t="str">
        <f>SUBSTITUTE(F1467,",5)",",9)")</f>
        <v>C(U2,21,9)</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INT($C$29)+3</f>
        <v>4</v>
      </c>
      <c r="D1472" s="73"/>
      <c r="E1472" s="70"/>
      <c r="F1472" s="70" t="str">
        <f>SUBSTITUTE(F1468,",6)",",10)")</f>
        <v>C(U2,21,10)</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INT($C$29)+3</f>
        <v>4</v>
      </c>
      <c r="D1473" s="73"/>
      <c r="E1473" s="70"/>
      <c r="F1473" s="70" t="str">
        <f>SUBSTITUTE(F1469,",7)",",11)")</f>
        <v>C(U2,21,11)</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INT($C$29)+3</f>
        <v>4</v>
      </c>
      <c r="D1474" s="73"/>
      <c r="E1474" s="70"/>
      <c r="F1474" s="70" t="s">
        <v>2078</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2" x14ac:dyDescent="0.25">
      <c r="A1475" s="45"/>
      <c r="B1475" s="54"/>
      <c r="C1475" s="47">
        <f>INT($C$29)+2</f>
        <v>3</v>
      </c>
      <c r="D1475" s="73"/>
      <c r="E1475" s="70"/>
      <c r="F1475" s="70" t="s">
        <v>2079</v>
      </c>
      <c r="G1475" s="73"/>
      <c r="H1475" s="76" t="s">
        <v>2763</v>
      </c>
      <c r="I1475" s="76"/>
      <c r="J1475" s="76"/>
      <c r="K1475" s="76"/>
      <c r="L1475" s="76"/>
      <c r="M1475" s="76"/>
      <c r="N1475" s="76"/>
      <c r="O1475" s="76"/>
      <c r="P1475" s="76"/>
      <c r="Q1475" s="76"/>
      <c r="R1475" s="76"/>
      <c r="S1475" s="76"/>
      <c r="T1475" s="76"/>
      <c r="U1475" s="97">
        <v>-8.4959000000000007</v>
      </c>
      <c r="V1475" s="260">
        <f>U1475</f>
        <v>-8.4959000000000007</v>
      </c>
      <c r="W1475" s="260">
        <f>U1475</f>
        <v>-8.4959000000000007</v>
      </c>
      <c r="X1475" s="260">
        <f>V1475</f>
        <v>-8.4959000000000007</v>
      </c>
      <c r="Y1475" s="260">
        <v>-8.4959000000000007</v>
      </c>
      <c r="Z1475" s="260">
        <v>-8.4959000000000007</v>
      </c>
      <c r="AA1475" s="260">
        <v>-8.4959000000000007</v>
      </c>
      <c r="AB1475" s="260">
        <v>-8.4959000000000007</v>
      </c>
      <c r="AC1475" s="260">
        <f>AB1475</f>
        <v>-8.4959000000000007</v>
      </c>
      <c r="AD1475" s="260">
        <f>AC1475</f>
        <v>-8.4959000000000007</v>
      </c>
      <c r="AE1475" s="76"/>
      <c r="AF1475" s="97" t="s">
        <v>2764</v>
      </c>
      <c r="AG1475" s="76"/>
      <c r="AH1475" s="97">
        <v>1</v>
      </c>
      <c r="AI1475" s="97">
        <v>1</v>
      </c>
      <c r="AJ1475" s="73"/>
      <c r="AK1475" s="57"/>
      <c r="AL1475" s="45"/>
      <c r="AM1475" s="45"/>
      <c r="AN1475" s="45"/>
    </row>
    <row r="1476" spans="1:40" hidden="1" outlineLevel="2" collapsed="1" x14ac:dyDescent="0.25">
      <c r="A1476" s="45"/>
      <c r="B1476" s="54"/>
      <c r="C1476" s="47">
        <f>INT($C$29)+2</f>
        <v>3</v>
      </c>
      <c r="D1476" s="73"/>
      <c r="E1476" s="70"/>
      <c r="F1476" s="70" t="s">
        <v>2080</v>
      </c>
      <c r="G1476" s="73"/>
      <c r="H1476" s="76" t="s">
        <v>2496</v>
      </c>
      <c r="I1476" s="76"/>
      <c r="J1476" s="76"/>
      <c r="K1476" s="76"/>
      <c r="L1476" s="76"/>
      <c r="M1476" s="76"/>
      <c r="N1476" s="76"/>
      <c r="O1476" s="76"/>
      <c r="P1476" s="76"/>
      <c r="Q1476" s="76"/>
      <c r="R1476" s="76"/>
      <c r="S1476" s="76"/>
      <c r="T1476" s="76"/>
      <c r="U1476" s="97">
        <v>1.38185</v>
      </c>
      <c r="V1476" s="260">
        <f>U1476</f>
        <v>1.38185</v>
      </c>
      <c r="W1476" s="260">
        <f>U1476</f>
        <v>1.38185</v>
      </c>
      <c r="X1476" s="260">
        <f>V1476</f>
        <v>1.38185</v>
      </c>
      <c r="Y1476" s="260">
        <v>1.38185</v>
      </c>
      <c r="Z1476" s="260">
        <v>1.38185</v>
      </c>
      <c r="AA1476" s="260">
        <v>1.38185</v>
      </c>
      <c r="AB1476" s="260">
        <v>1.38185</v>
      </c>
      <c r="AC1476" s="260">
        <f>AB1476</f>
        <v>1.38185</v>
      </c>
      <c r="AD1476" s="260">
        <f>AC1476</f>
        <v>1.38185</v>
      </c>
      <c r="AE1476" s="76"/>
      <c r="AF1476" s="76"/>
      <c r="AG1476" s="76"/>
      <c r="AH1476" s="97">
        <v>1</v>
      </c>
      <c r="AI1476" s="97">
        <v>1</v>
      </c>
      <c r="AJ1476" s="73"/>
      <c r="AK1476" s="57"/>
      <c r="AL1476" s="45"/>
      <c r="AM1476" s="45"/>
      <c r="AN1476" s="45"/>
    </row>
    <row r="1477" spans="1:40" hidden="1" outlineLevel="3" x14ac:dyDescent="0.25">
      <c r="A1477" s="45"/>
      <c r="B1477" s="54"/>
      <c r="C1477" s="47">
        <f t="shared" ref="C1477:C1486" si="185">INT($C$29)+3</f>
        <v>4</v>
      </c>
      <c r="D1477" s="73"/>
      <c r="E1477" s="70"/>
      <c r="F1477" s="70" t="s">
        <v>2081</v>
      </c>
      <c r="G1477" s="73"/>
      <c r="H1477" s="376" t="s">
        <v>2503</v>
      </c>
      <c r="I1477" s="76"/>
      <c r="J1477" s="76"/>
      <c r="K1477" s="76"/>
      <c r="L1477" s="76"/>
      <c r="M1477" s="76"/>
      <c r="N1477" s="76"/>
      <c r="O1477" s="76"/>
      <c r="P1477" s="76"/>
      <c r="Q1477" s="76"/>
      <c r="R1477" s="76"/>
      <c r="S1477" s="76"/>
      <c r="T1477" s="76"/>
      <c r="U1477" s="76">
        <v>0</v>
      </c>
      <c r="V1477" s="76">
        <v>0</v>
      </c>
      <c r="W1477" s="76">
        <v>0</v>
      </c>
      <c r="X1477" s="76">
        <v>0</v>
      </c>
      <c r="Y1477" s="76">
        <v>0</v>
      </c>
      <c r="Z1477" s="76">
        <v>0</v>
      </c>
      <c r="AA1477" s="76">
        <v>0</v>
      </c>
      <c r="AB1477" s="76">
        <v>0</v>
      </c>
      <c r="AC1477" s="76">
        <v>0</v>
      </c>
      <c r="AD1477" s="76">
        <v>0</v>
      </c>
      <c r="AE1477" s="76"/>
      <c r="AF1477" s="76"/>
      <c r="AG1477" s="76"/>
      <c r="AH1477" s="76">
        <v>1</v>
      </c>
      <c r="AI1477" s="76">
        <v>1</v>
      </c>
      <c r="AJ1477" s="73"/>
      <c r="AK1477" s="57"/>
      <c r="AL1477" s="45"/>
      <c r="AM1477" s="45"/>
      <c r="AN1477" s="45"/>
    </row>
    <row r="1478" spans="1:40" hidden="1" outlineLevel="3" x14ac:dyDescent="0.25">
      <c r="A1478" s="45"/>
      <c r="B1478" s="54"/>
      <c r="C1478" s="47">
        <f t="shared" si="185"/>
        <v>4</v>
      </c>
      <c r="D1478" s="73"/>
      <c r="E1478" s="70"/>
      <c r="F1478" s="70" t="s">
        <v>2082</v>
      </c>
      <c r="G1478" s="73"/>
      <c r="H1478" s="376" t="s">
        <v>2504</v>
      </c>
      <c r="I1478" s="76"/>
      <c r="J1478" s="76"/>
      <c r="K1478" s="76"/>
      <c r="L1478" s="76"/>
      <c r="M1478" s="76"/>
      <c r="N1478" s="76"/>
      <c r="O1478" s="76"/>
      <c r="P1478" s="76"/>
      <c r="Q1478" s="76"/>
      <c r="R1478" s="76"/>
      <c r="S1478" s="76"/>
      <c r="T1478" s="76"/>
      <c r="U1478" s="76">
        <v>0</v>
      </c>
      <c r="V1478" s="76">
        <v>0</v>
      </c>
      <c r="W1478" s="76">
        <v>0</v>
      </c>
      <c r="X1478" s="76">
        <v>0</v>
      </c>
      <c r="Y1478" s="76">
        <v>0</v>
      </c>
      <c r="Z1478" s="76">
        <v>0</v>
      </c>
      <c r="AA1478" s="76">
        <v>0</v>
      </c>
      <c r="AB1478" s="76">
        <v>0</v>
      </c>
      <c r="AC1478" s="76">
        <v>0</v>
      </c>
      <c r="AD1478" s="76">
        <v>0</v>
      </c>
      <c r="AE1478" s="76"/>
      <c r="AF1478" s="76"/>
      <c r="AG1478" s="76"/>
      <c r="AH1478" s="76">
        <v>1</v>
      </c>
      <c r="AI1478" s="76">
        <v>1</v>
      </c>
      <c r="AJ1478" s="73"/>
      <c r="AK1478" s="57"/>
      <c r="AL1478" s="45"/>
      <c r="AM1478" s="45"/>
      <c r="AN1478" s="45"/>
    </row>
    <row r="1479" spans="1:40" hidden="1" outlineLevel="3" x14ac:dyDescent="0.25">
      <c r="A1479" s="45"/>
      <c r="B1479" s="54"/>
      <c r="C1479" s="47">
        <f t="shared" si="185"/>
        <v>4</v>
      </c>
      <c r="D1479" s="73"/>
      <c r="E1479" s="70"/>
      <c r="F1479" s="70" t="s">
        <v>2083</v>
      </c>
      <c r="G1479" s="73"/>
      <c r="H1479" s="376" t="s">
        <v>2505</v>
      </c>
      <c r="I1479" s="76"/>
      <c r="J1479" s="76"/>
      <c r="K1479" s="76"/>
      <c r="L1479" s="76"/>
      <c r="M1479" s="76"/>
      <c r="N1479" s="76"/>
      <c r="O1479" s="76"/>
      <c r="P1479" s="76"/>
      <c r="Q1479" s="76"/>
      <c r="R1479" s="76"/>
      <c r="S1479" s="76"/>
      <c r="T1479" s="76"/>
      <c r="U1479" s="76">
        <v>0</v>
      </c>
      <c r="V1479" s="76">
        <v>0</v>
      </c>
      <c r="W1479" s="76">
        <v>0</v>
      </c>
      <c r="X1479" s="76">
        <v>0</v>
      </c>
      <c r="Y1479" s="76">
        <v>0</v>
      </c>
      <c r="Z1479" s="76">
        <v>0</v>
      </c>
      <c r="AA1479" s="76">
        <v>0</v>
      </c>
      <c r="AB1479" s="76">
        <v>0</v>
      </c>
      <c r="AC1479" s="76">
        <v>0</v>
      </c>
      <c r="AD1479" s="76">
        <v>0</v>
      </c>
      <c r="AE1479" s="76"/>
      <c r="AF1479" s="76"/>
      <c r="AG1479" s="76"/>
      <c r="AH1479" s="76">
        <v>1</v>
      </c>
      <c r="AI1479" s="76">
        <v>1</v>
      </c>
      <c r="AJ1479" s="73"/>
      <c r="AK1479" s="57"/>
      <c r="AL1479" s="45"/>
      <c r="AM1479" s="45"/>
      <c r="AN1479" s="45"/>
    </row>
    <row r="1480" spans="1:40" hidden="1" outlineLevel="3" x14ac:dyDescent="0.25">
      <c r="A1480" s="45"/>
      <c r="B1480" s="54"/>
      <c r="C1480" s="47">
        <f t="shared" si="185"/>
        <v>4</v>
      </c>
      <c r="D1480" s="73"/>
      <c r="E1480" s="70"/>
      <c r="F1480" s="70" t="s">
        <v>2405</v>
      </c>
      <c r="G1480" s="73"/>
      <c r="H1480" s="376" t="s">
        <v>2506</v>
      </c>
      <c r="I1480" s="76"/>
      <c r="J1480" s="76"/>
      <c r="K1480" s="76"/>
      <c r="L1480" s="76"/>
      <c r="M1480" s="76"/>
      <c r="N1480" s="76"/>
      <c r="O1480" s="76"/>
      <c r="P1480" s="76"/>
      <c r="Q1480" s="76"/>
      <c r="R1480" s="76"/>
      <c r="S1480" s="76"/>
      <c r="T1480" s="76"/>
      <c r="U1480" s="76">
        <v>0</v>
      </c>
      <c r="V1480" s="76">
        <v>0</v>
      </c>
      <c r="W1480" s="76">
        <v>0</v>
      </c>
      <c r="X1480" s="76">
        <v>0</v>
      </c>
      <c r="Y1480" s="76">
        <v>0</v>
      </c>
      <c r="Z1480" s="76">
        <v>0</v>
      </c>
      <c r="AA1480" s="76">
        <v>0</v>
      </c>
      <c r="AB1480" s="76">
        <v>0</v>
      </c>
      <c r="AC1480" s="76">
        <v>0</v>
      </c>
      <c r="AD1480" s="76">
        <v>0</v>
      </c>
      <c r="AE1480" s="76"/>
      <c r="AF1480" s="76"/>
      <c r="AG1480" s="76"/>
      <c r="AH1480" s="76">
        <v>1</v>
      </c>
      <c r="AI1480" s="76">
        <v>1</v>
      </c>
      <c r="AJ1480" s="73"/>
      <c r="AK1480" s="57"/>
      <c r="AL1480" s="45"/>
      <c r="AM1480" s="45"/>
      <c r="AN1480" s="45"/>
    </row>
    <row r="1481" spans="1:40" hidden="1" outlineLevel="3" x14ac:dyDescent="0.25">
      <c r="A1481" s="45"/>
      <c r="B1481" s="54"/>
      <c r="C1481" s="47">
        <f t="shared" si="185"/>
        <v>4</v>
      </c>
      <c r="D1481" s="73"/>
      <c r="E1481" s="70"/>
      <c r="F1481" s="70" t="s">
        <v>2406</v>
      </c>
      <c r="G1481" s="73"/>
      <c r="H1481" s="376" t="s">
        <v>2507</v>
      </c>
      <c r="I1481" s="76"/>
      <c r="J1481" s="76"/>
      <c r="K1481" s="76"/>
      <c r="L1481" s="76"/>
      <c r="M1481" s="76"/>
      <c r="N1481" s="76"/>
      <c r="O1481" s="76"/>
      <c r="P1481" s="76"/>
      <c r="Q1481" s="76"/>
      <c r="R1481" s="76"/>
      <c r="S1481" s="76"/>
      <c r="T1481" s="76"/>
      <c r="U1481" s="76">
        <v>0</v>
      </c>
      <c r="V1481" s="76">
        <v>0</v>
      </c>
      <c r="W1481" s="76">
        <v>0</v>
      </c>
      <c r="X1481" s="76">
        <v>0</v>
      </c>
      <c r="Y1481" s="76">
        <v>0</v>
      </c>
      <c r="Z1481" s="76">
        <v>0</v>
      </c>
      <c r="AA1481" s="76">
        <v>0</v>
      </c>
      <c r="AB1481" s="76">
        <v>0</v>
      </c>
      <c r="AC1481" s="76">
        <v>0</v>
      </c>
      <c r="AD1481" s="76">
        <v>0</v>
      </c>
      <c r="AE1481" s="76"/>
      <c r="AF1481" s="76"/>
      <c r="AG1481" s="76"/>
      <c r="AH1481" s="76">
        <v>1</v>
      </c>
      <c r="AI1481" s="76">
        <v>1</v>
      </c>
      <c r="AJ1481" s="73"/>
      <c r="AK1481" s="57"/>
      <c r="AL1481" s="45"/>
      <c r="AM1481" s="45"/>
      <c r="AN1481" s="45"/>
    </row>
    <row r="1482" spans="1:40" hidden="1" outlineLevel="3" x14ac:dyDescent="0.25">
      <c r="A1482" s="45"/>
      <c r="B1482" s="54"/>
      <c r="C1482" s="47">
        <f t="shared" si="185"/>
        <v>4</v>
      </c>
      <c r="D1482" s="73"/>
      <c r="E1482" s="70"/>
      <c r="F1482" s="70" t="s">
        <v>2407</v>
      </c>
      <c r="G1482" s="73"/>
      <c r="H1482" s="376" t="s">
        <v>2508</v>
      </c>
      <c r="I1482" s="76"/>
      <c r="J1482" s="76"/>
      <c r="K1482" s="76"/>
      <c r="L1482" s="76"/>
      <c r="M1482" s="76"/>
      <c r="N1482" s="76"/>
      <c r="O1482" s="76"/>
      <c r="P1482" s="76"/>
      <c r="Q1482" s="76"/>
      <c r="R1482" s="76"/>
      <c r="S1482" s="76"/>
      <c r="T1482" s="76"/>
      <c r="U1482" s="76">
        <v>0</v>
      </c>
      <c r="V1482" s="76">
        <v>0</v>
      </c>
      <c r="W1482" s="76">
        <v>0</v>
      </c>
      <c r="X1482" s="76">
        <v>0</v>
      </c>
      <c r="Y1482" s="76">
        <v>0</v>
      </c>
      <c r="Z1482" s="76">
        <v>0</v>
      </c>
      <c r="AA1482" s="76">
        <v>0</v>
      </c>
      <c r="AB1482" s="76">
        <v>0</v>
      </c>
      <c r="AC1482" s="76">
        <v>0</v>
      </c>
      <c r="AD1482" s="76">
        <v>0</v>
      </c>
      <c r="AE1482" s="76"/>
      <c r="AF1482" s="76"/>
      <c r="AG1482" s="76"/>
      <c r="AH1482" s="76">
        <v>1</v>
      </c>
      <c r="AI1482" s="76">
        <v>1</v>
      </c>
      <c r="AJ1482" s="73"/>
      <c r="AK1482" s="57"/>
      <c r="AL1482" s="45"/>
      <c r="AM1482" s="45"/>
      <c r="AN1482" s="45"/>
    </row>
    <row r="1483" spans="1:40" hidden="1" outlineLevel="3" x14ac:dyDescent="0.25">
      <c r="A1483" s="45"/>
      <c r="B1483" s="54"/>
      <c r="C1483" s="47">
        <f t="shared" si="185"/>
        <v>4</v>
      </c>
      <c r="D1483" s="73"/>
      <c r="E1483" s="70"/>
      <c r="F1483" s="70" t="str">
        <f>SUBSTITUTE(F1479,",4)",",8)")</f>
        <v>C(U2,22,8)</v>
      </c>
      <c r="G1483" s="73"/>
      <c r="H1483" s="76" t="s">
        <v>2745</v>
      </c>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185"/>
        <v>4</v>
      </c>
      <c r="D1484" s="73"/>
      <c r="E1484" s="70"/>
      <c r="F1484" s="70" t="str">
        <f>SUBSTITUTE(F1480,",5)",",9)")</f>
        <v>C(U2,22,9)</v>
      </c>
      <c r="G1484" s="73"/>
      <c r="H1484" s="76" t="s">
        <v>2746</v>
      </c>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185"/>
        <v>4</v>
      </c>
      <c r="D1485" s="73"/>
      <c r="E1485" s="70"/>
      <c r="F1485" s="70" t="str">
        <f>SUBSTITUTE(F1481,",6)",",10)")</f>
        <v>C(U2,22,10)</v>
      </c>
      <c r="G1485" s="73"/>
      <c r="H1485" s="76" t="s">
        <v>2747</v>
      </c>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185"/>
        <v>4</v>
      </c>
      <c r="D1486" s="73"/>
      <c r="E1486" s="70"/>
      <c r="F1486" s="70" t="str">
        <f>SUBSTITUTE(F1482,",7)",",11)")</f>
        <v>C(U2,22,11)</v>
      </c>
      <c r="G1486" s="73"/>
      <c r="H1486" s="76" t="s">
        <v>2748</v>
      </c>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2" x14ac:dyDescent="0.25">
      <c r="A1487" s="45"/>
      <c r="B1487" s="54"/>
      <c r="C1487" s="47">
        <f>INT($C$29)+2</f>
        <v>3</v>
      </c>
      <c r="D1487" s="73"/>
      <c r="E1487" s="70"/>
      <c r="F1487" s="70" t="s">
        <v>2084</v>
      </c>
      <c r="G1487" s="73"/>
      <c r="H1487" s="76" t="s">
        <v>2655</v>
      </c>
      <c r="I1487" s="76"/>
      <c r="J1487" s="76"/>
      <c r="K1487" s="76"/>
      <c r="L1487" s="76"/>
      <c r="M1487" s="76"/>
      <c r="N1487" s="76"/>
      <c r="O1487" s="76"/>
      <c r="P1487" s="76"/>
      <c r="Q1487" s="76"/>
      <c r="R1487" s="76"/>
      <c r="S1487" s="76"/>
      <c r="T1487" s="76"/>
      <c r="U1487" s="97">
        <v>7.50061</v>
      </c>
      <c r="V1487" s="260">
        <f>U1487</f>
        <v>7.50061</v>
      </c>
      <c r="W1487" s="260">
        <f t="shared" ref="W1487:X1490" si="186">U1487</f>
        <v>7.50061</v>
      </c>
      <c r="X1487" s="260">
        <f t="shared" si="186"/>
        <v>7.50061</v>
      </c>
      <c r="Y1487" s="260">
        <v>7.50061</v>
      </c>
      <c r="Z1487" s="260">
        <v>7.50061</v>
      </c>
      <c r="AA1487" s="260">
        <v>7.50061</v>
      </c>
      <c r="AB1487" s="260">
        <v>7.50061</v>
      </c>
      <c r="AC1487" s="260">
        <f t="shared" ref="AC1487:AD1490" si="187">AB1487</f>
        <v>7.50061</v>
      </c>
      <c r="AD1487" s="260">
        <f t="shared" si="187"/>
        <v>7.50061</v>
      </c>
      <c r="AE1487" s="76"/>
      <c r="AF1487" s="97"/>
      <c r="AG1487" s="76"/>
      <c r="AH1487" s="97">
        <v>1</v>
      </c>
      <c r="AI1487" s="97">
        <v>1</v>
      </c>
      <c r="AJ1487" s="73"/>
      <c r="AK1487" s="57"/>
      <c r="AL1487" s="45"/>
      <c r="AM1487" s="45"/>
      <c r="AN1487" s="45"/>
    </row>
    <row r="1488" spans="1:40" hidden="1" outlineLevel="2" x14ac:dyDescent="0.25">
      <c r="A1488" s="45"/>
      <c r="B1488" s="54"/>
      <c r="C1488" s="47">
        <f>INT($C$29)+2</f>
        <v>3</v>
      </c>
      <c r="D1488" s="73"/>
      <c r="E1488" s="70"/>
      <c r="F1488" s="70" t="s">
        <v>2408</v>
      </c>
      <c r="G1488" s="73"/>
      <c r="H1488" s="76" t="s">
        <v>2766</v>
      </c>
      <c r="I1488" s="76"/>
      <c r="J1488" s="76"/>
      <c r="K1488" s="76"/>
      <c r="L1488" s="76"/>
      <c r="M1488" s="76"/>
      <c r="N1488" s="76"/>
      <c r="O1488" s="76"/>
      <c r="P1488" s="76"/>
      <c r="Q1488" s="76"/>
      <c r="R1488" s="76"/>
      <c r="S1488" s="76"/>
      <c r="T1488" s="76"/>
      <c r="U1488" s="97">
        <f>AA1488</f>
        <v>-4.5568499999999998</v>
      </c>
      <c r="V1488" s="254">
        <f>U1488</f>
        <v>-4.5568499999999998</v>
      </c>
      <c r="W1488" s="254">
        <f t="shared" si="186"/>
        <v>-4.5568499999999998</v>
      </c>
      <c r="X1488" s="254">
        <f t="shared" si="186"/>
        <v>-4.5568499999999998</v>
      </c>
      <c r="Y1488" s="254">
        <v>-4.5568499999999998</v>
      </c>
      <c r="Z1488" s="254">
        <v>-4.5568499999999998</v>
      </c>
      <c r="AA1488" s="254">
        <v>-4.5568499999999998</v>
      </c>
      <c r="AB1488" s="254">
        <v>-4.5568499999999998</v>
      </c>
      <c r="AC1488" s="254">
        <f t="shared" si="187"/>
        <v>-4.5568499999999998</v>
      </c>
      <c r="AD1488" s="254">
        <f t="shared" si="187"/>
        <v>-4.5568499999999998</v>
      </c>
      <c r="AE1488" s="76"/>
      <c r="AF1488" s="97" t="s">
        <v>2765</v>
      </c>
      <c r="AG1488" s="76"/>
      <c r="AH1488" s="76">
        <v>1</v>
      </c>
      <c r="AI1488" s="76">
        <v>1</v>
      </c>
      <c r="AJ1488" s="73"/>
      <c r="AK1488" s="57"/>
      <c r="AL1488" s="45"/>
      <c r="AM1488" s="45"/>
      <c r="AN1488" s="45"/>
    </row>
    <row r="1489" spans="1:40" hidden="1" outlineLevel="2" x14ac:dyDescent="0.25">
      <c r="A1489" s="45"/>
      <c r="B1489" s="54"/>
      <c r="C1489" s="47">
        <f>INT($C$29)+2</f>
        <v>3</v>
      </c>
      <c r="D1489" s="73"/>
      <c r="E1489" s="70"/>
      <c r="F1489" s="70" t="s">
        <v>2409</v>
      </c>
      <c r="G1489" s="73"/>
      <c r="H1489" s="76" t="s">
        <v>2496</v>
      </c>
      <c r="I1489" s="76"/>
      <c r="J1489" s="76"/>
      <c r="K1489" s="76"/>
      <c r="L1489" s="76"/>
      <c r="M1489" s="76"/>
      <c r="N1489" s="76"/>
      <c r="O1489" s="76"/>
      <c r="P1489" s="76"/>
      <c r="Q1489" s="76"/>
      <c r="R1489" s="76"/>
      <c r="S1489" s="76"/>
      <c r="T1489" s="76"/>
      <c r="U1489" s="97">
        <f>AA1489</f>
        <v>0.69092500000000001</v>
      </c>
      <c r="V1489" s="254">
        <f>U1489</f>
        <v>0.69092500000000001</v>
      </c>
      <c r="W1489" s="254">
        <f t="shared" si="186"/>
        <v>0.69092500000000001</v>
      </c>
      <c r="X1489" s="254">
        <f t="shared" si="186"/>
        <v>0.69092500000000001</v>
      </c>
      <c r="Y1489" s="254">
        <v>0.69092500000000001</v>
      </c>
      <c r="Z1489" s="254">
        <v>0.69092500000000001</v>
      </c>
      <c r="AA1489" s="254">
        <v>0.69092500000000001</v>
      </c>
      <c r="AB1489" s="254">
        <v>0.69092500000000001</v>
      </c>
      <c r="AC1489" s="254">
        <f t="shared" si="187"/>
        <v>0.69092500000000001</v>
      </c>
      <c r="AD1489" s="254">
        <f t="shared" si="187"/>
        <v>0.69092500000000001</v>
      </c>
      <c r="AE1489" s="76"/>
      <c r="AF1489" s="76"/>
      <c r="AG1489" s="76"/>
      <c r="AH1489" s="76">
        <v>1</v>
      </c>
      <c r="AI1489" s="76">
        <v>1</v>
      </c>
      <c r="AJ1489" s="73"/>
      <c r="AK1489" s="57"/>
      <c r="AL1489" s="45"/>
      <c r="AM1489" s="45"/>
      <c r="AN1489" s="45"/>
    </row>
    <row r="1490" spans="1:40" hidden="1" outlineLevel="2" collapsed="1" x14ac:dyDescent="0.25">
      <c r="A1490" s="45"/>
      <c r="B1490" s="54"/>
      <c r="C1490" s="47">
        <f t="shared" ref="C1490:C1499" si="188">INT($C$29)+3</f>
        <v>4</v>
      </c>
      <c r="D1490" s="73"/>
      <c r="E1490" s="70"/>
      <c r="F1490" s="70" t="s">
        <v>2410</v>
      </c>
      <c r="G1490" s="73"/>
      <c r="H1490" s="377" t="s">
        <v>2767</v>
      </c>
      <c r="I1490" s="76"/>
      <c r="J1490" s="76"/>
      <c r="K1490" s="76"/>
      <c r="L1490" s="76"/>
      <c r="M1490" s="76"/>
      <c r="N1490" s="76"/>
      <c r="O1490" s="76"/>
      <c r="P1490" s="76"/>
      <c r="Q1490" s="76"/>
      <c r="R1490" s="76"/>
      <c r="S1490" s="76"/>
      <c r="T1490" s="76"/>
      <c r="U1490" s="97">
        <f>AA1490</f>
        <v>-0.15570000000000001</v>
      </c>
      <c r="V1490" s="254">
        <f>U1490</f>
        <v>-0.15570000000000001</v>
      </c>
      <c r="W1490" s="254">
        <f t="shared" si="186"/>
        <v>-0.15570000000000001</v>
      </c>
      <c r="X1490" s="254">
        <f t="shared" si="186"/>
        <v>-0.15570000000000001</v>
      </c>
      <c r="Y1490" s="254">
        <v>-0.15570000000000001</v>
      </c>
      <c r="Z1490" s="254">
        <v>-0.15570000000000001</v>
      </c>
      <c r="AA1490" s="254">
        <v>-0.15570000000000001</v>
      </c>
      <c r="AB1490" s="254">
        <v>-0.15570000000000001</v>
      </c>
      <c r="AC1490" s="254">
        <f t="shared" si="187"/>
        <v>-0.15570000000000001</v>
      </c>
      <c r="AD1490" s="254">
        <f t="shared" si="187"/>
        <v>-0.15570000000000001</v>
      </c>
      <c r="AE1490" s="76"/>
      <c r="AF1490" s="97"/>
      <c r="AG1490" s="76"/>
      <c r="AH1490" s="97">
        <v>1</v>
      </c>
      <c r="AI1490" s="97">
        <v>1</v>
      </c>
      <c r="AJ1490" s="73"/>
      <c r="AK1490" s="57"/>
      <c r="AL1490" s="45"/>
      <c r="AM1490" s="45"/>
      <c r="AN1490" s="45"/>
    </row>
    <row r="1491" spans="1:40" hidden="1" outlineLevel="3" collapsed="1" x14ac:dyDescent="0.25">
      <c r="A1491" s="45"/>
      <c r="B1491" s="54"/>
      <c r="C1491" s="47">
        <f t="shared" si="188"/>
        <v>4</v>
      </c>
      <c r="D1491" s="73"/>
      <c r="E1491" s="70"/>
      <c r="F1491" s="70" t="s">
        <v>2411</v>
      </c>
      <c r="G1491" s="73"/>
      <c r="H1491" s="377" t="s">
        <v>2768</v>
      </c>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188"/>
        <v>4</v>
      </c>
      <c r="D1492" s="73"/>
      <c r="E1492" s="70"/>
      <c r="F1492" s="70" t="s">
        <v>2412</v>
      </c>
      <c r="G1492" s="73"/>
      <c r="H1492" s="376" t="s">
        <v>2505</v>
      </c>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188"/>
        <v>4</v>
      </c>
      <c r="D1493" s="73"/>
      <c r="E1493" s="70"/>
      <c r="F1493" s="70" t="s">
        <v>2413</v>
      </c>
      <c r="G1493" s="73"/>
      <c r="H1493" s="376" t="s">
        <v>2506</v>
      </c>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188"/>
        <v>4</v>
      </c>
      <c r="D1494" s="73"/>
      <c r="E1494" s="70"/>
      <c r="F1494" s="70" t="s">
        <v>2414</v>
      </c>
      <c r="G1494" s="73"/>
      <c r="H1494" s="376" t="s">
        <v>2507</v>
      </c>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188"/>
        <v>4</v>
      </c>
      <c r="D1495" s="73"/>
      <c r="E1495" s="70"/>
      <c r="F1495" s="70" t="s">
        <v>2415</v>
      </c>
      <c r="G1495" s="73"/>
      <c r="H1495" s="376" t="s">
        <v>2508</v>
      </c>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188"/>
        <v>4</v>
      </c>
      <c r="D1496" s="73"/>
      <c r="E1496" s="70"/>
      <c r="F1496" s="70" t="str">
        <f>SUBSTITUTE(F1492,",4)",",8)")</f>
        <v>C(U2,23,8)</v>
      </c>
      <c r="G1496" s="73"/>
      <c r="H1496" s="376" t="s">
        <v>2770</v>
      </c>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188"/>
        <v>4</v>
      </c>
      <c r="D1497" s="73"/>
      <c r="E1497" s="70"/>
      <c r="F1497" s="70" t="str">
        <f>SUBSTITUTE(F1493,",5)",",9)")</f>
        <v>C(U2,23,9)</v>
      </c>
      <c r="G1497" s="73"/>
      <c r="H1497" s="376" t="s">
        <v>2771</v>
      </c>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188"/>
        <v>4</v>
      </c>
      <c r="D1498" s="73"/>
      <c r="E1498" s="70"/>
      <c r="F1498" s="70" t="str">
        <f>SUBSTITUTE(F1494,",6)",",10)")</f>
        <v>C(U2,23,10)</v>
      </c>
      <c r="G1498" s="73"/>
      <c r="H1498" s="376" t="s">
        <v>2772</v>
      </c>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2" x14ac:dyDescent="0.25">
      <c r="A1499" s="45"/>
      <c r="B1499" s="54"/>
      <c r="C1499" s="47">
        <f t="shared" si="188"/>
        <v>4</v>
      </c>
      <c r="D1499" s="73"/>
      <c r="E1499" s="70"/>
      <c r="F1499" s="70" t="str">
        <f>SUBSTITUTE(F1495,",7)",",11)")</f>
        <v>C(U2,23,11)</v>
      </c>
      <c r="G1499" s="73"/>
      <c r="H1499" s="377" t="s">
        <v>2823</v>
      </c>
      <c r="I1499" s="96"/>
      <c r="J1499" s="76"/>
      <c r="K1499" s="76"/>
      <c r="L1499" s="76"/>
      <c r="M1499" s="76"/>
      <c r="N1499" s="76"/>
      <c r="O1499" s="76"/>
      <c r="P1499" s="76"/>
      <c r="Q1499" s="76"/>
      <c r="R1499" s="76"/>
      <c r="S1499" s="76"/>
      <c r="T1499" s="76"/>
      <c r="U1499" s="336">
        <f>-U$1488/(2*U$1489)</f>
        <v>3.2976444621340955</v>
      </c>
      <c r="V1499" s="336">
        <f>-V$1488/(2*V$1489)</f>
        <v>3.2976444621340955</v>
      </c>
      <c r="W1499" s="336">
        <f>-W$1488/(2*W$1489)</f>
        <v>3.2976444621340955</v>
      </c>
      <c r="X1499" s="336">
        <f>-X$1488/(2*X$1489)</f>
        <v>3.2976444621340955</v>
      </c>
      <c r="Y1499" s="336">
        <v>3.2976444621340955</v>
      </c>
      <c r="Z1499" s="336">
        <v>3.2976444621340955</v>
      </c>
      <c r="AA1499" s="336">
        <v>3.2976444621340955</v>
      </c>
      <c r="AB1499" s="336">
        <v>3.2976444621340955</v>
      </c>
      <c r="AC1499" s="336">
        <f>-AC$1488/(2*AC$1489)</f>
        <v>3.2976444621340955</v>
      </c>
      <c r="AD1499" s="336">
        <f>-AD$1488/(2*AD$1489)</f>
        <v>3.2976444621340955</v>
      </c>
      <c r="AE1499" s="76"/>
      <c r="AF1499" s="76"/>
      <c r="AG1499" s="76"/>
      <c r="AH1499" s="76">
        <v>1</v>
      </c>
      <c r="AI1499" s="76">
        <v>1</v>
      </c>
      <c r="AJ1499" s="73"/>
      <c r="AK1499" s="57"/>
      <c r="AL1499" s="45"/>
      <c r="AM1499" s="45"/>
      <c r="AN1499" s="45"/>
    </row>
    <row r="1500" spans="1:40" hidden="1" outlineLevel="2" x14ac:dyDescent="0.25">
      <c r="A1500" s="45"/>
      <c r="B1500" s="54"/>
      <c r="C1500" s="47">
        <f>INT($C$29)+2</f>
        <v>3</v>
      </c>
      <c r="D1500" s="73"/>
      <c r="E1500" s="70"/>
      <c r="F1500" s="70" t="s">
        <v>2416</v>
      </c>
      <c r="G1500" s="73"/>
      <c r="H1500" s="76" t="s">
        <v>2769</v>
      </c>
      <c r="I1500" s="76"/>
      <c r="J1500" s="76"/>
      <c r="K1500" s="76"/>
      <c r="L1500" s="76"/>
      <c r="M1500" s="76"/>
      <c r="N1500" s="76"/>
      <c r="O1500" s="76"/>
      <c r="P1500" s="76"/>
      <c r="Q1500" s="76"/>
      <c r="R1500" s="76"/>
      <c r="S1500" s="76"/>
      <c r="T1500" s="76"/>
      <c r="U1500" s="97">
        <f>AA1500-(1.61859)</f>
        <v>0.4090999999999998</v>
      </c>
      <c r="V1500" s="254">
        <f t="shared" ref="V1500:V1505" si="189">U1500</f>
        <v>0.4090999999999998</v>
      </c>
      <c r="W1500" s="254">
        <f t="shared" ref="W1500:X1505" si="190">U1500</f>
        <v>0.4090999999999998</v>
      </c>
      <c r="X1500" s="254">
        <f t="shared" si="190"/>
        <v>0.4090999999999998</v>
      </c>
      <c r="Y1500" s="254">
        <v>2.0276899999999998</v>
      </c>
      <c r="Z1500" s="254">
        <v>2.0276899999999998</v>
      </c>
      <c r="AA1500" s="254">
        <v>2.0276899999999998</v>
      </c>
      <c r="AB1500" s="254">
        <v>3.64628</v>
      </c>
      <c r="AC1500" s="254">
        <f t="shared" ref="AC1500:AD1505" si="191">AB1500</f>
        <v>3.64628</v>
      </c>
      <c r="AD1500" s="254">
        <f t="shared" si="191"/>
        <v>3.64628</v>
      </c>
      <c r="AE1500" s="76"/>
      <c r="AF1500" s="97"/>
      <c r="AG1500" s="76"/>
      <c r="AH1500" s="97">
        <v>1</v>
      </c>
      <c r="AI1500" s="97">
        <v>1</v>
      </c>
      <c r="AJ1500" s="73"/>
      <c r="AK1500" s="57"/>
      <c r="AL1500" s="45"/>
      <c r="AM1500" s="45"/>
      <c r="AN1500" s="45"/>
    </row>
    <row r="1501" spans="1:40" hidden="1" outlineLevel="2" x14ac:dyDescent="0.25">
      <c r="A1501" s="45"/>
      <c r="B1501" s="54"/>
      <c r="C1501" s="47">
        <f>INT($C$29)+2</f>
        <v>3</v>
      </c>
      <c r="D1501" s="73"/>
      <c r="E1501" s="70"/>
      <c r="F1501" s="70" t="s">
        <v>2417</v>
      </c>
      <c r="G1501" s="73"/>
      <c r="H1501" s="76" t="s">
        <v>2483</v>
      </c>
      <c r="I1501" s="76"/>
      <c r="J1501" s="76"/>
      <c r="K1501" s="76"/>
      <c r="L1501" s="76"/>
      <c r="M1501" s="76"/>
      <c r="N1501" s="76"/>
      <c r="O1501" s="76"/>
      <c r="P1501" s="76"/>
      <c r="Q1501" s="76"/>
      <c r="R1501" s="76"/>
      <c r="S1501" s="76"/>
      <c r="T1501" s="76"/>
      <c r="U1501" s="97">
        <v>-0.43659999999999999</v>
      </c>
      <c r="V1501" s="254">
        <f t="shared" si="189"/>
        <v>-0.43659999999999999</v>
      </c>
      <c r="W1501" s="254">
        <f t="shared" si="190"/>
        <v>-0.43659999999999999</v>
      </c>
      <c r="X1501" s="254">
        <f t="shared" si="190"/>
        <v>-0.43659999999999999</v>
      </c>
      <c r="Y1501" s="254">
        <v>-0.43659999999999999</v>
      </c>
      <c r="Z1501" s="254">
        <v>-0.43659999999999999</v>
      </c>
      <c r="AA1501" s="254">
        <v>-0.43659999999999999</v>
      </c>
      <c r="AB1501" s="254">
        <v>-0.54688000000000003</v>
      </c>
      <c r="AC1501" s="254">
        <f t="shared" si="191"/>
        <v>-0.54688000000000003</v>
      </c>
      <c r="AD1501" s="254">
        <f t="shared" si="191"/>
        <v>-0.54688000000000003</v>
      </c>
      <c r="AE1501" s="76"/>
      <c r="AF1501" s="97" t="s">
        <v>2582</v>
      </c>
      <c r="AG1501" s="76"/>
      <c r="AH1501" s="97">
        <v>1</v>
      </c>
      <c r="AI1501" s="97">
        <v>1</v>
      </c>
      <c r="AJ1501" s="73"/>
      <c r="AK1501" s="57"/>
      <c r="AL1501" s="45"/>
      <c r="AM1501" s="45"/>
      <c r="AN1501" s="45"/>
    </row>
    <row r="1502" spans="1:40" hidden="1" outlineLevel="2" x14ac:dyDescent="0.25">
      <c r="A1502" s="45"/>
      <c r="B1502" s="54"/>
      <c r="C1502" s="47">
        <f>INT($C$29)+2</f>
        <v>3</v>
      </c>
      <c r="D1502" s="73"/>
      <c r="E1502" s="70"/>
      <c r="F1502" s="70" t="s">
        <v>2418</v>
      </c>
      <c r="G1502" s="73"/>
      <c r="H1502" s="76" t="s">
        <v>2497</v>
      </c>
      <c r="I1502" s="76"/>
      <c r="J1502" s="76"/>
      <c r="K1502" s="76"/>
      <c r="L1502" s="76"/>
      <c r="M1502" s="76"/>
      <c r="N1502" s="76"/>
      <c r="O1502" s="76"/>
      <c r="P1502" s="76"/>
      <c r="Q1502" s="76"/>
      <c r="R1502" s="76"/>
      <c r="S1502" s="76"/>
      <c r="T1502" s="76"/>
      <c r="U1502" s="97">
        <v>3.7200000000000002E-3</v>
      </c>
      <c r="V1502" s="254">
        <f t="shared" si="189"/>
        <v>3.7200000000000002E-3</v>
      </c>
      <c r="W1502" s="254">
        <f t="shared" si="190"/>
        <v>3.7200000000000002E-3</v>
      </c>
      <c r="X1502" s="254">
        <f t="shared" si="190"/>
        <v>3.7200000000000002E-3</v>
      </c>
      <c r="Y1502" s="254">
        <v>3.7200000000000002E-3</v>
      </c>
      <c r="Z1502" s="254">
        <v>3.7200000000000002E-3</v>
      </c>
      <c r="AA1502" s="254">
        <v>3.7200000000000002E-3</v>
      </c>
      <c r="AB1502" s="254">
        <v>5.4739999999999997E-3</v>
      </c>
      <c r="AC1502" s="254">
        <f t="shared" si="191"/>
        <v>5.4739999999999997E-3</v>
      </c>
      <c r="AD1502" s="254">
        <f t="shared" si="191"/>
        <v>5.4739999999999997E-3</v>
      </c>
      <c r="AE1502" s="76"/>
      <c r="AF1502" s="76"/>
      <c r="AG1502" s="76"/>
      <c r="AH1502" s="97">
        <v>1</v>
      </c>
      <c r="AI1502" s="97">
        <v>1</v>
      </c>
      <c r="AJ1502" s="73"/>
      <c r="AK1502" s="57"/>
      <c r="AL1502" s="45"/>
      <c r="AM1502" s="45"/>
      <c r="AN1502" s="45"/>
    </row>
    <row r="1503" spans="1:40" hidden="1" outlineLevel="2" x14ac:dyDescent="0.25">
      <c r="A1503" s="45"/>
      <c r="B1503" s="54"/>
      <c r="C1503" s="47">
        <f t="shared" ref="C1503:C1512" si="192">INT($C$29)+3</f>
        <v>4</v>
      </c>
      <c r="D1503" s="73"/>
      <c r="E1503" s="70"/>
      <c r="F1503" s="70" t="s">
        <v>2419</v>
      </c>
      <c r="G1503" s="73"/>
      <c r="H1503" s="377" t="s">
        <v>2815</v>
      </c>
      <c r="I1503" s="76"/>
      <c r="J1503" s="76"/>
      <c r="K1503" s="76"/>
      <c r="L1503" s="76"/>
      <c r="M1503" s="76"/>
      <c r="N1503" s="76"/>
      <c r="O1503" s="76"/>
      <c r="P1503" s="76"/>
      <c r="Q1503" s="76"/>
      <c r="R1503" s="76"/>
      <c r="S1503" s="76"/>
      <c r="T1503" s="76"/>
      <c r="U1503" s="97">
        <v>-5.1499999999999997E-2</v>
      </c>
      <c r="V1503" s="254">
        <f t="shared" si="189"/>
        <v>-5.1499999999999997E-2</v>
      </c>
      <c r="W1503" s="254">
        <f t="shared" si="190"/>
        <v>-5.1499999999999997E-2</v>
      </c>
      <c r="X1503" s="254">
        <f t="shared" si="190"/>
        <v>-5.1499999999999997E-2</v>
      </c>
      <c r="Y1503" s="254">
        <v>-5.1499999999999997E-2</v>
      </c>
      <c r="Z1503" s="254">
        <v>-5.1499999999999997E-2</v>
      </c>
      <c r="AA1503" s="254">
        <v>-5.1499999999999997E-2</v>
      </c>
      <c r="AB1503" s="254">
        <v>-2.75E-2</v>
      </c>
      <c r="AC1503" s="254">
        <f t="shared" si="191"/>
        <v>-2.75E-2</v>
      </c>
      <c r="AD1503" s="254">
        <f t="shared" si="191"/>
        <v>-2.75E-2</v>
      </c>
      <c r="AE1503" s="76"/>
      <c r="AF1503" s="76"/>
      <c r="AG1503" s="76"/>
      <c r="AH1503" s="97">
        <v>1</v>
      </c>
      <c r="AI1503" s="97">
        <v>1</v>
      </c>
      <c r="AJ1503" s="73"/>
      <c r="AK1503" s="57"/>
      <c r="AL1503" s="45"/>
      <c r="AM1503" s="45"/>
      <c r="AN1503" s="45"/>
    </row>
    <row r="1504" spans="1:40" hidden="1" outlineLevel="2" x14ac:dyDescent="0.25">
      <c r="A1504" s="45"/>
      <c r="B1504" s="54"/>
      <c r="C1504" s="47">
        <f t="shared" si="192"/>
        <v>4</v>
      </c>
      <c r="D1504" s="73"/>
      <c r="E1504" s="70"/>
      <c r="F1504" s="70" t="s">
        <v>2420</v>
      </c>
      <c r="G1504" s="73"/>
      <c r="H1504" s="377" t="s">
        <v>2816</v>
      </c>
      <c r="I1504" s="76"/>
      <c r="J1504" s="76"/>
      <c r="K1504" s="76"/>
      <c r="L1504" s="76"/>
      <c r="M1504" s="76"/>
      <c r="N1504" s="76"/>
      <c r="O1504" s="76"/>
      <c r="P1504" s="76"/>
      <c r="Q1504" s="76"/>
      <c r="R1504" s="76"/>
      <c r="S1504" s="76"/>
      <c r="T1504" s="76"/>
      <c r="U1504" s="97">
        <f>-U1503/(2*9.5*30.4)</f>
        <v>8.916204986149583E-5</v>
      </c>
      <c r="V1504" s="254">
        <f t="shared" si="189"/>
        <v>8.916204986149583E-5</v>
      </c>
      <c r="W1504" s="254">
        <f t="shared" si="190"/>
        <v>8.916204986149583E-5</v>
      </c>
      <c r="X1504" s="254">
        <f t="shared" si="190"/>
        <v>8.916204986149583E-5</v>
      </c>
      <c r="Y1504" s="254">
        <v>8.916204986149583E-5</v>
      </c>
      <c r="Z1504" s="254">
        <v>8.916204986149583E-5</v>
      </c>
      <c r="AA1504" s="254">
        <v>8.916204986149583E-5</v>
      </c>
      <c r="AB1504" s="254">
        <v>4.7610803324099718E-5</v>
      </c>
      <c r="AC1504" s="254">
        <f t="shared" si="191"/>
        <v>4.7610803324099718E-5</v>
      </c>
      <c r="AD1504" s="254">
        <f t="shared" si="191"/>
        <v>4.7610803324099718E-5</v>
      </c>
      <c r="AE1504" s="76"/>
      <c r="AF1504" s="76"/>
      <c r="AG1504" s="76"/>
      <c r="AH1504" s="76">
        <v>1</v>
      </c>
      <c r="AI1504" s="76">
        <v>1</v>
      </c>
      <c r="AJ1504" s="73"/>
      <c r="AK1504" s="57"/>
      <c r="AL1504" s="45"/>
      <c r="AM1504" s="45"/>
      <c r="AN1504" s="45"/>
    </row>
    <row r="1505" spans="1:40" hidden="1" outlineLevel="2" collapsed="1" x14ac:dyDescent="0.25">
      <c r="A1505" s="45"/>
      <c r="B1505" s="54"/>
      <c r="C1505" s="47">
        <f t="shared" si="192"/>
        <v>4</v>
      </c>
      <c r="D1505" s="73"/>
      <c r="E1505" s="70"/>
      <c r="F1505" s="70" t="s">
        <v>2421</v>
      </c>
      <c r="G1505" s="73"/>
      <c r="H1505" s="377" t="s">
        <v>2817</v>
      </c>
      <c r="I1505" s="76"/>
      <c r="J1505" s="76"/>
      <c r="K1505" s="76"/>
      <c r="L1505" s="76"/>
      <c r="M1505" s="76"/>
      <c r="N1505" s="76"/>
      <c r="O1505" s="76"/>
      <c r="P1505" s="76"/>
      <c r="Q1505" s="76"/>
      <c r="R1505" s="76"/>
      <c r="S1505" s="76"/>
      <c r="T1505" s="76"/>
      <c r="U1505" s="97">
        <v>-4.0000000000000001E-3</v>
      </c>
      <c r="V1505" s="254">
        <f t="shared" si="189"/>
        <v>-4.0000000000000001E-3</v>
      </c>
      <c r="W1505" s="254">
        <f t="shared" si="190"/>
        <v>-4.0000000000000001E-3</v>
      </c>
      <c r="X1505" s="254">
        <f t="shared" si="190"/>
        <v>-4.0000000000000001E-3</v>
      </c>
      <c r="Y1505" s="254">
        <v>-4.0000000000000001E-3</v>
      </c>
      <c r="Z1505" s="254">
        <v>-4.0000000000000001E-3</v>
      </c>
      <c r="AA1505" s="254">
        <v>-4.0000000000000001E-3</v>
      </c>
      <c r="AB1505" s="254">
        <v>-4.0000000000000001E-3</v>
      </c>
      <c r="AC1505" s="254">
        <f t="shared" si="191"/>
        <v>-4.0000000000000001E-3</v>
      </c>
      <c r="AD1505" s="254">
        <f t="shared" si="191"/>
        <v>-4.0000000000000001E-3</v>
      </c>
      <c r="AE1505" s="76"/>
      <c r="AF1505" s="76"/>
      <c r="AG1505" s="76"/>
      <c r="AH1505" s="97">
        <v>1</v>
      </c>
      <c r="AI1505" s="97">
        <v>1</v>
      </c>
      <c r="AJ1505" s="73"/>
      <c r="AK1505" s="57"/>
      <c r="AL1505" s="45"/>
      <c r="AM1505" s="45"/>
      <c r="AN1505" s="45"/>
    </row>
    <row r="1506" spans="1:40" hidden="1" outlineLevel="3" x14ac:dyDescent="0.25">
      <c r="A1506" s="45"/>
      <c r="B1506" s="54"/>
      <c r="C1506" s="47">
        <f t="shared" si="192"/>
        <v>4</v>
      </c>
      <c r="D1506" s="73"/>
      <c r="E1506" s="70"/>
      <c r="F1506" s="70" t="s">
        <v>2422</v>
      </c>
      <c r="G1506" s="73"/>
      <c r="H1506" s="376" t="s">
        <v>2818</v>
      </c>
      <c r="I1506" s="76"/>
      <c r="J1506" s="76"/>
      <c r="K1506" s="76"/>
      <c r="L1506" s="76"/>
      <c r="M1506" s="76"/>
      <c r="N1506" s="76"/>
      <c r="O1506" s="76"/>
      <c r="P1506" s="76"/>
      <c r="Q1506" s="76"/>
      <c r="R1506" s="76"/>
      <c r="S1506" s="76"/>
      <c r="T1506" s="76"/>
      <c r="U1506" s="76">
        <v>0</v>
      </c>
      <c r="V1506" s="76">
        <v>0</v>
      </c>
      <c r="W1506" s="76">
        <v>0</v>
      </c>
      <c r="X1506" s="76">
        <v>0</v>
      </c>
      <c r="Y1506" s="76">
        <v>0</v>
      </c>
      <c r="Z1506" s="76">
        <v>0</v>
      </c>
      <c r="AA1506" s="76">
        <v>0</v>
      </c>
      <c r="AB1506" s="76">
        <v>0</v>
      </c>
      <c r="AC1506" s="76">
        <v>0</v>
      </c>
      <c r="AD1506" s="76">
        <v>0</v>
      </c>
      <c r="AE1506" s="76"/>
      <c r="AF1506" s="76"/>
      <c r="AG1506" s="76"/>
      <c r="AH1506" s="76">
        <v>1</v>
      </c>
      <c r="AI1506" s="76">
        <v>1</v>
      </c>
      <c r="AJ1506" s="73"/>
      <c r="AK1506" s="57"/>
      <c r="AL1506" s="45"/>
      <c r="AM1506" s="45"/>
      <c r="AN1506" s="45"/>
    </row>
    <row r="1507" spans="1:40" hidden="1" outlineLevel="2" collapsed="1" x14ac:dyDescent="0.25">
      <c r="A1507" s="45"/>
      <c r="B1507" s="54"/>
      <c r="C1507" s="47">
        <f t="shared" si="192"/>
        <v>4</v>
      </c>
      <c r="D1507" s="73"/>
      <c r="E1507" s="70"/>
      <c r="F1507" s="70" t="s">
        <v>2423</v>
      </c>
      <c r="G1507" s="73"/>
      <c r="H1507" s="377" t="s">
        <v>2819</v>
      </c>
      <c r="I1507" s="76"/>
      <c r="J1507" s="76"/>
      <c r="K1507" s="76"/>
      <c r="L1507" s="76"/>
      <c r="M1507" s="76"/>
      <c r="N1507" s="76"/>
      <c r="O1507" s="76"/>
      <c r="P1507" s="76"/>
      <c r="Q1507" s="76"/>
      <c r="R1507" s="76"/>
      <c r="S1507" s="76"/>
      <c r="T1507" s="76"/>
      <c r="U1507" s="97">
        <v>-2.75E-2</v>
      </c>
      <c r="V1507" s="254">
        <f>U1507</f>
        <v>-2.75E-2</v>
      </c>
      <c r="W1507" s="254">
        <f>U1507</f>
        <v>-2.75E-2</v>
      </c>
      <c r="X1507" s="254">
        <f>V1507</f>
        <v>-2.75E-2</v>
      </c>
      <c r="Y1507" s="254">
        <v>-2.75E-2</v>
      </c>
      <c r="Z1507" s="254">
        <v>-2.75E-2</v>
      </c>
      <c r="AA1507" s="254">
        <v>-2.75E-2</v>
      </c>
      <c r="AB1507" s="254">
        <v>-2.5499999999999998E-2</v>
      </c>
      <c r="AC1507" s="254">
        <f>AB1507</f>
        <v>-2.5499999999999998E-2</v>
      </c>
      <c r="AD1507" s="254">
        <f>AC1507</f>
        <v>-2.5499999999999998E-2</v>
      </c>
      <c r="AE1507" s="76"/>
      <c r="AF1507" s="76"/>
      <c r="AG1507" s="76"/>
      <c r="AH1507" s="97">
        <v>1</v>
      </c>
      <c r="AI1507" s="97">
        <v>1</v>
      </c>
      <c r="AJ1507" s="73"/>
      <c r="AK1507" s="57"/>
      <c r="AL1507" s="45"/>
      <c r="AM1507" s="45"/>
      <c r="AN1507" s="45"/>
    </row>
    <row r="1508" spans="1:40" hidden="1" outlineLevel="3" x14ac:dyDescent="0.25">
      <c r="A1508" s="45"/>
      <c r="B1508" s="54"/>
      <c r="C1508" s="47">
        <f t="shared" si="192"/>
        <v>4</v>
      </c>
      <c r="D1508" s="73"/>
      <c r="E1508" s="70"/>
      <c r="F1508" s="70" t="s">
        <v>2424</v>
      </c>
      <c r="G1508" s="73"/>
      <c r="H1508" s="376" t="s">
        <v>2820</v>
      </c>
      <c r="I1508" s="76"/>
      <c r="J1508" s="76"/>
      <c r="K1508" s="76"/>
      <c r="L1508" s="76"/>
      <c r="M1508" s="76"/>
      <c r="N1508" s="76"/>
      <c r="O1508" s="76"/>
      <c r="P1508" s="76"/>
      <c r="Q1508" s="76"/>
      <c r="R1508" s="76"/>
      <c r="S1508" s="76"/>
      <c r="T1508" s="76"/>
      <c r="U1508" s="76">
        <v>0</v>
      </c>
      <c r="V1508" s="76">
        <v>0</v>
      </c>
      <c r="W1508" s="76">
        <v>0</v>
      </c>
      <c r="X1508" s="76">
        <v>0</v>
      </c>
      <c r="Y1508" s="76">
        <v>0</v>
      </c>
      <c r="Z1508" s="76">
        <v>0</v>
      </c>
      <c r="AA1508" s="76">
        <v>0</v>
      </c>
      <c r="AB1508" s="76">
        <v>0</v>
      </c>
      <c r="AC1508" s="76">
        <v>0</v>
      </c>
      <c r="AD1508" s="76">
        <v>0</v>
      </c>
      <c r="AE1508" s="76"/>
      <c r="AF1508" s="76"/>
      <c r="AG1508" s="76"/>
      <c r="AH1508" s="76">
        <v>1</v>
      </c>
      <c r="AI1508" s="76">
        <v>1</v>
      </c>
      <c r="AJ1508" s="73"/>
      <c r="AK1508" s="57"/>
      <c r="AL1508" s="45"/>
      <c r="AM1508" s="45"/>
      <c r="AN1508" s="45"/>
    </row>
    <row r="1509" spans="1:40" hidden="1" outlineLevel="3" x14ac:dyDescent="0.25">
      <c r="A1509" s="45"/>
      <c r="B1509" s="54"/>
      <c r="C1509" s="47">
        <f t="shared" si="192"/>
        <v>4</v>
      </c>
      <c r="D1509" s="73"/>
      <c r="E1509" s="70"/>
      <c r="F1509" s="70" t="str">
        <f>SUBSTITUTE(F1505,",4)",",8)")</f>
        <v>C(U2,24,8)</v>
      </c>
      <c r="G1509" s="73"/>
      <c r="H1509" s="377" t="s">
        <v>2814</v>
      </c>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2" x14ac:dyDescent="0.25">
      <c r="A1510" s="45"/>
      <c r="B1510" s="54"/>
      <c r="C1510" s="47">
        <f t="shared" si="192"/>
        <v>4</v>
      </c>
      <c r="D1510" s="73"/>
      <c r="E1510" s="70"/>
      <c r="F1510" s="70" t="str">
        <f>SUBSTITUTE(F1506,",5)",",9)")</f>
        <v>C(U2,24,9)</v>
      </c>
      <c r="G1510" s="73"/>
      <c r="H1510" s="377" t="s">
        <v>2811</v>
      </c>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2" x14ac:dyDescent="0.25">
      <c r="A1511" s="45"/>
      <c r="B1511" s="54"/>
      <c r="C1511" s="47">
        <f t="shared" si="192"/>
        <v>4</v>
      </c>
      <c r="D1511" s="73"/>
      <c r="E1511" s="70"/>
      <c r="F1511" s="70" t="str">
        <f>SUBSTITUTE(F1507,",6)",",10)")</f>
        <v>C(U2,24,10)</v>
      </c>
      <c r="G1511" s="73"/>
      <c r="H1511" s="377" t="s">
        <v>2812</v>
      </c>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2" x14ac:dyDescent="0.25">
      <c r="A1512" s="45"/>
      <c r="B1512" s="54"/>
      <c r="C1512" s="47">
        <f t="shared" si="192"/>
        <v>4</v>
      </c>
      <c r="D1512" s="73"/>
      <c r="E1512" s="70"/>
      <c r="F1512" s="70" t="str">
        <f>SUBSTITUTE(F1508,",7)",",11)")</f>
        <v>C(U2,24,11)</v>
      </c>
      <c r="G1512" s="73"/>
      <c r="H1512" s="377" t="s">
        <v>2813</v>
      </c>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2" x14ac:dyDescent="0.25">
      <c r="A1513" s="45"/>
      <c r="B1513" s="54"/>
      <c r="C1513" s="47">
        <f>INT($C$29)+2</f>
        <v>3</v>
      </c>
      <c r="D1513" s="73"/>
      <c r="E1513" s="70"/>
      <c r="F1513" s="70" t="s">
        <v>2425</v>
      </c>
      <c r="G1513" s="73"/>
      <c r="H1513" s="76" t="s">
        <v>2821</v>
      </c>
      <c r="I1513" s="76"/>
      <c r="J1513" s="76"/>
      <c r="K1513" s="76"/>
      <c r="L1513" s="76"/>
      <c r="M1513" s="76"/>
      <c r="N1513" s="76"/>
      <c r="O1513" s="76"/>
      <c r="P1513" s="76"/>
      <c r="Q1513" s="76"/>
      <c r="R1513" s="76"/>
      <c r="S1513" s="76"/>
      <c r="T1513" s="76"/>
      <c r="U1513" s="97">
        <f>19.4829</f>
        <v>19.482900000000001</v>
      </c>
      <c r="V1513" s="254">
        <f>U1513</f>
        <v>19.482900000000001</v>
      </c>
      <c r="W1513" s="254">
        <f t="shared" ref="W1513:X1516" si="193">U1513</f>
        <v>19.482900000000001</v>
      </c>
      <c r="X1513" s="254">
        <f t="shared" si="193"/>
        <v>19.482900000000001</v>
      </c>
      <c r="Y1513" s="254">
        <v>19.482900000000001</v>
      </c>
      <c r="Z1513" s="254">
        <v>19.482900000000001</v>
      </c>
      <c r="AA1513" s="254">
        <v>19.482900000000001</v>
      </c>
      <c r="AB1513" s="254">
        <v>16.702999999999999</v>
      </c>
      <c r="AC1513" s="254">
        <f t="shared" ref="AC1513:AD1516" si="194">AB1513</f>
        <v>16.702999999999999</v>
      </c>
      <c r="AD1513" s="254">
        <f t="shared" si="194"/>
        <v>16.702999999999999</v>
      </c>
      <c r="AE1513" s="76"/>
      <c r="AF1513" s="76"/>
      <c r="AG1513" s="76"/>
      <c r="AH1513" s="97">
        <v>1</v>
      </c>
      <c r="AI1513" s="97">
        <v>1</v>
      </c>
      <c r="AJ1513" s="73"/>
      <c r="AK1513" s="57"/>
      <c r="AL1513" s="45"/>
      <c r="AM1513" s="45"/>
      <c r="AN1513" s="45"/>
    </row>
    <row r="1514" spans="1:40" hidden="1" outlineLevel="2" x14ac:dyDescent="0.25">
      <c r="A1514" s="45"/>
      <c r="B1514" s="54"/>
      <c r="C1514" s="47">
        <f>INT($C$29)+2</f>
        <v>3</v>
      </c>
      <c r="D1514" s="73"/>
      <c r="E1514" s="70"/>
      <c r="F1514" s="70" t="s">
        <v>2474</v>
      </c>
      <c r="G1514" s="73"/>
      <c r="H1514" s="76" t="s">
        <v>2538</v>
      </c>
      <c r="I1514" s="76"/>
      <c r="J1514" s="76"/>
      <c r="K1514" s="76"/>
      <c r="L1514" s="76"/>
      <c r="M1514" s="76"/>
      <c r="N1514" s="76"/>
      <c r="O1514" s="76"/>
      <c r="P1514" s="76"/>
      <c r="Q1514" s="76"/>
      <c r="R1514" s="76"/>
      <c r="S1514" s="76"/>
      <c r="T1514" s="76"/>
      <c r="U1514" s="97">
        <v>-9.8000000000000004E-2</v>
      </c>
      <c r="V1514" s="254">
        <f>U1514</f>
        <v>-9.8000000000000004E-2</v>
      </c>
      <c r="W1514" s="254">
        <f t="shared" si="193"/>
        <v>-9.8000000000000004E-2</v>
      </c>
      <c r="X1514" s="254">
        <f t="shared" si="193"/>
        <v>-9.8000000000000004E-2</v>
      </c>
      <c r="Y1514" s="254">
        <v>-9.8000000000000004E-2</v>
      </c>
      <c r="Z1514" s="254">
        <v>-9.8000000000000004E-2</v>
      </c>
      <c r="AA1514" s="254">
        <v>-9.8000000000000004E-2</v>
      </c>
      <c r="AB1514" s="254">
        <v>-3.9480000000000001E-2</v>
      </c>
      <c r="AC1514" s="254">
        <f t="shared" si="194"/>
        <v>-3.9480000000000001E-2</v>
      </c>
      <c r="AD1514" s="254">
        <f t="shared" si="194"/>
        <v>-3.9480000000000001E-2</v>
      </c>
      <c r="AE1514" s="76"/>
      <c r="AF1514" s="97" t="s">
        <v>2822</v>
      </c>
      <c r="AG1514" s="76"/>
      <c r="AH1514" s="97">
        <v>1</v>
      </c>
      <c r="AI1514" s="97">
        <v>1</v>
      </c>
      <c r="AJ1514" s="73"/>
      <c r="AK1514" s="57"/>
      <c r="AL1514" s="45"/>
      <c r="AM1514" s="45"/>
      <c r="AN1514" s="45"/>
    </row>
    <row r="1515" spans="1:40" hidden="1" outlineLevel="2" collapsed="1" x14ac:dyDescent="0.25">
      <c r="A1515" s="45"/>
      <c r="B1515" s="54"/>
      <c r="C1515" s="47">
        <f>INT($C$29)+2</f>
        <v>3</v>
      </c>
      <c r="D1515" s="73"/>
      <c r="E1515" s="70"/>
      <c r="F1515" s="70" t="s">
        <v>2475</v>
      </c>
      <c r="G1515" s="73"/>
      <c r="H1515" s="76" t="s">
        <v>2498</v>
      </c>
      <c r="I1515" s="76"/>
      <c r="J1515" s="76"/>
      <c r="K1515" s="76"/>
      <c r="L1515" s="76"/>
      <c r="M1515" s="76"/>
      <c r="N1515" s="76"/>
      <c r="O1515" s="76"/>
      <c r="P1515" s="76"/>
      <c r="Q1515" s="76"/>
      <c r="R1515" s="76"/>
      <c r="S1515" s="76"/>
      <c r="T1515" s="76"/>
      <c r="U1515" s="97">
        <v>0</v>
      </c>
      <c r="V1515" s="254">
        <f>U1515</f>
        <v>0</v>
      </c>
      <c r="W1515" s="254">
        <f t="shared" si="193"/>
        <v>0</v>
      </c>
      <c r="X1515" s="254">
        <f t="shared" si="193"/>
        <v>0</v>
      </c>
      <c r="Y1515" s="254">
        <v>0</v>
      </c>
      <c r="Z1515" s="254">
        <v>0</v>
      </c>
      <c r="AA1515" s="254">
        <v>0</v>
      </c>
      <c r="AB1515" s="254">
        <v>0</v>
      </c>
      <c r="AC1515" s="254">
        <f t="shared" si="194"/>
        <v>0</v>
      </c>
      <c r="AD1515" s="254">
        <f t="shared" si="194"/>
        <v>0</v>
      </c>
      <c r="AE1515" s="76"/>
      <c r="AF1515" s="76"/>
      <c r="AG1515" s="76"/>
      <c r="AH1515" s="97">
        <v>1</v>
      </c>
      <c r="AI1515" s="97">
        <v>1</v>
      </c>
      <c r="AJ1515" s="73"/>
      <c r="AK1515" s="57"/>
      <c r="AL1515" s="45"/>
      <c r="AM1515" s="45"/>
      <c r="AN1515" s="45"/>
    </row>
    <row r="1516" spans="1:40" hidden="1" outlineLevel="3" collapsed="1" x14ac:dyDescent="0.25">
      <c r="A1516" s="45"/>
      <c r="B1516" s="54"/>
      <c r="C1516" s="47">
        <f t="shared" ref="C1516:C1525" si="195">INT($C$29)+3</f>
        <v>4</v>
      </c>
      <c r="D1516" s="73"/>
      <c r="E1516" s="70"/>
      <c r="F1516" s="70" t="s">
        <v>2476</v>
      </c>
      <c r="G1516" s="73"/>
      <c r="H1516" s="377" t="s">
        <v>2499</v>
      </c>
      <c r="I1516" s="76"/>
      <c r="J1516" s="76"/>
      <c r="K1516" s="76"/>
      <c r="L1516" s="76"/>
      <c r="M1516" s="76"/>
      <c r="N1516" s="76"/>
      <c r="O1516" s="76"/>
      <c r="P1516" s="76"/>
      <c r="Q1516" s="76"/>
      <c r="R1516" s="76"/>
      <c r="S1516" s="76"/>
      <c r="T1516" s="76"/>
      <c r="U1516" s="97">
        <v>0</v>
      </c>
      <c r="V1516" s="254">
        <f>U1516</f>
        <v>0</v>
      </c>
      <c r="W1516" s="254">
        <f t="shared" si="193"/>
        <v>0</v>
      </c>
      <c r="X1516" s="254">
        <f t="shared" si="193"/>
        <v>0</v>
      </c>
      <c r="Y1516" s="254">
        <v>0</v>
      </c>
      <c r="Z1516" s="254">
        <v>0</v>
      </c>
      <c r="AA1516" s="254">
        <v>0</v>
      </c>
      <c r="AB1516" s="254">
        <v>0</v>
      </c>
      <c r="AC1516" s="254">
        <f t="shared" si="194"/>
        <v>0</v>
      </c>
      <c r="AD1516" s="254">
        <f t="shared" si="194"/>
        <v>0</v>
      </c>
      <c r="AE1516" s="76"/>
      <c r="AF1516" s="76"/>
      <c r="AG1516" s="76"/>
      <c r="AH1516" s="97">
        <v>1</v>
      </c>
      <c r="AI1516" s="97">
        <v>1</v>
      </c>
      <c r="AJ1516" s="73"/>
      <c r="AK1516" s="57"/>
      <c r="AL1516" s="45"/>
      <c r="AM1516" s="45"/>
      <c r="AN1516" s="45"/>
    </row>
    <row r="1517" spans="1:40" hidden="1" outlineLevel="3" x14ac:dyDescent="0.25">
      <c r="A1517" s="45"/>
      <c r="B1517" s="54"/>
      <c r="C1517" s="47">
        <f t="shared" si="195"/>
        <v>4</v>
      </c>
      <c r="D1517" s="73"/>
      <c r="E1517" s="70"/>
      <c r="F1517" s="70" t="s">
        <v>2477</v>
      </c>
      <c r="G1517" s="73"/>
      <c r="H1517" s="377" t="s">
        <v>2757</v>
      </c>
      <c r="I1517" s="76"/>
      <c r="J1517" s="76"/>
      <c r="K1517" s="76"/>
      <c r="L1517" s="76"/>
      <c r="M1517" s="76"/>
      <c r="N1517" s="76"/>
      <c r="O1517" s="76"/>
      <c r="P1517" s="76"/>
      <c r="Q1517" s="76"/>
      <c r="R1517" s="76"/>
      <c r="S1517" s="76"/>
      <c r="T1517" s="76"/>
      <c r="U1517" s="76">
        <v>0</v>
      </c>
      <c r="V1517" s="76">
        <v>0</v>
      </c>
      <c r="W1517" s="76">
        <v>0</v>
      </c>
      <c r="X1517" s="76">
        <v>0</v>
      </c>
      <c r="Y1517" s="76">
        <v>0</v>
      </c>
      <c r="Z1517" s="76">
        <v>0</v>
      </c>
      <c r="AA1517" s="76">
        <v>0</v>
      </c>
      <c r="AB1517" s="76">
        <v>0</v>
      </c>
      <c r="AC1517" s="76">
        <v>0</v>
      </c>
      <c r="AD1517" s="76">
        <v>0</v>
      </c>
      <c r="AE1517" s="76"/>
      <c r="AF1517" s="76"/>
      <c r="AG1517" s="76"/>
      <c r="AH1517" s="76">
        <v>1</v>
      </c>
      <c r="AI1517" s="76">
        <v>1</v>
      </c>
      <c r="AJ1517" s="73"/>
      <c r="AK1517" s="57"/>
      <c r="AL1517" s="45"/>
      <c r="AM1517" s="45"/>
      <c r="AN1517" s="45"/>
    </row>
    <row r="1518" spans="1:40" hidden="1" outlineLevel="2" collapsed="1" x14ac:dyDescent="0.25">
      <c r="A1518" s="45"/>
      <c r="B1518" s="54"/>
      <c r="C1518" s="47">
        <f t="shared" si="195"/>
        <v>4</v>
      </c>
      <c r="D1518" s="73"/>
      <c r="E1518" s="70"/>
      <c r="F1518" s="70" t="s">
        <v>2478</v>
      </c>
      <c r="G1518" s="73"/>
      <c r="H1518" s="377" t="s">
        <v>2500</v>
      </c>
      <c r="I1518" s="76"/>
      <c r="J1518" s="76"/>
      <c r="K1518" s="76"/>
      <c r="L1518" s="76"/>
      <c r="M1518" s="76"/>
      <c r="N1518" s="76"/>
      <c r="O1518" s="76"/>
      <c r="P1518" s="76"/>
      <c r="Q1518" s="76"/>
      <c r="R1518" s="76"/>
      <c r="S1518" s="76"/>
      <c r="T1518" s="76"/>
      <c r="U1518" s="97">
        <v>0</v>
      </c>
      <c r="V1518" s="254">
        <f>U1518</f>
        <v>0</v>
      </c>
      <c r="W1518" s="254">
        <f>U1518</f>
        <v>0</v>
      </c>
      <c r="X1518" s="254">
        <f>V1518</f>
        <v>0</v>
      </c>
      <c r="Y1518" s="254">
        <v>0</v>
      </c>
      <c r="Z1518" s="254">
        <v>0</v>
      </c>
      <c r="AA1518" s="254">
        <v>0</v>
      </c>
      <c r="AB1518" s="254">
        <v>0</v>
      </c>
      <c r="AC1518" s="254">
        <f>AB1518</f>
        <v>0</v>
      </c>
      <c r="AD1518" s="254">
        <f>AC1518</f>
        <v>0</v>
      </c>
      <c r="AE1518" s="76"/>
      <c r="AF1518" s="76"/>
      <c r="AG1518" s="76"/>
      <c r="AH1518" s="97">
        <v>1</v>
      </c>
      <c r="AI1518" s="97">
        <v>1</v>
      </c>
      <c r="AJ1518" s="73"/>
      <c r="AK1518" s="57"/>
      <c r="AL1518" s="45"/>
      <c r="AM1518" s="45"/>
      <c r="AN1518" s="45"/>
    </row>
    <row r="1519" spans="1:40" hidden="1" outlineLevel="3" x14ac:dyDescent="0.25">
      <c r="A1519" s="45"/>
      <c r="B1519" s="54"/>
      <c r="C1519" s="47">
        <f t="shared" si="195"/>
        <v>4</v>
      </c>
      <c r="D1519" s="73"/>
      <c r="E1519" s="70"/>
      <c r="F1519" s="70" t="s">
        <v>2479</v>
      </c>
      <c r="G1519" s="73"/>
      <c r="H1519" s="376" t="s">
        <v>2756</v>
      </c>
      <c r="I1519" s="76"/>
      <c r="J1519" s="76"/>
      <c r="K1519" s="76"/>
      <c r="L1519" s="76"/>
      <c r="M1519" s="76"/>
      <c r="N1519" s="76"/>
      <c r="O1519" s="76"/>
      <c r="P1519" s="76"/>
      <c r="Q1519" s="76"/>
      <c r="R1519" s="76"/>
      <c r="S1519" s="76"/>
      <c r="T1519" s="76"/>
      <c r="U1519" s="76">
        <v>0</v>
      </c>
      <c r="V1519" s="76">
        <v>0</v>
      </c>
      <c r="W1519" s="76">
        <v>0</v>
      </c>
      <c r="X1519" s="76">
        <v>0</v>
      </c>
      <c r="Y1519" s="76">
        <v>0</v>
      </c>
      <c r="Z1519" s="76">
        <v>0</v>
      </c>
      <c r="AA1519" s="76">
        <v>0</v>
      </c>
      <c r="AB1519" s="76">
        <v>0</v>
      </c>
      <c r="AC1519" s="76">
        <v>0</v>
      </c>
      <c r="AD1519" s="76">
        <v>0</v>
      </c>
      <c r="AE1519" s="76"/>
      <c r="AF1519" s="76"/>
      <c r="AG1519" s="76"/>
      <c r="AH1519" s="76">
        <v>1</v>
      </c>
      <c r="AI1519" s="76">
        <v>1</v>
      </c>
      <c r="AJ1519" s="73"/>
      <c r="AK1519" s="57"/>
      <c r="AL1519" s="45"/>
      <c r="AM1519" s="45"/>
      <c r="AN1519" s="45"/>
    </row>
    <row r="1520" spans="1:40" hidden="1" outlineLevel="2" collapsed="1" x14ac:dyDescent="0.25">
      <c r="A1520" s="45"/>
      <c r="B1520" s="54"/>
      <c r="C1520" s="47">
        <f t="shared" si="195"/>
        <v>4</v>
      </c>
      <c r="D1520" s="73"/>
      <c r="E1520" s="70"/>
      <c r="F1520" s="70" t="s">
        <v>2480</v>
      </c>
      <c r="G1520" s="73"/>
      <c r="H1520" s="377" t="s">
        <v>2501</v>
      </c>
      <c r="I1520" s="76"/>
      <c r="J1520" s="76"/>
      <c r="K1520" s="76"/>
      <c r="L1520" s="76"/>
      <c r="M1520" s="76"/>
      <c r="N1520" s="76"/>
      <c r="O1520" s="76"/>
      <c r="P1520" s="76"/>
      <c r="Q1520" s="76"/>
      <c r="R1520" s="76"/>
      <c r="S1520" s="76"/>
      <c r="T1520" s="76"/>
      <c r="U1520" s="97">
        <v>-3.7749999999999999E-2</v>
      </c>
      <c r="V1520" s="254">
        <f>U1520</f>
        <v>-3.7749999999999999E-2</v>
      </c>
      <c r="W1520" s="254">
        <f>U1520</f>
        <v>-3.7749999999999999E-2</v>
      </c>
      <c r="X1520" s="254">
        <f>V1520</f>
        <v>-3.7749999999999999E-2</v>
      </c>
      <c r="Y1520" s="254">
        <v>-3.7749999999999999E-2</v>
      </c>
      <c r="Z1520" s="254">
        <v>-3.7749999999999999E-2</v>
      </c>
      <c r="AA1520" s="254">
        <v>-3.7749999999999999E-2</v>
      </c>
      <c r="AB1520" s="254">
        <v>-2.775E-2</v>
      </c>
      <c r="AC1520" s="254">
        <f>AB1520</f>
        <v>-2.775E-2</v>
      </c>
      <c r="AD1520" s="254">
        <f>AC1520</f>
        <v>-2.775E-2</v>
      </c>
      <c r="AE1520" s="76"/>
      <c r="AF1520" s="76"/>
      <c r="AG1520" s="76"/>
      <c r="AH1520" s="97">
        <v>1</v>
      </c>
      <c r="AI1520" s="97">
        <v>1</v>
      </c>
      <c r="AJ1520" s="73"/>
      <c r="AK1520" s="57"/>
      <c r="AL1520" s="45"/>
      <c r="AM1520" s="45"/>
      <c r="AN1520" s="45"/>
    </row>
    <row r="1521" spans="1:40" hidden="1" outlineLevel="3" x14ac:dyDescent="0.25">
      <c r="A1521" s="45"/>
      <c r="B1521" s="54"/>
      <c r="C1521" s="47">
        <f t="shared" si="195"/>
        <v>4</v>
      </c>
      <c r="D1521" s="73"/>
      <c r="E1521" s="70"/>
      <c r="F1521" s="70" t="s">
        <v>2481</v>
      </c>
      <c r="G1521" s="73"/>
      <c r="H1521" s="376" t="s">
        <v>2758</v>
      </c>
      <c r="I1521" s="76"/>
      <c r="J1521" s="76"/>
      <c r="K1521" s="76"/>
      <c r="L1521" s="76"/>
      <c r="M1521" s="76"/>
      <c r="N1521" s="76"/>
      <c r="O1521" s="76"/>
      <c r="P1521" s="76"/>
      <c r="Q1521" s="76"/>
      <c r="R1521" s="76"/>
      <c r="S1521" s="76"/>
      <c r="T1521" s="76"/>
      <c r="U1521" s="76">
        <v>0</v>
      </c>
      <c r="V1521" s="76">
        <v>0</v>
      </c>
      <c r="W1521" s="76">
        <v>0</v>
      </c>
      <c r="X1521" s="76">
        <v>0</v>
      </c>
      <c r="Y1521" s="76">
        <v>0</v>
      </c>
      <c r="Z1521" s="76">
        <v>0</v>
      </c>
      <c r="AA1521" s="76">
        <v>0</v>
      </c>
      <c r="AB1521" s="76">
        <v>0</v>
      </c>
      <c r="AC1521" s="76">
        <v>0</v>
      </c>
      <c r="AD1521" s="76">
        <v>0</v>
      </c>
      <c r="AE1521" s="76"/>
      <c r="AF1521" s="76"/>
      <c r="AG1521" s="76"/>
      <c r="AH1521" s="76">
        <v>1</v>
      </c>
      <c r="AI1521" s="76">
        <v>1</v>
      </c>
      <c r="AJ1521" s="73"/>
      <c r="AK1521" s="57"/>
      <c r="AL1521" s="45"/>
      <c r="AM1521" s="45"/>
      <c r="AN1521" s="45"/>
    </row>
    <row r="1522" spans="1:40" hidden="1" outlineLevel="2" x14ac:dyDescent="0.25">
      <c r="A1522" s="45"/>
      <c r="B1522" s="54"/>
      <c r="C1522" s="47">
        <f t="shared" si="195"/>
        <v>4</v>
      </c>
      <c r="D1522" s="73"/>
      <c r="E1522" s="70"/>
      <c r="F1522" s="70" t="str">
        <f>SUBSTITUTE(F1518,",4)",",8)")</f>
        <v>C(U2,25,8)</v>
      </c>
      <c r="G1522" s="73"/>
      <c r="H1522" s="377" t="s">
        <v>2753</v>
      </c>
      <c r="I1522" s="96"/>
      <c r="J1522" s="76"/>
      <c r="K1522" s="76"/>
      <c r="L1522" s="76"/>
      <c r="M1522" s="76"/>
      <c r="N1522" s="76"/>
      <c r="O1522" s="76"/>
      <c r="P1522" s="76"/>
      <c r="Q1522" s="76"/>
      <c r="R1522" s="76"/>
      <c r="S1522" s="76"/>
      <c r="T1522" s="76"/>
      <c r="U1522" s="97">
        <v>0.05</v>
      </c>
      <c r="V1522" s="254">
        <f>U1522</f>
        <v>0.05</v>
      </c>
      <c r="W1522" s="254">
        <f t="shared" ref="W1522:X1526" si="196">U1522</f>
        <v>0.05</v>
      </c>
      <c r="X1522" s="254">
        <f t="shared" si="196"/>
        <v>0.05</v>
      </c>
      <c r="Y1522" s="254">
        <v>0.05</v>
      </c>
      <c r="Z1522" s="254">
        <v>0.05</v>
      </c>
      <c r="AA1522" s="254">
        <v>0.05</v>
      </c>
      <c r="AB1522" s="254">
        <v>0</v>
      </c>
      <c r="AC1522" s="254">
        <f t="shared" ref="AC1522:AD1526" si="197">AB1522</f>
        <v>0</v>
      </c>
      <c r="AD1522" s="254">
        <f t="shared" si="197"/>
        <v>0</v>
      </c>
      <c r="AE1522" s="76"/>
      <c r="AF1522" s="76"/>
      <c r="AG1522" s="76"/>
      <c r="AH1522" s="76">
        <v>1</v>
      </c>
      <c r="AI1522" s="76">
        <v>1</v>
      </c>
      <c r="AJ1522" s="73"/>
      <c r="AK1522" s="57"/>
      <c r="AL1522" s="45"/>
      <c r="AM1522" s="45"/>
      <c r="AN1522" s="45"/>
    </row>
    <row r="1523" spans="1:40" hidden="1" outlineLevel="2" x14ac:dyDescent="0.25">
      <c r="A1523" s="45"/>
      <c r="B1523" s="54"/>
      <c r="C1523" s="47">
        <f t="shared" si="195"/>
        <v>4</v>
      </c>
      <c r="D1523" s="73"/>
      <c r="E1523" s="70"/>
      <c r="F1523" s="70" t="str">
        <f>SUBSTITUTE(F1519,",5)",",9)")</f>
        <v>C(U2,25,9)</v>
      </c>
      <c r="G1523" s="73"/>
      <c r="H1523" s="377" t="s">
        <v>2810</v>
      </c>
      <c r="I1523" s="96"/>
      <c r="J1523" s="76"/>
      <c r="K1523" s="76"/>
      <c r="L1523" s="76"/>
      <c r="M1523" s="76"/>
      <c r="N1523" s="76"/>
      <c r="O1523" s="76"/>
      <c r="P1523" s="76"/>
      <c r="Q1523" s="76"/>
      <c r="R1523" s="76"/>
      <c r="S1523" s="76"/>
      <c r="T1523" s="76"/>
      <c r="U1523" s="97">
        <v>-9.3500000000000007E-3</v>
      </c>
      <c r="V1523" s="254">
        <f>U1523</f>
        <v>-9.3500000000000007E-3</v>
      </c>
      <c r="W1523" s="254">
        <f t="shared" si="196"/>
        <v>-9.3500000000000007E-3</v>
      </c>
      <c r="X1523" s="254">
        <f t="shared" si="196"/>
        <v>-9.3500000000000007E-3</v>
      </c>
      <c r="Y1523" s="254">
        <v>-9.3500000000000007E-3</v>
      </c>
      <c r="Z1523" s="254">
        <v>-9.3500000000000007E-3</v>
      </c>
      <c r="AA1523" s="254">
        <v>-9.3500000000000007E-3</v>
      </c>
      <c r="AB1523" s="254">
        <v>-9.3500000000000007E-3</v>
      </c>
      <c r="AC1523" s="254">
        <f t="shared" si="197"/>
        <v>-9.3500000000000007E-3</v>
      </c>
      <c r="AD1523" s="254">
        <f t="shared" si="197"/>
        <v>-9.3500000000000007E-3</v>
      </c>
      <c r="AE1523" s="76"/>
      <c r="AF1523" s="76"/>
      <c r="AG1523" s="76"/>
      <c r="AH1523" s="76">
        <v>1</v>
      </c>
      <c r="AI1523" s="76">
        <v>1</v>
      </c>
      <c r="AJ1523" s="73"/>
      <c r="AK1523" s="57"/>
      <c r="AL1523" s="45"/>
      <c r="AM1523" s="45"/>
      <c r="AN1523" s="45"/>
    </row>
    <row r="1524" spans="1:40" hidden="1" outlineLevel="2" x14ac:dyDescent="0.25">
      <c r="A1524" s="45"/>
      <c r="B1524" s="54"/>
      <c r="C1524" s="47">
        <f t="shared" si="195"/>
        <v>4</v>
      </c>
      <c r="D1524" s="73"/>
      <c r="E1524" s="70"/>
      <c r="F1524" s="70" t="str">
        <f>SUBSTITUTE(F1520,",6)",",10)")</f>
        <v>C(U2,25,10)</v>
      </c>
      <c r="G1524" s="73"/>
      <c r="H1524" s="377" t="s">
        <v>2809</v>
      </c>
      <c r="I1524" s="96"/>
      <c r="J1524" s="76"/>
      <c r="K1524" s="76"/>
      <c r="L1524" s="76"/>
      <c r="M1524" s="76"/>
      <c r="N1524" s="76"/>
      <c r="O1524" s="76"/>
      <c r="P1524" s="76"/>
      <c r="Q1524" s="76"/>
      <c r="R1524" s="76"/>
      <c r="S1524" s="76"/>
      <c r="T1524" s="76"/>
      <c r="U1524" s="97">
        <v>-7.0369200000000003E-3</v>
      </c>
      <c r="V1524" s="254">
        <f>U1524</f>
        <v>-7.0369200000000003E-3</v>
      </c>
      <c r="W1524" s="254">
        <f t="shared" si="196"/>
        <v>-7.0369200000000003E-3</v>
      </c>
      <c r="X1524" s="254">
        <f t="shared" si="196"/>
        <v>-7.0369200000000003E-3</v>
      </c>
      <c r="Y1524" s="254">
        <v>-7.0369200000000003E-3</v>
      </c>
      <c r="Z1524" s="254">
        <v>-7.0369200000000003E-3</v>
      </c>
      <c r="AA1524" s="254">
        <v>-7.0369200000000003E-3</v>
      </c>
      <c r="AB1524" s="254">
        <v>-7.0369200000000003E-3</v>
      </c>
      <c r="AC1524" s="254">
        <f t="shared" si="197"/>
        <v>-7.0369200000000003E-3</v>
      </c>
      <c r="AD1524" s="254">
        <f t="shared" si="197"/>
        <v>-7.0369200000000003E-3</v>
      </c>
      <c r="AE1524" s="76"/>
      <c r="AF1524" s="76"/>
      <c r="AG1524" s="76"/>
      <c r="AH1524" s="76">
        <v>1</v>
      </c>
      <c r="AI1524" s="76">
        <v>1</v>
      </c>
      <c r="AJ1524" s="73"/>
      <c r="AK1524" s="57"/>
      <c r="AL1524" s="45"/>
      <c r="AM1524" s="45"/>
      <c r="AN1524" s="45"/>
    </row>
    <row r="1525" spans="1:40" hidden="1" outlineLevel="2" x14ac:dyDescent="0.25">
      <c r="A1525" s="45"/>
      <c r="B1525" s="54"/>
      <c r="C1525" s="47">
        <f t="shared" si="195"/>
        <v>4</v>
      </c>
      <c r="D1525" s="73"/>
      <c r="E1525" s="70"/>
      <c r="F1525" s="70" t="str">
        <f>SUBSTITUTE(F1521,",7)",",11)")</f>
        <v>C(U2,25,11)</v>
      </c>
      <c r="G1525" s="73"/>
      <c r="H1525" s="377" t="s">
        <v>2759</v>
      </c>
      <c r="I1525" s="96"/>
      <c r="J1525" s="76"/>
      <c r="K1525" s="76"/>
      <c r="L1525" s="76"/>
      <c r="M1525" s="76"/>
      <c r="N1525" s="76"/>
      <c r="O1525" s="76"/>
      <c r="P1525" s="76"/>
      <c r="Q1525" s="76"/>
      <c r="R1525" s="76"/>
      <c r="S1525" s="76"/>
      <c r="T1525" s="76"/>
      <c r="U1525" s="97">
        <v>7.4569999999999999E-5</v>
      </c>
      <c r="V1525" s="254">
        <f>U1525</f>
        <v>7.4569999999999999E-5</v>
      </c>
      <c r="W1525" s="254">
        <f t="shared" si="196"/>
        <v>7.4569999999999999E-5</v>
      </c>
      <c r="X1525" s="254">
        <f t="shared" si="196"/>
        <v>7.4569999999999999E-5</v>
      </c>
      <c r="Y1525" s="254">
        <v>7.4569999999999999E-5</v>
      </c>
      <c r="Z1525" s="254">
        <v>7.4569999999999999E-5</v>
      </c>
      <c r="AA1525" s="254">
        <v>7.4569999999999999E-5</v>
      </c>
      <c r="AB1525" s="254">
        <v>7.4569999999999999E-5</v>
      </c>
      <c r="AC1525" s="254">
        <f t="shared" si="197"/>
        <v>7.4569999999999999E-5</v>
      </c>
      <c r="AD1525" s="254">
        <f t="shared" si="197"/>
        <v>7.4569999999999999E-5</v>
      </c>
      <c r="AE1525" s="76"/>
      <c r="AF1525" s="76"/>
      <c r="AG1525" s="76"/>
      <c r="AH1525" s="76">
        <v>1</v>
      </c>
      <c r="AI1525" s="76">
        <v>1</v>
      </c>
      <c r="AJ1525" s="73"/>
      <c r="AK1525" s="57"/>
      <c r="AL1525" s="45"/>
      <c r="AM1525" s="45"/>
      <c r="AN1525" s="45"/>
    </row>
    <row r="1526" spans="1:40" hidden="1" outlineLevel="2" x14ac:dyDescent="0.25">
      <c r="A1526" s="45"/>
      <c r="B1526" s="54"/>
      <c r="C1526" s="47">
        <f>INT($C$29)+2</f>
        <v>3</v>
      </c>
      <c r="D1526" s="73"/>
      <c r="E1526" s="70"/>
      <c r="F1526" s="70" t="s">
        <v>2482</v>
      </c>
      <c r="G1526" s="73"/>
      <c r="H1526" s="76" t="s">
        <v>2502</v>
      </c>
      <c r="I1526" s="76"/>
      <c r="J1526" s="76"/>
      <c r="K1526" s="76"/>
      <c r="L1526" s="76"/>
      <c r="M1526" s="76"/>
      <c r="N1526" s="76"/>
      <c r="O1526" s="76"/>
      <c r="P1526" s="76"/>
      <c r="Q1526" s="76"/>
      <c r="R1526" s="76"/>
      <c r="S1526" s="76"/>
      <c r="T1526" s="76"/>
      <c r="U1526" s="97">
        <v>-1.8110552</v>
      </c>
      <c r="V1526" s="254">
        <f>U1526</f>
        <v>-1.8110552</v>
      </c>
      <c r="W1526" s="254">
        <f t="shared" si="196"/>
        <v>-1.8110552</v>
      </c>
      <c r="X1526" s="254">
        <f t="shared" si="196"/>
        <v>-1.8110552</v>
      </c>
      <c r="Y1526" s="254">
        <v>-1.8110552</v>
      </c>
      <c r="Z1526" s="254">
        <v>-1.8110552</v>
      </c>
      <c r="AA1526" s="254">
        <v>-1.8110552</v>
      </c>
      <c r="AB1526" s="254">
        <v>-0.49941732500000002</v>
      </c>
      <c r="AC1526" s="254">
        <f t="shared" si="197"/>
        <v>-0.49941732500000002</v>
      </c>
      <c r="AD1526" s="254">
        <f t="shared" si="197"/>
        <v>-0.49941732500000002</v>
      </c>
      <c r="AE1526" s="76"/>
      <c r="AF1526" s="97" t="s">
        <v>2755</v>
      </c>
      <c r="AG1526" s="76"/>
      <c r="AH1526" s="97">
        <v>1</v>
      </c>
      <c r="AI1526" s="97">
        <v>1</v>
      </c>
      <c r="AJ1526" s="73"/>
      <c r="AK1526" s="57"/>
      <c r="AL1526" s="45"/>
      <c r="AM1526" s="45"/>
      <c r="AN1526" s="45"/>
    </row>
    <row r="1527" spans="1:40" hidden="1" outlineLevel="2" x14ac:dyDescent="0.25">
      <c r="A1527" s="45"/>
      <c r="B1527" s="54"/>
      <c r="C1527" s="47">
        <f>INT($C$29)+2</f>
        <v>3</v>
      </c>
      <c r="D1527" s="73"/>
      <c r="E1527" s="70"/>
      <c r="F1527" s="70"/>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c r="AJ1527" s="73"/>
      <c r="AK1527" s="57"/>
      <c r="AL1527" s="45"/>
      <c r="AM1527" s="45"/>
      <c r="AN1527" s="45"/>
    </row>
    <row r="1528" spans="1:40" hidden="1" outlineLevel="2" collapsed="1" x14ac:dyDescent="0.25">
      <c r="A1528" s="45"/>
      <c r="B1528" s="54"/>
      <c r="C1528" s="47">
        <f>INT($C$29)+2</f>
        <v>3</v>
      </c>
      <c r="D1528" s="73"/>
      <c r="E1528" s="70"/>
      <c r="F1528" s="70"/>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c r="AJ1528" s="73"/>
      <c r="AK1528" s="57"/>
      <c r="AL1528" s="45"/>
      <c r="AM1528" s="45"/>
      <c r="AN1528" s="45"/>
    </row>
    <row r="1529" spans="1:40" ht="5.0999999999999996" hidden="1" customHeight="1" outlineLevel="3" x14ac:dyDescent="0.25">
      <c r="A1529" s="45"/>
      <c r="B1529" s="54"/>
      <c r="C1529" s="47">
        <f>INT($C$29)+3.005</f>
        <v>4.0049999999999999</v>
      </c>
      <c r="D1529" s="73"/>
      <c r="E1529" s="73"/>
      <c r="F1529" s="73"/>
      <c r="G1529" s="73"/>
      <c r="H1529" s="73"/>
      <c r="I1529" s="73"/>
      <c r="J1529" s="73"/>
      <c r="K1529" s="73"/>
      <c r="L1529" s="73"/>
      <c r="M1529" s="73"/>
      <c r="N1529" s="73"/>
      <c r="O1529" s="73"/>
      <c r="P1529" s="73"/>
      <c r="Q1529" s="73"/>
      <c r="R1529" s="73"/>
      <c r="S1529" s="73"/>
      <c r="T1529" s="73"/>
      <c r="U1529" s="73"/>
      <c r="V1529" s="73"/>
      <c r="W1529" s="73"/>
      <c r="X1529" s="73"/>
      <c r="Y1529" s="73"/>
      <c r="Z1529" s="73"/>
      <c r="AA1529" s="73"/>
      <c r="AB1529" s="73"/>
      <c r="AC1529" s="73"/>
      <c r="AD1529" s="73"/>
      <c r="AE1529" s="73"/>
      <c r="AF1529" s="73"/>
      <c r="AG1529" s="73"/>
      <c r="AH1529" s="73"/>
      <c r="AI1529" s="73"/>
      <c r="AJ1529" s="73" t="s">
        <v>136</v>
      </c>
      <c r="AK1529" s="57"/>
      <c r="AL1529" s="45"/>
      <c r="AM1529" s="45"/>
      <c r="AN1529" s="45"/>
    </row>
    <row r="1530" spans="1:40" ht="5.0999999999999996" hidden="1" customHeight="1" outlineLevel="2" x14ac:dyDescent="0.25">
      <c r="A1530" s="45"/>
      <c r="B1530" s="54"/>
      <c r="C1530" s="47">
        <f>INT($C$29)+2.005</f>
        <v>3.0049999999999999</v>
      </c>
      <c r="D1530" s="73" t="s">
        <v>132</v>
      </c>
      <c r="E1530" s="73"/>
      <c r="F1530" s="73"/>
      <c r="G1530" s="73"/>
      <c r="H1530" s="73"/>
      <c r="I1530" s="73"/>
      <c r="J1530" s="73"/>
      <c r="K1530" s="73"/>
      <c r="L1530" s="73"/>
      <c r="M1530" s="73"/>
      <c r="N1530" s="73"/>
      <c r="O1530" s="73"/>
      <c r="P1530" s="73"/>
      <c r="Q1530" s="73"/>
      <c r="R1530" s="73"/>
      <c r="S1530" s="73"/>
      <c r="T1530" s="73"/>
      <c r="U1530" s="73"/>
      <c r="V1530" s="73"/>
      <c r="W1530" s="73"/>
      <c r="X1530" s="73"/>
      <c r="Y1530" s="73"/>
      <c r="Z1530" s="73"/>
      <c r="AA1530" s="73"/>
      <c r="AB1530" s="73"/>
      <c r="AC1530" s="73"/>
      <c r="AD1530" s="73"/>
      <c r="AE1530" s="73"/>
      <c r="AF1530" s="73"/>
      <c r="AG1530" s="73"/>
      <c r="AH1530" s="73"/>
      <c r="AI1530" s="73"/>
      <c r="AJ1530" s="73"/>
      <c r="AK1530" s="57"/>
      <c r="AL1530" s="45"/>
      <c r="AM1530" s="45"/>
      <c r="AN1530" s="45"/>
    </row>
    <row r="1531" spans="1:40" hidden="1" outlineLevel="2" x14ac:dyDescent="0.25">
      <c r="A1531" s="45"/>
      <c r="B1531" s="54"/>
      <c r="C1531" s="47">
        <f>INT($C$29)+2</f>
        <v>3</v>
      </c>
      <c r="D1531" s="73"/>
      <c r="E1531" s="70"/>
      <c r="F1531" s="70"/>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c r="AJ1531" s="73"/>
      <c r="AK1531" s="57"/>
      <c r="AL1531" s="45"/>
      <c r="AM1531" s="45"/>
      <c r="AN1531" s="45"/>
    </row>
    <row r="1532" spans="1:40" hidden="1" outlineLevel="2" collapsed="1" x14ac:dyDescent="0.25">
      <c r="A1532" s="45"/>
      <c r="B1532" s="54"/>
      <c r="C1532" s="47">
        <f>INT($C$29)+2</f>
        <v>3</v>
      </c>
      <c r="D1532" s="73"/>
      <c r="E1532" s="70"/>
      <c r="F1532" s="70"/>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c r="AJ1532" s="73"/>
      <c r="AK1532" s="57"/>
      <c r="AL1532" s="45"/>
      <c r="AM1532" s="45"/>
      <c r="AN1532" s="45"/>
    </row>
    <row r="1533" spans="1:40" hidden="1" outlineLevel="3" x14ac:dyDescent="0.25">
      <c r="A1533" s="45"/>
      <c r="B1533" s="54"/>
      <c r="C1533" s="47">
        <f>INT($C$29)+3</f>
        <v>4</v>
      </c>
      <c r="D1533" s="73"/>
      <c r="E1533" s="70"/>
      <c r="F1533" s="70"/>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c r="AJ1533" s="73"/>
      <c r="AK1533" s="57"/>
      <c r="AL1533" s="45"/>
      <c r="AM1533" s="45"/>
      <c r="AN1533" s="45"/>
    </row>
    <row r="1534" spans="1:40" hidden="1" outlineLevel="3" x14ac:dyDescent="0.25">
      <c r="A1534" s="45"/>
      <c r="B1534" s="54"/>
      <c r="C1534" s="47">
        <f>INT($C$29)+3</f>
        <v>4</v>
      </c>
      <c r="D1534" s="73"/>
      <c r="E1534" s="70"/>
      <c r="F1534" s="70"/>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c r="AJ1534" s="73"/>
      <c r="AK1534" s="57"/>
      <c r="AL1534" s="45"/>
      <c r="AM1534" s="45"/>
      <c r="AN1534" s="45"/>
    </row>
    <row r="1535" spans="1:40" hidden="1" outlineLevel="3" x14ac:dyDescent="0.25">
      <c r="A1535" s="45"/>
      <c r="B1535" s="54"/>
      <c r="C1535" s="47">
        <f>INT($C$29)+3</f>
        <v>4</v>
      </c>
      <c r="D1535" s="73"/>
      <c r="E1535" s="70"/>
      <c r="F1535" s="70"/>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c r="AJ1535" s="73"/>
      <c r="AK1535" s="57"/>
      <c r="AL1535" s="45"/>
      <c r="AM1535" s="45"/>
      <c r="AN1535" s="45"/>
    </row>
    <row r="1536" spans="1:40" ht="5.0999999999999996" hidden="1" customHeight="1" outlineLevel="3" x14ac:dyDescent="0.25">
      <c r="A1536" s="45"/>
      <c r="B1536" s="54"/>
      <c r="C1536" s="47">
        <f>INT($C$29)+3.005</f>
        <v>4.0049999999999999</v>
      </c>
      <c r="D1536" s="73"/>
      <c r="E1536" s="73"/>
      <c r="F1536" s="73"/>
      <c r="G1536" s="73"/>
      <c r="H1536" s="73"/>
      <c r="I1536" s="73"/>
      <c r="J1536" s="73"/>
      <c r="K1536" s="73"/>
      <c r="L1536" s="73"/>
      <c r="M1536" s="73"/>
      <c r="N1536" s="73"/>
      <c r="O1536" s="73"/>
      <c r="P1536" s="73"/>
      <c r="Q1536" s="73"/>
      <c r="R1536" s="73"/>
      <c r="S1536" s="73"/>
      <c r="T1536" s="73"/>
      <c r="U1536" s="73"/>
      <c r="V1536" s="73"/>
      <c r="W1536" s="73"/>
      <c r="X1536" s="73"/>
      <c r="Y1536" s="73"/>
      <c r="Z1536" s="73"/>
      <c r="AA1536" s="73"/>
      <c r="AB1536" s="73"/>
      <c r="AC1536" s="73"/>
      <c r="AD1536" s="73"/>
      <c r="AE1536" s="76"/>
      <c r="AF1536" s="73"/>
      <c r="AG1536" s="73"/>
      <c r="AH1536" s="73"/>
      <c r="AI1536" s="73"/>
      <c r="AJ1536" s="73" t="s">
        <v>136</v>
      </c>
      <c r="AK1536" s="57"/>
      <c r="AL1536" s="45"/>
      <c r="AM1536" s="45"/>
      <c r="AN1536" s="45"/>
    </row>
    <row r="1537" spans="1:40" ht="5.0999999999999996" hidden="1" customHeight="1" outlineLevel="2" x14ac:dyDescent="0.25">
      <c r="A1537" s="45"/>
      <c r="B1537" s="54"/>
      <c r="C1537" s="47">
        <f>INT($C$29)+2.005</f>
        <v>3.0049999999999999</v>
      </c>
      <c r="D1537" s="73"/>
      <c r="E1537" s="73"/>
      <c r="F1537" s="73"/>
      <c r="G1537" s="73"/>
      <c r="H1537" s="73"/>
      <c r="I1537" s="73"/>
      <c r="J1537" s="73"/>
      <c r="K1537" s="73"/>
      <c r="L1537" s="73"/>
      <c r="M1537" s="73"/>
      <c r="N1537" s="73"/>
      <c r="O1537" s="73"/>
      <c r="P1537" s="73"/>
      <c r="Q1537" s="73"/>
      <c r="R1537" s="73"/>
      <c r="S1537" s="73"/>
      <c r="T1537" s="73"/>
      <c r="U1537" s="73"/>
      <c r="V1537" s="73"/>
      <c r="W1537" s="73"/>
      <c r="X1537" s="73"/>
      <c r="Y1537" s="73"/>
      <c r="Z1537" s="73"/>
      <c r="AA1537" s="73"/>
      <c r="AB1537" s="73"/>
      <c r="AC1537" s="73"/>
      <c r="AD1537" s="73"/>
      <c r="AE1537" s="76"/>
      <c r="AF1537" s="73"/>
      <c r="AG1537" s="73"/>
      <c r="AH1537" s="73"/>
      <c r="AI1537" s="73"/>
      <c r="AJ1537" s="73"/>
      <c r="AK1537" s="57"/>
      <c r="AL1537" s="45"/>
      <c r="AM1537" s="45"/>
      <c r="AN1537" s="45"/>
    </row>
    <row r="1538" spans="1:40" ht="5.0999999999999996" customHeight="1" outlineLevel="1" x14ac:dyDescent="0.25">
      <c r="A1538" s="45"/>
      <c r="B1538" s="81"/>
      <c r="C1538" s="82">
        <f>INT($C$29)+1.005</f>
        <v>2.0049999999999999</v>
      </c>
      <c r="D1538" s="83"/>
      <c r="E1538" s="83"/>
      <c r="F1538" s="83"/>
      <c r="G1538" s="83"/>
      <c r="H1538" s="83"/>
      <c r="I1538" s="83"/>
      <c r="J1538" s="83"/>
      <c r="K1538" s="83"/>
      <c r="L1538" s="83"/>
      <c r="M1538" s="83"/>
      <c r="N1538" s="83"/>
      <c r="O1538" s="83"/>
      <c r="P1538" s="83"/>
      <c r="Q1538" s="83"/>
      <c r="R1538" s="83"/>
      <c r="S1538" s="83"/>
      <c r="T1538" s="83"/>
      <c r="U1538" s="83"/>
      <c r="V1538" s="83"/>
      <c r="W1538" s="83"/>
      <c r="X1538" s="83"/>
      <c r="Y1538" s="83"/>
      <c r="Z1538" s="83"/>
      <c r="AA1538" s="83"/>
      <c r="AB1538" s="83"/>
      <c r="AC1538" s="83"/>
      <c r="AD1538" s="83"/>
      <c r="AE1538" s="83"/>
      <c r="AF1538" s="83"/>
      <c r="AG1538" s="83"/>
      <c r="AH1538" s="83"/>
      <c r="AI1538" s="83"/>
      <c r="AJ1538" s="83"/>
      <c r="AK1538" s="84" t="s">
        <v>145</v>
      </c>
      <c r="AL1538" s="45"/>
      <c r="AM1538" s="45"/>
      <c r="AN1538" s="45"/>
    </row>
    <row r="1539" spans="1:40" ht="5.0999999999999996" customHeight="1" collapsed="1" x14ac:dyDescent="0.25">
      <c r="A1539" s="45"/>
      <c r="B1539" s="85"/>
      <c r="C1539" s="86">
        <f>INT($C$29)+0.005</f>
        <v>1.0049999999999999</v>
      </c>
      <c r="D1539" s="85"/>
      <c r="E1539" s="85"/>
      <c r="F1539" s="85"/>
      <c r="G1539" s="85"/>
      <c r="H1539" s="85"/>
      <c r="I1539" s="85"/>
      <c r="J1539" s="85"/>
      <c r="K1539" s="85"/>
      <c r="L1539" s="85"/>
      <c r="M1539" s="85"/>
      <c r="N1539" s="85"/>
      <c r="O1539" s="85"/>
      <c r="P1539" s="85"/>
      <c r="Q1539" s="85"/>
      <c r="R1539" s="85"/>
      <c r="S1539" s="85"/>
      <c r="T1539" s="85"/>
      <c r="U1539" s="85"/>
      <c r="V1539" s="85"/>
      <c r="W1539" s="85"/>
      <c r="X1539" s="85"/>
      <c r="Y1539" s="85"/>
      <c r="Z1539" s="85"/>
      <c r="AA1539" s="85"/>
      <c r="AB1539" s="85"/>
      <c r="AC1539" s="85"/>
      <c r="AD1539" s="85"/>
      <c r="AE1539" s="85"/>
      <c r="AF1539" s="85"/>
      <c r="AG1539" s="85"/>
      <c r="AH1539" s="85"/>
      <c r="AI1539" s="85"/>
      <c r="AJ1539" s="85"/>
      <c r="AK1539" s="85"/>
      <c r="AL1539" s="45"/>
      <c r="AM1539" s="45"/>
      <c r="AN1539" s="45"/>
    </row>
    <row r="1540" spans="1:40" hidden="1" outlineLevel="2" x14ac:dyDescent="0.25">
      <c r="A1540" s="45"/>
      <c r="B1540" s="45"/>
      <c r="C1540" s="47">
        <f>INT($C$29)+2</f>
        <v>3</v>
      </c>
      <c r="D1540" s="45"/>
      <c r="E1540" s="45"/>
      <c r="F1540" s="45"/>
      <c r="G1540" s="45"/>
      <c r="H1540" s="45"/>
      <c r="I1540" s="45"/>
      <c r="J1540" s="45"/>
      <c r="K1540" s="45"/>
      <c r="L1540" s="45"/>
      <c r="M1540" s="45"/>
      <c r="N1540" s="45"/>
      <c r="O1540" s="45"/>
      <c r="P1540" s="45"/>
      <c r="Q1540" s="45"/>
      <c r="R1540" s="45"/>
      <c r="S1540" s="45"/>
      <c r="T1540" s="45"/>
      <c r="U1540" s="45"/>
      <c r="V1540" s="45"/>
      <c r="W1540" s="45"/>
      <c r="X1540" s="45"/>
      <c r="Y1540" s="45"/>
      <c r="Z1540" s="45"/>
      <c r="AA1540" s="45"/>
      <c r="AB1540" s="45"/>
      <c r="AC1540" s="45"/>
      <c r="AD1540" s="45"/>
      <c r="AE1540" s="45"/>
      <c r="AF1540" s="45"/>
      <c r="AG1540" s="45"/>
      <c r="AH1540" s="45"/>
      <c r="AI1540" s="45"/>
      <c r="AJ1540" s="45"/>
      <c r="AK1540" s="45"/>
      <c r="AL1540" s="45"/>
      <c r="AM1540" s="45"/>
      <c r="AN1540" s="45"/>
    </row>
    <row r="1541" spans="1:40" x14ac:dyDescent="0.25">
      <c r="A1541" s="45"/>
      <c r="B1541" s="45"/>
      <c r="C1541" s="46"/>
      <c r="D1541" s="45"/>
      <c r="E1541" s="45"/>
      <c r="F1541" s="45"/>
      <c r="G1541" s="45"/>
      <c r="H1541" s="45"/>
      <c r="I1541" s="45"/>
      <c r="J1541" s="45"/>
      <c r="K1541" s="45"/>
      <c r="L1541" s="45"/>
      <c r="M1541" s="45"/>
      <c r="N1541" s="45"/>
      <c r="O1541" s="45"/>
      <c r="P1541" s="45"/>
      <c r="Q1541" s="45"/>
      <c r="R1541" s="45"/>
      <c r="S1541" s="45"/>
      <c r="T1541" s="45"/>
      <c r="U1541" s="45"/>
      <c r="V1541" s="45"/>
      <c r="W1541" s="45"/>
      <c r="X1541" s="45"/>
      <c r="Y1541" s="45"/>
      <c r="Z1541" s="45"/>
      <c r="AA1541" s="45"/>
      <c r="AB1541" s="45"/>
      <c r="AC1541" s="45"/>
      <c r="AD1541" s="45"/>
      <c r="AE1541" s="45"/>
      <c r="AF1541" s="45"/>
      <c r="AG1541" s="45"/>
      <c r="AH1541" s="45"/>
      <c r="AI1541" s="45"/>
      <c r="AJ1541" s="45"/>
      <c r="AK1541" s="45"/>
      <c r="AL1541" s="45"/>
      <c r="AM1541" s="45"/>
      <c r="AN1541" s="45"/>
    </row>
    <row r="1542" spans="1:40" x14ac:dyDescent="0.25">
      <c r="A1542" s="45"/>
      <c r="B1542" s="45"/>
      <c r="C1542" s="46"/>
      <c r="D1542" s="45"/>
      <c r="E1542" s="45"/>
      <c r="F1542" s="45"/>
      <c r="G1542" s="45"/>
      <c r="H1542" s="45"/>
      <c r="I1542" s="45"/>
      <c r="J1542" s="45"/>
      <c r="K1542" s="45"/>
      <c r="L1542" s="45"/>
      <c r="M1542" s="45"/>
      <c r="N1542" s="45"/>
      <c r="O1542" s="45"/>
      <c r="P1542" s="45"/>
      <c r="Q1542" s="45"/>
      <c r="R1542" s="45"/>
      <c r="S1542" s="45"/>
      <c r="T1542" s="45"/>
      <c r="U1542" s="45"/>
      <c r="V1542" s="45"/>
      <c r="W1542" s="45"/>
      <c r="X1542" s="45"/>
      <c r="Y1542" s="45"/>
      <c r="Z1542" s="45"/>
      <c r="AA1542" s="45"/>
      <c r="AB1542" s="45"/>
      <c r="AC1542" s="45"/>
      <c r="AD1542" s="45"/>
      <c r="AE1542" s="45"/>
      <c r="AF1542" s="45"/>
      <c r="AG1542" s="45"/>
      <c r="AH1542" s="45"/>
      <c r="AI1542" s="45"/>
      <c r="AJ1542" s="45"/>
      <c r="AK1542" s="45"/>
      <c r="AL1542" s="45"/>
      <c r="AM1542" s="45"/>
      <c r="AN1542" s="45"/>
    </row>
    <row r="1543" spans="1:40" x14ac:dyDescent="0.25">
      <c r="A1543" s="45"/>
      <c r="B1543" s="45"/>
      <c r="C1543" s="46"/>
      <c r="D1543" s="45"/>
      <c r="E1543" s="45"/>
      <c r="F1543" s="45"/>
      <c r="G1543" s="45"/>
      <c r="H1543" s="45"/>
      <c r="I1543" s="45"/>
      <c r="J1543" s="45"/>
      <c r="K1543" s="45"/>
      <c r="L1543" s="45"/>
      <c r="M1543" s="45"/>
      <c r="N1543" s="45"/>
      <c r="O1543" s="45"/>
      <c r="P1543" s="45"/>
      <c r="Q1543" s="45"/>
      <c r="R1543" s="45"/>
      <c r="S1543" s="45"/>
      <c r="T1543" s="45"/>
      <c r="U1543" s="45"/>
      <c r="V1543" s="45"/>
      <c r="W1543" s="45"/>
      <c r="X1543" s="45"/>
      <c r="Y1543" s="45"/>
      <c r="Z1543" s="45"/>
      <c r="AA1543" s="45"/>
      <c r="AB1543" s="45"/>
      <c r="AC1543" s="45"/>
      <c r="AD1543" s="45"/>
      <c r="AE1543" s="45"/>
      <c r="AF1543" s="45"/>
      <c r="AG1543" s="45"/>
      <c r="AH1543" s="45"/>
      <c r="AI1543" s="45"/>
      <c r="AJ1543" s="45"/>
      <c r="AK1543" s="45"/>
      <c r="AL1543" s="45"/>
      <c r="AM1543" s="45"/>
      <c r="AN1543" s="45"/>
    </row>
    <row r="1544" spans="1:40" x14ac:dyDescent="0.25">
      <c r="A1544" s="45"/>
      <c r="B1544" s="45"/>
      <c r="C1544" s="46"/>
      <c r="D1544" s="45"/>
      <c r="E1544" s="45"/>
      <c r="F1544" s="45"/>
      <c r="G1544" s="45"/>
      <c r="H1544" s="45"/>
      <c r="I1544" s="45"/>
      <c r="J1544" s="45"/>
      <c r="K1544" s="45"/>
      <c r="L1544" s="45"/>
      <c r="M1544" s="45"/>
      <c r="N1544" s="45"/>
      <c r="O1544" s="45"/>
      <c r="P1544" s="45"/>
      <c r="Q1544" s="45"/>
      <c r="R1544" s="45"/>
      <c r="S1544" s="45"/>
      <c r="T1544" s="45"/>
      <c r="U1544" s="45"/>
      <c r="V1544" s="45"/>
      <c r="W1544" s="45"/>
      <c r="X1544" s="45"/>
      <c r="Y1544" s="45"/>
      <c r="Z1544" s="45"/>
      <c r="AA1544" s="45"/>
      <c r="AB1544" s="45"/>
      <c r="AC1544" s="45"/>
      <c r="AD1544" s="45"/>
      <c r="AE1544" s="45"/>
      <c r="AF1544" s="45"/>
      <c r="AG1544" s="45"/>
      <c r="AH1544" s="45"/>
      <c r="AI1544" s="45"/>
      <c r="AJ1544" s="45"/>
      <c r="AK1544" s="45"/>
      <c r="AL1544" s="45"/>
      <c r="AM1544" s="45"/>
      <c r="AN1544" s="45"/>
    </row>
    <row r="1545" spans="1:40" x14ac:dyDescent="0.25">
      <c r="A1545" s="45"/>
      <c r="B1545" s="45"/>
      <c r="C1545" s="46"/>
      <c r="D1545" s="45"/>
      <c r="E1545" s="45"/>
      <c r="F1545" s="45"/>
      <c r="G1545" s="45"/>
      <c r="H1545" s="45"/>
      <c r="I1545" s="45"/>
      <c r="J1545" s="45"/>
      <c r="K1545" s="45"/>
      <c r="L1545" s="45"/>
      <c r="M1545" s="45"/>
      <c r="N1545" s="45"/>
      <c r="O1545" s="45"/>
      <c r="P1545" s="45"/>
      <c r="Q1545" s="45"/>
      <c r="R1545" s="45"/>
      <c r="S1545" s="45"/>
      <c r="T1545" s="45"/>
      <c r="U1545" s="45"/>
      <c r="V1545" s="45"/>
      <c r="W1545" s="45"/>
      <c r="X1545" s="45"/>
      <c r="Y1545" s="45"/>
      <c r="Z1545" s="45"/>
      <c r="AA1545" s="45"/>
      <c r="AB1545" s="45"/>
      <c r="AC1545" s="45"/>
      <c r="AD1545" s="45"/>
      <c r="AE1545" s="45"/>
      <c r="AF1545" s="45"/>
      <c r="AG1545" s="45"/>
      <c r="AH1545" s="45"/>
      <c r="AI1545" s="45"/>
      <c r="AJ1545" s="45"/>
      <c r="AK1545" s="45"/>
      <c r="AL1545" s="45"/>
      <c r="AM1545" s="45"/>
      <c r="AN1545" s="45"/>
    </row>
    <row r="1546" spans="1:40" x14ac:dyDescent="0.25">
      <c r="A1546" s="45"/>
      <c r="B1546" s="45"/>
      <c r="C1546" s="46"/>
      <c r="D1546" s="45"/>
      <c r="E1546" s="45"/>
      <c r="F1546" s="45"/>
      <c r="G1546" s="45"/>
      <c r="H1546" s="45"/>
      <c r="I1546" s="45"/>
      <c r="J1546" s="45"/>
      <c r="K1546" s="45"/>
      <c r="L1546" s="45"/>
      <c r="M1546" s="45"/>
      <c r="N1546" s="45"/>
      <c r="O1546" s="45"/>
      <c r="P1546" s="45"/>
      <c r="Q1546" s="45"/>
      <c r="R1546" s="45"/>
      <c r="S1546" s="45"/>
      <c r="T1546" s="45"/>
      <c r="U1546" s="45"/>
      <c r="V1546" s="45"/>
      <c r="W1546" s="45"/>
      <c r="X1546" s="45"/>
      <c r="Y1546" s="45"/>
      <c r="Z1546" s="45"/>
      <c r="AA1546" s="45"/>
      <c r="AB1546" s="45"/>
      <c r="AC1546" s="45"/>
      <c r="AD1546" s="45"/>
      <c r="AE1546" s="45"/>
      <c r="AF1546" s="45"/>
      <c r="AG1546" s="45"/>
      <c r="AH1546" s="45"/>
      <c r="AI1546" s="45"/>
      <c r="AJ1546" s="45"/>
      <c r="AK1546" s="45"/>
      <c r="AL1546" s="45"/>
      <c r="AM1546" s="45"/>
      <c r="AN1546" s="45"/>
    </row>
    <row r="1547" spans="1:40" x14ac:dyDescent="0.25">
      <c r="C1547" s="233" t="s">
        <v>419</v>
      </c>
    </row>
  </sheetData>
  <autoFilter ref="E36:AJ1540" xr:uid="{3C3415A5-FB2E-4A7F-A830-CC02AF06DF76}"/>
  <mergeCells count="2">
    <mergeCell ref="J11:AA11"/>
    <mergeCell ref="J12:AA12"/>
  </mergeCells>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111" activePane="bottomRight" state="frozen"/>
      <selection activeCell="A3" sqref="A3"/>
      <selection pane="topRight" activeCell="K3" sqref="K3"/>
      <selection pane="bottomLeft" activeCell="A51" sqref="A51"/>
      <selection pane="bottomRight" activeCell="J125" sqref="J125"/>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8">
        <v>44653.716487384299</v>
      </c>
      <c r="J11" s="631" t="s">
        <v>2373</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2">
        <v>44664.379814814798</v>
      </c>
      <c r="J12" s="628" t="s">
        <v>2384</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2085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2249</v>
      </c>
      <c r="L35" s="72"/>
      <c r="M35" s="72"/>
      <c r="N35" s="72"/>
      <c r="O35" s="72"/>
      <c r="P35" s="72"/>
      <c r="Q35" s="72"/>
      <c r="R35" s="72" t="s">
        <v>2086</v>
      </c>
      <c r="S35" s="239" t="s">
        <v>2375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2087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2088</v>
      </c>
      <c r="I41" s="76" t="s">
        <v>2089</v>
      </c>
      <c r="J41" s="76"/>
      <c r="K41" s="97">
        <f>30/1000</f>
        <v>0.03</v>
      </c>
      <c r="L41" s="76"/>
      <c r="M41" s="76"/>
      <c r="N41" s="76"/>
      <c r="O41" s="76"/>
      <c r="P41" s="76"/>
      <c r="Q41" s="76"/>
      <c r="R41" s="97" t="s">
        <v>2358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2359</v>
      </c>
      <c r="I42" s="76" t="s">
        <v>2360</v>
      </c>
      <c r="J42" s="76"/>
      <c r="K42" s="97">
        <v>200</v>
      </c>
      <c r="L42" s="76"/>
      <c r="M42" s="76"/>
      <c r="N42" s="76"/>
      <c r="O42" s="76"/>
      <c r="P42" s="76"/>
      <c r="Q42" s="76"/>
      <c r="R42" s="97" t="s">
        <v>2383</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2090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4" t="s">
        <v>1717</v>
      </c>
      <c r="G47" s="73"/>
      <c r="H47" s="303" t="s">
        <v>2091</v>
      </c>
      <c r="I47" s="110">
        <v>2</v>
      </c>
      <c r="J47" s="304" t="s">
        <v>1043</v>
      </c>
      <c r="K47" s="110">
        <v>3</v>
      </c>
      <c r="L47" s="110">
        <v>10</v>
      </c>
      <c r="M47" s="155"/>
      <c r="N47" s="155"/>
      <c r="O47" s="155"/>
      <c r="P47" s="155"/>
      <c r="Q47" s="155"/>
      <c r="R47" s="153" t="s">
        <v>2092</v>
      </c>
      <c r="S47" s="155"/>
      <c r="T47" s="155"/>
      <c r="U47" s="155"/>
      <c r="V47" s="155"/>
      <c r="W47" s="155"/>
      <c r="X47" s="155"/>
      <c r="Y47" s="155"/>
      <c r="Z47" s="73"/>
      <c r="AA47" s="57"/>
      <c r="AB47" s="45"/>
      <c r="AC47" s="45"/>
      <c r="AD47" s="45"/>
    </row>
    <row r="48" spans="1:30" outlineLevel="2" x14ac:dyDescent="0.25">
      <c r="A48" s="45"/>
      <c r="B48" s="54"/>
      <c r="C48" s="87">
        <f>INT($C$29)+2</f>
        <v>3</v>
      </c>
      <c r="D48" s="73"/>
      <c r="E48" s="70" t="s">
        <v>2093</v>
      </c>
      <c r="F48" s="70" t="s">
        <v>2094</v>
      </c>
      <c r="G48" s="73"/>
      <c r="H48" s="305" t="s">
        <v>2361</v>
      </c>
      <c r="I48" s="305"/>
      <c r="J48" s="305"/>
      <c r="K48" s="306">
        <v>1</v>
      </c>
      <c r="L48" s="306"/>
      <c r="M48" s="306"/>
      <c r="N48" s="306"/>
      <c r="O48" s="305"/>
      <c r="P48" s="305"/>
      <c r="Q48" s="305"/>
      <c r="R48" s="305"/>
      <c r="S48" s="305">
        <f>S79</f>
        <v>918</v>
      </c>
      <c r="T48" s="305">
        <f>(K48*$S$48)</f>
        <v>918</v>
      </c>
      <c r="U48" s="305"/>
      <c r="V48" s="305"/>
      <c r="W48" s="305"/>
      <c r="X48" s="305"/>
      <c r="Y48" s="305"/>
      <c r="Z48" s="73"/>
      <c r="AA48" s="57"/>
      <c r="AB48" s="45"/>
      <c r="AC48" s="45"/>
      <c r="AD48" s="45"/>
    </row>
    <row r="49" spans="1:30" outlineLevel="3" x14ac:dyDescent="0.25">
      <c r="A49" s="45"/>
      <c r="B49" s="54"/>
      <c r="C49" s="87">
        <f t="shared" ref="C49:C132" si="0">INT($C$29)+3</f>
        <v>4</v>
      </c>
      <c r="D49" s="73"/>
      <c r="E49" s="70"/>
      <c r="F49" s="70" t="s">
        <v>2095</v>
      </c>
      <c r="G49" s="73"/>
      <c r="H49" s="76" t="s">
        <v>2245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2096</v>
      </c>
      <c r="G50" s="73"/>
      <c r="H50" s="76" t="s">
        <v>2097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2098</v>
      </c>
      <c r="G51" s="73"/>
      <c r="H51" s="76" t="s">
        <v>2246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2099</v>
      </c>
      <c r="G52" s="73"/>
      <c r="H52" s="76" t="s">
        <v>2100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2101</v>
      </c>
      <c r="G53" s="73"/>
      <c r="H53" s="76" t="s">
        <v>2247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2099</v>
      </c>
      <c r="G54" s="73"/>
      <c r="H54" s="76" t="s">
        <v>2286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2101</v>
      </c>
      <c r="G55" s="73"/>
      <c r="H55" s="76" t="s">
        <v>2248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2099</v>
      </c>
      <c r="G56" s="73"/>
      <c r="H56" s="76" t="s">
        <v>2286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2101</v>
      </c>
      <c r="G57" s="73"/>
      <c r="H57" s="218" t="s">
        <v>2248</v>
      </c>
      <c r="I57" s="218"/>
      <c r="J57" s="218"/>
      <c r="K57" s="307">
        <v>1</v>
      </c>
      <c r="L57" s="307"/>
      <c r="M57" s="307"/>
      <c r="N57" s="307"/>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2102</v>
      </c>
      <c r="G58" s="73"/>
      <c r="H58" s="305" t="s">
        <v>2362</v>
      </c>
      <c r="I58" s="305"/>
      <c r="J58" s="305"/>
      <c r="K58" s="306">
        <v>0</v>
      </c>
      <c r="L58" s="306"/>
      <c r="M58" s="306"/>
      <c r="N58" s="306"/>
      <c r="O58" s="305"/>
      <c r="P58" s="305"/>
      <c r="Q58" s="305"/>
      <c r="R58" s="305"/>
      <c r="S58" s="305">
        <f>S89</f>
        <v>0.3</v>
      </c>
      <c r="T58" s="305">
        <f>(K58*$S$58)</f>
        <v>0</v>
      </c>
      <c r="U58" s="305"/>
      <c r="V58" s="305"/>
      <c r="W58" s="305"/>
      <c r="X58" s="305"/>
      <c r="Y58" s="305"/>
      <c r="Z58" s="73"/>
      <c r="AA58" s="57"/>
      <c r="AB58" s="45"/>
      <c r="AC58" s="45"/>
      <c r="AD58" s="45"/>
    </row>
    <row r="59" spans="1:30" outlineLevel="3" x14ac:dyDescent="0.25">
      <c r="A59" s="45"/>
      <c r="B59" s="54"/>
      <c r="C59" s="87">
        <f t="shared" si="0"/>
        <v>4</v>
      </c>
      <c r="D59" s="73"/>
      <c r="E59" s="70"/>
      <c r="F59" s="70" t="s">
        <v>2103</v>
      </c>
      <c r="G59" s="73"/>
      <c r="H59" s="76" t="s">
        <v>2245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2104</v>
      </c>
      <c r="G60" s="73"/>
      <c r="H60" s="76" t="s">
        <v>2097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2105</v>
      </c>
      <c r="G61" s="73"/>
      <c r="H61" s="76" t="s">
        <v>2246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2106</v>
      </c>
      <c r="G62" s="73"/>
      <c r="H62" s="76" t="s">
        <v>2100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2107</v>
      </c>
      <c r="G63" s="73"/>
      <c r="H63" s="76" t="s">
        <v>2247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2099</v>
      </c>
      <c r="G64" s="73"/>
      <c r="H64" s="76" t="s">
        <v>2286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2101</v>
      </c>
      <c r="G65" s="73"/>
      <c r="H65" s="76" t="s">
        <v>2248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2099</v>
      </c>
      <c r="G66" s="73"/>
      <c r="H66" s="76" t="s">
        <v>2286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2101</v>
      </c>
      <c r="G67" s="73"/>
      <c r="H67" s="218" t="s">
        <v>2248</v>
      </c>
      <c r="I67" s="218"/>
      <c r="J67" s="218"/>
      <c r="K67" s="307">
        <v>0</v>
      </c>
      <c r="L67" s="307"/>
      <c r="M67" s="307"/>
      <c r="N67" s="307"/>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2108</v>
      </c>
      <c r="G68" s="73"/>
      <c r="H68" s="305" t="s">
        <v>2363</v>
      </c>
      <c r="I68" s="305"/>
      <c r="J68" s="305"/>
      <c r="K68" s="306">
        <v>0</v>
      </c>
      <c r="L68" s="306"/>
      <c r="M68" s="306"/>
      <c r="N68" s="306"/>
      <c r="O68" s="305"/>
      <c r="P68" s="305"/>
      <c r="Q68" s="305"/>
      <c r="R68" s="305"/>
      <c r="S68" s="305"/>
      <c r="T68" s="305">
        <f t="shared" ref="T68:T77" si="3">(K68)</f>
        <v>0</v>
      </c>
      <c r="U68" s="305"/>
      <c r="V68" s="305"/>
      <c r="W68" s="305"/>
      <c r="X68" s="305"/>
      <c r="Y68" s="305"/>
      <c r="Z68" s="73"/>
      <c r="AA68" s="57"/>
      <c r="AB68" s="45"/>
      <c r="AC68" s="45"/>
      <c r="AD68" s="45"/>
    </row>
    <row r="69" spans="1:30" outlineLevel="3" x14ac:dyDescent="0.25">
      <c r="A69" s="45"/>
      <c r="B69" s="54"/>
      <c r="C69" s="87">
        <f t="shared" si="0"/>
        <v>4</v>
      </c>
      <c r="D69" s="73"/>
      <c r="E69" s="70"/>
      <c r="F69" s="70" t="s">
        <v>2109</v>
      </c>
      <c r="G69" s="73"/>
      <c r="H69" s="76" t="s">
        <v>2245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2110</v>
      </c>
      <c r="G70" s="73"/>
      <c r="H70" s="76" t="s">
        <v>2097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2111</v>
      </c>
      <c r="G71" s="73"/>
      <c r="H71" s="76" t="s">
        <v>2246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2112</v>
      </c>
      <c r="G72" s="73"/>
      <c r="H72" s="76" t="s">
        <v>2100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2113</v>
      </c>
      <c r="G73" s="73"/>
      <c r="H73" s="76" t="s">
        <v>2247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2112</v>
      </c>
      <c r="G74" s="73"/>
      <c r="H74" s="76" t="s">
        <v>2286</v>
      </c>
      <c r="I74" s="76"/>
      <c r="J74" s="76"/>
      <c r="K74" s="97">
        <v>-200</v>
      </c>
      <c r="L74" s="97"/>
      <c r="M74" s="97"/>
      <c r="N74" s="97"/>
      <c r="O74" s="76"/>
      <c r="P74" s="76"/>
      <c r="Q74" s="76"/>
      <c r="R74" s="97" t="s">
        <v>2287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2113</v>
      </c>
      <c r="G75" s="73"/>
      <c r="H75" s="76" t="s">
        <v>2248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2112</v>
      </c>
      <c r="G76" s="73"/>
      <c r="H76" s="76" t="s">
        <v>2289</v>
      </c>
      <c r="I76" s="76"/>
      <c r="J76" s="76"/>
      <c r="K76" s="97">
        <v>-100</v>
      </c>
      <c r="L76" s="97"/>
      <c r="M76" s="97"/>
      <c r="N76" s="97"/>
      <c r="O76" s="76"/>
      <c r="P76" s="76"/>
      <c r="Q76" s="76"/>
      <c r="R76" s="97" t="s">
        <v>2288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2113</v>
      </c>
      <c r="G77" s="73"/>
      <c r="H77" s="218" t="s">
        <v>2248</v>
      </c>
      <c r="I77" s="218"/>
      <c r="J77" s="218"/>
      <c r="K77" s="307">
        <v>-100</v>
      </c>
      <c r="L77" s="307"/>
      <c r="M77" s="307"/>
      <c r="N77" s="307"/>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4" t="s">
        <v>1717</v>
      </c>
      <c r="G78" s="73"/>
      <c r="H78" s="266" t="s">
        <v>2114</v>
      </c>
      <c r="I78" s="129"/>
      <c r="J78" s="129" t="s">
        <v>1043</v>
      </c>
      <c r="K78" s="79">
        <v>6</v>
      </c>
      <c r="L78" s="79">
        <v>10</v>
      </c>
      <c r="M78" s="76"/>
      <c r="N78" s="76"/>
      <c r="O78" s="76"/>
      <c r="P78" s="76"/>
      <c r="Q78" s="76"/>
      <c r="R78" s="97" t="s">
        <v>2092</v>
      </c>
      <c r="S78" s="76" t="s">
        <v>2370</v>
      </c>
      <c r="T78" s="76"/>
      <c r="U78" s="76" t="s">
        <v>2371</v>
      </c>
      <c r="V78" s="76" t="s">
        <v>2372</v>
      </c>
      <c r="W78" s="76"/>
      <c r="X78" s="76"/>
      <c r="Y78" s="76"/>
      <c r="Z78" s="73"/>
      <c r="AA78" s="57"/>
      <c r="AB78" s="45"/>
      <c r="AC78" s="45"/>
      <c r="AD78" s="45"/>
    </row>
    <row r="79" spans="1:30" outlineLevel="3" x14ac:dyDescent="0.25">
      <c r="A79" s="45"/>
      <c r="B79" s="54"/>
      <c r="C79" s="87">
        <f t="shared" si="0"/>
        <v>4</v>
      </c>
      <c r="D79" s="73"/>
      <c r="E79" s="70" t="s">
        <v>2115</v>
      </c>
      <c r="F79" s="70" t="s">
        <v>2116</v>
      </c>
      <c r="G79" s="73"/>
      <c r="H79" s="305" t="s">
        <v>2364</v>
      </c>
      <c r="I79" s="305"/>
      <c r="J79" s="305"/>
      <c r="K79" s="306">
        <v>-100</v>
      </c>
      <c r="L79" s="306"/>
      <c r="M79" s="306"/>
      <c r="N79" s="306"/>
      <c r="O79" s="305"/>
      <c r="P79" s="305"/>
      <c r="Q79" s="305"/>
      <c r="R79" s="305"/>
      <c r="S79" s="97">
        <v>918</v>
      </c>
      <c r="T79" s="305">
        <f t="shared" ref="T79:T88" si="4">EXP(K79*$S$79)</f>
        <v>0</v>
      </c>
      <c r="U79" s="357">
        <f t="shared" ref="U79:U88" si="5">SUM(T79,T89,T99,T109,T119,T129)</f>
        <v>27.540000000000092</v>
      </c>
      <c r="V79" s="365">
        <f>SUM(T48,T58,T68)</f>
        <v>918</v>
      </c>
      <c r="W79" s="305"/>
      <c r="X79" s="305"/>
      <c r="Y79" s="305"/>
      <c r="Z79" s="73"/>
      <c r="AA79" s="57"/>
      <c r="AB79" s="45"/>
      <c r="AC79" s="45"/>
      <c r="AD79" s="45"/>
    </row>
    <row r="80" spans="1:30" outlineLevel="3" x14ac:dyDescent="0.25">
      <c r="A80" s="45"/>
      <c r="B80" s="54"/>
      <c r="C80" s="87">
        <f t="shared" si="0"/>
        <v>4</v>
      </c>
      <c r="D80" s="73"/>
      <c r="E80" s="70"/>
      <c r="F80" s="70" t="s">
        <v>2117</v>
      </c>
      <c r="G80" s="73"/>
      <c r="H80" s="76" t="s">
        <v>2245</v>
      </c>
      <c r="I80" s="76"/>
      <c r="J80" s="76"/>
      <c r="K80" s="97">
        <v>-100</v>
      </c>
      <c r="L80" s="97"/>
      <c r="M80" s="97"/>
      <c r="N80" s="97"/>
      <c r="O80" s="76"/>
      <c r="P80" s="76"/>
      <c r="Q80" s="76"/>
      <c r="R80" s="76"/>
      <c r="S80" s="76"/>
      <c r="T80" s="76">
        <f t="shared" si="4"/>
        <v>0</v>
      </c>
      <c r="U80" s="358">
        <f t="shared" si="5"/>
        <v>27.540000000000092</v>
      </c>
      <c r="V80" s="364">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2118</v>
      </c>
      <c r="G81" s="73"/>
      <c r="H81" s="76" t="s">
        <v>2097</v>
      </c>
      <c r="I81" s="76"/>
      <c r="J81" s="76"/>
      <c r="K81" s="97">
        <v>-100</v>
      </c>
      <c r="L81" s="97"/>
      <c r="M81" s="97"/>
      <c r="N81" s="97"/>
      <c r="O81" s="76"/>
      <c r="P81" s="76"/>
      <c r="Q81" s="76"/>
      <c r="R81" s="76"/>
      <c r="S81" s="76"/>
      <c r="T81" s="76">
        <f t="shared" si="4"/>
        <v>0</v>
      </c>
      <c r="U81" s="358">
        <f t="shared" si="5"/>
        <v>19.676946000000097</v>
      </c>
      <c r="V81" s="364">
        <f t="shared" si="6"/>
        <v>489.32130000000006</v>
      </c>
      <c r="W81" s="76"/>
      <c r="X81" s="76"/>
      <c r="Y81" s="76"/>
      <c r="Z81" s="73"/>
      <c r="AA81" s="57"/>
      <c r="AB81" s="45"/>
      <c r="AC81" s="45"/>
      <c r="AD81" s="45"/>
    </row>
    <row r="82" spans="1:30" outlineLevel="3" x14ac:dyDescent="0.25">
      <c r="A82" s="45"/>
      <c r="B82" s="54"/>
      <c r="C82" s="87">
        <f t="shared" si="0"/>
        <v>4</v>
      </c>
      <c r="D82" s="73"/>
      <c r="E82" s="70"/>
      <c r="F82" s="70" t="s">
        <v>2119</v>
      </c>
      <c r="G82" s="73"/>
      <c r="H82" s="76" t="s">
        <v>2246</v>
      </c>
      <c r="I82" s="76"/>
      <c r="J82" s="76"/>
      <c r="K82" s="97">
        <v>-100</v>
      </c>
      <c r="L82" s="97"/>
      <c r="M82" s="97"/>
      <c r="N82" s="97"/>
      <c r="O82" s="76"/>
      <c r="P82" s="76"/>
      <c r="Q82" s="76"/>
      <c r="R82" s="76"/>
      <c r="S82" s="76"/>
      <c r="T82" s="76">
        <f t="shared" si="4"/>
        <v>0</v>
      </c>
      <c r="U82" s="360">
        <f t="shared" si="5"/>
        <v>11.812258400000093</v>
      </c>
      <c r="V82" s="364">
        <f t="shared" si="6"/>
        <v>489.32130000000006</v>
      </c>
      <c r="W82" s="76"/>
      <c r="X82" s="78" t="s">
        <v>2374</v>
      </c>
      <c r="Y82" s="76" t="s">
        <v>2376</v>
      </c>
      <c r="Z82" s="73"/>
      <c r="AA82" s="57"/>
      <c r="AB82" s="45"/>
      <c r="AC82" s="45"/>
      <c r="AD82" s="45"/>
    </row>
    <row r="83" spans="1:30" outlineLevel="3" x14ac:dyDescent="0.25">
      <c r="A83" s="45"/>
      <c r="B83" s="54"/>
      <c r="C83" s="87">
        <f t="shared" si="0"/>
        <v>4</v>
      </c>
      <c r="D83" s="73"/>
      <c r="E83" s="70"/>
      <c r="F83" s="70" t="s">
        <v>2120</v>
      </c>
      <c r="G83" s="73"/>
      <c r="H83" s="76" t="s">
        <v>2100</v>
      </c>
      <c r="I83" s="76"/>
      <c r="J83" s="76"/>
      <c r="K83" s="97">
        <v>1.01E-3</v>
      </c>
      <c r="L83" s="97"/>
      <c r="M83" s="97"/>
      <c r="N83" s="97"/>
      <c r="O83" s="76"/>
      <c r="P83" s="76"/>
      <c r="Q83" s="76"/>
      <c r="R83" s="76"/>
      <c r="S83" s="76">
        <f>U83/$S$79*100</f>
        <v>1.6712797330596103</v>
      </c>
      <c r="T83" s="174">
        <f t="shared" si="4"/>
        <v>2.5273719299859865</v>
      </c>
      <c r="U83" s="362">
        <f t="shared" si="5"/>
        <v>15.342347949487225</v>
      </c>
      <c r="V83" s="366">
        <f t="shared" si="6"/>
        <v>936.07399999999996</v>
      </c>
      <c r="W83" s="76">
        <f>U83/U79</f>
        <v>0.55709324435320162</v>
      </c>
      <c r="X83" s="358">
        <f>U83*1.25</f>
        <v>19.177934936859032</v>
      </c>
      <c r="Y83" s="364">
        <f>V83-$S$79</f>
        <v>18.073999999999955</v>
      </c>
      <c r="Z83" s="73"/>
      <c r="AA83" s="57"/>
      <c r="AB83" s="45"/>
      <c r="AC83" s="45"/>
      <c r="AD83" s="45"/>
    </row>
    <row r="84" spans="1:30" outlineLevel="3" x14ac:dyDescent="0.25">
      <c r="A84" s="45"/>
      <c r="B84" s="54"/>
      <c r="C84" s="87">
        <f t="shared" si="0"/>
        <v>4</v>
      </c>
      <c r="D84" s="73"/>
      <c r="E84" s="70"/>
      <c r="F84" s="70" t="s">
        <v>2121</v>
      </c>
      <c r="G84" s="73"/>
      <c r="H84" s="76" t="s">
        <v>2247</v>
      </c>
      <c r="I84" s="76"/>
      <c r="J84" s="76"/>
      <c r="K84" s="97">
        <v>8.4000000000000003E-4</v>
      </c>
      <c r="L84" s="97"/>
      <c r="M84" s="97"/>
      <c r="N84" s="97"/>
      <c r="O84" s="76"/>
      <c r="P84" s="76"/>
      <c r="Q84" s="76"/>
      <c r="R84" s="76"/>
      <c r="S84" s="76">
        <f>U84/$S$79*100</f>
        <v>1.1751031819134548</v>
      </c>
      <c r="T84" s="174">
        <f t="shared" si="4"/>
        <v>2.1621865471004096</v>
      </c>
      <c r="U84" s="363">
        <f t="shared" si="5"/>
        <v>10.787447209965514</v>
      </c>
      <c r="V84" s="366">
        <f t="shared" si="6"/>
        <v>514.42000000000007</v>
      </c>
      <c r="W84" s="76">
        <f>U84/U80</f>
        <v>0.3917010606378169</v>
      </c>
      <c r="X84" s="358">
        <f>U84*1.25</f>
        <v>13.484309012456892</v>
      </c>
      <c r="Y84" s="364">
        <f>V84-$S$79</f>
        <v>-403.57999999999993</v>
      </c>
      <c r="Z84" s="73"/>
      <c r="AA84" s="57"/>
      <c r="AB84" s="45"/>
      <c r="AC84" s="45"/>
      <c r="AD84" s="45"/>
    </row>
    <row r="85" spans="1:30" outlineLevel="3" x14ac:dyDescent="0.25">
      <c r="A85" s="45"/>
      <c r="B85" s="54"/>
      <c r="C85" s="87">
        <f t="shared" si="0"/>
        <v>4</v>
      </c>
      <c r="D85" s="73"/>
      <c r="E85" s="70"/>
      <c r="F85" s="70" t="s">
        <v>2112</v>
      </c>
      <c r="G85" s="73"/>
      <c r="H85" s="76" t="s">
        <v>2286</v>
      </c>
      <c r="I85" s="76"/>
      <c r="J85" s="76"/>
      <c r="K85" s="97">
        <v>-100</v>
      </c>
      <c r="L85" s="97"/>
      <c r="M85" s="97"/>
      <c r="N85" s="97"/>
      <c r="O85" s="76"/>
      <c r="P85" s="76"/>
      <c r="Q85" s="76"/>
      <c r="R85" s="76"/>
      <c r="S85" s="76"/>
      <c r="T85" s="76">
        <f t="shared" si="4"/>
        <v>0</v>
      </c>
      <c r="U85" s="361">
        <f t="shared" si="5"/>
        <v>21.540000000000092</v>
      </c>
      <c r="V85" s="364">
        <f t="shared" si="6"/>
        <v>718</v>
      </c>
      <c r="W85" s="76"/>
      <c r="X85" s="76"/>
      <c r="Y85" s="76"/>
      <c r="Z85" s="73"/>
      <c r="AA85" s="57"/>
      <c r="AB85" s="45"/>
      <c r="AC85" s="45"/>
      <c r="AD85" s="45"/>
    </row>
    <row r="86" spans="1:30" outlineLevel="3" x14ac:dyDescent="0.25">
      <c r="A86" s="45"/>
      <c r="B86" s="54"/>
      <c r="C86" s="87">
        <f t="shared" si="0"/>
        <v>4</v>
      </c>
      <c r="D86" s="73"/>
      <c r="E86" s="70"/>
      <c r="F86" s="70" t="s">
        <v>2121</v>
      </c>
      <c r="G86" s="73"/>
      <c r="H86" s="76" t="s">
        <v>2247</v>
      </c>
      <c r="I86" s="76"/>
      <c r="J86" s="76"/>
      <c r="K86" s="97">
        <v>-100</v>
      </c>
      <c r="L86" s="97"/>
      <c r="M86" s="97"/>
      <c r="N86" s="97"/>
      <c r="O86" s="76"/>
      <c r="P86" s="76"/>
      <c r="Q86" s="76"/>
      <c r="R86" s="76"/>
      <c r="S86" s="76"/>
      <c r="T86" s="76">
        <f t="shared" si="4"/>
        <v>0</v>
      </c>
      <c r="U86" s="358">
        <f t="shared" si="5"/>
        <v>21.540000000000092</v>
      </c>
      <c r="V86" s="364">
        <f t="shared" si="6"/>
        <v>718</v>
      </c>
      <c r="W86" s="76"/>
      <c r="X86" s="76"/>
      <c r="Y86" s="76"/>
      <c r="Z86" s="73"/>
      <c r="AA86" s="57"/>
      <c r="AB86" s="45"/>
      <c r="AC86" s="45"/>
      <c r="AD86" s="45"/>
    </row>
    <row r="87" spans="1:30" outlineLevel="3" x14ac:dyDescent="0.25">
      <c r="A87" s="45"/>
      <c r="B87" s="54"/>
      <c r="C87" s="87">
        <f t="shared" si="0"/>
        <v>4</v>
      </c>
      <c r="D87" s="73"/>
      <c r="E87" s="70"/>
      <c r="F87" s="70" t="s">
        <v>2112</v>
      </c>
      <c r="G87" s="73"/>
      <c r="H87" s="76" t="s">
        <v>2289</v>
      </c>
      <c r="I87" s="76"/>
      <c r="J87" s="76"/>
      <c r="K87" s="97">
        <v>-100</v>
      </c>
      <c r="L87" s="97"/>
      <c r="M87" s="97"/>
      <c r="N87" s="97"/>
      <c r="O87" s="76"/>
      <c r="P87" s="76"/>
      <c r="Q87" s="76"/>
      <c r="R87" s="76"/>
      <c r="S87" s="76"/>
      <c r="T87" s="76">
        <f t="shared" si="4"/>
        <v>0</v>
      </c>
      <c r="U87" s="358">
        <f t="shared" si="5"/>
        <v>24.540000000000092</v>
      </c>
      <c r="V87" s="364">
        <f t="shared" si="6"/>
        <v>818</v>
      </c>
      <c r="W87" s="76"/>
      <c r="X87" s="76"/>
      <c r="Y87" s="76"/>
      <c r="Z87" s="73"/>
      <c r="AA87" s="57"/>
      <c r="AB87" s="45"/>
      <c r="AC87" s="45"/>
      <c r="AD87" s="45"/>
    </row>
    <row r="88" spans="1:30" outlineLevel="3" x14ac:dyDescent="0.25">
      <c r="A88" s="45"/>
      <c r="B88" s="54"/>
      <c r="C88" s="87">
        <f t="shared" si="0"/>
        <v>4</v>
      </c>
      <c r="D88" s="73"/>
      <c r="E88" s="70"/>
      <c r="F88" s="70" t="s">
        <v>2113</v>
      </c>
      <c r="G88" s="73"/>
      <c r="H88" s="218" t="s">
        <v>2248</v>
      </c>
      <c r="I88" s="218"/>
      <c r="J88" s="218"/>
      <c r="K88" s="307">
        <v>-100</v>
      </c>
      <c r="L88" s="307"/>
      <c r="M88" s="307"/>
      <c r="N88" s="307"/>
      <c r="O88" s="218"/>
      <c r="P88" s="218"/>
      <c r="Q88" s="218"/>
      <c r="R88" s="218"/>
      <c r="S88" s="218"/>
      <c r="T88" s="76">
        <f t="shared" si="4"/>
        <v>0</v>
      </c>
      <c r="U88" s="358">
        <f t="shared" si="5"/>
        <v>24.540000000000092</v>
      </c>
      <c r="V88" s="367">
        <f t="shared" si="6"/>
        <v>818</v>
      </c>
      <c r="W88" s="218"/>
      <c r="X88" s="218"/>
      <c r="Y88" s="218"/>
      <c r="Z88" s="73"/>
      <c r="AA88" s="57"/>
      <c r="AB88" s="45"/>
      <c r="AC88" s="45"/>
      <c r="AD88" s="45"/>
    </row>
    <row r="89" spans="1:30" outlineLevel="3" x14ac:dyDescent="0.25">
      <c r="A89" s="45"/>
      <c r="B89" s="54"/>
      <c r="C89" s="87">
        <f t="shared" si="0"/>
        <v>4</v>
      </c>
      <c r="D89" s="73"/>
      <c r="E89" s="70"/>
      <c r="F89" s="70" t="s">
        <v>2122</v>
      </c>
      <c r="G89" s="73"/>
      <c r="H89" s="305" t="s">
        <v>2365</v>
      </c>
      <c r="I89" s="305"/>
      <c r="J89" s="305"/>
      <c r="K89" s="306">
        <v>-100</v>
      </c>
      <c r="L89" s="306"/>
      <c r="M89" s="306"/>
      <c r="N89" s="306"/>
      <c r="O89" s="305"/>
      <c r="P89" s="305"/>
      <c r="Q89" s="305"/>
      <c r="R89" s="305"/>
      <c r="S89" s="97">
        <v>0.3</v>
      </c>
      <c r="T89" s="354">
        <f>EXP(K89*$S$89)</f>
        <v>9.3576229688401748E-14</v>
      </c>
      <c r="U89" s="305"/>
      <c r="V89" s="305"/>
      <c r="W89" s="305"/>
      <c r="X89" s="305"/>
      <c r="Y89" s="305"/>
      <c r="Z89" s="73"/>
      <c r="AA89" s="57"/>
      <c r="AB89" s="45"/>
      <c r="AC89" s="45"/>
      <c r="AD89" s="45"/>
    </row>
    <row r="90" spans="1:30" outlineLevel="3" x14ac:dyDescent="0.25">
      <c r="A90" s="45"/>
      <c r="B90" s="54"/>
      <c r="C90" s="87">
        <f t="shared" si="0"/>
        <v>4</v>
      </c>
      <c r="D90" s="73"/>
      <c r="E90" s="70"/>
      <c r="F90" s="70" t="s">
        <v>2123</v>
      </c>
      <c r="G90" s="73"/>
      <c r="H90" s="76" t="s">
        <v>2245</v>
      </c>
      <c r="I90" s="76"/>
      <c r="J90" s="76"/>
      <c r="K90" s="97">
        <v>-100</v>
      </c>
      <c r="L90" s="97"/>
      <c r="M90" s="97"/>
      <c r="N90" s="97"/>
      <c r="O90" s="76"/>
      <c r="P90" s="76"/>
      <c r="Q90" s="76"/>
      <c r="R90" s="76"/>
      <c r="S90" s="76"/>
      <c r="T90" s="355">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2124</v>
      </c>
      <c r="G91" s="73"/>
      <c r="H91" s="76" t="s">
        <v>2097</v>
      </c>
      <c r="I91" s="76"/>
      <c r="J91" s="76"/>
      <c r="K91" s="97">
        <v>-100</v>
      </c>
      <c r="L91" s="97"/>
      <c r="M91" s="97"/>
      <c r="N91" s="97"/>
      <c r="O91" s="76"/>
      <c r="P91" s="76"/>
      <c r="Q91" s="76"/>
      <c r="R91" s="76"/>
      <c r="S91" s="76"/>
      <c r="T91" s="355">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2125</v>
      </c>
      <c r="G92" s="73"/>
      <c r="H92" s="76" t="s">
        <v>2246</v>
      </c>
      <c r="I92" s="76"/>
      <c r="J92" s="76"/>
      <c r="K92" s="97">
        <v>-100</v>
      </c>
      <c r="L92" s="97"/>
      <c r="M92" s="97"/>
      <c r="N92" s="97"/>
      <c r="O92" s="76"/>
      <c r="P92" s="76"/>
      <c r="Q92" s="76"/>
      <c r="R92" s="76"/>
      <c r="S92" s="76"/>
      <c r="T92" s="355">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2126</v>
      </c>
      <c r="G93" s="73"/>
      <c r="H93" s="76" t="s">
        <v>2100</v>
      </c>
      <c r="I93" s="76"/>
      <c r="J93" s="76"/>
      <c r="K93" s="97">
        <v>-0.46</v>
      </c>
      <c r="L93" s="97"/>
      <c r="M93" s="97"/>
      <c r="N93" s="97"/>
      <c r="O93" s="76"/>
      <c r="P93" s="76"/>
      <c r="Q93" s="76"/>
      <c r="R93" s="76"/>
      <c r="S93" s="76"/>
      <c r="T93" s="355">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2127</v>
      </c>
      <c r="G94" s="73"/>
      <c r="H94" s="76" t="s">
        <v>2247</v>
      </c>
      <c r="I94" s="76"/>
      <c r="J94" s="76"/>
      <c r="K94" s="97">
        <v>-0.22</v>
      </c>
      <c r="L94" s="97"/>
      <c r="M94" s="97"/>
      <c r="N94" s="97"/>
      <c r="O94" s="76"/>
      <c r="P94" s="76"/>
      <c r="Q94" s="76"/>
      <c r="R94" s="76"/>
      <c r="S94" s="76"/>
      <c r="T94" s="355">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2112</v>
      </c>
      <c r="G95" s="73"/>
      <c r="H95" s="76" t="s">
        <v>2286</v>
      </c>
      <c r="I95" s="76"/>
      <c r="J95" s="76"/>
      <c r="K95" s="97">
        <v>-100</v>
      </c>
      <c r="L95" s="97"/>
      <c r="M95" s="97"/>
      <c r="N95" s="97"/>
      <c r="O95" s="76"/>
      <c r="P95" s="76"/>
      <c r="Q95" s="76"/>
      <c r="R95" s="76"/>
      <c r="S95" s="76"/>
      <c r="T95" s="355">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2121</v>
      </c>
      <c r="G96" s="73"/>
      <c r="H96" s="76" t="s">
        <v>2247</v>
      </c>
      <c r="I96" s="76"/>
      <c r="J96" s="76"/>
      <c r="K96" s="97">
        <v>-100</v>
      </c>
      <c r="L96" s="97"/>
      <c r="M96" s="97"/>
      <c r="N96" s="97"/>
      <c r="O96" s="76"/>
      <c r="P96" s="76"/>
      <c r="Q96" s="76"/>
      <c r="R96" s="76"/>
      <c r="S96" s="76"/>
      <c r="T96" s="355">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2112</v>
      </c>
      <c r="G97" s="73"/>
      <c r="H97" s="76" t="s">
        <v>2289</v>
      </c>
      <c r="I97" s="76"/>
      <c r="J97" s="76"/>
      <c r="K97" s="97">
        <v>-100</v>
      </c>
      <c r="L97" s="97"/>
      <c r="M97" s="97"/>
      <c r="N97" s="97"/>
      <c r="O97" s="76"/>
      <c r="P97" s="76"/>
      <c r="Q97" s="76"/>
      <c r="R97" s="76"/>
      <c r="S97" s="76"/>
      <c r="T97" s="355">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2113</v>
      </c>
      <c r="G98" s="73"/>
      <c r="H98" s="218" t="s">
        <v>2248</v>
      </c>
      <c r="I98" s="218"/>
      <c r="J98" s="218"/>
      <c r="K98" s="307">
        <v>-100</v>
      </c>
      <c r="L98" s="307"/>
      <c r="M98" s="307"/>
      <c r="N98" s="307"/>
      <c r="O98" s="218"/>
      <c r="P98" s="218"/>
      <c r="Q98" s="218"/>
      <c r="R98" s="218"/>
      <c r="S98" s="218"/>
      <c r="T98" s="356">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2128</v>
      </c>
      <c r="G99" s="73"/>
      <c r="H99" s="305" t="s">
        <v>2366</v>
      </c>
      <c r="I99" s="305"/>
      <c r="J99" s="305"/>
      <c r="K99" s="306">
        <v>-100</v>
      </c>
      <c r="L99" s="306"/>
      <c r="M99" s="306"/>
      <c r="N99" s="306"/>
      <c r="O99" s="305"/>
      <c r="P99" s="305"/>
      <c r="Q99" s="305"/>
      <c r="R99" s="305"/>
      <c r="S99" s="305">
        <f>S79*S89</f>
        <v>275.39999999999998</v>
      </c>
      <c r="T99" s="354">
        <f>EXP(K99*$S$99)</f>
        <v>0</v>
      </c>
      <c r="U99" s="305"/>
      <c r="V99" s="305"/>
      <c r="W99" s="305"/>
      <c r="X99" s="305"/>
      <c r="Y99" s="305"/>
      <c r="Z99" s="73"/>
      <c r="AA99" s="57"/>
      <c r="AB99" s="45"/>
      <c r="AC99" s="45"/>
      <c r="AD99" s="45"/>
    </row>
    <row r="100" spans="1:30" outlineLevel="3" x14ac:dyDescent="0.25">
      <c r="A100" s="45"/>
      <c r="B100" s="54"/>
      <c r="C100" s="87">
        <f t="shared" si="0"/>
        <v>4</v>
      </c>
      <c r="D100" s="73"/>
      <c r="E100" s="70"/>
      <c r="F100" s="70" t="s">
        <v>2129</v>
      </c>
      <c r="G100" s="73"/>
      <c r="H100" s="76" t="s">
        <v>2245</v>
      </c>
      <c r="I100" s="76"/>
      <c r="J100" s="76"/>
      <c r="K100" s="97">
        <v>-100</v>
      </c>
      <c r="L100" s="97"/>
      <c r="M100" s="97"/>
      <c r="N100" s="97"/>
      <c r="O100" s="76"/>
      <c r="P100" s="76"/>
      <c r="Q100" s="76"/>
      <c r="R100" s="76"/>
      <c r="S100" s="76"/>
      <c r="T100" s="355">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2130</v>
      </c>
      <c r="G101" s="73"/>
      <c r="H101" s="76" t="s">
        <v>2097</v>
      </c>
      <c r="I101" s="76"/>
      <c r="J101" s="76"/>
      <c r="K101" s="97">
        <v>-100</v>
      </c>
      <c r="L101" s="97"/>
      <c r="M101" s="97"/>
      <c r="N101" s="97"/>
      <c r="O101" s="76"/>
      <c r="P101" s="76"/>
      <c r="Q101" s="76"/>
      <c r="R101" s="76"/>
      <c r="S101" s="76"/>
      <c r="T101" s="355">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2131</v>
      </c>
      <c r="G102" s="73"/>
      <c r="H102" s="76" t="s">
        <v>2246</v>
      </c>
      <c r="I102" s="76"/>
      <c r="J102" s="76"/>
      <c r="K102" s="97">
        <v>-100</v>
      </c>
      <c r="L102" s="97"/>
      <c r="M102" s="97"/>
      <c r="N102" s="97"/>
      <c r="O102" s="76"/>
      <c r="P102" s="76"/>
      <c r="Q102" s="76"/>
      <c r="R102" s="76"/>
      <c r="S102" s="76"/>
      <c r="T102" s="355">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2132</v>
      </c>
      <c r="G103" s="73"/>
      <c r="H103" s="76" t="s">
        <v>2100</v>
      </c>
      <c r="I103" s="76"/>
      <c r="J103" s="76"/>
      <c r="K103" s="97">
        <v>-2.9999999999999997E-4</v>
      </c>
      <c r="L103" s="97"/>
      <c r="M103" s="97"/>
      <c r="N103" s="97"/>
      <c r="O103" s="76"/>
      <c r="P103" s="76"/>
      <c r="Q103" s="76"/>
      <c r="R103" s="76"/>
      <c r="S103" s="76"/>
      <c r="T103" s="355">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2133</v>
      </c>
      <c r="G104" s="73"/>
      <c r="H104" s="76" t="s">
        <v>2247</v>
      </c>
      <c r="I104" s="76"/>
      <c r="J104" s="76"/>
      <c r="K104" s="97">
        <v>-2.4000000000000001E-4</v>
      </c>
      <c r="L104" s="97"/>
      <c r="M104" s="97"/>
      <c r="N104" s="97"/>
      <c r="O104" s="76"/>
      <c r="P104" s="76"/>
      <c r="Q104" s="76"/>
      <c r="R104" s="76"/>
      <c r="S104" s="76"/>
      <c r="T104" s="355">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2112</v>
      </c>
      <c r="G105" s="73"/>
      <c r="H105" s="76" t="s">
        <v>2286</v>
      </c>
      <c r="I105" s="76"/>
      <c r="J105" s="76"/>
      <c r="K105" s="97">
        <v>-100</v>
      </c>
      <c r="L105" s="97"/>
      <c r="M105" s="97"/>
      <c r="N105" s="97"/>
      <c r="O105" s="76"/>
      <c r="P105" s="76"/>
      <c r="Q105" s="76"/>
      <c r="R105" s="76"/>
      <c r="S105" s="76"/>
      <c r="T105" s="355">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2121</v>
      </c>
      <c r="G106" s="73"/>
      <c r="H106" s="76" t="s">
        <v>2247</v>
      </c>
      <c r="I106" s="76"/>
      <c r="J106" s="76"/>
      <c r="K106" s="97">
        <v>-100</v>
      </c>
      <c r="L106" s="97"/>
      <c r="M106" s="97"/>
      <c r="N106" s="97"/>
      <c r="O106" s="76"/>
      <c r="P106" s="76"/>
      <c r="Q106" s="76"/>
      <c r="R106" s="76"/>
      <c r="S106" s="76"/>
      <c r="T106" s="355">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2112</v>
      </c>
      <c r="G107" s="73"/>
      <c r="H107" s="76" t="s">
        <v>2289</v>
      </c>
      <c r="I107" s="76"/>
      <c r="J107" s="76"/>
      <c r="K107" s="97">
        <v>-100</v>
      </c>
      <c r="L107" s="97"/>
      <c r="M107" s="97"/>
      <c r="N107" s="97"/>
      <c r="O107" s="76"/>
      <c r="P107" s="76"/>
      <c r="Q107" s="76"/>
      <c r="R107" s="76"/>
      <c r="S107" s="76"/>
      <c r="T107" s="355">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2113</v>
      </c>
      <c r="G108" s="73"/>
      <c r="H108" s="218" t="s">
        <v>2248</v>
      </c>
      <c r="I108" s="218"/>
      <c r="J108" s="218"/>
      <c r="K108" s="307">
        <v>-100</v>
      </c>
      <c r="L108" s="307"/>
      <c r="M108" s="307"/>
      <c r="N108" s="307"/>
      <c r="O108" s="218"/>
      <c r="P108" s="218"/>
      <c r="Q108" s="218"/>
      <c r="R108" s="218"/>
      <c r="S108" s="218"/>
      <c r="T108" s="356">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2134</v>
      </c>
      <c r="G109" s="73"/>
      <c r="H109" s="305" t="s">
        <v>2367</v>
      </c>
      <c r="I109" s="305"/>
      <c r="J109" s="305"/>
      <c r="K109" s="306">
        <v>-100</v>
      </c>
      <c r="L109" s="306"/>
      <c r="M109" s="306"/>
      <c r="N109" s="306"/>
      <c r="O109" s="305"/>
      <c r="P109" s="305"/>
      <c r="Q109" s="305"/>
      <c r="R109" s="305"/>
      <c r="S109" s="305"/>
      <c r="T109" s="357">
        <f t="shared" ref="T109:T118" si="9">EXP(K109)</f>
        <v>3.7200759760208361E-44</v>
      </c>
      <c r="U109" s="305"/>
      <c r="V109" s="305"/>
      <c r="W109" s="305"/>
      <c r="X109" s="305"/>
      <c r="Y109" s="305"/>
      <c r="Z109" s="73"/>
      <c r="AA109" s="57"/>
      <c r="AB109" s="45"/>
      <c r="AC109" s="45"/>
      <c r="AD109" s="45"/>
    </row>
    <row r="110" spans="1:30" outlineLevel="3" x14ac:dyDescent="0.25">
      <c r="A110" s="45"/>
      <c r="B110" s="54"/>
      <c r="C110" s="87">
        <f t="shared" si="0"/>
        <v>4</v>
      </c>
      <c r="D110" s="73"/>
      <c r="E110" s="70"/>
      <c r="F110" s="70" t="s">
        <v>2135</v>
      </c>
      <c r="G110" s="73"/>
      <c r="H110" s="76" t="s">
        <v>2245</v>
      </c>
      <c r="I110" s="76"/>
      <c r="J110" s="76"/>
      <c r="K110" s="97">
        <v>-100</v>
      </c>
      <c r="L110" s="97"/>
      <c r="M110" s="97"/>
      <c r="N110" s="97"/>
      <c r="O110" s="76"/>
      <c r="P110" s="76"/>
      <c r="Q110" s="76"/>
      <c r="R110" s="76"/>
      <c r="S110" s="76"/>
      <c r="T110" s="358">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2136</v>
      </c>
      <c r="G111" s="73"/>
      <c r="H111" s="76" t="s">
        <v>2097</v>
      </c>
      <c r="I111" s="76"/>
      <c r="J111" s="76"/>
      <c r="K111" s="97">
        <v>-100</v>
      </c>
      <c r="L111" s="97"/>
      <c r="M111" s="97"/>
      <c r="N111" s="97"/>
      <c r="O111" s="76"/>
      <c r="P111" s="76"/>
      <c r="Q111" s="76"/>
      <c r="R111" s="76"/>
      <c r="S111" s="76"/>
      <c r="T111" s="358">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2137</v>
      </c>
      <c r="G112" s="73"/>
      <c r="H112" s="76" t="s">
        <v>2246</v>
      </c>
      <c r="I112" s="76"/>
      <c r="J112" s="76"/>
      <c r="K112" s="97">
        <v>-100</v>
      </c>
      <c r="L112" s="97"/>
      <c r="M112" s="97"/>
      <c r="N112" s="97"/>
      <c r="O112" s="76"/>
      <c r="P112" s="76"/>
      <c r="Q112" s="76"/>
      <c r="R112" s="76"/>
      <c r="S112" s="76"/>
      <c r="T112" s="358">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2138</v>
      </c>
      <c r="G113" s="73"/>
      <c r="H113" s="76" t="s">
        <v>2100</v>
      </c>
      <c r="I113" s="76"/>
      <c r="J113" s="76"/>
      <c r="K113" s="97">
        <v>2.4</v>
      </c>
      <c r="L113" s="97"/>
      <c r="M113" s="97"/>
      <c r="N113" s="97"/>
      <c r="O113" s="76"/>
      <c r="P113" s="76"/>
      <c r="Q113" s="76"/>
      <c r="R113" s="76"/>
      <c r="S113" s="76"/>
      <c r="T113" s="358">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2139</v>
      </c>
      <c r="G114" s="73"/>
      <c r="H114" s="76" t="s">
        <v>2247</v>
      </c>
      <c r="I114" s="76"/>
      <c r="J114" s="76"/>
      <c r="K114" s="97">
        <v>1.91</v>
      </c>
      <c r="L114" s="97"/>
      <c r="M114" s="97"/>
      <c r="N114" s="97"/>
      <c r="O114" s="76"/>
      <c r="P114" s="76"/>
      <c r="Q114" s="76"/>
      <c r="R114" s="76"/>
      <c r="S114" s="76"/>
      <c r="T114" s="358">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2112</v>
      </c>
      <c r="G115" s="73"/>
      <c r="H115" s="76" t="s">
        <v>2286</v>
      </c>
      <c r="I115" s="76"/>
      <c r="J115" s="76"/>
      <c r="K115" s="97">
        <v>-100</v>
      </c>
      <c r="L115" s="97"/>
      <c r="M115" s="97"/>
      <c r="N115" s="97"/>
      <c r="O115" s="76"/>
      <c r="P115" s="76"/>
      <c r="Q115" s="76"/>
      <c r="R115" s="76"/>
      <c r="S115" s="76"/>
      <c r="T115" s="358">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2121</v>
      </c>
      <c r="G116" s="73"/>
      <c r="H116" s="76" t="s">
        <v>2247</v>
      </c>
      <c r="I116" s="76"/>
      <c r="J116" s="76"/>
      <c r="K116" s="97">
        <v>-100</v>
      </c>
      <c r="L116" s="97"/>
      <c r="M116" s="97"/>
      <c r="N116" s="97"/>
      <c r="O116" s="76"/>
      <c r="P116" s="76"/>
      <c r="Q116" s="76"/>
      <c r="R116" s="76"/>
      <c r="S116" s="76"/>
      <c r="T116" s="358">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2112</v>
      </c>
      <c r="G117" s="73"/>
      <c r="H117" s="76" t="s">
        <v>2289</v>
      </c>
      <c r="I117" s="76"/>
      <c r="J117" s="76"/>
      <c r="K117" s="97">
        <v>-100</v>
      </c>
      <c r="L117" s="97"/>
      <c r="M117" s="97"/>
      <c r="N117" s="97"/>
      <c r="O117" s="76"/>
      <c r="P117" s="76"/>
      <c r="Q117" s="76"/>
      <c r="R117" s="76"/>
      <c r="S117" s="76"/>
      <c r="T117" s="358">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2113</v>
      </c>
      <c r="G118" s="73"/>
      <c r="H118" s="218" t="s">
        <v>2248</v>
      </c>
      <c r="I118" s="218"/>
      <c r="J118" s="218"/>
      <c r="K118" s="307">
        <v>-100</v>
      </c>
      <c r="L118" s="307"/>
      <c r="M118" s="307"/>
      <c r="N118" s="307"/>
      <c r="O118" s="218"/>
      <c r="P118" s="218"/>
      <c r="Q118" s="218"/>
      <c r="R118" s="218"/>
      <c r="S118" s="218"/>
      <c r="T118" s="359">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2140</v>
      </c>
      <c r="G119" s="73"/>
      <c r="H119" s="305" t="s">
        <v>2368</v>
      </c>
      <c r="I119" s="305" t="s">
        <v>2141</v>
      </c>
      <c r="J119" s="305"/>
      <c r="K119" s="306">
        <f>30/1000</f>
        <v>0.03</v>
      </c>
      <c r="L119" s="306"/>
      <c r="M119" s="306"/>
      <c r="N119" s="306"/>
      <c r="O119" s="305"/>
      <c r="P119" s="305"/>
      <c r="Q119" s="305"/>
      <c r="R119" s="305"/>
      <c r="S119" s="305">
        <f>S$79</f>
        <v>918</v>
      </c>
      <c r="T119" s="357">
        <f>(K119*$S$119)</f>
        <v>27.54</v>
      </c>
      <c r="U119" s="305"/>
      <c r="V119" s="305"/>
      <c r="W119" s="305"/>
      <c r="X119" s="305"/>
      <c r="Y119" s="305"/>
      <c r="Z119" s="73"/>
      <c r="AA119" s="57"/>
      <c r="AB119" s="45"/>
      <c r="AC119" s="45"/>
      <c r="AD119" s="45"/>
    </row>
    <row r="120" spans="1:30" outlineLevel="3" x14ac:dyDescent="0.25">
      <c r="A120" s="45"/>
      <c r="B120" s="54"/>
      <c r="C120" s="87">
        <f t="shared" si="0"/>
        <v>4</v>
      </c>
      <c r="D120" s="73"/>
      <c r="E120" s="70"/>
      <c r="F120" s="70" t="s">
        <v>2142</v>
      </c>
      <c r="G120" s="73"/>
      <c r="H120" s="76" t="s">
        <v>2245</v>
      </c>
      <c r="I120" s="76" t="s">
        <v>2141</v>
      </c>
      <c r="J120" s="76"/>
      <c r="K120" s="97">
        <f>30/1000</f>
        <v>0.03</v>
      </c>
      <c r="L120" s="97"/>
      <c r="M120" s="97"/>
      <c r="N120" s="97"/>
      <c r="O120" s="76"/>
      <c r="P120" s="76"/>
      <c r="Q120" s="76"/>
      <c r="R120" s="76"/>
      <c r="S120" s="76"/>
      <c r="T120" s="358">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2143</v>
      </c>
      <c r="G121" s="73"/>
      <c r="H121" s="76" t="s">
        <v>2097</v>
      </c>
      <c r="I121" s="76" t="s">
        <v>2141</v>
      </c>
      <c r="J121" s="76"/>
      <c r="K121" s="97">
        <v>4.9147000000000003E-2</v>
      </c>
      <c r="L121" s="97"/>
      <c r="M121" s="97"/>
      <c r="N121" s="97"/>
      <c r="O121" s="76"/>
      <c r="P121" s="76"/>
      <c r="Q121" s="76"/>
      <c r="R121" s="76"/>
      <c r="S121" s="76"/>
      <c r="T121" s="358">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2144</v>
      </c>
      <c r="G122" s="73"/>
      <c r="H122" s="76" t="s">
        <v>2246</v>
      </c>
      <c r="I122" s="76" t="s">
        <v>2141</v>
      </c>
      <c r="J122" s="76"/>
      <c r="K122" s="97">
        <v>3.4518800000000002E-2</v>
      </c>
      <c r="L122" s="97"/>
      <c r="M122" s="97"/>
      <c r="N122" s="97"/>
      <c r="O122" s="76"/>
      <c r="P122" s="76"/>
      <c r="Q122" s="76"/>
      <c r="R122" s="76"/>
      <c r="S122" s="76"/>
      <c r="T122" s="358">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2145</v>
      </c>
      <c r="G123" s="73"/>
      <c r="H123" s="76" t="s">
        <v>2100</v>
      </c>
      <c r="I123" s="76" t="s">
        <v>2141</v>
      </c>
      <c r="J123" s="76"/>
      <c r="K123" s="97">
        <v>0</v>
      </c>
      <c r="L123" s="97"/>
      <c r="M123" s="97"/>
      <c r="N123" s="97"/>
      <c r="O123" s="76"/>
      <c r="P123" s="76"/>
      <c r="Q123" s="76"/>
      <c r="R123" s="76"/>
      <c r="S123" s="76"/>
      <c r="T123" s="358">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2146</v>
      </c>
      <c r="G124" s="73"/>
      <c r="H124" s="76" t="s">
        <v>2247</v>
      </c>
      <c r="I124" s="76" t="s">
        <v>2141</v>
      </c>
      <c r="J124" s="76"/>
      <c r="K124" s="97">
        <v>0</v>
      </c>
      <c r="L124" s="97"/>
      <c r="M124" s="97"/>
      <c r="N124" s="97"/>
      <c r="O124" s="76"/>
      <c r="P124" s="76"/>
      <c r="Q124" s="76"/>
      <c r="R124" s="76"/>
      <c r="S124" s="76"/>
      <c r="T124" s="358">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2112</v>
      </c>
      <c r="G125" s="73"/>
      <c r="H125" s="76" t="s">
        <v>2286</v>
      </c>
      <c r="I125" s="76" t="s">
        <v>2141</v>
      </c>
      <c r="J125" s="76"/>
      <c r="K125" s="97">
        <f>30/1000</f>
        <v>0.03</v>
      </c>
      <c r="L125" s="97"/>
      <c r="M125" s="97"/>
      <c r="N125" s="97"/>
      <c r="O125" s="76"/>
      <c r="P125" s="76"/>
      <c r="Q125" s="76"/>
      <c r="R125" s="76"/>
      <c r="S125" s="76"/>
      <c r="T125" s="358">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2121</v>
      </c>
      <c r="G126" s="73"/>
      <c r="H126" s="76" t="s">
        <v>2247</v>
      </c>
      <c r="I126" s="76" t="s">
        <v>2141</v>
      </c>
      <c r="J126" s="76"/>
      <c r="K126" s="97">
        <f>30/1000</f>
        <v>0.03</v>
      </c>
      <c r="L126" s="97"/>
      <c r="M126" s="97"/>
      <c r="N126" s="97"/>
      <c r="O126" s="76"/>
      <c r="P126" s="76"/>
      <c r="Q126" s="76"/>
      <c r="R126" s="76"/>
      <c r="S126" s="76"/>
      <c r="T126" s="358">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2112</v>
      </c>
      <c r="G127" s="73"/>
      <c r="H127" s="76" t="s">
        <v>2289</v>
      </c>
      <c r="I127" s="76" t="s">
        <v>2141</v>
      </c>
      <c r="J127" s="76"/>
      <c r="K127" s="97">
        <f>30/1000</f>
        <v>0.03</v>
      </c>
      <c r="L127" s="97"/>
      <c r="M127" s="97"/>
      <c r="N127" s="97"/>
      <c r="O127" s="76"/>
      <c r="P127" s="76"/>
      <c r="Q127" s="76"/>
      <c r="R127" s="76"/>
      <c r="S127" s="76"/>
      <c r="T127" s="358">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2113</v>
      </c>
      <c r="G128" s="73"/>
      <c r="H128" s="218" t="s">
        <v>2248</v>
      </c>
      <c r="I128" s="218" t="s">
        <v>2141</v>
      </c>
      <c r="J128" s="218"/>
      <c r="K128" s="307">
        <f>30/1000</f>
        <v>0.03</v>
      </c>
      <c r="L128" s="307"/>
      <c r="M128" s="307"/>
      <c r="N128" s="307"/>
      <c r="O128" s="218"/>
      <c r="P128" s="218"/>
      <c r="Q128" s="218"/>
      <c r="R128" s="218"/>
      <c r="S128" s="218"/>
      <c r="T128" s="359">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2147</v>
      </c>
      <c r="G129" s="73"/>
      <c r="H129" s="305" t="s">
        <v>2369</v>
      </c>
      <c r="I129" s="305" t="s">
        <v>2148</v>
      </c>
      <c r="J129" s="305"/>
      <c r="K129" s="306">
        <v>0</v>
      </c>
      <c r="L129" s="306"/>
      <c r="M129" s="306"/>
      <c r="N129" s="306"/>
      <c r="O129" s="305"/>
      <c r="P129" s="305"/>
      <c r="Q129" s="305"/>
      <c r="R129" s="305"/>
      <c r="S129" s="305"/>
      <c r="T129" s="357">
        <f t="shared" ref="T129:T138" si="11">(K129)</f>
        <v>0</v>
      </c>
      <c r="U129" s="305"/>
      <c r="V129" s="305"/>
      <c r="W129" s="305"/>
      <c r="X129" s="305"/>
      <c r="Y129" s="305"/>
      <c r="Z129" s="73"/>
      <c r="AA129" s="57"/>
      <c r="AB129" s="45"/>
      <c r="AC129" s="45"/>
      <c r="AD129" s="45"/>
    </row>
    <row r="130" spans="1:30" outlineLevel="3" x14ac:dyDescent="0.25">
      <c r="A130" s="45"/>
      <c r="B130" s="54"/>
      <c r="C130" s="87">
        <f t="shared" si="0"/>
        <v>4</v>
      </c>
      <c r="D130" s="73"/>
      <c r="E130" s="70"/>
      <c r="F130" s="70" t="s">
        <v>2149</v>
      </c>
      <c r="G130" s="73"/>
      <c r="H130" s="76" t="s">
        <v>2245</v>
      </c>
      <c r="I130" s="76" t="s">
        <v>2148</v>
      </c>
      <c r="J130" s="76"/>
      <c r="K130" s="97">
        <v>0</v>
      </c>
      <c r="L130" s="97"/>
      <c r="M130" s="97"/>
      <c r="N130" s="97"/>
      <c r="O130" s="76"/>
      <c r="P130" s="76"/>
      <c r="Q130" s="76"/>
      <c r="R130" s="76"/>
      <c r="S130" s="76"/>
      <c r="T130" s="358">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2150</v>
      </c>
      <c r="G131" s="73"/>
      <c r="H131" s="76" t="s">
        <v>2097</v>
      </c>
      <c r="I131" s="76" t="s">
        <v>2148</v>
      </c>
      <c r="J131" s="76"/>
      <c r="K131" s="97">
        <v>-25.44</v>
      </c>
      <c r="L131" s="97"/>
      <c r="M131" s="97"/>
      <c r="N131" s="97"/>
      <c r="O131" s="76"/>
      <c r="P131" s="76"/>
      <c r="Q131" s="76"/>
      <c r="R131" s="76"/>
      <c r="S131" s="76"/>
      <c r="T131" s="358">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2151</v>
      </c>
      <c r="G132" s="73"/>
      <c r="H132" s="76" t="s">
        <v>2246</v>
      </c>
      <c r="I132" s="76" t="s">
        <v>2148</v>
      </c>
      <c r="J132" s="76"/>
      <c r="K132" s="97">
        <v>-19.876000000000001</v>
      </c>
      <c r="L132" s="97"/>
      <c r="M132" s="97"/>
      <c r="N132" s="97"/>
      <c r="O132" s="76"/>
      <c r="P132" s="76"/>
      <c r="Q132" s="76"/>
      <c r="R132" s="76"/>
      <c r="S132" s="76"/>
      <c r="T132" s="358">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2152</v>
      </c>
      <c r="G133" s="73"/>
      <c r="H133" s="76" t="s">
        <v>2100</v>
      </c>
      <c r="I133" s="76" t="s">
        <v>2148</v>
      </c>
      <c r="J133" s="76"/>
      <c r="K133" s="97">
        <v>0</v>
      </c>
      <c r="L133" s="97"/>
      <c r="M133" s="97"/>
      <c r="N133" s="97"/>
      <c r="O133" s="76"/>
      <c r="P133" s="76"/>
      <c r="Q133" s="76"/>
      <c r="R133" s="76"/>
      <c r="S133" s="76"/>
      <c r="T133" s="358">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2153</v>
      </c>
      <c r="G134" s="73"/>
      <c r="H134" s="76" t="s">
        <v>2247</v>
      </c>
      <c r="I134" s="76" t="s">
        <v>2148</v>
      </c>
      <c r="J134" s="76"/>
      <c r="K134" s="97">
        <v>0</v>
      </c>
      <c r="L134" s="97"/>
      <c r="M134" s="97"/>
      <c r="N134" s="97"/>
      <c r="O134" s="76"/>
      <c r="P134" s="76"/>
      <c r="Q134" s="76"/>
      <c r="R134" s="76"/>
      <c r="S134" s="76"/>
      <c r="T134" s="358">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2152</v>
      </c>
      <c r="G135" s="73"/>
      <c r="H135" s="76" t="s">
        <v>2286</v>
      </c>
      <c r="I135" s="76" t="s">
        <v>2148</v>
      </c>
      <c r="J135" s="76"/>
      <c r="K135" s="97">
        <f>K125*K74</f>
        <v>-6</v>
      </c>
      <c r="L135" s="97"/>
      <c r="M135" s="97"/>
      <c r="N135" s="97"/>
      <c r="O135" s="76"/>
      <c r="P135" s="76"/>
      <c r="Q135" s="76"/>
      <c r="R135" s="76"/>
      <c r="S135" s="76"/>
      <c r="T135" s="358">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2121</v>
      </c>
      <c r="G136" s="73"/>
      <c r="H136" s="76" t="s">
        <v>2247</v>
      </c>
      <c r="I136" s="76" t="s">
        <v>2148</v>
      </c>
      <c r="J136" s="76"/>
      <c r="K136" s="97">
        <f>K126*K75</f>
        <v>-6</v>
      </c>
      <c r="L136" s="97"/>
      <c r="M136" s="97"/>
      <c r="N136" s="97"/>
      <c r="O136" s="76"/>
      <c r="P136" s="76"/>
      <c r="Q136" s="76"/>
      <c r="R136" s="76"/>
      <c r="S136" s="76"/>
      <c r="T136" s="358">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2112</v>
      </c>
      <c r="G137" s="73"/>
      <c r="H137" s="76" t="s">
        <v>2289</v>
      </c>
      <c r="I137" s="76" t="s">
        <v>2148</v>
      </c>
      <c r="J137" s="76"/>
      <c r="K137" s="97">
        <f>K127*K76</f>
        <v>-3</v>
      </c>
      <c r="L137" s="97"/>
      <c r="M137" s="97"/>
      <c r="N137" s="97"/>
      <c r="O137" s="76"/>
      <c r="P137" s="76"/>
      <c r="Q137" s="76"/>
      <c r="R137" s="76"/>
      <c r="S137" s="76"/>
      <c r="T137" s="358">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2153</v>
      </c>
      <c r="G138" s="73"/>
      <c r="H138" s="218" t="s">
        <v>2248</v>
      </c>
      <c r="I138" s="218" t="s">
        <v>2148</v>
      </c>
      <c r="J138" s="218"/>
      <c r="K138" s="307">
        <f>K128*K77</f>
        <v>-3</v>
      </c>
      <c r="L138" s="307"/>
      <c r="M138" s="307"/>
      <c r="N138" s="307"/>
      <c r="O138" s="218"/>
      <c r="P138" s="218"/>
      <c r="Q138" s="218"/>
      <c r="R138" s="218"/>
      <c r="S138" s="218"/>
      <c r="T138" s="359">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2915</v>
      </c>
      <c r="B3" s="489">
        <v>6.9999999999999994E-5</v>
      </c>
      <c r="C3" s="1" t="s">
        <v>2919</v>
      </c>
    </row>
    <row r="4" spans="1:3" x14ac:dyDescent="0.25">
      <c r="A4" t="s">
        <v>2916</v>
      </c>
      <c r="B4" s="489">
        <v>1.2999999999999999E-4</v>
      </c>
      <c r="C4" s="1" t="s">
        <v>2920</v>
      </c>
    </row>
    <row r="5" spans="1:3" x14ac:dyDescent="0.25">
      <c r="A5" t="s">
        <v>2917</v>
      </c>
      <c r="B5" s="489">
        <v>1.9000000000000001E-4</v>
      </c>
      <c r="C5" s="1" t="s">
        <v>2921</v>
      </c>
    </row>
    <row r="6" spans="1:3" x14ac:dyDescent="0.25">
      <c r="A6" t="s">
        <v>2918</v>
      </c>
      <c r="B6" s="489">
        <v>1.9000000000000001E-4</v>
      </c>
      <c r="C6" s="1" t="s">
        <v>2920</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2927</v>
      </c>
      <c r="B14"/>
    </row>
    <row r="15" spans="1:3" x14ac:dyDescent="0.25">
      <c r="A15" s="340" t="str">
        <f>General!G37</f>
        <v>b</v>
      </c>
      <c r="B15">
        <v>20</v>
      </c>
      <c r="C15" s="1" t="s">
        <v>2925</v>
      </c>
    </row>
    <row r="16" spans="1:3" x14ac:dyDescent="0.25">
      <c r="A16" s="340" t="str">
        <f>General!G38</f>
        <v>bd</v>
      </c>
      <c r="B16">
        <v>20</v>
      </c>
      <c r="C16" s="1" t="s">
        <v>2925</v>
      </c>
    </row>
    <row r="17" spans="1:3" x14ac:dyDescent="0.25">
      <c r="A17" s="340" t="str">
        <f>General!G39</f>
        <v>f</v>
      </c>
      <c r="B17">
        <v>7</v>
      </c>
      <c r="C17" s="1" t="s">
        <v>2925</v>
      </c>
    </row>
    <row r="18" spans="1:3" x14ac:dyDescent="0.25">
      <c r="A18" s="340" t="str">
        <f>General!G40</f>
        <v>h</v>
      </c>
      <c r="B18">
        <v>20</v>
      </c>
      <c r="C18" s="1" t="s">
        <v>2925</v>
      </c>
    </row>
    <row r="19" spans="1:3" x14ac:dyDescent="0.25">
      <c r="A19" s="340" t="str">
        <f>General!G41</f>
        <v>i</v>
      </c>
      <c r="B19">
        <v>7</v>
      </c>
      <c r="C19" s="1" t="s">
        <v>2925</v>
      </c>
    </row>
    <row r="20" spans="1:3" x14ac:dyDescent="0.25">
      <c r="A20" s="340" t="str">
        <f>General!G42</f>
        <v>k</v>
      </c>
      <c r="B20">
        <v>7</v>
      </c>
      <c r="C20" s="1" t="s">
        <v>2925</v>
      </c>
    </row>
    <row r="21" spans="1:3" x14ac:dyDescent="0.25">
      <c r="A21" s="340" t="str">
        <f>General!G43</f>
        <v>l</v>
      </c>
      <c r="B21">
        <v>7</v>
      </c>
      <c r="C21" s="1" t="s">
        <v>2925</v>
      </c>
    </row>
    <row r="22" spans="1:3" x14ac:dyDescent="0.25">
      <c r="A22" s="340" t="str">
        <f>General!G44</f>
        <v>lf</v>
      </c>
      <c r="B22">
        <v>7</v>
      </c>
      <c r="C22" s="1" t="s">
        <v>2925</v>
      </c>
    </row>
    <row r="23" spans="1:3" x14ac:dyDescent="0.25">
      <c r="A23" s="340" t="str">
        <f>General!G45</f>
        <v>ms</v>
      </c>
      <c r="B23" s="526">
        <f>0.65*B15+0.35*B21</f>
        <v>15.45</v>
      </c>
      <c r="C23" s="1" t="s">
        <v>2925</v>
      </c>
    </row>
    <row r="24" spans="1:3" x14ac:dyDescent="0.25">
      <c r="A24" s="340" t="str">
        <f>General!G46</f>
        <v>o</v>
      </c>
      <c r="B24">
        <v>20</v>
      </c>
      <c r="C24" s="1" t="s">
        <v>2925</v>
      </c>
    </row>
    <row r="25" spans="1:3" x14ac:dyDescent="0.25">
      <c r="A25" s="340" t="str">
        <f>General!G47</f>
        <v>od</v>
      </c>
      <c r="B25">
        <v>20</v>
      </c>
      <c r="C25" s="1" t="s">
        <v>2925</v>
      </c>
    </row>
    <row r="26" spans="1:3" x14ac:dyDescent="0.25">
      <c r="A26" s="340" t="str">
        <f>General!G48</f>
        <v>of</v>
      </c>
      <c r="B26">
        <v>20</v>
      </c>
      <c r="C26" s="1" t="s">
        <v>2925</v>
      </c>
    </row>
    <row r="27" spans="1:3" x14ac:dyDescent="0.25">
      <c r="A27" s="340" t="str">
        <f>General!G49</f>
        <v>r</v>
      </c>
      <c r="B27">
        <v>7</v>
      </c>
      <c r="C27" s="1" t="s">
        <v>2925</v>
      </c>
    </row>
    <row r="28" spans="1:3" x14ac:dyDescent="0.25">
      <c r="A28" s="340" t="str">
        <f>General!G50</f>
        <v>rd</v>
      </c>
      <c r="B28">
        <v>7</v>
      </c>
      <c r="C28" s="1" t="s">
        <v>2925</v>
      </c>
    </row>
    <row r="29" spans="1:3" x14ac:dyDescent="0.25">
      <c r="A29" s="340" t="str">
        <f>General!G51</f>
        <v>v</v>
      </c>
      <c r="B29">
        <v>7</v>
      </c>
      <c r="C29" s="1" t="s">
        <v>2925</v>
      </c>
    </row>
    <row r="30" spans="1:3" x14ac:dyDescent="0.25">
      <c r="A30" s="340" t="str">
        <f>General!G52</f>
        <v>w</v>
      </c>
      <c r="B30">
        <v>20</v>
      </c>
      <c r="C30" s="1" t="s">
        <v>2925</v>
      </c>
    </row>
    <row r="31" spans="1:3" x14ac:dyDescent="0.25">
      <c r="A31" s="340" t="str">
        <f>General!G53</f>
        <v>wd</v>
      </c>
      <c r="B31">
        <v>20</v>
      </c>
      <c r="C31" s="1" t="s">
        <v>2925</v>
      </c>
    </row>
    <row r="32" spans="1:3" x14ac:dyDescent="0.25">
      <c r="A32" s="340" t="str">
        <f>General!G54</f>
        <v>z</v>
      </c>
      <c r="B32">
        <v>7</v>
      </c>
      <c r="C32" s="1" t="s">
        <v>2925</v>
      </c>
    </row>
    <row r="33" spans="1:3" x14ac:dyDescent="0.25">
      <c r="A33" s="340" t="str">
        <f>General!G55</f>
        <v>zd</v>
      </c>
      <c r="B33">
        <v>7</v>
      </c>
      <c r="C33" s="1" t="s">
        <v>2925</v>
      </c>
    </row>
    <row r="35" spans="1:3" x14ac:dyDescent="0.25">
      <c r="A35" t="s">
        <v>80</v>
      </c>
      <c r="B35" s="384">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2163</v>
      </c>
    </row>
    <row r="11" spans="1:17" x14ac:dyDescent="0.25">
      <c r="A11" t="s">
        <v>70</v>
      </c>
      <c r="B11" t="s">
        <v>71</v>
      </c>
      <c r="C11" t="s">
        <v>120</v>
      </c>
      <c r="D11" t="s">
        <v>121</v>
      </c>
      <c r="E11" t="s">
        <v>2922</v>
      </c>
      <c r="F11" t="s">
        <v>2923</v>
      </c>
    </row>
    <row r="12" spans="1:17" x14ac:dyDescent="0.25">
      <c r="A12" t="s">
        <v>2792</v>
      </c>
      <c r="B12">
        <v>188000</v>
      </c>
      <c r="C12" s="44">
        <v>1</v>
      </c>
      <c r="D12" s="44">
        <v>0</v>
      </c>
      <c r="E12" s="44">
        <v>0</v>
      </c>
      <c r="F12" s="44">
        <v>0</v>
      </c>
    </row>
    <row r="13" spans="1:17" x14ac:dyDescent="0.25">
      <c r="A13" t="s">
        <v>2790</v>
      </c>
      <c r="B13">
        <v>87000</v>
      </c>
      <c r="C13" s="44">
        <v>1</v>
      </c>
      <c r="D13" s="44">
        <v>0</v>
      </c>
      <c r="E13" s="44">
        <v>0</v>
      </c>
      <c r="F13" s="44">
        <v>0</v>
      </c>
    </row>
    <row r="14" spans="1:17" x14ac:dyDescent="0.25">
      <c r="A14" t="s">
        <v>2791</v>
      </c>
      <c r="B14">
        <v>297000</v>
      </c>
      <c r="C14" s="44">
        <v>0</v>
      </c>
      <c r="D14" s="44">
        <v>1</v>
      </c>
      <c r="E14" s="44">
        <v>0</v>
      </c>
      <c r="F14" s="44">
        <v>0</v>
      </c>
    </row>
    <row r="15" spans="1:17" x14ac:dyDescent="0.25">
      <c r="A15" t="s">
        <v>119</v>
      </c>
      <c r="B15">
        <v>30000</v>
      </c>
      <c r="C15" s="44">
        <v>0</v>
      </c>
      <c r="D15" s="44">
        <v>1</v>
      </c>
      <c r="E15" s="44">
        <v>0</v>
      </c>
      <c r="F15" s="44">
        <v>0</v>
      </c>
      <c r="Q15" s="479"/>
    </row>
    <row r="16" spans="1:17" x14ac:dyDescent="0.25">
      <c r="A16" t="s">
        <v>2793</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2795</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2794</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8">
        <f>SUM(B12:B26)</f>
        <v>1497000</v>
      </c>
    </row>
    <row r="29" spans="1:6" x14ac:dyDescent="0.25">
      <c r="A29" s="3" t="s">
        <v>33</v>
      </c>
    </row>
    <row r="30" spans="1:6" x14ac:dyDescent="0.25">
      <c r="A30" t="s">
        <v>2788</v>
      </c>
      <c r="B30" s="434">
        <v>1</v>
      </c>
    </row>
    <row r="31" spans="1:6" ht="7.35" customHeight="1" x14ac:dyDescent="0.25"/>
    <row r="32" spans="1:6" x14ac:dyDescent="0.25">
      <c r="A32" t="s">
        <v>2929</v>
      </c>
      <c r="B32">
        <v>8.6999999999999993</v>
      </c>
      <c r="C32" s="1" t="s">
        <v>2928</v>
      </c>
    </row>
    <row r="33" spans="1:3" ht="7.15" customHeight="1" x14ac:dyDescent="0.25"/>
    <row r="34" spans="1:3" x14ac:dyDescent="0.25">
      <c r="A34" t="s">
        <v>3318</v>
      </c>
      <c r="B34">
        <v>50</v>
      </c>
      <c r="C34" s="1" t="s">
        <v>2931</v>
      </c>
    </row>
    <row r="35" spans="1:3" ht="7.15" customHeight="1" x14ac:dyDescent="0.25"/>
    <row r="36" spans="1:3" x14ac:dyDescent="0.25">
      <c r="A36" t="s">
        <v>3319</v>
      </c>
      <c r="B36">
        <v>60</v>
      </c>
      <c r="C36" s="1" t="s">
        <v>3321</v>
      </c>
    </row>
    <row r="37" spans="1:3" ht="7.15" customHeight="1" x14ac:dyDescent="0.25"/>
    <row r="38" spans="1:3" x14ac:dyDescent="0.25">
      <c r="A38" t="s">
        <v>54</v>
      </c>
      <c r="B38"/>
    </row>
    <row r="39" spans="1:3" x14ac:dyDescent="0.25">
      <c r="A39" s="340" t="str">
        <f>General!I37</f>
        <v>a</v>
      </c>
      <c r="B39">
        <v>1</v>
      </c>
    </row>
    <row r="40" spans="1:3" x14ac:dyDescent="0.25">
      <c r="A40" s="340" t="str">
        <f>General!I38</f>
        <v>a2</v>
      </c>
      <c r="B40">
        <v>1</v>
      </c>
    </row>
    <row r="41" spans="1:3" x14ac:dyDescent="0.25">
      <c r="A41" s="340" t="str">
        <f>General!I39</f>
        <v>b</v>
      </c>
      <c r="B41">
        <v>1</v>
      </c>
    </row>
    <row r="42" spans="1:3" x14ac:dyDescent="0.25">
      <c r="A42" s="340" t="str">
        <f>General!I40</f>
        <v>bd</v>
      </c>
      <c r="B42">
        <v>1</v>
      </c>
    </row>
    <row r="43" spans="1:3" x14ac:dyDescent="0.25">
      <c r="A43" s="340" t="str">
        <f>General!I41</f>
        <v>f</v>
      </c>
      <c r="B43">
        <v>1</v>
      </c>
    </row>
    <row r="44" spans="1:3" x14ac:dyDescent="0.25">
      <c r="A44" s="340" t="str">
        <f>General!I42</f>
        <v>h</v>
      </c>
      <c r="B44">
        <v>1</v>
      </c>
    </row>
    <row r="45" spans="1:3" x14ac:dyDescent="0.25">
      <c r="A45" s="340" t="str">
        <f>General!I43</f>
        <v>i</v>
      </c>
      <c r="B45">
        <v>1</v>
      </c>
    </row>
    <row r="46" spans="1:3" x14ac:dyDescent="0.25">
      <c r="A46" s="340" t="str">
        <f>General!I44</f>
        <v>j</v>
      </c>
      <c r="B46">
        <v>1</v>
      </c>
    </row>
    <row r="47" spans="1:3" x14ac:dyDescent="0.25">
      <c r="A47" s="340" t="str">
        <f>General!I45</f>
        <v>jc</v>
      </c>
      <c r="B47">
        <v>1</v>
      </c>
    </row>
    <row r="48" spans="1:3" x14ac:dyDescent="0.25">
      <c r="A48" s="340" t="str">
        <f>General!I46</f>
        <v>k</v>
      </c>
      <c r="B48">
        <v>1</v>
      </c>
    </row>
    <row r="49" spans="1:2" x14ac:dyDescent="0.25">
      <c r="A49" s="340" t="str">
        <f>General!I47</f>
        <v>l</v>
      </c>
      <c r="B49">
        <v>1</v>
      </c>
    </row>
    <row r="50" spans="1:2" x14ac:dyDescent="0.25">
      <c r="A50" s="340" t="str">
        <f>General!I48</f>
        <v>lf</v>
      </c>
      <c r="B50">
        <v>1</v>
      </c>
    </row>
    <row r="51" spans="1:2" x14ac:dyDescent="0.25">
      <c r="A51" s="340" t="str">
        <f>General!I49</f>
        <v>m</v>
      </c>
      <c r="B51">
        <v>1</v>
      </c>
    </row>
    <row r="52" spans="1:2" x14ac:dyDescent="0.25">
      <c r="A52" s="340" t="str">
        <f>General!I50</f>
        <v>ms</v>
      </c>
      <c r="B52">
        <v>1</v>
      </c>
    </row>
    <row r="53" spans="1:2" x14ac:dyDescent="0.25">
      <c r="A53" s="340" t="str">
        <f>General!I51</f>
        <v>o</v>
      </c>
      <c r="B53">
        <v>1</v>
      </c>
    </row>
    <row r="54" spans="1:2" x14ac:dyDescent="0.25">
      <c r="A54" s="340" t="str">
        <f>General!I52</f>
        <v>od</v>
      </c>
      <c r="B54">
        <v>1</v>
      </c>
    </row>
    <row r="55" spans="1:2" x14ac:dyDescent="0.25">
      <c r="A55" s="340" t="str">
        <f>General!I53</f>
        <v>of</v>
      </c>
      <c r="B55">
        <v>1</v>
      </c>
    </row>
    <row r="56" spans="1:2" x14ac:dyDescent="0.25">
      <c r="A56" s="340" t="str">
        <f>General!I54</f>
        <v>r</v>
      </c>
      <c r="B56">
        <v>1</v>
      </c>
    </row>
    <row r="57" spans="1:2" x14ac:dyDescent="0.25">
      <c r="A57" s="340" t="str">
        <f>General!I55</f>
        <v>rd</v>
      </c>
      <c r="B57">
        <v>1</v>
      </c>
    </row>
    <row r="58" spans="1:2" x14ac:dyDescent="0.25">
      <c r="A58" s="340" t="str">
        <f>General!I56</f>
        <v>s</v>
      </c>
      <c r="B58">
        <v>1</v>
      </c>
    </row>
    <row r="59" spans="1:2" x14ac:dyDescent="0.25">
      <c r="A59" s="340" t="str">
        <f>General!I57</f>
        <v>sp</v>
      </c>
      <c r="B59">
        <v>1</v>
      </c>
    </row>
    <row r="60" spans="1:2" x14ac:dyDescent="0.25">
      <c r="A60" s="340" t="str">
        <f>General!I58</f>
        <v>t</v>
      </c>
      <c r="B60">
        <v>1</v>
      </c>
    </row>
    <row r="61" spans="1:2" x14ac:dyDescent="0.25">
      <c r="A61" s="340" t="str">
        <f>General!I59</f>
        <v>tc</v>
      </c>
      <c r="B61">
        <v>1</v>
      </c>
    </row>
    <row r="62" spans="1:2" x14ac:dyDescent="0.25">
      <c r="A62" s="340" t="str">
        <f>General!I60</f>
        <v>u</v>
      </c>
      <c r="B62">
        <v>1</v>
      </c>
    </row>
    <row r="63" spans="1:2" x14ac:dyDescent="0.25">
      <c r="A63" s="340" t="str">
        <f>General!I61</f>
        <v>uc</v>
      </c>
      <c r="B63">
        <v>1</v>
      </c>
    </row>
    <row r="64" spans="1:2" x14ac:dyDescent="0.25">
      <c r="A64" s="340" t="str">
        <f>General!I62</f>
        <v>v</v>
      </c>
      <c r="B64">
        <v>1</v>
      </c>
    </row>
    <row r="65" spans="1:5" x14ac:dyDescent="0.25">
      <c r="A65" s="340" t="str">
        <f>General!I63</f>
        <v>w</v>
      </c>
      <c r="B65">
        <v>1</v>
      </c>
    </row>
    <row r="66" spans="1:5" x14ac:dyDescent="0.25">
      <c r="A66" s="340" t="str">
        <f>General!I64</f>
        <v>wd</v>
      </c>
      <c r="B66">
        <v>1</v>
      </c>
    </row>
    <row r="67" spans="1:5" x14ac:dyDescent="0.25">
      <c r="A67" s="340" t="str">
        <f>General!I65</f>
        <v>x</v>
      </c>
      <c r="B67">
        <v>1</v>
      </c>
    </row>
    <row r="68" spans="1:5" x14ac:dyDescent="0.25">
      <c r="A68" s="340" t="str">
        <f>General!I66</f>
        <v>xc</v>
      </c>
      <c r="B68">
        <v>1</v>
      </c>
    </row>
    <row r="69" spans="1:5" x14ac:dyDescent="0.25">
      <c r="A69" s="340" t="str">
        <f>General!I67</f>
        <v>z</v>
      </c>
      <c r="B69">
        <v>1</v>
      </c>
    </row>
    <row r="70" spans="1:5" x14ac:dyDescent="0.25">
      <c r="A70" s="340" t="str">
        <f>General!I68</f>
        <v>zd</v>
      </c>
      <c r="B70">
        <v>1</v>
      </c>
    </row>
    <row r="72" spans="1:5" x14ac:dyDescent="0.25">
      <c r="A72" s="3" t="s">
        <v>35</v>
      </c>
    </row>
    <row r="73" spans="1:5" x14ac:dyDescent="0.25">
      <c r="A73" t="s">
        <v>2789</v>
      </c>
      <c r="B73" s="434">
        <v>1</v>
      </c>
    </row>
    <row r="74" spans="1:5" ht="7.35" customHeight="1" x14ac:dyDescent="0.25"/>
    <row r="75" spans="1:5" x14ac:dyDescent="0.25">
      <c r="A75" t="s">
        <v>2914</v>
      </c>
      <c r="B75">
        <v>63</v>
      </c>
    </row>
    <row r="76" spans="1:5" ht="7.15" customHeight="1" x14ac:dyDescent="0.25"/>
    <row r="77" spans="1:5" x14ac:dyDescent="0.25">
      <c r="A77" t="s">
        <v>3322</v>
      </c>
      <c r="B77">
        <f>0.3*harvest_maint</f>
        <v>16.5</v>
      </c>
      <c r="C77" s="1" t="s">
        <v>3323</v>
      </c>
    </row>
    <row r="78" spans="1:5" ht="7.15" customHeight="1" x14ac:dyDescent="0.25"/>
    <row r="79" spans="1:5" x14ac:dyDescent="0.25">
      <c r="A79" t="s">
        <v>2924</v>
      </c>
      <c r="B79"/>
    </row>
    <row r="80" spans="1:5" x14ac:dyDescent="0.25">
      <c r="A80" s="340" t="str">
        <f>General!G37</f>
        <v>b</v>
      </c>
      <c r="B80">
        <v>20</v>
      </c>
      <c r="C80" s="1" t="s">
        <v>2925</v>
      </c>
      <c r="E80" s="1" t="s">
        <v>2926</v>
      </c>
    </row>
    <row r="81" spans="1:3" x14ac:dyDescent="0.25">
      <c r="A81" s="340" t="str">
        <f>General!G38</f>
        <v>bd</v>
      </c>
      <c r="B81">
        <v>20</v>
      </c>
      <c r="C81" s="1" t="s">
        <v>2925</v>
      </c>
    </row>
    <row r="82" spans="1:3" x14ac:dyDescent="0.25">
      <c r="A82" s="340" t="str">
        <f>General!G39</f>
        <v>f</v>
      </c>
      <c r="B82">
        <v>12</v>
      </c>
      <c r="C82" s="1" t="s">
        <v>2925</v>
      </c>
    </row>
    <row r="83" spans="1:3" x14ac:dyDescent="0.25">
      <c r="A83" s="340" t="str">
        <f>General!G40</f>
        <v>h</v>
      </c>
      <c r="B83">
        <v>20</v>
      </c>
      <c r="C83" s="1" t="s">
        <v>2925</v>
      </c>
    </row>
    <row r="84" spans="1:3" x14ac:dyDescent="0.25">
      <c r="A84" s="340" t="str">
        <f>General!G41</f>
        <v>i</v>
      </c>
      <c r="B84">
        <v>12</v>
      </c>
      <c r="C84" s="1" t="s">
        <v>2925</v>
      </c>
    </row>
    <row r="85" spans="1:3" x14ac:dyDescent="0.25">
      <c r="A85" s="340" t="str">
        <f>General!G42</f>
        <v>k</v>
      </c>
      <c r="B85">
        <v>12</v>
      </c>
      <c r="C85" s="1" t="s">
        <v>2925</v>
      </c>
    </row>
    <row r="86" spans="1:3" x14ac:dyDescent="0.25">
      <c r="A86" s="340" t="str">
        <f>General!G43</f>
        <v>l</v>
      </c>
      <c r="B86">
        <v>12</v>
      </c>
      <c r="C86" s="1" t="s">
        <v>2925</v>
      </c>
    </row>
    <row r="87" spans="1:3" x14ac:dyDescent="0.25">
      <c r="A87" s="340" t="str">
        <f>General!G44</f>
        <v>lf</v>
      </c>
      <c r="B87">
        <v>12</v>
      </c>
      <c r="C87" s="1" t="s">
        <v>2925</v>
      </c>
    </row>
    <row r="88" spans="1:3" x14ac:dyDescent="0.25">
      <c r="A88" s="340" t="str">
        <f>General!G45</f>
        <v>ms</v>
      </c>
      <c r="B88" s="526">
        <f>0.65*B80+0.35*B86</f>
        <v>17.2</v>
      </c>
      <c r="C88" s="1" t="s">
        <v>2925</v>
      </c>
    </row>
    <row r="89" spans="1:3" x14ac:dyDescent="0.25">
      <c r="A89" s="340" t="str">
        <f>General!G46</f>
        <v>o</v>
      </c>
      <c r="B89">
        <v>20</v>
      </c>
      <c r="C89" s="1" t="s">
        <v>2925</v>
      </c>
    </row>
    <row r="90" spans="1:3" x14ac:dyDescent="0.25">
      <c r="A90" s="340" t="str">
        <f>General!G47</f>
        <v>od</v>
      </c>
      <c r="B90">
        <v>20</v>
      </c>
      <c r="C90" s="1" t="s">
        <v>2925</v>
      </c>
    </row>
    <row r="91" spans="1:3" x14ac:dyDescent="0.25">
      <c r="A91" s="340" t="str">
        <f>General!G48</f>
        <v>of</v>
      </c>
      <c r="B91">
        <v>20</v>
      </c>
      <c r="C91" s="1" t="s">
        <v>2925</v>
      </c>
    </row>
    <row r="92" spans="1:3" x14ac:dyDescent="0.25">
      <c r="A92" s="340" t="str">
        <f>General!G49</f>
        <v>r</v>
      </c>
      <c r="B92">
        <v>7</v>
      </c>
      <c r="C92" s="1" t="s">
        <v>2925</v>
      </c>
    </row>
    <row r="93" spans="1:3" x14ac:dyDescent="0.25">
      <c r="A93" s="340" t="str">
        <f>General!G50</f>
        <v>rd</v>
      </c>
      <c r="B93">
        <v>7</v>
      </c>
      <c r="C93" s="1" t="s">
        <v>2925</v>
      </c>
    </row>
    <row r="94" spans="1:3" x14ac:dyDescent="0.25">
      <c r="A94" s="340" t="str">
        <f>General!G51</f>
        <v>v</v>
      </c>
      <c r="B94">
        <v>12</v>
      </c>
      <c r="C94" s="1" t="s">
        <v>2925</v>
      </c>
    </row>
    <row r="95" spans="1:3" x14ac:dyDescent="0.25">
      <c r="A95" s="340" t="str">
        <f>General!G52</f>
        <v>w</v>
      </c>
      <c r="B95">
        <v>20</v>
      </c>
      <c r="C95" s="1" t="s">
        <v>2925</v>
      </c>
    </row>
    <row r="96" spans="1:3" x14ac:dyDescent="0.25">
      <c r="A96" s="340" t="str">
        <f>General!G53</f>
        <v>wd</v>
      </c>
      <c r="B96">
        <v>20</v>
      </c>
      <c r="C96" s="1" t="s">
        <v>2925</v>
      </c>
    </row>
    <row r="97" spans="1:3" x14ac:dyDescent="0.25">
      <c r="A97" s="340" t="str">
        <f>General!G54</f>
        <v>z</v>
      </c>
      <c r="B97">
        <v>7</v>
      </c>
      <c r="C97" s="1" t="s">
        <v>2925</v>
      </c>
    </row>
    <row r="98" spans="1:3" x14ac:dyDescent="0.25">
      <c r="A98" s="340" t="str">
        <f>General!G55</f>
        <v>zd</v>
      </c>
      <c r="B98">
        <v>7</v>
      </c>
      <c r="C98" s="1" t="s">
        <v>2925</v>
      </c>
    </row>
    <row r="100" spans="1:3" x14ac:dyDescent="0.25">
      <c r="A100" t="s">
        <v>37</v>
      </c>
      <c r="B100">
        <v>55</v>
      </c>
      <c r="C100" s="1" t="s">
        <v>2913</v>
      </c>
    </row>
    <row r="101" spans="1:3" ht="9" customHeight="1" x14ac:dyDescent="0.25"/>
    <row r="102" spans="1:3" x14ac:dyDescent="0.25">
      <c r="A102" t="s">
        <v>37</v>
      </c>
      <c r="B102" t="s">
        <v>3320</v>
      </c>
    </row>
    <row r="103" spans="1:3" x14ac:dyDescent="0.25">
      <c r="A103" s="340" t="str">
        <f>General!G37</f>
        <v>b</v>
      </c>
      <c r="B103" s="325">
        <v>1</v>
      </c>
    </row>
    <row r="104" spans="1:3" x14ac:dyDescent="0.25">
      <c r="A104" s="340" t="str">
        <f>General!G38</f>
        <v>bd</v>
      </c>
      <c r="B104" s="325">
        <v>1</v>
      </c>
    </row>
    <row r="105" spans="1:3" x14ac:dyDescent="0.25">
      <c r="A105" s="340" t="str">
        <f>General!G39</f>
        <v>f</v>
      </c>
      <c r="B105" s="325">
        <f>38/33</f>
        <v>1.1515151515151516</v>
      </c>
    </row>
    <row r="106" spans="1:3" x14ac:dyDescent="0.25">
      <c r="A106" s="340" t="str">
        <f>General!G40</f>
        <v>h</v>
      </c>
      <c r="B106" s="325">
        <v>1</v>
      </c>
    </row>
    <row r="107" spans="1:3" x14ac:dyDescent="0.25">
      <c r="A107" s="340" t="str">
        <f>General!G41</f>
        <v>i</v>
      </c>
      <c r="B107" s="325">
        <f t="shared" ref="B107:B108" si="0">38/33</f>
        <v>1.1515151515151516</v>
      </c>
    </row>
    <row r="108" spans="1:3" x14ac:dyDescent="0.25">
      <c r="A108" s="340" t="str">
        <f>General!G42</f>
        <v>k</v>
      </c>
      <c r="B108" s="325">
        <f t="shared" si="0"/>
        <v>1.1515151515151516</v>
      </c>
    </row>
    <row r="109" spans="1:3" x14ac:dyDescent="0.25">
      <c r="A109" s="340" t="str">
        <f>General!G43</f>
        <v>l</v>
      </c>
      <c r="B109" s="325">
        <v>1</v>
      </c>
    </row>
    <row r="110" spans="1:3" x14ac:dyDescent="0.25">
      <c r="A110" s="340" t="str">
        <f>General!G44</f>
        <v>lf</v>
      </c>
      <c r="B110" s="325">
        <v>1</v>
      </c>
    </row>
    <row r="111" spans="1:3" x14ac:dyDescent="0.25">
      <c r="A111" s="340" t="str">
        <f>General!G45</f>
        <v>ms</v>
      </c>
      <c r="B111" s="616">
        <f>0.65*B103+0.35*B109</f>
        <v>1</v>
      </c>
    </row>
    <row r="112" spans="1:3" x14ac:dyDescent="0.25">
      <c r="A112" s="340" t="str">
        <f>General!G46</f>
        <v>o</v>
      </c>
      <c r="B112" s="325">
        <v>1</v>
      </c>
    </row>
    <row r="113" spans="1:3" x14ac:dyDescent="0.25">
      <c r="A113" s="340" t="str">
        <f>General!G47</f>
        <v>od</v>
      </c>
      <c r="B113" s="325">
        <v>1</v>
      </c>
    </row>
    <row r="114" spans="1:3" x14ac:dyDescent="0.25">
      <c r="A114" s="340" t="str">
        <f>General!G48</f>
        <v>of</v>
      </c>
      <c r="B114" s="325">
        <v>1</v>
      </c>
    </row>
    <row r="115" spans="1:3" x14ac:dyDescent="0.25">
      <c r="A115" s="340" t="str">
        <f>General!G49</f>
        <v>r</v>
      </c>
      <c r="B115" s="325">
        <f t="shared" ref="B115:B117" si="1">38/33</f>
        <v>1.1515151515151516</v>
      </c>
    </row>
    <row r="116" spans="1:3" x14ac:dyDescent="0.25">
      <c r="A116" s="340" t="str">
        <f>General!G50</f>
        <v>rd</v>
      </c>
      <c r="B116" s="325">
        <f t="shared" si="1"/>
        <v>1.1515151515151516</v>
      </c>
    </row>
    <row r="117" spans="1:3" x14ac:dyDescent="0.25">
      <c r="A117" s="340" t="str">
        <f>General!G51</f>
        <v>v</v>
      </c>
      <c r="B117" s="325">
        <f t="shared" si="1"/>
        <v>1.1515151515151516</v>
      </c>
    </row>
    <row r="118" spans="1:3" x14ac:dyDescent="0.25">
      <c r="A118" s="340" t="str">
        <f>General!G52</f>
        <v>w</v>
      </c>
      <c r="B118" s="325">
        <v>1</v>
      </c>
    </row>
    <row r="119" spans="1:3" x14ac:dyDescent="0.25">
      <c r="A119" s="340" t="str">
        <f>General!G53</f>
        <v>wd</v>
      </c>
      <c r="B119" s="325">
        <v>1</v>
      </c>
    </row>
    <row r="120" spans="1:3" x14ac:dyDescent="0.25">
      <c r="A120" s="340" t="str">
        <f>General!G54</f>
        <v>z</v>
      </c>
      <c r="B120" s="325">
        <f t="shared" ref="B120:B121" si="2">38/33</f>
        <v>1.1515151515151516</v>
      </c>
    </row>
    <row r="121" spans="1:3" x14ac:dyDescent="0.25">
      <c r="A121" s="340" t="str">
        <f>General!G55</f>
        <v>zd</v>
      </c>
      <c r="B121" s="325">
        <f t="shared" si="2"/>
        <v>1.1515151515151516</v>
      </c>
    </row>
    <row r="123" spans="1:3" x14ac:dyDescent="0.25">
      <c r="A123" s="3" t="s">
        <v>38</v>
      </c>
    </row>
    <row r="124" spans="1:3" x14ac:dyDescent="0.25">
      <c r="A124" t="s">
        <v>2930</v>
      </c>
      <c r="B124">
        <v>33</v>
      </c>
      <c r="C124" s="1" t="s">
        <v>2932</v>
      </c>
    </row>
    <row r="125" spans="1:3" ht="4.1500000000000004" customHeight="1" x14ac:dyDescent="0.25"/>
    <row r="126" spans="1:3" x14ac:dyDescent="0.25">
      <c r="A126" t="s">
        <v>39</v>
      </c>
      <c r="B126">
        <v>30</v>
      </c>
      <c r="C126" s="1" t="s">
        <v>2931</v>
      </c>
    </row>
    <row r="127" spans="1:3" ht="3" customHeight="1" x14ac:dyDescent="0.25"/>
    <row r="128" spans="1:3" x14ac:dyDescent="0.25">
      <c r="A128" t="s">
        <v>40</v>
      </c>
      <c r="B128">
        <v>35</v>
      </c>
      <c r="C128" s="1" t="s">
        <v>3321</v>
      </c>
    </row>
    <row r="130" spans="1:3" x14ac:dyDescent="0.25">
      <c r="A130" s="3" t="s">
        <v>41</v>
      </c>
    </row>
    <row r="131" spans="1:3" x14ac:dyDescent="0.25">
      <c r="A131" t="s">
        <v>42</v>
      </c>
      <c r="B131">
        <v>20</v>
      </c>
      <c r="C131" s="1" t="s">
        <v>116</v>
      </c>
    </row>
    <row r="133" spans="1:3" x14ac:dyDescent="0.25">
      <c r="B133" t="s">
        <v>43</v>
      </c>
      <c r="C133"/>
    </row>
    <row r="134" spans="1:3" x14ac:dyDescent="0.25">
      <c r="A134" s="429" t="s">
        <v>45</v>
      </c>
      <c r="B134" t="str">
        <f>General!K37</f>
        <v>lime</v>
      </c>
      <c r="C134">
        <v>15</v>
      </c>
    </row>
    <row r="135" spans="1:3" x14ac:dyDescent="0.25">
      <c r="A135" s="429" t="s">
        <v>44</v>
      </c>
      <c r="B135" t="str">
        <f>General!K38</f>
        <v>early</v>
      </c>
      <c r="C135">
        <v>25</v>
      </c>
    </row>
    <row r="136" spans="1:3" x14ac:dyDescent="0.25">
      <c r="A136" s="429" t="s">
        <v>69</v>
      </c>
      <c r="B136" t="str">
        <f>General!K39</f>
        <v>at_seeding</v>
      </c>
      <c r="C136"/>
    </row>
    <row r="137" spans="1:3" x14ac:dyDescent="0.25">
      <c r="A137" s="429" t="s">
        <v>2933</v>
      </c>
      <c r="B137" t="str">
        <f>General!K40</f>
        <v>mid</v>
      </c>
      <c r="C137">
        <v>25</v>
      </c>
    </row>
    <row r="138" spans="1:3" x14ac:dyDescent="0.25">
      <c r="A138" s="429" t="s">
        <v>2567</v>
      </c>
      <c r="B138" t="str">
        <f>General!K41</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3304</v>
      </c>
      <c r="B156" s="6" t="s">
        <v>92</v>
      </c>
      <c r="C156" s="6" t="s">
        <v>93</v>
      </c>
    </row>
    <row r="157" spans="1:3" x14ac:dyDescent="0.25">
      <c r="A157" s="341" t="str">
        <f>General!G37</f>
        <v>b</v>
      </c>
      <c r="B157" s="6">
        <v>1</v>
      </c>
      <c r="C157" s="6">
        <v>1</v>
      </c>
    </row>
    <row r="158" spans="1:3" x14ac:dyDescent="0.25">
      <c r="A158" s="341" t="str">
        <f>General!G38</f>
        <v>bd</v>
      </c>
      <c r="B158" s="6">
        <v>1</v>
      </c>
      <c r="C158" s="6">
        <v>1</v>
      </c>
    </row>
    <row r="159" spans="1:3" x14ac:dyDescent="0.25">
      <c r="A159" s="341" t="str">
        <f>General!G39</f>
        <v>f</v>
      </c>
      <c r="B159" s="6">
        <v>1</v>
      </c>
      <c r="C159" s="6">
        <v>1</v>
      </c>
    </row>
    <row r="160" spans="1:3" x14ac:dyDescent="0.25">
      <c r="A160" s="341" t="str">
        <f>General!G40</f>
        <v>h</v>
      </c>
      <c r="B160" s="6">
        <v>1</v>
      </c>
      <c r="C160" s="6">
        <v>3</v>
      </c>
    </row>
    <row r="161" spans="1:3" x14ac:dyDescent="0.25">
      <c r="A161" s="341" t="str">
        <f>General!G41</f>
        <v>i</v>
      </c>
      <c r="B161" s="6">
        <v>1</v>
      </c>
      <c r="C161" s="6">
        <v>1</v>
      </c>
    </row>
    <row r="162" spans="1:3" x14ac:dyDescent="0.25">
      <c r="A162" s="341" t="str">
        <f>General!G42</f>
        <v>k</v>
      </c>
      <c r="B162" s="6">
        <v>1</v>
      </c>
      <c r="C162" s="6">
        <v>1</v>
      </c>
    </row>
    <row r="163" spans="1:3" x14ac:dyDescent="0.25">
      <c r="A163" s="341" t="str">
        <f>General!G43</f>
        <v>l</v>
      </c>
      <c r="B163" s="6">
        <v>1</v>
      </c>
      <c r="C163" s="6">
        <v>1</v>
      </c>
    </row>
    <row r="164" spans="1:3" x14ac:dyDescent="0.25">
      <c r="A164" s="341" t="str">
        <f>General!G44</f>
        <v>lf</v>
      </c>
      <c r="B164" s="6">
        <v>1</v>
      </c>
      <c r="C164" s="6">
        <v>1</v>
      </c>
    </row>
    <row r="165" spans="1:3" x14ac:dyDescent="0.25">
      <c r="A165" s="341" t="str">
        <f>General!G45</f>
        <v>ms</v>
      </c>
      <c r="B165" s="6">
        <v>1</v>
      </c>
      <c r="C165" s="6">
        <v>1</v>
      </c>
    </row>
    <row r="166" spans="1:3" x14ac:dyDescent="0.25">
      <c r="A166" s="341" t="str">
        <f>General!G46</f>
        <v>o</v>
      </c>
      <c r="B166" s="6">
        <v>1</v>
      </c>
      <c r="C166" s="6">
        <v>1</v>
      </c>
    </row>
    <row r="167" spans="1:3" x14ac:dyDescent="0.25">
      <c r="A167" s="341" t="str">
        <f>General!G47</f>
        <v>od</v>
      </c>
      <c r="B167" s="6">
        <v>1</v>
      </c>
      <c r="C167" s="6">
        <v>1</v>
      </c>
    </row>
    <row r="168" spans="1:3" x14ac:dyDescent="0.25">
      <c r="A168" s="341" t="str">
        <f>General!G48</f>
        <v>of</v>
      </c>
      <c r="B168" s="6">
        <v>1</v>
      </c>
      <c r="C168" s="6">
        <v>1</v>
      </c>
    </row>
    <row r="169" spans="1:3" x14ac:dyDescent="0.25">
      <c r="A169" s="341" t="str">
        <f>General!G49</f>
        <v>r</v>
      </c>
      <c r="B169" s="6">
        <v>1</v>
      </c>
      <c r="C169" s="6">
        <v>1</v>
      </c>
    </row>
    <row r="170" spans="1:3" x14ac:dyDescent="0.25">
      <c r="A170" s="341" t="str">
        <f>General!G50</f>
        <v>rd</v>
      </c>
      <c r="B170" s="6">
        <v>1</v>
      </c>
      <c r="C170" s="6">
        <v>1</v>
      </c>
    </row>
    <row r="171" spans="1:3" x14ac:dyDescent="0.25">
      <c r="A171" s="341" t="str">
        <f>General!G51</f>
        <v>v</v>
      </c>
      <c r="B171" s="6">
        <v>1</v>
      </c>
      <c r="C171" s="6">
        <v>1</v>
      </c>
    </row>
    <row r="172" spans="1:3" x14ac:dyDescent="0.25">
      <c r="A172" s="341" t="str">
        <f>General!G52</f>
        <v>w</v>
      </c>
      <c r="B172" s="6">
        <v>1</v>
      </c>
      <c r="C172" s="6">
        <v>1</v>
      </c>
    </row>
    <row r="173" spans="1:3" x14ac:dyDescent="0.25">
      <c r="A173" s="341" t="str">
        <f>General!G53</f>
        <v>wd</v>
      </c>
      <c r="B173" s="6">
        <v>1</v>
      </c>
      <c r="C173" s="6">
        <v>1</v>
      </c>
    </row>
    <row r="174" spans="1:3" x14ac:dyDescent="0.25">
      <c r="A174" s="341" t="str">
        <f>General!G54</f>
        <v>z</v>
      </c>
      <c r="B174" s="6">
        <v>1</v>
      </c>
      <c r="C174" s="6">
        <v>1</v>
      </c>
    </row>
    <row r="175" spans="1:3" x14ac:dyDescent="0.25">
      <c r="A175" s="341" t="str">
        <f>General!G55</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2163</v>
      </c>
    </row>
    <row r="11" spans="1:6" x14ac:dyDescent="0.25">
      <c r="A11" t="s">
        <v>70</v>
      </c>
      <c r="B11" t="s">
        <v>71</v>
      </c>
      <c r="C11" t="s">
        <v>120</v>
      </c>
      <c r="D11" t="s">
        <v>121</v>
      </c>
      <c r="E11" t="s">
        <v>2922</v>
      </c>
      <c r="F11" t="s">
        <v>2923</v>
      </c>
    </row>
    <row r="12" spans="1:6" x14ac:dyDescent="0.25">
      <c r="A12" t="s">
        <v>122</v>
      </c>
      <c r="B12" s="314">
        <v>62666.666666666664</v>
      </c>
      <c r="C12" s="44">
        <v>1</v>
      </c>
      <c r="D12" s="44">
        <v>0</v>
      </c>
      <c r="E12" s="44">
        <v>0</v>
      </c>
      <c r="F12" s="44">
        <v>0</v>
      </c>
    </row>
    <row r="13" spans="1:6" x14ac:dyDescent="0.25">
      <c r="A13" t="s">
        <v>21</v>
      </c>
      <c r="B13" s="314">
        <v>29000</v>
      </c>
      <c r="C13" s="44">
        <v>1</v>
      </c>
      <c r="D13" s="44">
        <v>0</v>
      </c>
      <c r="E13" s="44">
        <v>0</v>
      </c>
      <c r="F13" s="44">
        <v>0</v>
      </c>
    </row>
    <row r="14" spans="1:6" x14ac:dyDescent="0.25">
      <c r="A14" t="s">
        <v>22</v>
      </c>
      <c r="B14" s="314">
        <v>99000</v>
      </c>
      <c r="C14" s="44">
        <v>0</v>
      </c>
      <c r="D14" s="44">
        <v>1</v>
      </c>
      <c r="E14" s="44">
        <v>0</v>
      </c>
      <c r="F14" s="44">
        <v>0</v>
      </c>
    </row>
    <row r="15" spans="1:6" x14ac:dyDescent="0.25">
      <c r="A15" t="s">
        <v>119</v>
      </c>
      <c r="B15" s="314">
        <v>10000</v>
      </c>
      <c r="C15" s="44">
        <v>0</v>
      </c>
      <c r="D15" s="44">
        <v>1</v>
      </c>
      <c r="E15" s="44">
        <v>0</v>
      </c>
      <c r="F15" s="44">
        <v>0</v>
      </c>
    </row>
    <row r="16" spans="1:6" x14ac:dyDescent="0.25">
      <c r="A16" t="s">
        <v>123</v>
      </c>
      <c r="B16" s="314">
        <v>62666.666666666664</v>
      </c>
      <c r="C16" s="44">
        <v>0</v>
      </c>
      <c r="D16" s="44">
        <v>0.3</v>
      </c>
      <c r="E16" s="44">
        <v>1</v>
      </c>
      <c r="F16" s="44">
        <v>1</v>
      </c>
    </row>
    <row r="17" spans="1:6" x14ac:dyDescent="0.25">
      <c r="A17" t="s">
        <v>23</v>
      </c>
      <c r="B17" s="314">
        <v>30000</v>
      </c>
      <c r="C17" s="44">
        <v>0</v>
      </c>
      <c r="D17" s="44">
        <v>0</v>
      </c>
      <c r="E17" s="44">
        <v>1</v>
      </c>
      <c r="F17" s="44">
        <v>0</v>
      </c>
    </row>
    <row r="18" spans="1:6" x14ac:dyDescent="0.25">
      <c r="A18" t="s">
        <v>24</v>
      </c>
      <c r="B18" s="314">
        <v>11666.666666666666</v>
      </c>
      <c r="C18" s="44">
        <v>0</v>
      </c>
      <c r="D18" s="44">
        <v>0</v>
      </c>
      <c r="E18" s="44">
        <v>0</v>
      </c>
      <c r="F18" s="44">
        <v>1</v>
      </c>
    </row>
    <row r="19" spans="1:6" x14ac:dyDescent="0.25">
      <c r="A19" t="s">
        <v>25</v>
      </c>
      <c r="B19" s="314">
        <v>5000</v>
      </c>
      <c r="C19" s="44">
        <v>0</v>
      </c>
      <c r="D19" s="44">
        <v>0</v>
      </c>
      <c r="E19" s="44">
        <v>0</v>
      </c>
      <c r="F19" s="44">
        <v>0</v>
      </c>
    </row>
    <row r="20" spans="1:6" x14ac:dyDescent="0.25">
      <c r="A20" t="s">
        <v>26</v>
      </c>
      <c r="B20" s="314">
        <v>3333.3333333333335</v>
      </c>
      <c r="C20" s="44">
        <v>0</v>
      </c>
      <c r="D20" s="44">
        <v>0</v>
      </c>
      <c r="E20" s="44">
        <v>0</v>
      </c>
      <c r="F20" s="44">
        <v>0</v>
      </c>
    </row>
    <row r="21" spans="1:6" x14ac:dyDescent="0.25">
      <c r="A21" t="s">
        <v>27</v>
      </c>
      <c r="B21" s="314">
        <v>25000</v>
      </c>
      <c r="C21" s="44">
        <v>0</v>
      </c>
      <c r="D21" s="44">
        <v>0</v>
      </c>
      <c r="E21" s="44">
        <v>0</v>
      </c>
      <c r="F21" s="44">
        <v>0</v>
      </c>
    </row>
    <row r="22" spans="1:6" x14ac:dyDescent="0.25">
      <c r="A22" t="s">
        <v>28</v>
      </c>
      <c r="B22" s="314">
        <v>12000</v>
      </c>
      <c r="C22" s="44">
        <v>0.15</v>
      </c>
      <c r="D22" s="44">
        <v>0.3</v>
      </c>
      <c r="E22" s="44">
        <v>0</v>
      </c>
      <c r="F22" s="44">
        <v>0.15</v>
      </c>
    </row>
    <row r="23" spans="1:6" x14ac:dyDescent="0.25">
      <c r="A23" t="s">
        <v>29</v>
      </c>
      <c r="B23" s="314">
        <v>26000</v>
      </c>
      <c r="C23" s="44">
        <v>0</v>
      </c>
      <c r="D23" s="44">
        <v>1</v>
      </c>
      <c r="E23" s="44">
        <v>0</v>
      </c>
      <c r="F23" s="44">
        <v>0</v>
      </c>
    </row>
    <row r="24" spans="1:6" x14ac:dyDescent="0.25">
      <c r="A24" t="s">
        <v>30</v>
      </c>
      <c r="B24" s="314">
        <v>7333.333333333333</v>
      </c>
      <c r="C24" s="44">
        <v>0</v>
      </c>
      <c r="D24" s="44">
        <v>0.05</v>
      </c>
      <c r="E24" s="44">
        <v>0</v>
      </c>
      <c r="F24" s="44">
        <v>0</v>
      </c>
    </row>
    <row r="25" spans="1:6" x14ac:dyDescent="0.25">
      <c r="A25" t="s">
        <v>31</v>
      </c>
      <c r="B25" s="314">
        <v>0</v>
      </c>
      <c r="C25" s="44">
        <v>0.05</v>
      </c>
      <c r="D25" s="44">
        <v>0.05</v>
      </c>
      <c r="E25" s="44">
        <v>0.05</v>
      </c>
      <c r="F25" s="44">
        <v>0.05</v>
      </c>
    </row>
    <row r="26" spans="1:6" x14ac:dyDescent="0.25">
      <c r="A26" t="s">
        <v>32</v>
      </c>
      <c r="B26" s="314">
        <v>12000</v>
      </c>
      <c r="C26" s="44">
        <v>0</v>
      </c>
      <c r="D26" s="44">
        <v>0</v>
      </c>
      <c r="E26" s="44">
        <v>0</v>
      </c>
      <c r="F26" s="44">
        <v>0</v>
      </c>
    </row>
    <row r="27" spans="1:6" x14ac:dyDescent="0.25">
      <c r="B27" s="368">
        <f>SUM(B12:B26)</f>
        <v>395666.66666666663</v>
      </c>
    </row>
    <row r="28" spans="1:6" x14ac:dyDescent="0.25">
      <c r="A28" s="3" t="s">
        <v>33</v>
      </c>
    </row>
    <row r="29" spans="1:6" x14ac:dyDescent="0.25">
      <c r="A29" t="s">
        <v>2788</v>
      </c>
      <c r="B29" s="434">
        <v>1</v>
      </c>
    </row>
    <row r="30" spans="1:6" ht="7.35" customHeight="1" x14ac:dyDescent="0.25"/>
    <row r="31" spans="1:6" ht="4.9000000000000004" customHeight="1" x14ac:dyDescent="0.25"/>
    <row r="32" spans="1:6" x14ac:dyDescent="0.25">
      <c r="A32" t="s">
        <v>2929</v>
      </c>
      <c r="B32">
        <v>4</v>
      </c>
      <c r="C32" s="1" t="s">
        <v>2928</v>
      </c>
    </row>
    <row r="33" spans="1:3" ht="7.15" customHeight="1" x14ac:dyDescent="0.25"/>
    <row r="34" spans="1:3" x14ac:dyDescent="0.25">
      <c r="A34" t="s">
        <v>3318</v>
      </c>
      <c r="B34">
        <v>40</v>
      </c>
      <c r="C34" s="1" t="s">
        <v>2931</v>
      </c>
    </row>
    <row r="35" spans="1:3" ht="7.15" customHeight="1" x14ac:dyDescent="0.25"/>
    <row r="36" spans="1:3" x14ac:dyDescent="0.25">
      <c r="A36" t="s">
        <v>3319</v>
      </c>
      <c r="B36">
        <v>35</v>
      </c>
      <c r="C36" s="1" t="s">
        <v>3321</v>
      </c>
    </row>
    <row r="37" spans="1:3" ht="7.15" customHeight="1" x14ac:dyDescent="0.25"/>
    <row r="38" spans="1:3" x14ac:dyDescent="0.25">
      <c r="A38" t="s">
        <v>54</v>
      </c>
      <c r="B38"/>
    </row>
    <row r="39" spans="1:3" x14ac:dyDescent="0.25">
      <c r="A39" s="340" t="str">
        <f>General!I37</f>
        <v>a</v>
      </c>
      <c r="B39">
        <v>1</v>
      </c>
    </row>
    <row r="40" spans="1:3" x14ac:dyDescent="0.25">
      <c r="A40" s="340" t="str">
        <f>General!I38</f>
        <v>a2</v>
      </c>
      <c r="B40">
        <v>1</v>
      </c>
    </row>
    <row r="41" spans="1:3" x14ac:dyDescent="0.25">
      <c r="A41" s="340" t="str">
        <f>General!I39</f>
        <v>b</v>
      </c>
      <c r="B41">
        <v>1</v>
      </c>
    </row>
    <row r="42" spans="1:3" x14ac:dyDescent="0.25">
      <c r="A42" s="340" t="str">
        <f>General!I40</f>
        <v>bd</v>
      </c>
      <c r="B42">
        <v>1</v>
      </c>
    </row>
    <row r="43" spans="1:3" x14ac:dyDescent="0.25">
      <c r="A43" s="340" t="str">
        <f>General!I41</f>
        <v>f</v>
      </c>
      <c r="B43">
        <v>1</v>
      </c>
    </row>
    <row r="44" spans="1:3" x14ac:dyDescent="0.25">
      <c r="A44" s="340" t="str">
        <f>General!I42</f>
        <v>h</v>
      </c>
      <c r="B44">
        <v>1</v>
      </c>
    </row>
    <row r="45" spans="1:3" x14ac:dyDescent="0.25">
      <c r="A45" s="340" t="str">
        <f>General!I43</f>
        <v>i</v>
      </c>
      <c r="B45">
        <v>1</v>
      </c>
    </row>
    <row r="46" spans="1:3" x14ac:dyDescent="0.25">
      <c r="A46" s="340" t="str">
        <f>General!I44</f>
        <v>j</v>
      </c>
      <c r="B46">
        <v>1</v>
      </c>
    </row>
    <row r="47" spans="1:3" x14ac:dyDescent="0.25">
      <c r="A47" s="340" t="str">
        <f>General!I45</f>
        <v>jc</v>
      </c>
      <c r="B47">
        <v>1</v>
      </c>
    </row>
    <row r="48" spans="1:3" x14ac:dyDescent="0.25">
      <c r="A48" s="340" t="str">
        <f>General!I46</f>
        <v>k</v>
      </c>
      <c r="B48">
        <v>1</v>
      </c>
    </row>
    <row r="49" spans="1:2" x14ac:dyDescent="0.25">
      <c r="A49" s="340" t="str">
        <f>General!I47</f>
        <v>l</v>
      </c>
      <c r="B49">
        <v>1</v>
      </c>
    </row>
    <row r="50" spans="1:2" x14ac:dyDescent="0.25">
      <c r="A50" s="340" t="str">
        <f>General!I48</f>
        <v>lf</v>
      </c>
      <c r="B50">
        <v>1</v>
      </c>
    </row>
    <row r="51" spans="1:2" x14ac:dyDescent="0.25">
      <c r="A51" s="340" t="str">
        <f>General!I49</f>
        <v>m</v>
      </c>
      <c r="B51">
        <v>1</v>
      </c>
    </row>
    <row r="52" spans="1:2" x14ac:dyDescent="0.25">
      <c r="A52" s="340" t="str">
        <f>General!I50</f>
        <v>ms</v>
      </c>
      <c r="B52">
        <v>1</v>
      </c>
    </row>
    <row r="53" spans="1:2" x14ac:dyDescent="0.25">
      <c r="A53" s="340" t="str">
        <f>General!I51</f>
        <v>o</v>
      </c>
      <c r="B53">
        <v>1</v>
      </c>
    </row>
    <row r="54" spans="1:2" x14ac:dyDescent="0.25">
      <c r="A54" s="340" t="str">
        <f>General!I52</f>
        <v>od</v>
      </c>
      <c r="B54">
        <v>1</v>
      </c>
    </row>
    <row r="55" spans="1:2" x14ac:dyDescent="0.25">
      <c r="A55" s="340" t="str">
        <f>General!I53</f>
        <v>of</v>
      </c>
      <c r="B55">
        <v>1</v>
      </c>
    </row>
    <row r="56" spans="1:2" x14ac:dyDescent="0.25">
      <c r="A56" s="340" t="str">
        <f>General!I54</f>
        <v>r</v>
      </c>
      <c r="B56">
        <v>1</v>
      </c>
    </row>
    <row r="57" spans="1:2" x14ac:dyDescent="0.25">
      <c r="A57" s="340" t="str">
        <f>General!I55</f>
        <v>rd</v>
      </c>
      <c r="B57">
        <v>1</v>
      </c>
    </row>
    <row r="58" spans="1:2" x14ac:dyDescent="0.25">
      <c r="A58" s="340" t="str">
        <f>General!I56</f>
        <v>s</v>
      </c>
      <c r="B58">
        <v>1</v>
      </c>
    </row>
    <row r="59" spans="1:2" x14ac:dyDescent="0.25">
      <c r="A59" s="340" t="str">
        <f>General!I57</f>
        <v>sp</v>
      </c>
      <c r="B59">
        <v>1</v>
      </c>
    </row>
    <row r="60" spans="1:2" x14ac:dyDescent="0.25">
      <c r="A60" s="340" t="str">
        <f>General!I58</f>
        <v>t</v>
      </c>
      <c r="B60">
        <v>1</v>
      </c>
    </row>
    <row r="61" spans="1:2" x14ac:dyDescent="0.25">
      <c r="A61" s="340" t="str">
        <f>General!I59</f>
        <v>tc</v>
      </c>
      <c r="B61">
        <v>1</v>
      </c>
    </row>
    <row r="62" spans="1:2" x14ac:dyDescent="0.25">
      <c r="A62" s="340" t="str">
        <f>General!I60</f>
        <v>u</v>
      </c>
      <c r="B62">
        <v>1</v>
      </c>
    </row>
    <row r="63" spans="1:2" x14ac:dyDescent="0.25">
      <c r="A63" s="340" t="str">
        <f>General!I61</f>
        <v>uc</v>
      </c>
      <c r="B63">
        <v>1</v>
      </c>
    </row>
    <row r="64" spans="1:2" x14ac:dyDescent="0.25">
      <c r="A64" s="340" t="str">
        <f>General!I62</f>
        <v>v</v>
      </c>
      <c r="B64">
        <v>1</v>
      </c>
    </row>
    <row r="65" spans="1:3" x14ac:dyDescent="0.25">
      <c r="A65" s="340" t="str">
        <f>General!I63</f>
        <v>w</v>
      </c>
      <c r="B65">
        <v>1</v>
      </c>
    </row>
    <row r="66" spans="1:3" x14ac:dyDescent="0.25">
      <c r="A66" s="340" t="str">
        <f>General!I64</f>
        <v>wd</v>
      </c>
      <c r="B66">
        <v>1</v>
      </c>
    </row>
    <row r="67" spans="1:3" x14ac:dyDescent="0.25">
      <c r="A67" s="340" t="str">
        <f>General!I65</f>
        <v>x</v>
      </c>
      <c r="B67">
        <v>1</v>
      </c>
    </row>
    <row r="68" spans="1:3" x14ac:dyDescent="0.25">
      <c r="A68" s="340" t="str">
        <f>General!I66</f>
        <v>xc</v>
      </c>
      <c r="B68">
        <v>1</v>
      </c>
    </row>
    <row r="69" spans="1:3" x14ac:dyDescent="0.25">
      <c r="A69" s="340" t="str">
        <f>General!I67</f>
        <v>z</v>
      </c>
      <c r="B69">
        <v>1</v>
      </c>
    </row>
    <row r="70" spans="1:3" x14ac:dyDescent="0.25">
      <c r="A70" s="340" t="str">
        <f>General!I68</f>
        <v>zd</v>
      </c>
      <c r="B70">
        <v>1</v>
      </c>
    </row>
    <row r="72" spans="1:3" x14ac:dyDescent="0.25">
      <c r="A72" s="3" t="s">
        <v>35</v>
      </c>
    </row>
    <row r="73" spans="1:3" x14ac:dyDescent="0.25">
      <c r="A73" t="s">
        <v>2789</v>
      </c>
      <c r="B73" s="434">
        <v>1</v>
      </c>
    </row>
    <row r="74" spans="1:3" ht="7.35" customHeight="1" x14ac:dyDescent="0.25"/>
    <row r="75" spans="1:3" x14ac:dyDescent="0.25">
      <c r="A75" t="s">
        <v>36</v>
      </c>
      <c r="B75">
        <v>50</v>
      </c>
    </row>
    <row r="76" spans="1:3" ht="7.15" customHeight="1" x14ac:dyDescent="0.25"/>
    <row r="77" spans="1:3" x14ac:dyDescent="0.25">
      <c r="A77" t="s">
        <v>3322</v>
      </c>
      <c r="B77">
        <f>0.3*harvest_maint</f>
        <v>12</v>
      </c>
      <c r="C77" s="1" t="s">
        <v>3323</v>
      </c>
    </row>
    <row r="78" spans="1:3" ht="7.15" customHeight="1" x14ac:dyDescent="0.25"/>
    <row r="79" spans="1:3" x14ac:dyDescent="0.25">
      <c r="A79" t="s">
        <v>2924</v>
      </c>
      <c r="B79"/>
    </row>
    <row r="80" spans="1:3" x14ac:dyDescent="0.25">
      <c r="A80" s="340" t="str">
        <f>General!G37</f>
        <v>b</v>
      </c>
      <c r="B80">
        <f>'Mach 1'!B80*0.66</f>
        <v>13.200000000000001</v>
      </c>
      <c r="C80" s="1" t="s">
        <v>2925</v>
      </c>
    </row>
    <row r="81" spans="1:3" x14ac:dyDescent="0.25">
      <c r="A81" s="340" t="str">
        <f>General!G38</f>
        <v>bd</v>
      </c>
      <c r="B81">
        <f>'Mach 1'!B81*0.66</f>
        <v>13.200000000000001</v>
      </c>
      <c r="C81" s="1" t="s">
        <v>2925</v>
      </c>
    </row>
    <row r="82" spans="1:3" x14ac:dyDescent="0.25">
      <c r="A82" s="340" t="str">
        <f>General!G39</f>
        <v>f</v>
      </c>
      <c r="B82">
        <f>'Mach 1'!B82*0.66</f>
        <v>7.92</v>
      </c>
      <c r="C82" s="1" t="s">
        <v>2925</v>
      </c>
    </row>
    <row r="83" spans="1:3" x14ac:dyDescent="0.25">
      <c r="A83" s="340" t="str">
        <f>General!G40</f>
        <v>h</v>
      </c>
      <c r="B83">
        <f>'Mach 1'!B83*0.66</f>
        <v>13.200000000000001</v>
      </c>
      <c r="C83" s="1" t="s">
        <v>2925</v>
      </c>
    </row>
    <row r="84" spans="1:3" x14ac:dyDescent="0.25">
      <c r="A84" s="340" t="str">
        <f>General!G41</f>
        <v>i</v>
      </c>
      <c r="B84">
        <f>'Mach 1'!B84*0.66</f>
        <v>7.92</v>
      </c>
      <c r="C84" s="1" t="s">
        <v>2925</v>
      </c>
    </row>
    <row r="85" spans="1:3" x14ac:dyDescent="0.25">
      <c r="A85" s="340" t="str">
        <f>General!G42</f>
        <v>k</v>
      </c>
      <c r="B85">
        <f>'Mach 1'!B85*0.66</f>
        <v>7.92</v>
      </c>
      <c r="C85" s="1" t="s">
        <v>2925</v>
      </c>
    </row>
    <row r="86" spans="1:3" x14ac:dyDescent="0.25">
      <c r="A86" s="340" t="str">
        <f>General!G43</f>
        <v>l</v>
      </c>
      <c r="B86">
        <f>'Mach 1'!B86*0.66</f>
        <v>7.92</v>
      </c>
      <c r="C86" s="1" t="s">
        <v>2925</v>
      </c>
    </row>
    <row r="87" spans="1:3" x14ac:dyDescent="0.25">
      <c r="A87" s="340" t="str">
        <f>General!G44</f>
        <v>lf</v>
      </c>
      <c r="B87">
        <f>'Mach 1'!B87*0.66</f>
        <v>7.92</v>
      </c>
      <c r="C87" s="1" t="s">
        <v>2925</v>
      </c>
    </row>
    <row r="88" spans="1:3" x14ac:dyDescent="0.25">
      <c r="A88" s="340" t="str">
        <f>General!G45</f>
        <v>ms</v>
      </c>
      <c r="B88" s="526">
        <f>0.65*B80+0.35*B86</f>
        <v>11.352000000000002</v>
      </c>
      <c r="C88" s="1" t="s">
        <v>2925</v>
      </c>
    </row>
    <row r="89" spans="1:3" x14ac:dyDescent="0.25">
      <c r="A89" s="340" t="str">
        <f>General!G46</f>
        <v>o</v>
      </c>
      <c r="B89">
        <f>'Mach 1'!B89*0.66</f>
        <v>13.200000000000001</v>
      </c>
      <c r="C89" s="1" t="s">
        <v>2925</v>
      </c>
    </row>
    <row r="90" spans="1:3" x14ac:dyDescent="0.25">
      <c r="A90" s="340" t="str">
        <f>General!G47</f>
        <v>od</v>
      </c>
      <c r="B90">
        <f>'Mach 1'!B90*0.66</f>
        <v>13.200000000000001</v>
      </c>
      <c r="C90" s="1" t="s">
        <v>2925</v>
      </c>
    </row>
    <row r="91" spans="1:3" x14ac:dyDescent="0.25">
      <c r="A91" s="340" t="str">
        <f>General!G48</f>
        <v>of</v>
      </c>
      <c r="B91">
        <f>'Mach 1'!B91*0.66</f>
        <v>13.200000000000001</v>
      </c>
      <c r="C91" s="1" t="s">
        <v>2925</v>
      </c>
    </row>
    <row r="92" spans="1:3" x14ac:dyDescent="0.25">
      <c r="A92" s="340" t="str">
        <f>General!G49</f>
        <v>r</v>
      </c>
      <c r="B92">
        <f>'Mach 1'!B92*0.66</f>
        <v>4.62</v>
      </c>
      <c r="C92" s="1" t="s">
        <v>2925</v>
      </c>
    </row>
    <row r="93" spans="1:3" x14ac:dyDescent="0.25">
      <c r="A93" s="340" t="str">
        <f>General!G50</f>
        <v>rd</v>
      </c>
      <c r="B93">
        <f>'Mach 1'!B93*0.66</f>
        <v>4.62</v>
      </c>
      <c r="C93" s="1" t="s">
        <v>2925</v>
      </c>
    </row>
    <row r="94" spans="1:3" x14ac:dyDescent="0.25">
      <c r="A94" s="340" t="str">
        <f>General!G51</f>
        <v>v</v>
      </c>
      <c r="B94">
        <f>'Mach 1'!B94*0.66</f>
        <v>7.92</v>
      </c>
      <c r="C94" s="1" t="s">
        <v>2925</v>
      </c>
    </row>
    <row r="95" spans="1:3" x14ac:dyDescent="0.25">
      <c r="A95" s="340" t="str">
        <f>General!G52</f>
        <v>w</v>
      </c>
      <c r="B95">
        <f>'Mach 1'!B95*0.66</f>
        <v>13.200000000000001</v>
      </c>
      <c r="C95" s="1" t="s">
        <v>2925</v>
      </c>
    </row>
    <row r="96" spans="1:3" x14ac:dyDescent="0.25">
      <c r="A96" s="340" t="str">
        <f>General!G53</f>
        <v>wd</v>
      </c>
      <c r="B96">
        <f>'Mach 1'!B96*0.66</f>
        <v>13.200000000000001</v>
      </c>
      <c r="C96" s="1" t="s">
        <v>2925</v>
      </c>
    </row>
    <row r="97" spans="1:3" x14ac:dyDescent="0.25">
      <c r="A97" s="340" t="str">
        <f>General!G54</f>
        <v>z</v>
      </c>
      <c r="B97">
        <f>'Mach 1'!B97*0.66</f>
        <v>4.62</v>
      </c>
      <c r="C97" s="1" t="s">
        <v>2925</v>
      </c>
    </row>
    <row r="98" spans="1:3" x14ac:dyDescent="0.25">
      <c r="A98" s="340" t="str">
        <f>General!G55</f>
        <v>zd</v>
      </c>
      <c r="B98">
        <f>'Mach 1'!B98*0.66</f>
        <v>4.62</v>
      </c>
      <c r="C98" s="1" t="s">
        <v>2925</v>
      </c>
    </row>
    <row r="100" spans="1:3" x14ac:dyDescent="0.25">
      <c r="A100" t="s">
        <v>37</v>
      </c>
      <c r="B100">
        <v>40</v>
      </c>
      <c r="C100" s="1" t="s">
        <v>2913</v>
      </c>
    </row>
    <row r="102" spans="1:3" x14ac:dyDescent="0.25">
      <c r="A102" t="s">
        <v>37</v>
      </c>
      <c r="B102" t="s">
        <v>3320</v>
      </c>
    </row>
    <row r="103" spans="1:3" x14ac:dyDescent="0.25">
      <c r="A103" s="340" t="str">
        <f>General!G37</f>
        <v>b</v>
      </c>
      <c r="B103" s="325">
        <v>1</v>
      </c>
    </row>
    <row r="104" spans="1:3" x14ac:dyDescent="0.25">
      <c r="A104" s="340" t="str">
        <f>General!G38</f>
        <v>bd</v>
      </c>
      <c r="B104" s="325">
        <v>1</v>
      </c>
    </row>
    <row r="105" spans="1:3" x14ac:dyDescent="0.25">
      <c r="A105" s="340" t="str">
        <f>General!G39</f>
        <v>f</v>
      </c>
      <c r="B105" s="325">
        <f>38/33</f>
        <v>1.1515151515151516</v>
      </c>
    </row>
    <row r="106" spans="1:3" x14ac:dyDescent="0.25">
      <c r="A106" s="340" t="str">
        <f>General!G40</f>
        <v>h</v>
      </c>
      <c r="B106" s="325">
        <v>1</v>
      </c>
    </row>
    <row r="107" spans="1:3" x14ac:dyDescent="0.25">
      <c r="A107" s="340" t="str">
        <f>General!G41</f>
        <v>i</v>
      </c>
      <c r="B107" s="325">
        <f t="shared" ref="B107:B108" si="0">38/33</f>
        <v>1.1515151515151516</v>
      </c>
    </row>
    <row r="108" spans="1:3" x14ac:dyDescent="0.25">
      <c r="A108" s="340" t="str">
        <f>General!G42</f>
        <v>k</v>
      </c>
      <c r="B108" s="325">
        <f t="shared" si="0"/>
        <v>1.1515151515151516</v>
      </c>
    </row>
    <row r="109" spans="1:3" x14ac:dyDescent="0.25">
      <c r="A109" s="340" t="str">
        <f>General!G43</f>
        <v>l</v>
      </c>
      <c r="B109" s="325">
        <v>1</v>
      </c>
    </row>
    <row r="110" spans="1:3" x14ac:dyDescent="0.25">
      <c r="A110" s="340" t="str">
        <f>General!G44</f>
        <v>lf</v>
      </c>
      <c r="B110" s="325">
        <v>1</v>
      </c>
    </row>
    <row r="111" spans="1:3" x14ac:dyDescent="0.25">
      <c r="A111" s="340" t="str">
        <f>General!G45</f>
        <v>ms</v>
      </c>
      <c r="B111" s="616">
        <f>0.65*B103+0.35*B109</f>
        <v>1</v>
      </c>
    </row>
    <row r="112" spans="1:3" x14ac:dyDescent="0.25">
      <c r="A112" s="340" t="str">
        <f>General!G46</f>
        <v>o</v>
      </c>
      <c r="B112" s="325">
        <v>1</v>
      </c>
    </row>
    <row r="113" spans="1:3" x14ac:dyDescent="0.25">
      <c r="A113" s="340" t="str">
        <f>General!G47</f>
        <v>od</v>
      </c>
      <c r="B113" s="325">
        <v>1</v>
      </c>
    </row>
    <row r="114" spans="1:3" x14ac:dyDescent="0.25">
      <c r="A114" s="340" t="str">
        <f>General!G48</f>
        <v>of</v>
      </c>
      <c r="B114" s="325">
        <v>1</v>
      </c>
    </row>
    <row r="115" spans="1:3" x14ac:dyDescent="0.25">
      <c r="A115" s="340" t="str">
        <f>General!G49</f>
        <v>r</v>
      </c>
      <c r="B115" s="325">
        <f t="shared" ref="B115:B117" si="1">38/33</f>
        <v>1.1515151515151516</v>
      </c>
    </row>
    <row r="116" spans="1:3" x14ac:dyDescent="0.25">
      <c r="A116" s="340" t="str">
        <f>General!G50</f>
        <v>rd</v>
      </c>
      <c r="B116" s="325">
        <f t="shared" si="1"/>
        <v>1.1515151515151516</v>
      </c>
    </row>
    <row r="117" spans="1:3" x14ac:dyDescent="0.25">
      <c r="A117" s="340" t="str">
        <f>General!G51</f>
        <v>v</v>
      </c>
      <c r="B117" s="325">
        <f t="shared" si="1"/>
        <v>1.1515151515151516</v>
      </c>
    </row>
    <row r="118" spans="1:3" x14ac:dyDescent="0.25">
      <c r="A118" s="340" t="str">
        <f>General!G52</f>
        <v>w</v>
      </c>
      <c r="B118" s="325">
        <v>1</v>
      </c>
    </row>
    <row r="119" spans="1:3" x14ac:dyDescent="0.25">
      <c r="A119" s="340" t="str">
        <f>General!G53</f>
        <v>wd</v>
      </c>
      <c r="B119" s="325">
        <v>1</v>
      </c>
    </row>
    <row r="120" spans="1:3" x14ac:dyDescent="0.25">
      <c r="A120" s="340" t="str">
        <f>General!G54</f>
        <v>z</v>
      </c>
      <c r="B120" s="325">
        <f t="shared" ref="B120:B121" si="2">38/33</f>
        <v>1.1515151515151516</v>
      </c>
    </row>
    <row r="121" spans="1:3" x14ac:dyDescent="0.25">
      <c r="A121" s="340" t="str">
        <f>General!G55</f>
        <v>zd</v>
      </c>
      <c r="B121" s="325">
        <f t="shared" si="2"/>
        <v>1.1515151515151516</v>
      </c>
    </row>
    <row r="123" spans="1:3" x14ac:dyDescent="0.25">
      <c r="A123" s="3" t="s">
        <v>38</v>
      </c>
    </row>
    <row r="124" spans="1:3" x14ac:dyDescent="0.25">
      <c r="A124" t="s">
        <v>2930</v>
      </c>
      <c r="B124">
        <v>23</v>
      </c>
      <c r="C124" s="1" t="s">
        <v>2932</v>
      </c>
    </row>
    <row r="125" spans="1:3" ht="4.1500000000000004" customHeight="1" x14ac:dyDescent="0.25"/>
    <row r="126" spans="1:3" x14ac:dyDescent="0.25">
      <c r="A126" t="s">
        <v>39</v>
      </c>
      <c r="B126">
        <v>20</v>
      </c>
      <c r="C126" s="1" t="s">
        <v>2931</v>
      </c>
    </row>
    <row r="127" spans="1:3" ht="3" customHeight="1" x14ac:dyDescent="0.25"/>
    <row r="128" spans="1:3" x14ac:dyDescent="0.25">
      <c r="A128" t="s">
        <v>40</v>
      </c>
      <c r="B128">
        <v>22</v>
      </c>
      <c r="C128" s="1" t="s">
        <v>3321</v>
      </c>
    </row>
    <row r="130" spans="1:3" x14ac:dyDescent="0.25">
      <c r="A130" s="3" t="s">
        <v>41</v>
      </c>
    </row>
    <row r="131" spans="1:3" x14ac:dyDescent="0.25">
      <c r="A131" t="s">
        <v>42</v>
      </c>
      <c r="B131">
        <v>20</v>
      </c>
      <c r="C131" s="1" t="s">
        <v>116</v>
      </c>
    </row>
    <row r="133" spans="1:3" x14ac:dyDescent="0.25">
      <c r="B133" t="s">
        <v>43</v>
      </c>
      <c r="C133"/>
    </row>
    <row r="134" spans="1:3" x14ac:dyDescent="0.25">
      <c r="A134" s="429" t="s">
        <v>45</v>
      </c>
      <c r="B134" t="str">
        <f>General!K37</f>
        <v>lime</v>
      </c>
      <c r="C134">
        <v>15</v>
      </c>
    </row>
    <row r="135" spans="1:3" x14ac:dyDescent="0.25">
      <c r="A135" s="429" t="s">
        <v>44</v>
      </c>
      <c r="B135" t="str">
        <f>General!K38</f>
        <v>early</v>
      </c>
      <c r="C135">
        <v>20</v>
      </c>
    </row>
    <row r="136" spans="1:3" x14ac:dyDescent="0.25">
      <c r="A136" s="429" t="s">
        <v>69</v>
      </c>
      <c r="B136" t="str">
        <f>General!K39</f>
        <v>at_seeding</v>
      </c>
      <c r="C136"/>
    </row>
    <row r="137" spans="1:3" x14ac:dyDescent="0.25">
      <c r="A137" s="429" t="s">
        <v>2933</v>
      </c>
      <c r="B137" t="str">
        <f>General!K40</f>
        <v>mid</v>
      </c>
      <c r="C137">
        <v>20</v>
      </c>
    </row>
    <row r="138" spans="1:3" x14ac:dyDescent="0.25">
      <c r="A138" s="429" t="s">
        <v>2567</v>
      </c>
      <c r="B138" t="str">
        <f>General!K41</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1" t="str">
        <f>General!G37</f>
        <v>b</v>
      </c>
      <c r="B157" s="6">
        <v>1</v>
      </c>
      <c r="C157" s="6">
        <v>1</v>
      </c>
    </row>
    <row r="158" spans="1:3" x14ac:dyDescent="0.25">
      <c r="A158" s="341" t="str">
        <f>General!G38</f>
        <v>bd</v>
      </c>
      <c r="B158" s="6">
        <v>1</v>
      </c>
      <c r="C158" s="6">
        <v>1</v>
      </c>
    </row>
    <row r="159" spans="1:3" x14ac:dyDescent="0.25">
      <c r="A159" s="341" t="str">
        <f>General!G39</f>
        <v>f</v>
      </c>
      <c r="B159" s="6">
        <v>1</v>
      </c>
      <c r="C159" s="6">
        <v>1</v>
      </c>
    </row>
    <row r="160" spans="1:3" x14ac:dyDescent="0.25">
      <c r="A160" s="341" t="str">
        <f>General!G40</f>
        <v>h</v>
      </c>
      <c r="B160" s="6">
        <v>1</v>
      </c>
      <c r="C160" s="6">
        <v>3</v>
      </c>
    </row>
    <row r="161" spans="1:3" x14ac:dyDescent="0.25">
      <c r="A161" s="341" t="str">
        <f>General!G41</f>
        <v>i</v>
      </c>
      <c r="B161" s="6">
        <v>1</v>
      </c>
      <c r="C161" s="6">
        <v>1</v>
      </c>
    </row>
    <row r="162" spans="1:3" x14ac:dyDescent="0.25">
      <c r="A162" s="341" t="str">
        <f>General!G42</f>
        <v>k</v>
      </c>
      <c r="B162" s="6">
        <v>1</v>
      </c>
      <c r="C162" s="6">
        <v>1</v>
      </c>
    </row>
    <row r="163" spans="1:3" x14ac:dyDescent="0.25">
      <c r="A163" s="341" t="str">
        <f>General!G43</f>
        <v>l</v>
      </c>
      <c r="B163" s="6">
        <v>1</v>
      </c>
      <c r="C163" s="6">
        <v>1</v>
      </c>
    </row>
    <row r="164" spans="1:3" x14ac:dyDescent="0.25">
      <c r="A164" s="341" t="str">
        <f>General!G44</f>
        <v>lf</v>
      </c>
      <c r="B164" s="6">
        <v>1</v>
      </c>
      <c r="C164" s="6">
        <v>1</v>
      </c>
    </row>
    <row r="165" spans="1:3" x14ac:dyDescent="0.25">
      <c r="A165" s="341" t="str">
        <f>General!G45</f>
        <v>ms</v>
      </c>
      <c r="B165" s="6">
        <v>1</v>
      </c>
      <c r="C165" s="6">
        <v>1</v>
      </c>
    </row>
    <row r="166" spans="1:3" x14ac:dyDescent="0.25">
      <c r="A166" s="341" t="str">
        <f>General!G46</f>
        <v>o</v>
      </c>
      <c r="B166" s="6">
        <v>1</v>
      </c>
      <c r="C166" s="6">
        <v>1</v>
      </c>
    </row>
    <row r="167" spans="1:3" x14ac:dyDescent="0.25">
      <c r="A167" s="341" t="str">
        <f>General!G47</f>
        <v>od</v>
      </c>
      <c r="B167" s="6">
        <v>1</v>
      </c>
      <c r="C167" s="6">
        <v>1</v>
      </c>
    </row>
    <row r="168" spans="1:3" x14ac:dyDescent="0.25">
      <c r="A168" s="341" t="str">
        <f>General!G48</f>
        <v>of</v>
      </c>
      <c r="B168" s="6">
        <v>1</v>
      </c>
      <c r="C168" s="6">
        <v>1</v>
      </c>
    </row>
    <row r="169" spans="1:3" x14ac:dyDescent="0.25">
      <c r="A169" s="341" t="str">
        <f>General!G49</f>
        <v>r</v>
      </c>
      <c r="B169" s="6">
        <v>1</v>
      </c>
      <c r="C169" s="6">
        <v>1</v>
      </c>
    </row>
    <row r="170" spans="1:3" x14ac:dyDescent="0.25">
      <c r="A170" s="341" t="str">
        <f>General!G50</f>
        <v>rd</v>
      </c>
      <c r="B170" s="6">
        <v>1</v>
      </c>
      <c r="C170" s="6">
        <v>1</v>
      </c>
    </row>
    <row r="171" spans="1:3" x14ac:dyDescent="0.25">
      <c r="A171" s="341" t="str">
        <f>General!G51</f>
        <v>v</v>
      </c>
      <c r="B171" s="6">
        <v>1</v>
      </c>
      <c r="C171" s="6">
        <v>1</v>
      </c>
    </row>
    <row r="172" spans="1:3" x14ac:dyDescent="0.25">
      <c r="A172" s="341" t="str">
        <f>General!G52</f>
        <v>w</v>
      </c>
      <c r="B172" s="6">
        <v>1</v>
      </c>
      <c r="C172" s="6">
        <v>1</v>
      </c>
    </row>
    <row r="173" spans="1:3" x14ac:dyDescent="0.25">
      <c r="A173" s="341" t="str">
        <f>General!G53</f>
        <v>wd</v>
      </c>
      <c r="B173" s="6">
        <v>1</v>
      </c>
      <c r="C173" s="6">
        <v>1</v>
      </c>
    </row>
    <row r="174" spans="1:3" x14ac:dyDescent="0.25">
      <c r="A174" s="341" t="str">
        <f>General!G54</f>
        <v>z</v>
      </c>
      <c r="B174" s="6">
        <v>1</v>
      </c>
      <c r="C174" s="6">
        <v>1</v>
      </c>
    </row>
    <row r="175" spans="1:3" x14ac:dyDescent="0.25">
      <c r="A175" s="341" t="str">
        <f>General!G55</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2163</v>
      </c>
    </row>
    <row r="11" spans="1:17" x14ac:dyDescent="0.25">
      <c r="A11" t="s">
        <v>70</v>
      </c>
      <c r="B11" t="s">
        <v>71</v>
      </c>
      <c r="C11" t="s">
        <v>120</v>
      </c>
      <c r="D11" t="s">
        <v>121</v>
      </c>
      <c r="E11" t="s">
        <v>2922</v>
      </c>
      <c r="F11" t="s">
        <v>2923</v>
      </c>
    </row>
    <row r="12" spans="1:17" x14ac:dyDescent="0.25">
      <c r="A12" t="s">
        <v>2792</v>
      </c>
      <c r="B12">
        <v>250000</v>
      </c>
      <c r="C12" s="44">
        <v>1</v>
      </c>
      <c r="D12" s="44">
        <v>0</v>
      </c>
      <c r="E12" s="44">
        <v>0</v>
      </c>
      <c r="F12" s="44">
        <v>0</v>
      </c>
    </row>
    <row r="13" spans="1:17" x14ac:dyDescent="0.25">
      <c r="A13" t="s">
        <v>2790</v>
      </c>
      <c r="B13">
        <v>115000</v>
      </c>
      <c r="C13" s="44">
        <v>1</v>
      </c>
      <c r="D13" s="44">
        <v>0</v>
      </c>
      <c r="E13" s="44">
        <v>0</v>
      </c>
      <c r="F13" s="44">
        <v>0</v>
      </c>
    </row>
    <row r="14" spans="1:17" x14ac:dyDescent="0.25">
      <c r="A14" t="s">
        <v>2791</v>
      </c>
      <c r="B14">
        <v>500000</v>
      </c>
      <c r="C14" s="44">
        <v>0</v>
      </c>
      <c r="D14" s="44">
        <v>1</v>
      </c>
      <c r="E14" s="44">
        <v>0</v>
      </c>
      <c r="F14" s="44">
        <v>0</v>
      </c>
    </row>
    <row r="15" spans="1:17" x14ac:dyDescent="0.25">
      <c r="A15" t="s">
        <v>119</v>
      </c>
      <c r="B15">
        <v>50000</v>
      </c>
      <c r="C15" s="44">
        <v>0</v>
      </c>
      <c r="D15" s="44">
        <v>1</v>
      </c>
      <c r="E15" s="44">
        <v>0</v>
      </c>
      <c r="F15" s="44">
        <v>0</v>
      </c>
      <c r="Q15" s="479"/>
    </row>
    <row r="16" spans="1:17" x14ac:dyDescent="0.25">
      <c r="A16" t="s">
        <v>2793</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2795</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2794</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8">
        <f>SUM(B12:B26)</f>
        <v>1865000</v>
      </c>
    </row>
    <row r="28" spans="1:6" x14ac:dyDescent="0.25">
      <c r="A28" s="3" t="s">
        <v>33</v>
      </c>
    </row>
    <row r="29" spans="1:6" x14ac:dyDescent="0.25">
      <c r="A29" t="s">
        <v>2788</v>
      </c>
      <c r="B29" s="434">
        <v>1</v>
      </c>
    </row>
    <row r="30" spans="1:6" ht="7.35" customHeight="1" x14ac:dyDescent="0.25"/>
    <row r="31" spans="1:6" x14ac:dyDescent="0.25">
      <c r="A31" t="s">
        <v>2929</v>
      </c>
      <c r="B31">
        <v>12.5</v>
      </c>
      <c r="C31" s="1" t="s">
        <v>2928</v>
      </c>
      <c r="D31" s="1" t="s">
        <v>3051</v>
      </c>
    </row>
    <row r="32" spans="1:6" ht="7.15" customHeight="1" x14ac:dyDescent="0.25"/>
    <row r="33" spans="1:3" x14ac:dyDescent="0.25">
      <c r="A33" t="s">
        <v>3318</v>
      </c>
      <c r="B33">
        <v>60</v>
      </c>
      <c r="C33" s="1" t="s">
        <v>2931</v>
      </c>
    </row>
    <row r="34" spans="1:3" ht="7.15" customHeight="1" x14ac:dyDescent="0.25"/>
    <row r="35" spans="1:3" x14ac:dyDescent="0.25">
      <c r="A35" t="s">
        <v>3319</v>
      </c>
      <c r="B35">
        <v>78</v>
      </c>
      <c r="C35" s="1" t="s">
        <v>3321</v>
      </c>
    </row>
    <row r="36" spans="1:3" ht="7.15" customHeight="1" x14ac:dyDescent="0.25"/>
    <row r="37" spans="1:3" x14ac:dyDescent="0.25">
      <c r="A37" t="s">
        <v>54</v>
      </c>
      <c r="B37"/>
    </row>
    <row r="38" spans="1:3" x14ac:dyDescent="0.25">
      <c r="A38" s="340" t="str">
        <f>General!I37</f>
        <v>a</v>
      </c>
      <c r="B38">
        <v>1</v>
      </c>
    </row>
    <row r="39" spans="1:3" x14ac:dyDescent="0.25">
      <c r="A39" s="340" t="str">
        <f>General!I38</f>
        <v>a2</v>
      </c>
      <c r="B39">
        <v>1</v>
      </c>
    </row>
    <row r="40" spans="1:3" x14ac:dyDescent="0.25">
      <c r="A40" s="340" t="str">
        <f>General!I39</f>
        <v>b</v>
      </c>
      <c r="B40">
        <v>1</v>
      </c>
    </row>
    <row r="41" spans="1:3" x14ac:dyDescent="0.25">
      <c r="A41" s="340" t="str">
        <f>General!I40</f>
        <v>bd</v>
      </c>
      <c r="B41">
        <v>1</v>
      </c>
    </row>
    <row r="42" spans="1:3" x14ac:dyDescent="0.25">
      <c r="A42" s="340" t="str">
        <f>General!I41</f>
        <v>f</v>
      </c>
      <c r="B42">
        <v>1</v>
      </c>
    </row>
    <row r="43" spans="1:3" x14ac:dyDescent="0.25">
      <c r="A43" s="340" t="str">
        <f>General!I42</f>
        <v>h</v>
      </c>
      <c r="B43">
        <v>1</v>
      </c>
    </row>
    <row r="44" spans="1:3" x14ac:dyDescent="0.25">
      <c r="A44" s="340" t="str">
        <f>General!I43</f>
        <v>i</v>
      </c>
      <c r="B44">
        <v>1</v>
      </c>
    </row>
    <row r="45" spans="1:3" x14ac:dyDescent="0.25">
      <c r="A45" s="340" t="str">
        <f>General!I44</f>
        <v>j</v>
      </c>
      <c r="B45">
        <v>1</v>
      </c>
    </row>
    <row r="46" spans="1:3" x14ac:dyDescent="0.25">
      <c r="A46" s="340" t="str">
        <f>General!I45</f>
        <v>jc</v>
      </c>
      <c r="B46">
        <v>1</v>
      </c>
    </row>
    <row r="47" spans="1:3" x14ac:dyDescent="0.25">
      <c r="A47" s="340" t="str">
        <f>General!I46</f>
        <v>k</v>
      </c>
      <c r="B47">
        <v>1</v>
      </c>
    </row>
    <row r="48" spans="1:3" x14ac:dyDescent="0.25">
      <c r="A48" s="340" t="str">
        <f>General!I47</f>
        <v>l</v>
      </c>
      <c r="B48">
        <v>1</v>
      </c>
    </row>
    <row r="49" spans="1:2" x14ac:dyDescent="0.25">
      <c r="A49" s="340" t="str">
        <f>General!I48</f>
        <v>lf</v>
      </c>
      <c r="B49">
        <v>1</v>
      </c>
    </row>
    <row r="50" spans="1:2" x14ac:dyDescent="0.25">
      <c r="A50" s="340" t="str">
        <f>General!I49</f>
        <v>m</v>
      </c>
      <c r="B50">
        <v>1</v>
      </c>
    </row>
    <row r="51" spans="1:2" x14ac:dyDescent="0.25">
      <c r="A51" s="340" t="str">
        <f>General!I50</f>
        <v>ms</v>
      </c>
      <c r="B51">
        <v>1</v>
      </c>
    </row>
    <row r="52" spans="1:2" x14ac:dyDescent="0.25">
      <c r="A52" s="340" t="str">
        <f>General!I51</f>
        <v>o</v>
      </c>
      <c r="B52">
        <v>1</v>
      </c>
    </row>
    <row r="53" spans="1:2" x14ac:dyDescent="0.25">
      <c r="A53" s="340" t="str">
        <f>General!I52</f>
        <v>od</v>
      </c>
      <c r="B53">
        <v>1</v>
      </c>
    </row>
    <row r="54" spans="1:2" x14ac:dyDescent="0.25">
      <c r="A54" s="340" t="str">
        <f>General!I53</f>
        <v>of</v>
      </c>
      <c r="B54">
        <v>1</v>
      </c>
    </row>
    <row r="55" spans="1:2" x14ac:dyDescent="0.25">
      <c r="A55" s="340" t="str">
        <f>General!I54</f>
        <v>r</v>
      </c>
      <c r="B55">
        <v>1</v>
      </c>
    </row>
    <row r="56" spans="1:2" x14ac:dyDescent="0.25">
      <c r="A56" s="340" t="str">
        <f>General!I55</f>
        <v>rd</v>
      </c>
      <c r="B56">
        <v>1</v>
      </c>
    </row>
    <row r="57" spans="1:2" x14ac:dyDescent="0.25">
      <c r="A57" s="340" t="str">
        <f>General!I56</f>
        <v>s</v>
      </c>
      <c r="B57">
        <v>1</v>
      </c>
    </row>
    <row r="58" spans="1:2" x14ac:dyDescent="0.25">
      <c r="A58" s="340" t="str">
        <f>General!I57</f>
        <v>sp</v>
      </c>
      <c r="B58">
        <v>1</v>
      </c>
    </row>
    <row r="59" spans="1:2" x14ac:dyDescent="0.25">
      <c r="A59" s="340" t="str">
        <f>General!I58</f>
        <v>t</v>
      </c>
      <c r="B59">
        <v>1</v>
      </c>
    </row>
    <row r="60" spans="1:2" x14ac:dyDescent="0.25">
      <c r="A60" s="340" t="str">
        <f>General!I59</f>
        <v>tc</v>
      </c>
      <c r="B60">
        <v>1</v>
      </c>
    </row>
    <row r="61" spans="1:2" x14ac:dyDescent="0.25">
      <c r="A61" s="340" t="str">
        <f>General!I60</f>
        <v>u</v>
      </c>
      <c r="B61">
        <v>1</v>
      </c>
    </row>
    <row r="62" spans="1:2" x14ac:dyDescent="0.25">
      <c r="A62" s="340" t="str">
        <f>General!I61</f>
        <v>uc</v>
      </c>
      <c r="B62">
        <v>1</v>
      </c>
    </row>
    <row r="63" spans="1:2" x14ac:dyDescent="0.25">
      <c r="A63" s="340" t="str">
        <f>General!I62</f>
        <v>v</v>
      </c>
      <c r="B63">
        <v>1</v>
      </c>
    </row>
    <row r="64" spans="1:2" x14ac:dyDescent="0.25">
      <c r="A64" s="340" t="str">
        <f>General!I63</f>
        <v>w</v>
      </c>
      <c r="B64">
        <v>1</v>
      </c>
    </row>
    <row r="65" spans="1:3" x14ac:dyDescent="0.25">
      <c r="A65" s="340" t="str">
        <f>General!I64</f>
        <v>wd</v>
      </c>
      <c r="B65">
        <v>1</v>
      </c>
    </row>
    <row r="66" spans="1:3" x14ac:dyDescent="0.25">
      <c r="A66" s="340" t="str">
        <f>General!I65</f>
        <v>x</v>
      </c>
      <c r="B66">
        <v>1</v>
      </c>
    </row>
    <row r="67" spans="1:3" x14ac:dyDescent="0.25">
      <c r="A67" s="340" t="str">
        <f>General!I66</f>
        <v>xc</v>
      </c>
      <c r="B67">
        <v>1</v>
      </c>
    </row>
    <row r="68" spans="1:3" x14ac:dyDescent="0.25">
      <c r="A68" s="340" t="str">
        <f>General!I67</f>
        <v>z</v>
      </c>
      <c r="B68">
        <v>1</v>
      </c>
    </row>
    <row r="69" spans="1:3" x14ac:dyDescent="0.25">
      <c r="A69" s="340" t="str">
        <f>General!I68</f>
        <v>zd</v>
      </c>
      <c r="B69">
        <v>1</v>
      </c>
    </row>
    <row r="71" spans="1:3" x14ac:dyDescent="0.25">
      <c r="A71" s="3" t="s">
        <v>35</v>
      </c>
    </row>
    <row r="72" spans="1:3" x14ac:dyDescent="0.25">
      <c r="A72" t="s">
        <v>2789</v>
      </c>
      <c r="B72" s="434">
        <v>1</v>
      </c>
    </row>
    <row r="73" spans="1:3" ht="7.35" customHeight="1" x14ac:dyDescent="0.25"/>
    <row r="74" spans="1:3" x14ac:dyDescent="0.25">
      <c r="A74" t="s">
        <v>2914</v>
      </c>
      <c r="B74">
        <v>63</v>
      </c>
    </row>
    <row r="75" spans="1:3" ht="7.15" customHeight="1" x14ac:dyDescent="0.25"/>
    <row r="76" spans="1:3" x14ac:dyDescent="0.25">
      <c r="A76" t="s">
        <v>3322</v>
      </c>
      <c r="B76">
        <f>0.3*harvest_maint</f>
        <v>24</v>
      </c>
      <c r="C76" s="1" t="s">
        <v>3323</v>
      </c>
    </row>
    <row r="77" spans="1:3" ht="7.15" customHeight="1" x14ac:dyDescent="0.25"/>
    <row r="78" spans="1:3" x14ac:dyDescent="0.25">
      <c r="A78" t="s">
        <v>2924</v>
      </c>
      <c r="B78"/>
    </row>
    <row r="79" spans="1:3" x14ac:dyDescent="0.25">
      <c r="A79" s="340" t="str">
        <f>General!G37</f>
        <v>b</v>
      </c>
      <c r="B79">
        <v>30</v>
      </c>
      <c r="C79" s="1" t="s">
        <v>2925</v>
      </c>
    </row>
    <row r="80" spans="1:3" x14ac:dyDescent="0.25">
      <c r="A80" s="340" t="str">
        <f>General!G38</f>
        <v>bd</v>
      </c>
      <c r="B80">
        <v>30</v>
      </c>
      <c r="C80" s="1" t="s">
        <v>2925</v>
      </c>
    </row>
    <row r="81" spans="1:3" x14ac:dyDescent="0.25">
      <c r="A81" s="340" t="str">
        <f>General!G39</f>
        <v>f</v>
      </c>
      <c r="B81">
        <v>18</v>
      </c>
      <c r="C81" s="1" t="s">
        <v>2925</v>
      </c>
    </row>
    <row r="82" spans="1:3" x14ac:dyDescent="0.25">
      <c r="A82" s="340" t="str">
        <f>General!G40</f>
        <v>h</v>
      </c>
      <c r="B82">
        <v>30</v>
      </c>
      <c r="C82" s="1" t="s">
        <v>2925</v>
      </c>
    </row>
    <row r="83" spans="1:3" x14ac:dyDescent="0.25">
      <c r="A83" s="340" t="str">
        <f>General!G41</f>
        <v>i</v>
      </c>
      <c r="B83">
        <v>18</v>
      </c>
      <c r="C83" s="1" t="s">
        <v>2925</v>
      </c>
    </row>
    <row r="84" spans="1:3" x14ac:dyDescent="0.25">
      <c r="A84" s="340" t="str">
        <f>General!G42</f>
        <v>k</v>
      </c>
      <c r="B84">
        <v>18</v>
      </c>
      <c r="C84" s="1" t="s">
        <v>2925</v>
      </c>
    </row>
    <row r="85" spans="1:3" x14ac:dyDescent="0.25">
      <c r="A85" s="340" t="str">
        <f>General!G43</f>
        <v>l</v>
      </c>
      <c r="B85">
        <v>18</v>
      </c>
      <c r="C85" s="1" t="s">
        <v>2925</v>
      </c>
    </row>
    <row r="86" spans="1:3" x14ac:dyDescent="0.25">
      <c r="A86" s="340" t="str">
        <f>General!G44</f>
        <v>lf</v>
      </c>
      <c r="B86">
        <v>18</v>
      </c>
      <c r="C86" s="1" t="s">
        <v>2925</v>
      </c>
    </row>
    <row r="87" spans="1:3" x14ac:dyDescent="0.25">
      <c r="A87" s="340" t="str">
        <f>General!G45</f>
        <v>ms</v>
      </c>
      <c r="B87" s="526">
        <f>0.65*B79+0.35*B85</f>
        <v>25.8</v>
      </c>
      <c r="C87" s="1" t="s">
        <v>2925</v>
      </c>
    </row>
    <row r="88" spans="1:3" x14ac:dyDescent="0.25">
      <c r="A88" s="340" t="str">
        <f>General!G46</f>
        <v>o</v>
      </c>
      <c r="B88">
        <v>30</v>
      </c>
      <c r="C88" s="1" t="s">
        <v>2925</v>
      </c>
    </row>
    <row r="89" spans="1:3" x14ac:dyDescent="0.25">
      <c r="A89" s="340" t="str">
        <f>General!G47</f>
        <v>od</v>
      </c>
      <c r="B89">
        <v>30</v>
      </c>
      <c r="C89" s="1" t="s">
        <v>2925</v>
      </c>
    </row>
    <row r="90" spans="1:3" x14ac:dyDescent="0.25">
      <c r="A90" s="340" t="str">
        <f>General!G48</f>
        <v>of</v>
      </c>
      <c r="B90">
        <v>30</v>
      </c>
      <c r="C90" s="1" t="s">
        <v>2925</v>
      </c>
    </row>
    <row r="91" spans="1:3" x14ac:dyDescent="0.25">
      <c r="A91" s="340" t="str">
        <f>General!G49</f>
        <v>r</v>
      </c>
      <c r="B91">
        <v>12</v>
      </c>
      <c r="C91" s="1" t="s">
        <v>2925</v>
      </c>
    </row>
    <row r="92" spans="1:3" x14ac:dyDescent="0.25">
      <c r="A92" s="340" t="str">
        <f>General!G50</f>
        <v>rd</v>
      </c>
      <c r="B92">
        <v>12</v>
      </c>
      <c r="C92" s="1" t="s">
        <v>2925</v>
      </c>
    </row>
    <row r="93" spans="1:3" x14ac:dyDescent="0.25">
      <c r="A93" s="340" t="str">
        <f>General!G51</f>
        <v>v</v>
      </c>
      <c r="B93">
        <v>18</v>
      </c>
      <c r="C93" s="1" t="s">
        <v>2925</v>
      </c>
    </row>
    <row r="94" spans="1:3" x14ac:dyDescent="0.25">
      <c r="A94" s="340" t="str">
        <f>General!G52</f>
        <v>w</v>
      </c>
      <c r="B94">
        <v>30</v>
      </c>
      <c r="C94" s="1" t="s">
        <v>2925</v>
      </c>
    </row>
    <row r="95" spans="1:3" x14ac:dyDescent="0.25">
      <c r="A95" s="340" t="str">
        <f>General!G53</f>
        <v>wd</v>
      </c>
      <c r="B95">
        <v>30</v>
      </c>
      <c r="C95" s="1" t="s">
        <v>2925</v>
      </c>
    </row>
    <row r="96" spans="1:3" x14ac:dyDescent="0.25">
      <c r="A96" s="340" t="str">
        <f>General!G54</f>
        <v>z</v>
      </c>
      <c r="B96">
        <v>12</v>
      </c>
      <c r="C96" s="1" t="s">
        <v>2925</v>
      </c>
    </row>
    <row r="97" spans="1:3" x14ac:dyDescent="0.25">
      <c r="A97" s="340" t="str">
        <f>General!G55</f>
        <v>zd</v>
      </c>
      <c r="B97">
        <v>12</v>
      </c>
      <c r="C97" s="1" t="s">
        <v>2925</v>
      </c>
    </row>
    <row r="99" spans="1:3" x14ac:dyDescent="0.25">
      <c r="A99" t="s">
        <v>37</v>
      </c>
      <c r="B99">
        <v>80</v>
      </c>
      <c r="C99" s="1" t="s">
        <v>2913</v>
      </c>
    </row>
    <row r="101" spans="1:3" x14ac:dyDescent="0.25">
      <c r="A101" t="s">
        <v>37</v>
      </c>
      <c r="B101" t="s">
        <v>3320</v>
      </c>
    </row>
    <row r="102" spans="1:3" x14ac:dyDescent="0.25">
      <c r="A102" s="340" t="str">
        <f>General!G37</f>
        <v>b</v>
      </c>
      <c r="B102" s="325">
        <v>1</v>
      </c>
    </row>
    <row r="103" spans="1:3" x14ac:dyDescent="0.25">
      <c r="A103" s="340" t="str">
        <f>General!G38</f>
        <v>bd</v>
      </c>
      <c r="B103" s="325">
        <v>1</v>
      </c>
    </row>
    <row r="104" spans="1:3" x14ac:dyDescent="0.25">
      <c r="A104" s="340" t="str">
        <f>General!G39</f>
        <v>f</v>
      </c>
      <c r="B104" s="325">
        <f>38/33</f>
        <v>1.1515151515151516</v>
      </c>
    </row>
    <row r="105" spans="1:3" x14ac:dyDescent="0.25">
      <c r="A105" s="340" t="str">
        <f>General!G40</f>
        <v>h</v>
      </c>
      <c r="B105" s="325">
        <v>1</v>
      </c>
    </row>
    <row r="106" spans="1:3" x14ac:dyDescent="0.25">
      <c r="A106" s="340" t="str">
        <f>General!G41</f>
        <v>i</v>
      </c>
      <c r="B106" s="325">
        <f t="shared" ref="B106:B107" si="0">38/33</f>
        <v>1.1515151515151516</v>
      </c>
    </row>
    <row r="107" spans="1:3" x14ac:dyDescent="0.25">
      <c r="A107" s="340" t="str">
        <f>General!G42</f>
        <v>k</v>
      </c>
      <c r="B107" s="325">
        <f t="shared" si="0"/>
        <v>1.1515151515151516</v>
      </c>
    </row>
    <row r="108" spans="1:3" x14ac:dyDescent="0.25">
      <c r="A108" s="340" t="str">
        <f>General!G43</f>
        <v>l</v>
      </c>
      <c r="B108" s="325">
        <v>1</v>
      </c>
    </row>
    <row r="109" spans="1:3" x14ac:dyDescent="0.25">
      <c r="A109" s="340" t="str">
        <f>General!G44</f>
        <v>lf</v>
      </c>
      <c r="B109" s="325">
        <v>1</v>
      </c>
    </row>
    <row r="110" spans="1:3" x14ac:dyDescent="0.25">
      <c r="A110" s="340" t="str">
        <f>General!G45</f>
        <v>ms</v>
      </c>
      <c r="B110" s="616">
        <f>0.65*B102+0.35*B108</f>
        <v>1</v>
      </c>
    </row>
    <row r="111" spans="1:3" x14ac:dyDescent="0.25">
      <c r="A111" s="340" t="str">
        <f>General!G46</f>
        <v>o</v>
      </c>
      <c r="B111" s="325">
        <v>1</v>
      </c>
    </row>
    <row r="112" spans="1:3" x14ac:dyDescent="0.25">
      <c r="A112" s="340" t="str">
        <f>General!G47</f>
        <v>od</v>
      </c>
      <c r="B112" s="325">
        <v>1</v>
      </c>
    </row>
    <row r="113" spans="1:3" x14ac:dyDescent="0.25">
      <c r="A113" s="340" t="str">
        <f>General!G48</f>
        <v>of</v>
      </c>
      <c r="B113" s="325">
        <v>1</v>
      </c>
    </row>
    <row r="114" spans="1:3" x14ac:dyDescent="0.25">
      <c r="A114" s="340" t="str">
        <f>General!G49</f>
        <v>r</v>
      </c>
      <c r="B114" s="325">
        <f t="shared" ref="B114:B116" si="1">38/33</f>
        <v>1.1515151515151516</v>
      </c>
    </row>
    <row r="115" spans="1:3" x14ac:dyDescent="0.25">
      <c r="A115" s="340" t="str">
        <f>General!G50</f>
        <v>rd</v>
      </c>
      <c r="B115" s="325">
        <f t="shared" si="1"/>
        <v>1.1515151515151516</v>
      </c>
    </row>
    <row r="116" spans="1:3" x14ac:dyDescent="0.25">
      <c r="A116" s="340" t="str">
        <f>General!G51</f>
        <v>v</v>
      </c>
      <c r="B116" s="325">
        <f t="shared" si="1"/>
        <v>1.1515151515151516</v>
      </c>
    </row>
    <row r="117" spans="1:3" x14ac:dyDescent="0.25">
      <c r="A117" s="340" t="str">
        <f>General!G52</f>
        <v>w</v>
      </c>
      <c r="B117" s="325">
        <v>1</v>
      </c>
    </row>
    <row r="118" spans="1:3" x14ac:dyDescent="0.25">
      <c r="A118" s="340" t="str">
        <f>General!G53</f>
        <v>wd</v>
      </c>
      <c r="B118" s="325">
        <v>1</v>
      </c>
    </row>
    <row r="119" spans="1:3" x14ac:dyDescent="0.25">
      <c r="A119" s="340" t="str">
        <f>General!G54</f>
        <v>z</v>
      </c>
      <c r="B119" s="325">
        <f t="shared" ref="B119:B120" si="2">38/33</f>
        <v>1.1515151515151516</v>
      </c>
    </row>
    <row r="120" spans="1:3" x14ac:dyDescent="0.25">
      <c r="A120" s="340" t="str">
        <f>General!G55</f>
        <v>zd</v>
      </c>
      <c r="B120" s="325">
        <f t="shared" si="2"/>
        <v>1.1515151515151516</v>
      </c>
    </row>
    <row r="122" spans="1:3" x14ac:dyDescent="0.25">
      <c r="A122" s="3" t="s">
        <v>38</v>
      </c>
    </row>
    <row r="123" spans="1:3" x14ac:dyDescent="0.25">
      <c r="A123" t="s">
        <v>2930</v>
      </c>
      <c r="B123">
        <v>50</v>
      </c>
      <c r="C123" s="1" t="s">
        <v>2932</v>
      </c>
    </row>
    <row r="124" spans="1:3" ht="4.1500000000000004" customHeight="1" x14ac:dyDescent="0.25"/>
    <row r="125" spans="1:3" x14ac:dyDescent="0.25">
      <c r="A125" t="s">
        <v>39</v>
      </c>
      <c r="B125">
        <v>40</v>
      </c>
      <c r="C125" s="1" t="s">
        <v>2931</v>
      </c>
    </row>
    <row r="126" spans="1:3" ht="3" customHeight="1" x14ac:dyDescent="0.25"/>
    <row r="127" spans="1:3" x14ac:dyDescent="0.25">
      <c r="A127" t="s">
        <v>40</v>
      </c>
      <c r="B127">
        <v>50</v>
      </c>
      <c r="C127" s="1" t="s">
        <v>3321</v>
      </c>
    </row>
    <row r="129" spans="1:3" x14ac:dyDescent="0.25">
      <c r="A129" s="3" t="s">
        <v>41</v>
      </c>
    </row>
    <row r="130" spans="1:3" x14ac:dyDescent="0.25">
      <c r="A130" t="s">
        <v>42</v>
      </c>
      <c r="B130">
        <v>20</v>
      </c>
      <c r="C130" s="1" t="s">
        <v>116</v>
      </c>
    </row>
    <row r="132" spans="1:3" x14ac:dyDescent="0.25">
      <c r="B132" t="s">
        <v>43</v>
      </c>
      <c r="C132"/>
    </row>
    <row r="133" spans="1:3" x14ac:dyDescent="0.25">
      <c r="A133" s="429" t="s">
        <v>45</v>
      </c>
      <c r="B133" t="str">
        <f>General!K37</f>
        <v>lime</v>
      </c>
      <c r="C133">
        <v>15</v>
      </c>
    </row>
    <row r="134" spans="1:3" x14ac:dyDescent="0.25">
      <c r="A134" s="429" t="s">
        <v>44</v>
      </c>
      <c r="B134" t="str">
        <f>General!K38</f>
        <v>early</v>
      </c>
      <c r="C134">
        <v>25</v>
      </c>
    </row>
    <row r="135" spans="1:3" x14ac:dyDescent="0.25">
      <c r="A135" s="429" t="s">
        <v>69</v>
      </c>
      <c r="B135" t="str">
        <f>General!K39</f>
        <v>at_seeding</v>
      </c>
      <c r="C135"/>
    </row>
    <row r="136" spans="1:3" x14ac:dyDescent="0.25">
      <c r="A136" s="429" t="s">
        <v>2933</v>
      </c>
      <c r="B136" t="str">
        <f>General!K40</f>
        <v>mid</v>
      </c>
      <c r="C136">
        <v>25</v>
      </c>
    </row>
    <row r="137" spans="1:3" x14ac:dyDescent="0.25">
      <c r="A137" s="429" t="s">
        <v>2567</v>
      </c>
      <c r="B137" t="str">
        <f>General!K41</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1" t="str">
        <f>General!G37</f>
        <v>b</v>
      </c>
      <c r="B156" s="6">
        <v>1</v>
      </c>
      <c r="C156" s="6">
        <v>1</v>
      </c>
    </row>
    <row r="157" spans="1:3" x14ac:dyDescent="0.25">
      <c r="A157" s="341" t="str">
        <f>General!G38</f>
        <v>bd</v>
      </c>
      <c r="B157" s="6">
        <v>1</v>
      </c>
      <c r="C157" s="6">
        <v>1</v>
      </c>
    </row>
    <row r="158" spans="1:3" x14ac:dyDescent="0.25">
      <c r="A158" s="341" t="str">
        <f>General!G39</f>
        <v>f</v>
      </c>
      <c r="B158" s="6">
        <v>1</v>
      </c>
      <c r="C158" s="6">
        <v>1</v>
      </c>
    </row>
    <row r="159" spans="1:3" x14ac:dyDescent="0.25">
      <c r="A159" s="341" t="str">
        <f>General!G40</f>
        <v>h</v>
      </c>
      <c r="B159" s="6">
        <v>1</v>
      </c>
      <c r="C159" s="6">
        <v>3</v>
      </c>
    </row>
    <row r="160" spans="1:3" x14ac:dyDescent="0.25">
      <c r="A160" s="341" t="str">
        <f>General!G41</f>
        <v>i</v>
      </c>
      <c r="B160" s="6">
        <v>1</v>
      </c>
      <c r="C160" s="6">
        <v>1</v>
      </c>
    </row>
    <row r="161" spans="1:3" x14ac:dyDescent="0.25">
      <c r="A161" s="341" t="str">
        <f>General!G42</f>
        <v>k</v>
      </c>
      <c r="B161" s="6">
        <v>1</v>
      </c>
      <c r="C161" s="6">
        <v>1</v>
      </c>
    </row>
    <row r="162" spans="1:3" x14ac:dyDescent="0.25">
      <c r="A162" s="341" t="str">
        <f>General!G43</f>
        <v>l</v>
      </c>
      <c r="B162" s="6">
        <v>1</v>
      </c>
      <c r="C162" s="6">
        <v>1</v>
      </c>
    </row>
    <row r="163" spans="1:3" x14ac:dyDescent="0.25">
      <c r="A163" s="341" t="str">
        <f>General!G44</f>
        <v>lf</v>
      </c>
      <c r="B163" s="6">
        <v>1</v>
      </c>
      <c r="C163" s="6">
        <v>1</v>
      </c>
    </row>
    <row r="164" spans="1:3" x14ac:dyDescent="0.25">
      <c r="A164" s="341" t="str">
        <f>General!G45</f>
        <v>ms</v>
      </c>
      <c r="B164" s="6">
        <v>1</v>
      </c>
      <c r="C164" s="6">
        <v>1</v>
      </c>
    </row>
    <row r="165" spans="1:3" x14ac:dyDescent="0.25">
      <c r="A165" s="341" t="str">
        <f>General!G46</f>
        <v>o</v>
      </c>
      <c r="B165" s="6">
        <v>1</v>
      </c>
      <c r="C165" s="6">
        <v>1</v>
      </c>
    </row>
    <row r="166" spans="1:3" x14ac:dyDescent="0.25">
      <c r="A166" s="341" t="str">
        <f>General!G47</f>
        <v>od</v>
      </c>
      <c r="B166" s="6">
        <v>1</v>
      </c>
      <c r="C166" s="6">
        <v>1</v>
      </c>
    </row>
    <row r="167" spans="1:3" x14ac:dyDescent="0.25">
      <c r="A167" s="341" t="str">
        <f>General!G48</f>
        <v>of</v>
      </c>
      <c r="B167" s="6">
        <v>1</v>
      </c>
      <c r="C167" s="6">
        <v>1</v>
      </c>
    </row>
    <row r="168" spans="1:3" x14ac:dyDescent="0.25">
      <c r="A168" s="341" t="str">
        <f>General!G49</f>
        <v>r</v>
      </c>
      <c r="B168" s="6">
        <v>1</v>
      </c>
      <c r="C168" s="6">
        <v>1</v>
      </c>
    </row>
    <row r="169" spans="1:3" x14ac:dyDescent="0.25">
      <c r="A169" s="341" t="str">
        <f>General!G50</f>
        <v>rd</v>
      </c>
      <c r="B169" s="6">
        <v>1</v>
      </c>
      <c r="C169" s="6">
        <v>1</v>
      </c>
    </row>
    <row r="170" spans="1:3" x14ac:dyDescent="0.25">
      <c r="A170" s="341" t="str">
        <f>General!G51</f>
        <v>v</v>
      </c>
      <c r="B170" s="6">
        <v>1</v>
      </c>
      <c r="C170" s="6">
        <v>1</v>
      </c>
    </row>
    <row r="171" spans="1:3" x14ac:dyDescent="0.25">
      <c r="A171" s="341" t="str">
        <f>General!G52</f>
        <v>w</v>
      </c>
      <c r="B171" s="6">
        <v>1</v>
      </c>
      <c r="C171" s="6">
        <v>1</v>
      </c>
    </row>
    <row r="172" spans="1:3" x14ac:dyDescent="0.25">
      <c r="A172" s="341" t="str">
        <f>General!G53</f>
        <v>wd</v>
      </c>
      <c r="B172" s="6">
        <v>1</v>
      </c>
      <c r="C172" s="6">
        <v>1</v>
      </c>
    </row>
    <row r="173" spans="1:3" x14ac:dyDescent="0.25">
      <c r="A173" s="341" t="str">
        <f>General!G54</f>
        <v>z</v>
      </c>
      <c r="B173" s="6">
        <v>1</v>
      </c>
      <c r="C173" s="6">
        <v>1</v>
      </c>
    </row>
    <row r="174" spans="1:3" x14ac:dyDescent="0.25">
      <c r="A174" s="341" t="str">
        <f>General!G55</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519</vt:i4>
      </vt:variant>
    </vt:vector>
  </HeadingPairs>
  <TitlesOfParts>
    <vt:vector size="533"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Emissions!i_ef_ch4_burning</vt:lpstr>
      <vt:lpstr>Emissions!i_ef_diesel_ch4</vt:lpstr>
      <vt:lpstr>Emissions!i_ef_diesel_co2</vt:lpstr>
      <vt:lpstr>Emissions!i_ef_diesel_n2o</vt:lpstr>
      <vt:lpstr>Emissions!i_ef_dolomite</vt:lpstr>
      <vt:lpstr>Emissions!i_ef_fert</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2025-07-05T05:48:44Z</dcterms:modified>
</cp:coreProperties>
</file>