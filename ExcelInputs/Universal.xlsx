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BCA47EE7-C7BF-43D5-9985-89CB7370E286}" xr6:coauthVersionLast="47" xr6:coauthVersionMax="47" xr10:uidLastSave="{00000000-0000-0000-0000-000000000000}"/>
  <bookViews>
    <workbookView xWindow="1875" yWindow="330" windowWidth="27000" windowHeight="1590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CropResidue!$J$323:$AM$323</definedName>
    <definedName name="i_b0_len">Parameters!$V$705</definedName>
    <definedName name="i_b0_pos">Parameters!$W$705</definedName>
    <definedName name="i_b0_propn_b0t" localSheetId="4">CropResidue!$J$252:$AM$257</definedName>
    <definedName name="i_b1_pos">Parameters!$W$985</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CropResidue!$J$216:$AM$216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CropResidue!$J$237:$AM$237</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CropResidue!$J$231:$AM$231</definedName>
    <definedName name="i_fat_wean_y">Parameters!$AH$55:$AI$55</definedName>
    <definedName name="i_fat_yatf_t" localSheetId="4">CropResidue!$J$264:$AM$264</definedName>
    <definedName name="i_fd_initial_c2">Parameters!$U$99:$AE$99</definedName>
    <definedName name="i_fd_initial_y">Parameters!$AH$99:$AI$99</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CropResidue!$J$233:$AM$233</definedName>
    <definedName name="i_muscle_target_c2">Parameters!$U$45:$AE$45</definedName>
    <definedName name="i_muscle_target_y">Parameters!$AH$45:$AI$45</definedName>
    <definedName name="i_muscle_wean_y">Parameters!$AH$57:$AI$57</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CropResidue!$J$232:$AM$232</definedName>
    <definedName name="i_viscera_wean_y">Parameters!$AH$56:$AI$56</definedName>
    <definedName name="i_viscera_yatf_t" localSheetId="4">CropResidue!$J$265:$AM$265</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3" i="24" l="1"/>
  <c r="X128" i="24"/>
  <c r="X1452" i="24"/>
  <c r="X926" i="24"/>
  <c r="X925" i="24"/>
  <c r="X321" i="24"/>
  <c r="X51" i="24"/>
  <c r="X336" i="24"/>
  <c r="X50" i="24"/>
  <c r="X335" i="24"/>
  <c r="W413" i="24"/>
  <c r="W128" i="24"/>
  <c r="X364" i="24"/>
  <c r="W364" i="24"/>
  <c r="X104" i="24"/>
  <c r="X283" i="24"/>
  <c r="X44" i="24"/>
  <c r="W44" i="24"/>
  <c r="W283" i="24"/>
  <c r="W1452" i="24"/>
  <c r="W926" i="24"/>
  <c r="W925" i="24"/>
  <c r="W321" i="24"/>
  <c r="W51" i="24"/>
  <c r="W336" i="24"/>
  <c r="W50" i="24"/>
  <c r="W335" i="24"/>
  <c r="Y128" i="24"/>
  <c r="Y413" i="24"/>
  <c r="Y104" i="24"/>
  <c r="Y1452" i="24"/>
  <c r="Y926" i="24"/>
  <c r="Y922" i="24" s="1"/>
  <c r="Y925" i="24"/>
  <c r="Y321" i="24"/>
  <c r="Y51" i="24"/>
  <c r="Y336" i="24"/>
  <c r="Y50" i="24"/>
  <c r="Y335" i="24"/>
  <c r="Y921" i="24"/>
  <c r="Y365" i="24"/>
  <c r="Y364" i="24"/>
  <c r="Y326" i="24"/>
  <c r="Y283" i="24"/>
  <c r="Y44" i="24"/>
  <c r="V921" i="24"/>
  <c r="V922" i="24"/>
  <c r="V1452" i="24"/>
  <c r="V926" i="24"/>
  <c r="V925" i="24"/>
  <c r="V413" i="24"/>
  <c r="V365" i="24"/>
  <c r="V364" i="24"/>
  <c r="V326" i="24"/>
  <c r="X326" i="24" s="1"/>
  <c r="V128" i="24"/>
  <c r="V104" i="24"/>
  <c r="W104" i="24" s="1"/>
  <c r="W326" i="24" l="1"/>
  <c r="W365" i="24"/>
  <c r="W921" i="24" l="1"/>
  <c r="X921" i="24"/>
  <c r="X922" i="24"/>
  <c r="W922" i="24"/>
  <c r="U199" i="23"/>
  <c r="Q199" i="23"/>
  <c r="AM233" i="22"/>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09" i="24"/>
  <c r="Q202" i="23"/>
  <c r="Q201" i="23"/>
  <c r="Q200" i="23"/>
  <c r="Q198" i="23"/>
  <c r="U202" i="23"/>
  <c r="U201" i="23"/>
  <c r="U200" i="23"/>
  <c r="U198" i="23"/>
  <c r="X202" i="23"/>
  <c r="X201" i="23"/>
  <c r="X200" i="23"/>
  <c r="X199" i="23"/>
  <c r="X198" i="23"/>
  <c r="AB202" i="23"/>
  <c r="AB201" i="23"/>
  <c r="AB200" i="23"/>
  <c r="AB199" i="23"/>
  <c r="AB198" i="23"/>
  <c r="V1694" i="24"/>
  <c r="W1694" i="24" s="1"/>
  <c r="X1694" i="24" s="1"/>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Y1698" i="24"/>
  <c r="Y1697" i="24"/>
  <c r="Y1696" i="24"/>
  <c r="Y1705" i="24"/>
  <c r="Y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1693" i="24" l="1"/>
  <c r="W1693" i="24" s="1"/>
  <c r="X1693" i="24" s="1"/>
  <c r="V1695" i="24"/>
  <c r="W1695" i="24" s="1"/>
  <c r="X1695" i="24" s="1"/>
  <c r="V1699" i="24"/>
  <c r="W1699" i="24" s="1"/>
  <c r="X1699" i="24" s="1"/>
  <c r="V1700" i="24"/>
  <c r="W1700" i="24" s="1"/>
  <c r="X1700" i="24" s="1"/>
  <c r="V1702" i="24"/>
  <c r="W1702" i="24" s="1"/>
  <c r="X1702" i="24" s="1"/>
  <c r="V1703" i="24"/>
  <c r="W1703" i="24" s="1"/>
  <c r="X1703" i="24" s="1"/>
  <c r="V1704" i="24"/>
  <c r="W1704" i="24" s="1"/>
  <c r="X1704" i="24" s="1"/>
  <c r="V1705" i="24"/>
  <c r="W1705" i="24" s="1"/>
  <c r="X1705" i="24" s="1"/>
  <c r="V1707" i="24"/>
  <c r="W1707" i="24" s="1"/>
  <c r="X1707" i="24" s="1"/>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Z364" i="24"/>
  <c r="AA364" i="24"/>
  <c r="AB364" i="24"/>
  <c r="AC364" i="24"/>
  <c r="AD364" i="24"/>
  <c r="C365" i="24"/>
  <c r="U365" i="24"/>
  <c r="X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AA755" i="24"/>
  <c r="AH755" i="24"/>
  <c r="AI755" i="24"/>
  <c r="C756" i="24"/>
  <c r="U756" i="24"/>
  <c r="AA756" i="24"/>
  <c r="AH756" i="24"/>
  <c r="AI756" i="24"/>
  <c r="C757" i="24"/>
  <c r="U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W855" i="24" s="1"/>
  <c r="X8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Z925" i="24"/>
  <c r="AB925" i="24"/>
  <c r="AC925" i="24" s="1"/>
  <c r="AD925" i="24" s="1"/>
  <c r="C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W1708" i="24"/>
  <c r="Z1708" i="24"/>
  <c r="AB1708" i="24"/>
  <c r="AC1708" i="24" s="1"/>
  <c r="AD1708" i="24" s="1"/>
  <c r="C1709" i="24"/>
  <c r="X1709" i="24"/>
  <c r="W1709" i="24"/>
  <c r="Z1709" i="24"/>
  <c r="AB1709" i="24"/>
  <c r="AC1709" i="24" s="1"/>
  <c r="AD1709" i="24" s="1"/>
  <c r="C1712" i="24"/>
  <c r="C1713" i="24"/>
  <c r="C1710" i="24"/>
  <c r="Y1710" i="24"/>
  <c r="Y1695" i="24" s="1"/>
  <c r="W1710" i="24"/>
  <c r="Z1710" i="24"/>
  <c r="AB1710" i="24"/>
  <c r="AC1710" i="24" s="1"/>
  <c r="AD1710" i="24" s="1"/>
  <c r="C1711" i="24"/>
  <c r="C1714" i="24"/>
  <c r="X1714" i="24"/>
  <c r="W1714" i="24"/>
  <c r="Z1714" i="24"/>
  <c r="AB1714" i="24"/>
  <c r="AC1714" i="24" s="1"/>
  <c r="AD1714" i="24" s="1"/>
  <c r="C1715" i="24"/>
  <c r="C1716" i="24"/>
  <c r="X1716" i="24"/>
  <c r="W1716" i="24"/>
  <c r="Z1716" i="24"/>
  <c r="AB1716" i="24"/>
  <c r="AC1716" i="24" s="1"/>
  <c r="AD1716" i="24" s="1"/>
  <c r="C1717" i="24"/>
  <c r="Y1717" i="24"/>
  <c r="Y1702" i="24" s="1"/>
  <c r="W1717" i="24"/>
  <c r="Z1717" i="24"/>
  <c r="AB1717" i="24"/>
  <c r="AC1717" i="24" s="1"/>
  <c r="AD1717" i="24" s="1"/>
  <c r="C1718" i="24"/>
  <c r="X1718" i="24"/>
  <c r="W1718" i="24"/>
  <c r="Z1718" i="24"/>
  <c r="AB1718" i="24"/>
  <c r="AC1718" i="24" s="1"/>
  <c r="AD1718" i="24" s="1"/>
  <c r="C1719" i="24"/>
  <c r="Y1719" i="24"/>
  <c r="Y1704" i="24" s="1"/>
  <c r="W1719" i="24"/>
  <c r="Z1719" i="24"/>
  <c r="AB1719" i="24"/>
  <c r="AC1719" i="24" s="1"/>
  <c r="AD1719" i="24" s="1"/>
  <c r="C1722" i="24"/>
  <c r="Y1722" i="24"/>
  <c r="Y1707" i="24" s="1"/>
  <c r="W1722" i="24"/>
  <c r="Z1722" i="24"/>
  <c r="AB1722" i="24"/>
  <c r="AC1722" i="24" s="1"/>
  <c r="AD1722" i="24" s="1"/>
  <c r="C2112" i="24"/>
  <c r="V755" i="24" l="1"/>
  <c r="AA1676" i="24"/>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205" i="24"/>
  <c r="U1663" i="24"/>
  <c r="Y1679" i="24"/>
  <c r="AC855" i="24"/>
  <c r="W755" i="24" l="1"/>
  <c r="W757" i="24"/>
  <c r="X755" i="24"/>
  <c r="X757" i="24"/>
  <c r="Z1676" i="24"/>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85"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<sst xmlns="http://schemas.openxmlformats.org/spreadsheetml/2006/main" count="6654" uniqueCount="3820">
  <si>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</si>
  <si>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</si>
  <si>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</si>
  <si>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</si>
  <si>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</si>
  <si>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</si>
  <si>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</si>
  <si>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</si>
  <si>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</si>
  <si>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</si>
  <si>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</si>
  <si>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</si>
  <si>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</si>
  <si>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</si>
  <si>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</si>
  <si>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</si>
  <si>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</si>
  <si>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</si>
  <si>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</si>
  <si>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</si>
  <si>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</si>
  <si>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</si>
  <si>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</si>
  <si>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</si>
  <si>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</si>
  <si>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</si>
  <si>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</si>
  <si>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</si>
  <si>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</si>
  <si>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</si>
  <si>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</si>
  <si>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</si>
  <si>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</si>
  <si>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</si>
  <si>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</si>
  <si>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</si>
  <si>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</si>
  <si>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</si>
  <si>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</si>
  <si>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</si>
  <si>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</si>
  <si>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</si>
  <si>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</si>
  <si>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</si>
  <si>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</si>
  <si>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</si>
  <si>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</si>
  <si>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</si>
  <si>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</si>
  <si>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</si>
  <si>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</si>
  <si>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</si>
  <si>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</si>
  <si>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</si>
  <si>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</si>
  <si>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</si>
  <si>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</si>
  <si>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</si>
  <si>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</si>
  <si>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</si>
  <si>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</si>
  <si>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</si>
  <si>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</si>
  <si>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</si>
  <si>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</si>
  <si>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</si>
  <si>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</si>
  <si>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</si>
  <si>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</si>
  <si>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</si>
  <si>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</si>
  <si>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</si>
  <si>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</si>
  <si>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</si>
  <si>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</si>
  <si>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</si>
  <si>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</si>
  <si>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</si>
  <si>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</si>
  <si>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</si>
  <si>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</si>
  <si>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</si>
  <si>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</si>
  <si>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</si>
  <si>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</si>
  <si>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</si>
  <si>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</si>
  <si>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</si>
  <si>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</si>
  <si>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</si>
  <si>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</si>
  <si>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</si>
  <si>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</si>
  <si>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</si>
  <si>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</si>
  <si>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</si>
  <si>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</si>
  <si>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</si>
  <si>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</si>
  <si>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</si>
  <si>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</si>
  <si>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</si>
  <si>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</si>
  <si>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</si>
  <si>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</si>
  <si>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</si>
  <si>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</si>
  <si>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</si>
  <si>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</si>
  <si>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</si>
  <si>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</si>
  <si>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</si>
  <si>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</si>
  <si>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</si>
  <si>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</si>
  <si>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</si>
  <si>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</si>
  <si>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</si>
  <si>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</si>
  <si>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</si>
  <si>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</si>
  <si>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</si>
  <si>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</si>
  <si>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</si>
  <si>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</si>
  <si>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</si>
  <si>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</si>
  <si>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</si>
  <si>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</si>
  <si>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</si>
  <si>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</si>
  <si>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</si>
  <si>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</si>
  <si>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</si>
  <si>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</si>
  <si>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</si>
  <si>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</si>
  <si>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</si>
  <si>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</si>
  <si>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</si>
  <si>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</si>
  <si>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</si>
  <si>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</si>
  <si>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</si>
  <si>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</si>
  <si>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</si>
  <si>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</si>
  <si>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</si>
  <si>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</si>
  <si>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</si>
  <si>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</si>
  <si>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</si>
  <si>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</si>
  <si>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</si>
  <si>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</si>
  <si>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</si>
  <si>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</si>
  <si>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</si>
  <si>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</si>
  <si>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</si>
  <si>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</si>
  <si>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</si>
  <si>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</si>
  <si>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</si>
  <si>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</si>
  <si>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</si>
  <si>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</si>
  <si>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</si>
  <si>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</si>
  <si>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</si>
  <si>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</si>
  <si>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</si>
  <si>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</si>
  <si>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</si>
  <si>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</si>
  <si>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</si>
  <si>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</si>
  <si>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</si>
  <si>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</si>
  <si>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</si>
  <si>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</si>
  <si>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</si>
  <si>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</si>
  <si>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</si>
  <si>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</si>
  <si>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</si>
  <si>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</si>
  <si>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</si>
  <si>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</si>
  <si>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</si>
  <si>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</si>
  <si>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</si>
  <si>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</si>
  <si>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</si>
  <si>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</si>
  <si>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</si>
  <si>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</si>
  <si>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</si>
  <si>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</si>
  <si>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</si>
  <si>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</si>
  <si>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</si>
  <si>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</si>
  <si>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</si>
  <si>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</si>
  <si>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</si>
  <si>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</si>
  <si>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</si>
  <si>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</si>
  <si>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</si>
  <si>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</si>
  <si>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</si>
  <si>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</si>
  <si>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</si>
  <si>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</si>
  <si>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</si>
  <si>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</si>
  <si>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</si>
  <si>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</si>
  <si>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</si>
  <si>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</si>
  <si>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</si>
  <si>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</si>
  <si>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</si>
  <si>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</si>
  <si>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</si>
  <si>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</si>
  <si>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</si>
  <si>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</si>
  <si>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</si>
  <si>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</si>
  <si>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</si>
  <si>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</si>
  <si>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</si>
  <si>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</si>
  <si>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</si>
  <si>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</si>
  <si>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</si>
  <si>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</si>
  <si>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</si>
  <si>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</si>
  <si>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</si>
  <si>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</si>
  <si>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</si>
  <si>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</si>
  <si>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</si>
  <si>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</si>
  <si>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</si>
  <si>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</si>
  <si>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</si>
  <si>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</si>
  <si>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</si>
  <si>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</si>
  <si>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</si>
  <si>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</si>
  <si>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</si>
  <si>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</si>
  <si>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</si>
  <si>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</si>
  <si>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</si>
  <si>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</si>
  <si>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</si>
  <si>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</si>
  <si>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</si>
  <si>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</si>
  <si>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</si>
  <si>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</si>
  <si>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</si>
  <si>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</si>
  <si>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</si>
  <si>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</si>
  <si>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</si>
  <si>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</si>
  <si>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</si>
  <si>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</si>
  <si>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</si>
  <si>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</si>
  <si>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</si>
  <si>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</si>
  <si>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</si>
  <si>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</si>
  <si>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</si>
  <si>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</si>
  <si>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</si>
  <si>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</si>
  <si>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</si>
  <si>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</si>
  <si>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</si>
  <si>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</si>
  <si>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</si>
  <si>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</si>
  <si>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</si>
  <si>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</si>
  <si>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</si>
  <si>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</si>
  <si>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</si>
  <si>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</si>
  <si>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</si>
  <si>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</si>
  <si>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</si>
  <si>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</si>
  <si>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</si>
  <si>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</si>
  <si>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</si>
  <si>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</si>
  <si>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</si>
  <si>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</si>
  <si>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</si>
  <si>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</si>
  <si>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</si>
  <si>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</si>
  <si>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</si>
  <si>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</si>
  <si>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</si>
  <si>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</si>
  <si>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</si>
  <si>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</si>
  <si>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</si>
  <si>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</si>
  <si>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</si>
  <si>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</si>
  <si>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</si>
  <si>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</si>
  <si>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</si>
  <si>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</si>
  <si>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</si>
  <si>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</si>
  <si>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</si>
  <si>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</si>
  <si>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</si>
  <si>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</si>
  <si>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</si>
  <si>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</si>
  <si>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</si>
  <si>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</si>
  <si>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</si>
  <si>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</si>
  <si>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</si>
  <si>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</si>
  <si>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</si>
  <si>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</si>
  <si>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</si>
  <si>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</si>
  <si>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</si>
  <si>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</si>
  <si>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</si>
  <si>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</si>
  <si>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</si>
  <si>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</si>
  <si>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</si>
  <si>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</si>
  <si>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</si>
  <si>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</si>
  <si>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</si>
  <si>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</si>
  <si>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</si>
  <si>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</si>
  <si>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</si>
  <si>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</si>
  <si>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</si>
  <si>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</si>
  <si>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</si>
  <si>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</si>
  <si>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</si>
  <si>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</si>
  <si>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</si>
  <si>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</si>
  <si>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</si>
  <si>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</si>
  <si>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</si>
  <si>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</si>
  <si>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</si>
  <si>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</si>
  <si>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</si>
  <si>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</si>
  <si>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</si>
  <si>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</si>
  <si>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</si>
  <si>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</si>
  <si>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</si>
  <si>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</si>
  <si>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</si>
  <si>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</si>
  <si>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</si>
  <si>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</si>
  <si>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</si>
  <si>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</si>
  <si>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</si>
  <si>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</si>
  <si>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</si>
  <si>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</si>
  <si>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</si>
  <si>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</si>
  <si>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</si>
  <si>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</si>
  <si>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</si>
  <si>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</si>
  <si>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</si>
  <si>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</si>
  <si>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</si>
  <si>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</si>
  <si>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</si>
  <si>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</si>
  <si>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</si>
  <si>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</si>
  <si>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</si>
  <si>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</si>
  <si>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</si>
  <si>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</si>
  <si>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</si>
  <si>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</si>
  <si>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</si>
  <si>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</si>
  <si>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</si>
  <si>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</si>
  <si>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</si>
  <si>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</si>
  <si>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</si>
  <si>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</si>
  <si>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</si>
  <si>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</si>
  <si>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</si>
  <si>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</si>
  <si>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</si>
  <si>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</si>
  <si>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</si>
  <si>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</si>
  <si>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</si>
  <si>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</si>
  <si>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</si>
  <si>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</si>
  <si>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</si>
  <si>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</si>
  <si>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</si>
  <si>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</si>
  <si>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</si>
  <si>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</si>
  <si>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</si>
  <si>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</si>
  <si>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</si>
  <si>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</si>
  <si>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</si>
  <si>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</si>
  <si>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</si>
  <si>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</si>
  <si>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</si>
  <si>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</si>
  <si>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</si>
  <si>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</si>
  <si>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</si>
  <si>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</si>
  <si>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</si>
  <si>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</si>
  <si>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</si>
  <si>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</si>
  <si>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</si>
  <si>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</si>
  <si>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</si>
  <si>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</si>
  <si>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</si>
  <si>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</si>
  <si>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</si>
  <si>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</si>
  <si>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</si>
  <si>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</si>
  <si>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</si>
  <si>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</si>
  <si>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</si>
  <si>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</si>
  <si>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</si>
  <si>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</si>
  <si>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</si>
  <si>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</si>
  <si>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</si>
  <si>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</si>
  <si>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</si>
  <si>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</si>
  <si>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</si>
  <si>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</si>
  <si>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</si>
  <si>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</si>
  <si>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</si>
  <si>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</si>
  <si>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</si>
  <si>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</si>
  <si>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</si>
  <si>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</si>
  <si>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</si>
  <si>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</si>
  <si>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</si>
  <si>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</si>
  <si>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</si>
  <si>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</si>
  <si>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</si>
  <si>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</si>
  <si>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</si>
  <si>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</si>
  <si>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</si>
  <si>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</si>
  <si>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</si>
  <si>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</si>
  <si>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</si>
  <si>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</si>
  <si>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</si>
  <si>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</si>
  <si>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</si>
  <si>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</si>
  <si>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</si>
  <si>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</si>
  <si>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</si>
  <si>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</si>
  <si>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</si>
  <si>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</si>
  <si>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</si>
  <si>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</si>
  <si>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</si>
  <si>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</si>
  <si>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</si>
  <si>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</si>
  <si>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</si>
  <si>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</si>
  <si>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</si>
  <si>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</si>
  <si>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</si>
  <si>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</si>
  <si>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</si>
  <si>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</si>
  <si>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</si>
  <si>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</si>
  <si>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</si>
  <si>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</si>
  <si>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</si>
  <si>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</si>
  <si>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</si>
  <si>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</si>
  <si>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</si>
  <si>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</si>
  <si>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</si>
  <si>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</si>
  <si>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</si>
  <si>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</si>
  <si>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</si>
  <si>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</si>
  <si>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</si>
  <si>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</si>
  <si>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</si>
  <si>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</si>
  <si>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</si>
  <si>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</si>
  <si>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</si>
  <si>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</si>
  <si>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</si>
  <si>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</si>
  <si>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</si>
  <si>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</si>
  <si>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</si>
  <si>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</si>
  <si>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</si>
  <si>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</si>
  <si>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</si>
  <si>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</si>
  <si>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</si>
  <si>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</si>
  <si>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</si>
  <si>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</si>
  <si>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</si>
  <si>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</si>
  <si>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</si>
  <si>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</si>
  <si>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</si>
  <si>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</si>
  <si>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</si>
  <si>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</si>
  <si>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</si>
  <si>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</si>
  <si>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</si>
  <si>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</si>
  <si>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</si>
  <si>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</si>
  <si>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</si>
  <si>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</si>
  <si>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</si>
  <si>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</si>
  <si>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</si>
  <si>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</si>
  <si>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</si>
  <si>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</si>
  <si>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</si>
  <si>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</si>
  <si>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</si>
  <si>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</si>
  <si>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</si>
  <si>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</si>
  <si>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</si>
  <si>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</si>
  <si>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</si>
  <si>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</si>
  <si>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</si>
  <si>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</si>
  <si>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</si>
  <si>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</si>
  <si>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</si>
  <si>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</si>
  <si>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</si>
  <si>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</si>
  <si>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</si>
  <si>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</si>
  <si>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</si>
  <si>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</si>
  <si>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</si>
  <si>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</si>
  <si>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</si>
  <si>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</si>
  <si>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</si>
  <si>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</si>
  <si>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</si>
  <si>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</si>
  <si>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</si>
  <si>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</si>
  <si>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</si>
  <si>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</si>
  <si>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</si>
  <si>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</si>
  <si>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</si>
  <si>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</si>
  <si>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</si>
  <si>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</si>
  <si>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</si>
  <si>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</si>
  <si>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</si>
  <si>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</si>
  <si>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</si>
  <si>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</si>
  <si>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</si>
  <si>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</si>
  <si>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</si>
  <si>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</si>
  <si>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</si>
  <si>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</si>
  <si>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</si>
  <si>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</si>
  <si>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</si>
  <si>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</si>
  <si>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</si>
  <si>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</si>
  <si>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</si>
  <si>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</si>
  <si>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</si>
  <si>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</si>
  <si>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</si>
  <si>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</si>
  <si>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</si>
  <si>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</si>
  <si>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</si>
  <si>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</si>
  <si>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</si>
  <si>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</si>
  <si>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</si>
  <si>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</si>
  <si>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</si>
  <si>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</si>
  <si>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</si>
  <si>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</si>
  <si>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</si>
  <si>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</si>
  <si>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</si>
  <si>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</si>
  <si>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</si>
  <si>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</si>
  <si>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</si>
  <si>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</si>
  <si>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</si>
  <si>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</si>
  <si>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</si>
  <si>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</si>
  <si>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</si>
  <si>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</si>
  <si>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</si>
  <si>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</si>
  <si>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</si>
  <si>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</si>
  <si>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</si>
  <si>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</si>
  <si>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</si>
  <si>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</si>
  <si>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</si>
  <si>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</si>
  <si>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</si>
  <si>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</si>
  <si>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</si>
  <si>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</si>
  <si>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</si>
  <si>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</si>
  <si>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</si>
  <si>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</si>
  <si>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</si>
  <si>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</si>
  <si>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</si>
  <si>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</si>
  <si>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</si>
  <si>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</si>
  <si>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</si>
  <si>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</si>
  <si>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</si>
  <si>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</si>
  <si>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</si>
  <si>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</si>
  <si>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</si>
  <si>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</si>
  <si>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</si>
  <si>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</si>
  <si>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</si>
  <si>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</si>
  <si>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</si>
  <si>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</si>
  <si>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</si>
  <si>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</si>
  <si>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</si>
  <si>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</si>
  <si>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</si>
  <si>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</si>
  <si>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</si>
  <si>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</si>
  <si>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</si>
  <si>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</si>
  <si>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</si>
  <si>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</si>
  <si>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</si>
  <si>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</si>
  <si>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</si>
  <si>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</si>
  <si>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</si>
  <si>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</si>
  <si>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</si>
  <si>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</si>
  <si>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</si>
  <si>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</si>
  <si>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</si>
  <si>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</si>
  <si>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</si>
  <si>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</si>
  <si>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</si>
  <si>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</si>
  <si>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</si>
  <si>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</si>
  <si>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</si>
  <si>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</si>
  <si>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</si>
  <si>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</si>
  <si>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</si>
  <si>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</si>
  <si>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</si>
  <si>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</si>
  <si>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</si>
  <si>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</si>
  <si>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</si>
  <si>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</si>
  <si>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</si>
  <si>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</si>
  <si>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</si>
  <si>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</si>
  <si>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</si>
  <si>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</si>
  <si>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</si>
  <si>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</si>
  <si>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</si>
  <si>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</si>
  <si>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</si>
  <si>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</si>
  <si>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</si>
  <si>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</si>
  <si>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</si>
  <si>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</si>
  <si>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</si>
  <si>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</si>
  <si>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</si>
  <si>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</si>
  <si>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</si>
  <si>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</si>
  <si>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</si>
  <si>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</si>
  <si>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</si>
  <si>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</si>
  <si>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</si>
  <si>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</si>
  <si>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</si>
  <si>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</si>
  <si>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</si>
  <si>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</si>
  <si>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</si>
  <si>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</si>
  <si>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</si>
  <si>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</si>
  <si>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</si>
  <si>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</si>
  <si>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</si>
  <si>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</si>
  <si>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</si>
  <si>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</si>
  <si>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</si>
  <si>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</si>
  <si>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</si>
  <si>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</si>
  <si>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</si>
  <si>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</si>
  <si>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</si>
  <si>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</si>
  <si>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</si>
  <si>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</si>
  <si>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</si>
  <si>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</si>
  <si>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</si>
  <si>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</si>
  <si>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</si>
  <si>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</si>
  <si>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</si>
  <si>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</si>
  <si>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</si>
  <si>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</si>
  <si>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</si>
  <si>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</si>
  <si>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</si>
  <si>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</si>
  <si>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</si>
  <si>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</si>
  <si>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</si>
  <si>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</si>
  <si>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</si>
  <si>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</si>
  <si>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</si>
  <si>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</si>
  <si>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</si>
  <si>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</si>
  <si>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</si>
  <si>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</si>
  <si>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</si>
  <si>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</si>
  <si>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</si>
  <si>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</si>
  <si>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</si>
  <si>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</si>
  <si>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</si>
  <si>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</si>
  <si>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</si>
  <si>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</si>
  <si>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</si>
  <si>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</si>
  <si>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</si>
  <si>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</si>
  <si>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</si>
  <si>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</si>
  <si>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</si>
  <si>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</si>
  <si>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</si>
  <si>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</si>
  <si>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</si>
  <si>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</si>
  <si>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</si>
  <si>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</si>
  <si>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</si>
  <si>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</si>
  <si>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</si>
  <si>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</si>
  <si>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</si>
  <si>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</si>
  <si>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</si>
  <si>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</si>
  <si>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</si>
  <si>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</si>
  <si>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</si>
  <si>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</si>
  <si>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</si>
  <si>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</si>
  <si>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</si>
  <si>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</si>
  <si>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</si>
  <si>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</si>
  <si>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</si>
  <si>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</si>
  <si>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</si>
  <si>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</si>
  <si>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</si>
  <si>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</si>
  <si>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</si>
  <si>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</si>
  <si>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</si>
  <si>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</si>
  <si>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</si>
  <si>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</si>
  <si>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</si>
  <si>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</si>
  <si>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</si>
  <si>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</si>
  <si>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</si>
  <si>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</si>
  <si>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</si>
  <si>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</si>
  <si>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</si>
  <si>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</si>
  <si>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</si>
  <si>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</si>
  <si>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</si>
  <si>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</si>
  <si>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</si>
  <si>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</si>
  <si>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</si>
  <si>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</si>
  <si>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</si>
  <si>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</si>
  <si>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</si>
  <si>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</si>
  <si>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</si>
  <si>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</si>
  <si>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</si>
  <si>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</si>
  <si>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</si>
  <si>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</si>
  <si>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</si>
  <si>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</si>
  <si>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</si>
  <si>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</si>
  <si>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</si>
  <si>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</si>
  <si>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</si>
  <si>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</si>
  <si>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</si>
  <si>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</si>
  <si>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</si>
  <si>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</si>
  <si>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</si>
  <si>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</si>
  <si>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</si>
  <si>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</si>
  <si>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</si>
  <si>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</si>
  <si>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</si>
  <si>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</si>
  <si>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</si>
  <si>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</si>
  <si>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</si>
  <si>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</si>
  <si>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</si>
  <si>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</si>
  <si>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</si>
  <si>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</si>
  <si>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</si>
  <si>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</si>
  <si>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</si>
  <si>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</si>
  <si>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</si>
  <si>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</si>
  <si>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</si>
  <si>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</si>
  <si>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</si>
  <si>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</si>
  <si>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</si>
  <si>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</si>
  <si>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</si>
  <si>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</si>
  <si>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</si>
  <si>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</si>
  <si>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</si>
  <si>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</si>
  <si>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</si>
  <si>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</si>
  <si>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</si>
  <si>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</si>
  <si>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</si>
  <si>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</si>
  <si>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</si>
  <si>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</si>
  <si>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</si>
  <si>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</si>
  <si>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</si>
  <si>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</si>
  <si>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</si>
  <si>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</si>
  <si>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</si>
  <si>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</si>
  <si>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</si>
  <si>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</si>
  <si>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</si>
  <si>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</si>
  <si>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</si>
  <si>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</si>
  <si>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</si>
  <si>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</si>
  <si>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</si>
  <si>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</si>
  <si>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</si>
  <si>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</si>
  <si>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</si>
  <si>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</si>
  <si>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</si>
  <si>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</si>
  <si>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</si>
  <si>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</si>
  <si>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</si>
  <si>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</si>
  <si>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</si>
  <si>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</si>
  <si>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</si>
  <si>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</si>
  <si>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</si>
  <si>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</si>
  <si>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</si>
  <si>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</si>
  <si>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</si>
  <si>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</si>
  <si>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</si>
  <si>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</si>
  <si>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</si>
  <si>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</si>
  <si>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</si>
  <si>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</si>
  <si>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</si>
  <si>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</si>
  <si>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</si>
  <si>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</si>
  <si>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</si>
  <si>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</si>
  <si>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</si>
  <si>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</si>
  <si>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</si>
  <si>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</si>
  <si>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</si>
  <si>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</si>
  <si>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</si>
  <si>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</si>
  <si>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</si>
  <si>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</si>
  <si>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</si>
  <si>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</si>
  <si>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</si>
  <si>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</si>
  <si>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</si>
  <si>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</si>
  <si>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</si>
  <si>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</si>
  <si>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</si>
  <si>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</si>
  <si>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</si>
  <si>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</si>
  <si>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</si>
  <si>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</si>
  <si>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</si>
  <si>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</si>
  <si>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</si>
  <si>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</si>
  <si>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</si>
  <si>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</si>
  <si>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</si>
  <si>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</si>
  <si>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</si>
  <si>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</si>
  <si>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</si>
  <si>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</si>
  <si>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</si>
  <si>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</si>
  <si>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</si>
  <si>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</si>
  <si>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</si>
  <si>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</si>
  <si>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</si>
  <si>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</si>
  <si>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</si>
  <si>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</si>
  <si>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</si>
  <si>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</si>
  <si>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</si>
  <si>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</si>
  <si>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</si>
  <si>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</si>
  <si>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</si>
  <si>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</si>
  <si>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</si>
  <si>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</si>
  <si>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</si>
  <si>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</si>
  <si>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</si>
  <si>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</si>
  <si>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</si>
  <si>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</si>
  <si>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</si>
  <si>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</si>
  <si>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</si>
  <si>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</si>
  <si>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</si>
  <si>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</si>
  <si>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</si>
  <si>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</si>
  <si>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</si>
  <si>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</si>
  <si>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</si>
  <si>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</si>
  <si>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</si>
  <si>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</si>
  <si>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</si>
  <si>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</si>
  <si>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</si>
  <si>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</si>
  <si>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</si>
  <si>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</si>
  <si>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</si>
  <si>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</si>
  <si>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</si>
  <si>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</si>
  <si>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</si>
  <si>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</si>
  <si>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</si>
  <si>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</si>
  <si>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</si>
  <si>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</si>
  <si>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</si>
  <si>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</si>
  <si>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</si>
  <si>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</si>
  <si>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</si>
  <si>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</si>
  <si>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</si>
  <si>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</si>
  <si>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</si>
  <si>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</si>
  <si>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</si>
  <si>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</si>
  <si>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</si>
  <si>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</si>
  <si>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</si>
  <si>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</si>
  <si>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</si>
  <si>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</si>
  <si>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</si>
  <si>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</si>
  <si>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</si>
  <si>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</si>
  <si>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</si>
  <si>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</si>
  <si>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</si>
  <si>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</si>
  <si>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</si>
  <si>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</si>
  <si>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</si>
  <si>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</si>
  <si>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</si>
  <si>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</si>
  <si>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</si>
  <si>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</si>
  <si>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</si>
  <si>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</si>
  <si>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</si>
  <si>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</si>
  <si>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</si>
  <si>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</si>
  <si>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</si>
  <si>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</si>
  <si>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</si>
  <si>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</si>
  <si>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</si>
  <si>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</si>
  <si>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</si>
  <si>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</si>
  <si>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</si>
  <si>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</si>
  <si>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</si>
  <si>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</si>
  <si>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</si>
  <si>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</si>
  <si>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</si>
  <si>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</si>
  <si>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</si>
  <si>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</si>
  <si>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</si>
  <si>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</si>
  <si>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</si>
  <si>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</si>
  <si>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</si>
  <si>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</si>
  <si>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</si>
  <si>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</si>
  <si>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</si>
  <si>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</si>
  <si>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</si>
  <si>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</si>
  <si>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</si>
  <si>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</si>
  <si>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</si>
  <si>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</si>
  <si>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</si>
  <si>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</si>
  <si>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</si>
  <si>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</si>
  <si>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</si>
  <si>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</si>
  <si>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</si>
  <si>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</si>
  <si>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</si>
  <si>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</si>
  <si>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</si>
  <si>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</si>
  <si>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</si>
  <si>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</si>
  <si>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</si>
  <si>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</si>
  <si>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</si>
  <si>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</si>
  <si>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</si>
  <si>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</si>
  <si>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</si>
  <si>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</si>
  <si>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</si>
  <si>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</si>
  <si>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</si>
  <si>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</si>
  <si>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</si>
  <si>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</si>
  <si>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</si>
  <si>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</si>
  <si>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</si>
  <si>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</si>
  <si>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</si>
  <si>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</si>
  <si>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</si>
  <si>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</si>
  <si>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</si>
  <si>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</si>
  <si>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</si>
  <si>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</si>
  <si>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</si>
  <si>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</si>
  <si>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</si>
  <si>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</si>
  <si>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</si>
  <si>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</si>
  <si>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</si>
  <si>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</si>
  <si>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</si>
  <si>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</si>
  <si>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</si>
  <si>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</si>
  <si>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</si>
  <si>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</si>
  <si>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</si>
  <si>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</si>
  <si>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</si>
  <si>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</si>
  <si>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</si>
  <si>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</si>
  <si>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</si>
  <si>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</si>
  <si>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</si>
  <si>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</si>
  <si>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</si>
  <si>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</si>
  <si>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</si>
  <si>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</si>
  <si>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</si>
  <si>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</si>
  <si>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</si>
  <si>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</si>
  <si>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</si>
  <si>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</si>
  <si>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</si>
  <si>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</si>
  <si>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</si>
  <si>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</si>
  <si>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</si>
  <si>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</si>
  <si>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</si>
  <si>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</si>
  <si>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</si>
  <si>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</si>
  <si>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</si>
  <si>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</si>
  <si>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</si>
  <si>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</si>
  <si>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</si>
  <si>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</si>
  <si>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</si>
  <si>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</si>
  <si>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</si>
  <si>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</si>
  <si>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</si>
  <si>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</si>
  <si>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</si>
  <si>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</si>
  <si>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</si>
  <si>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</si>
  <si>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</si>
  <si>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</si>
  <si>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</si>
  <si>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</si>
  <si>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</si>
  <si>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</si>
  <si>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</si>
  <si>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</si>
  <si>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</si>
  <si>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</si>
  <si>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</si>
  <si>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</si>
  <si>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</si>
  <si>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</si>
  <si>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</si>
  <si>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</si>
  <si>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</si>
  <si>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</si>
  <si>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</si>
  <si>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</si>
  <si>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</si>
  <si>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</si>
  <si>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</si>
  <si>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</si>
  <si>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</si>
  <si>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</si>
  <si>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</si>
  <si>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</si>
  <si>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</si>
  <si>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</si>
  <si>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</si>
  <si>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</si>
  <si>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</si>
  <si>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</si>
  <si>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</si>
  <si>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</si>
  <si>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</si>
  <si>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</si>
  <si>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</si>
  <si>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</si>
  <si>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</si>
  <si>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</si>
  <si>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</si>
  <si>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</si>
  <si>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</si>
  <si>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</si>
  <si>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</si>
  <si>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</si>
  <si>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</si>
  <si>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</si>
  <si>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</si>
  <si>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</si>
  <si>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</si>
  <si>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</si>
  <si>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</si>
  <si>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</si>
  <si>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</si>
  <si>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</si>
  <si>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</si>
  <si>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</si>
  <si>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</si>
  <si>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</si>
  <si>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</si>
  <si>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</si>
  <si>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</si>
  <si>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</si>
  <si>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</si>
  <si>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</si>
  <si>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</si>
  <si>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</si>
  <si>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</si>
  <si>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</si>
  <si>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</si>
  <si>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</si>
  <si>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</si>
  <si>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</si>
  <si>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</si>
  <si>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</si>
  <si>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</si>
  <si>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</si>
  <si>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</si>
  <si>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</si>
  <si>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</si>
  <si>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</si>
  <si>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</si>
  <si>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</si>
  <si>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</si>
  <si>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</si>
  <si>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</si>
  <si>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</si>
  <si>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</si>
  <si>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</si>
  <si>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</si>
  <si>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</si>
  <si>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</si>
  <si>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</si>
  <si>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</si>
  <si>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</si>
  <si>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</si>
  <si>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</si>
  <si>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</si>
  <si>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</si>
  <si>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</si>
  <si>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</si>
  <si>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</si>
  <si>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</si>
  <si>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</si>
  <si>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</si>
  <si>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</si>
  <si>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</si>
  <si>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</si>
  <si>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</si>
  <si>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</si>
  <si>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</si>
  <si>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</si>
  <si>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</si>
  <si>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</si>
  <si>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</si>
  <si>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</si>
  <si>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</si>
  <si>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</si>
  <si>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</si>
  <si>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</si>
  <si>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</si>
  <si>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</si>
  <si>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</si>
  <si>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</si>
  <si>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</si>
  <si>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</si>
  <si>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</si>
  <si>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</si>
  <si>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</si>
  <si>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</si>
  <si>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</si>
  <si>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</si>
  <si>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</si>
  <si>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</si>
  <si>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</si>
  <si>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</si>
  <si>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</si>
  <si>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</si>
  <si>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</si>
  <si>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</si>
  <si>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</si>
  <si>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</si>
  <si>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</si>
  <si>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</si>
  <si>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</si>
  <si>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</si>
  <si>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</si>
  <si>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</si>
  <si>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</si>
  <si>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</si>
  <si>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</si>
  <si>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</si>
  <si>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</si>
  <si>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</si>
  <si>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</si>
  <si>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</si>
  <si>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</si>
  <si>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</si>
  <si>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</si>
  <si>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</si>
  <si>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</si>
  <si>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</si>
  <si>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</si>
  <si>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</si>
  <si>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</si>
  <si>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</si>
  <si>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</si>
  <si>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</si>
  <si>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</si>
  <si>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</si>
  <si>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</si>
  <si>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</si>
  <si>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</si>
  <si>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</si>
  <si>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</si>
  <si>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</si>
  <si>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</si>
  <si>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</si>
  <si>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</si>
  <si>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</si>
  <si>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</si>
  <si>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</si>
  <si>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</si>
  <si>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</si>
  <si>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</si>
  <si>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</si>
  <si>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</si>
  <si>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</si>
  <si>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</si>
  <si>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</si>
  <si>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</si>
  <si>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</si>
  <si>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</si>
  <si>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</si>
  <si>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</si>
  <si>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</si>
  <si>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</si>
  <si>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</si>
  <si>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</si>
  <si>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</si>
  <si>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</si>
  <si>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</si>
  <si>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</si>
  <si>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</si>
  <si>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</si>
  <si>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</si>
  <si>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</si>
  <si>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</si>
  <si>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</si>
  <si>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</si>
  <si>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</si>
  <si>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</si>
  <si>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</si>
  <si>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</si>
  <si>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</si>
  <si>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</si>
  <si>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</si>
  <si>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</si>
  <si>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</si>
  <si>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</si>
  <si>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</si>
  <si>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</si>
  <si>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</si>
  <si>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</si>
  <si>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</si>
  <si>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</si>
  <si>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</si>
  <si>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</si>
  <si>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</si>
  <si>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</si>
  <si>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</si>
  <si>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</si>
  <si>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</si>
  <si>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</si>
  <si>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</si>
  <si>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</si>
  <si>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</si>
  <si>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</si>
  <si>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</si>
  <si>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</si>
  <si>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</si>
  <si>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</si>
  <si>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</si>
  <si>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</si>
  <si>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</si>
  <si>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</si>
  <si>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</si>
  <si>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</si>
  <si>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</si>
  <si>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</si>
  <si>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</si>
  <si>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</si>
  <si>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</si>
  <si>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</si>
  <si>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</si>
  <si>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</si>
  <si>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</si>
  <si>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</si>
  <si>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</si>
  <si>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</si>
  <si>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</si>
  <si>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</si>
  <si>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</si>
  <si>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</si>
  <si>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</si>
  <si>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</si>
  <si>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</si>
  <si>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</si>
  <si>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</si>
  <si>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</si>
  <si>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</si>
  <si>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</si>
  <si>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</si>
  <si>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</si>
  <si>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</si>
  <si>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</si>
  <si>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</si>
  <si>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</si>
  <si>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</si>
  <si>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</si>
  <si>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</si>
  <si>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</si>
  <si>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</si>
  <si>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</si>
  <si>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</si>
  <si>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</si>
  <si>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</si>
  <si>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</si>
  <si>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</si>
  <si>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</si>
  <si>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</si>
  <si>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</si>
  <si>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</si>
  <si>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</si>
  <si>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</si>
  <si>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</si>
  <si>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</si>
  <si>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</si>
  <si>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</si>
  <si>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</si>
  <si>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</si>
  <si>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</si>
  <si>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</si>
  <si>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</si>
  <si>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</si>
  <si>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</si>
  <si>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</si>
  <si>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</si>
  <si>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</si>
  <si>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</si>
  <si>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</si>
  <si>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</si>
  <si>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</si>
  <si>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</si>
  <si>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</si>
  <si>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</si>
  <si>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</si>
  <si>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</si>
  <si>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</si>
  <si>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</si>
  <si>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</si>
  <si>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</si>
  <si>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</si>
  <si>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</si>
  <si>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</si>
  <si>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</si>
  <si>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</si>
  <si>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</si>
  <si>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</si>
  <si>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</si>
  <si>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</si>
  <si>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</si>
  <si>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</si>
  <si>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</si>
  <si>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</si>
  <si>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</si>
  <si>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</si>
  <si>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</si>
  <si>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</si>
  <si>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</si>
  <si>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</si>
  <si>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</si>
  <si>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</si>
  <si>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</si>
  <si>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</si>
  <si>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</si>
  <si>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</si>
  <si>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</si>
  <si>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</si>
  <si>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</si>
  <si>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</si>
  <si>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</si>
  <si>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</si>
  <si>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</si>
  <si>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</si>
  <si>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</si>
  <si>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</si>
  <si>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</si>
  <si>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</si>
  <si>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</si>
  <si>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</si>
  <si>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</si>
  <si>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</si>
  <si>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</si>
  <si>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</si>
  <si>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</si>
  <si>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</si>
  <si>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</si>
  <si>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</si>
  <si>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</si>
  <si>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</si>
  <si>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</si>
  <si>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</si>
  <si>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</si>
  <si>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</si>
  <si>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</si>
  <si>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</si>
  <si>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</si>
  <si>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</si>
  <si>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</si>
  <si>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</si>
  <si>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</si>
  <si>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</si>
  <si>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</si>
  <si>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</si>
  <si>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</si>
  <si>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</si>
  <si>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</si>
  <si>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</si>
  <si>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</si>
  <si>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</si>
  <si>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</si>
  <si>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</si>
  <si>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</si>
  <si>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</si>
  <si>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</si>
  <si>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</si>
  <si>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</si>
  <si>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</si>
  <si>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</si>
  <si>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</si>
  <si>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</si>
  <si>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</si>
  <si>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</si>
  <si>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</si>
  <si>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</si>
  <si>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</si>
  <si>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</si>
  <si>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</si>
  <si>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</si>
  <si>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</si>
  <si>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</si>
  <si>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</si>
  <si>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</si>
  <si>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</si>
  <si>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</si>
  <si>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</si>
  <si>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</si>
  <si>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</si>
  <si>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</si>
  <si>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</si>
  <si>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</si>
  <si>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</si>
  <si>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</si>
  <si>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</si>
  <si>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</si>
  <si>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</si>
  <si>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</si>
  <si>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</si>
  <si>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</si>
  <si>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</si>
  <si>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</si>
  <si>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</si>
  <si>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</si>
  <si>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</si>
  <si>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</si>
  <si>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</si>
  <si>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</si>
  <si>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</si>
  <si>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</si>
  <si>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</si>
  <si>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</si>
  <si>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</si>
  <si>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</si>
  <si>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</si>
  <si>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</si>
  <si>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</si>
  <si>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</si>
  <si>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</si>
  <si>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</si>
  <si>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</si>
  <si>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</si>
  <si>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</si>
  <si>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</si>
  <si>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</si>
  <si>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</si>
  <si>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</si>
  <si>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</si>
  <si>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</si>
  <si>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</si>
  <si>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</si>
  <si>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</si>
  <si>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</si>
  <si>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</si>
  <si>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</si>
  <si>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</si>
  <si>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</si>
  <si>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</si>
  <si>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</si>
  <si>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</si>
  <si>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</si>
  <si>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</si>
  <si>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</si>
  <si>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</si>
  <si>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</si>
  <si>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</si>
  <si>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</si>
  <si>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</si>
  <si>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</si>
  <si>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</si>
  <si>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</si>
  <si>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</si>
  <si>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</si>
  <si>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</si>
  <si>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</si>
  <si>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</si>
  <si>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</si>
  <si>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</si>
  <si>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</si>
  <si>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</si>
  <si>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</si>
  <si>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</si>
  <si>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</si>
  <si>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</si>
  <si>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</si>
  <si>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</si>
  <si>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</si>
  <si>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</si>
  <si>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</si>
  <si>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</si>
  <si>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</si>
  <si>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</si>
  <si>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</si>
  <si>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</si>
  <si>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</si>
  <si>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</si>
  <si>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</si>
  <si>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</si>
  <si>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</si>
  <si>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</si>
  <si>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</si>
  <si>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</si>
  <si>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</si>
  <si>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</si>
  <si>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</si>
  <si>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</si>
  <si>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</si>
  <si>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</si>
  <si>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</si>
  <si>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</si>
  <si>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</si>
  <si>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</si>
  <si>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</si>
  <si>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</si>
  <si>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</si>
  <si>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</si>
  <si>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</si>
  <si>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</si>
  <si>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</si>
  <si>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</si>
  <si>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</si>
  <si>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</si>
  <si>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</si>
  <si>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</si>
  <si>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</si>
  <si>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</si>
  <si>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</si>
  <si>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</si>
  <si>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</si>
  <si>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</si>
  <si>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</si>
  <si>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</si>
  <si>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</si>
  <si>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</si>
  <si>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</si>
  <si>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</si>
  <si>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</si>
  <si>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</si>
  <si>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</si>
  <si>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</si>
  <si>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</si>
  <si>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</si>
  <si>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</si>
  <si>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</si>
  <si>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</si>
  <si>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</si>
  <si>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</si>
  <si>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</si>
  <si>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</si>
  <si>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</si>
  <si>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</si>
  <si>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</si>
  <si>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</si>
  <si>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</si>
  <si>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</si>
  <si>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</si>
  <si>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</si>
  <si>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</si>
  <si>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</si>
  <si>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</si>
  <si>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</si>
  <si>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</si>
  <si>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</si>
  <si>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</si>
  <si>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</si>
  <si>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</si>
  <si>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</si>
  <si>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</si>
  <si>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</si>
  <si>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</si>
  <si>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</si>
  <si>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</si>
  <si>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</si>
  <si>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</si>
  <si>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</si>
  <si>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</si>
  <si>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</si>
  <si>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</si>
  <si>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</si>
  <si>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</si>
  <si>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</si>
  <si>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</si>
  <si>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</si>
  <si>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</si>
  <si>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</si>
  <si>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</si>
  <si>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</si>
  <si>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</si>
  <si>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</si>
  <si>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</si>
  <si>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</si>
  <si>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</si>
  <si>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</si>
  <si>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</si>
  <si>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</si>
  <si>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</si>
  <si>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</si>
  <si>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</si>
  <si>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</si>
  <si>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</si>
  <si>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</si>
  <si>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</si>
  <si>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</si>
  <si>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</si>
  <si>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</si>
  <si>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</si>
  <si>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</si>
  <si>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</si>
  <si>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</si>
  <si>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</si>
  <si>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</si>
  <si>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</si>
  <si>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</si>
  <si>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</si>
  <si>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</si>
  <si>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</si>
  <si>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</si>
  <si>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</si>
  <si>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</si>
  <si>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</si>
  <si>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</si>
  <si>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</si>
  <si>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</si>
  <si>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</si>
  <si>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</si>
  <si>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</si>
  <si>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</si>
  <si>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</si>
  <si>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</si>
  <si>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</si>
  <si>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</si>
  <si>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</si>
  <si>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</si>
  <si>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</si>
  <si>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</si>
  <si>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</si>
  <si>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</si>
  <si>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</si>
  <si>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</si>
  <si>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</si>
  <si>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</si>
  <si>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</si>
  <si>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</si>
  <si>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</si>
  <si>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</si>
  <si>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</si>
  <si>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</si>
  <si>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</si>
  <si>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</si>
  <si>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</si>
  <si>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</si>
  <si>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</si>
  <si>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</si>
  <si>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</si>
  <si>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</si>
  <si>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</si>
  <si>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</si>
  <si>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</si>
  <si>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</si>
  <si>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</si>
  <si>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</si>
  <si>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</si>
  <si>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</si>
  <si>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</si>
  <si>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</si>
  <si>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</si>
  <si>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</si>
  <si>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</si>
  <si>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</si>
  <si>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</si>
  <si>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</si>
  <si>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</si>
  <si>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</si>
  <si>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</si>
  <si>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</si>
  <si>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</si>
  <si>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</si>
  <si>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</si>
  <si>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</si>
  <si>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</si>
  <si>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</si>
  <si>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</si>
  <si>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</si>
  <si>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</si>
  <si>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</si>
  <si>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</si>
  <si>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</si>
  <si>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</si>
  <si>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</si>
  <si>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</si>
  <si>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</si>
  <si>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</si>
  <si>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</si>
  <si>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</si>
  <si>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</si>
  <si>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</si>
  <si>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</si>
  <si>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</si>
  <si>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</si>
  <si>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</si>
  <si>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</si>
  <si>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</si>
  <si>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</si>
  <si>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</si>
  <si>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</si>
  <si>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</si>
  <si>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</si>
  <si>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</si>
  <si>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</si>
  <si>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</si>
  <si>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</si>
  <si>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</si>
  <si>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</si>
  <si>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</si>
  <si>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</si>
  <si>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</si>
  <si>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</si>
  <si>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</si>
  <si>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</si>
  <si>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</si>
  <si>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</si>
  <si>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</si>
  <si>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</si>
  <si>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</si>
  <si>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</si>
  <si>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</si>
  <si>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</si>
  <si>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</si>
  <si>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</si>
  <si>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</si>
  <si>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</si>
  <si>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</si>
  <si>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</si>
  <si>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</si>
  <si>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</si>
  <si>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</si>
  <si>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</si>
  <si>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</si>
  <si>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</si>
  <si>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</si>
  <si>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</si>
  <si>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</si>
  <si>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</si>
  <si>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</si>
  <si>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</si>
  <si>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</si>
  <si>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</si>
  <si>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</si>
  <si>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</si>
  <si>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</si>
  <si>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</si>
  <si>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</si>
  <si>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</si>
  <si>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</si>
  <si>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</si>
  <si>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</si>
  <si>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</si>
  <si>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</si>
  <si>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</si>
  <si>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</si>
  <si>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</si>
  <si>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</si>
  <si>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</si>
  <si>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</si>
  <si>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</si>
  <si>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</si>
  <si>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</si>
  <si>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</si>
  <si>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</si>
  <si>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</si>
  <si>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</si>
  <si>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</si>
  <si>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</si>
  <si>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</si>
  <si>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</si>
  <si>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</si>
  <si>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</si>
  <si>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</si>
  <si>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</si>
  <si>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</si>
  <si>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</si>
  <si>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</si>
  <si>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</si>
  <si>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</si>
  <si>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</si>
  <si>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</si>
  <si>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</si>
  <si>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</si>
  <si>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</si>
  <si>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</si>
  <si>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</si>
  <si>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</si>
  <si>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</si>
  <si>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</si>
  <si>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</si>
  <si>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</si>
  <si>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</si>
  <si>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</si>
  <si>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</si>
  <si>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</si>
  <si>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</si>
  <si>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</si>
  <si>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</si>
  <si>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</si>
  <si>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</si>
  <si>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</si>
  <si>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</si>
  <si>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</si>
  <si>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</si>
  <si>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</si>
  <si>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</si>
  <si>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</si>
  <si>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</si>
  <si>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</si>
  <si>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</si>
  <si>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</si>
  <si>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</si>
  <si>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</si>
  <si>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</si>
  <si>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</si>
  <si>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</si>
  <si>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</si>
  <si>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</si>
  <si>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</si>
  <si>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</si>
  <si>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</si>
  <si>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</si>
  <si>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</si>
  <si>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</si>
  <si>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</si>
  <si>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</si>
  <si>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</si>
  <si>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</si>
  <si>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</si>
  <si>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</si>
  <si>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</si>
  <si>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</si>
  <si>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</si>
  <si>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</si>
  <si>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</si>
  <si>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</si>
  <si>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</si>
  <si>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</si>
  <si>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</si>
  <si>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</si>
  <si>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</si>
  <si>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</si>
  <si>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</si>
  <si>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</si>
  <si>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</si>
  <si>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</si>
  <si>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</si>
  <si>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</si>
  <si>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</si>
  <si>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</si>
  <si>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</si>
  <si>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</si>
  <si>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</si>
  <si>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</si>
  <si>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</si>
  <si>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</si>
  <si>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</si>
  <si>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</si>
  <si>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</si>
  <si>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</si>
  <si>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</si>
  <si>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</si>
  <si>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</si>
  <si>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</si>
  <si>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</si>
  <si>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</si>
  <si>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</si>
  <si>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</si>
  <si>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</si>
  <si>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</si>
  <si>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</si>
  <si>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</si>
  <si>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</si>
  <si>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</si>
  <si>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</si>
  <si>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</si>
  <si>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</si>
  <si>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</si>
  <si>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</si>
  <si>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</si>
  <si>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</si>
  <si>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</si>
  <si>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</si>
  <si>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</si>
  <si>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</si>
  <si>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</si>
  <si>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</si>
  <si>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</si>
  <si>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</si>
  <si>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</si>
  <si>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</si>
  <si>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</si>
  <si>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</si>
  <si>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</si>
  <si>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</si>
  <si>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</si>
  <si>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</si>
  <si>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</si>
  <si>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</si>
  <si>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</si>
  <si>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</si>
  <si>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</si>
  <si>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</si>
  <si>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</si>
  <si>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</si>
  <si>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</si>
  <si>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</si>
  <si>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</si>
  <si>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</si>
  <si>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</si>
  <si>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</si>
  <si>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</si>
  <si>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</si>
  <si>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</si>
  <si>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</si>
  <si>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</si>
  <si>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</si>
  <si>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</si>
  <si>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</si>
  <si>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</si>
  <si>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</si>
  <si>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</si>
  <si>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</si>
  <si>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</si>
  <si>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</si>
  <si>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</si>
  <si>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</si>
  <si>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</si>
  <si>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</si>
  <si>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</si>
  <si>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</si>
  <si>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</si>
  <si>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</si>
  <si>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</si>
  <si>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</si>
  <si>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</si>
  <si>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</si>
  <si>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</si>
  <si>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</si>
  <si>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</si>
  <si>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</si>
  <si>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</si>
  <si>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</si>
  <si>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</si>
  <si>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</si>
  <si>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</si>
  <si>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</si>
  <si>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</si>
  <si>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</si>
  <si>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</si>
  <si>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</si>
  <si>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</si>
  <si>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</si>
  <si>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</si>
  <si>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</si>
  <si>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</si>
  <si>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</si>
  <si>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</si>
  <si>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</si>
  <si>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</si>
  <si>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</si>
  <si>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</si>
  <si>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</si>
  <si>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</si>
  <si>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</si>
  <si>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</si>
  <si>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</si>
  <si>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</si>
  <si>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</si>
  <si>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</si>
  <si>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</si>
  <si>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</si>
  <si>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</si>
  <si>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</si>
  <si>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</si>
  <si>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</si>
  <si>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</si>
  <si>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</si>
  <si>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</si>
  <si>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</si>
  <si>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</si>
  <si>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</si>
  <si>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</si>
  <si>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</si>
  <si>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</si>
  <si>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</si>
  <si>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</si>
  <si>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</si>
  <si>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</si>
  <si>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</si>
  <si>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</si>
  <si>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</si>
  <si>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</si>
  <si>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</si>
  <si>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</si>
  <si>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</si>
  <si>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</si>
  <si>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</si>
  <si>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</si>
  <si>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</si>
  <si>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</si>
  <si>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</si>
  <si>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</si>
  <si>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</si>
  <si>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</si>
  <si>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</si>
  <si>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</si>
  <si>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</si>
  <si>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</si>
  <si>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</si>
  <si>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</si>
  <si>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</si>
  <si>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</si>
  <si>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</si>
  <si>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</si>
  <si>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</si>
  <si>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</si>
  <si>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</si>
  <si>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</si>
  <si>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</si>
  <si>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</si>
  <si>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</si>
  <si>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</si>
  <si>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</si>
  <si>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</si>
  <si>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</si>
  <si>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</si>
  <si>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</si>
  <si>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</si>
  <si>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</si>
  <si>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</si>
  <si>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</si>
  <si>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</si>
  <si>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</si>
  <si>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</si>
  <si>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</si>
  <si>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</si>
  <si>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</si>
  <si>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</si>
  <si>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</si>
  <si>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</si>
  <si>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</si>
  <si>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</si>
  <si>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</si>
  <si>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</si>
  <si>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</si>
  <si>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</si>
  <si>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</si>
  <si>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</si>
  <si>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</si>
  <si>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</si>
  <si>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</si>
  <si>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</si>
  <si>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</si>
  <si>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</si>
  <si>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</si>
  <si>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</si>
  <si>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</si>
  <si>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</si>
  <si>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</si>
  <si>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</si>
  <si>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</si>
  <si>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</si>
  <si>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</si>
  <si>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</si>
  <si>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</si>
  <si>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</si>
  <si>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</si>
  <si>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</si>
  <si>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</si>
  <si>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</si>
  <si>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</si>
  <si>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</si>
  <si>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</si>
  <si>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</si>
  <si>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</si>
  <si>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</si>
  <si>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</si>
  <si>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</si>
  <si>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</si>
  <si>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</si>
  <si>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</si>
  <si>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</si>
  <si>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</si>
  <si>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</si>
  <si>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</si>
  <si>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</si>
  <si>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</si>
  <si>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</si>
  <si>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</si>
  <si>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</si>
  <si>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</si>
  <si>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</si>
  <si>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</si>
  <si>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</si>
  <si>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</si>
  <si>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</si>
  <si>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</si>
  <si>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</si>
  <si>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</si>
  <si>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</si>
  <si>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</si>
  <si>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</si>
  <si>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</si>
  <si>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</si>
  <si>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</si>
  <si>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</si>
  <si>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</si>
  <si>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</si>
  <si>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</si>
  <si>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</si>
  <si>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</si>
  <si>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</si>
  <si>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</si>
  <si>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</si>
  <si>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</si>
  <si>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</si>
  <si>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</si>
  <si>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</si>
  <si>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</si>
  <si>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</si>
  <si>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</si>
  <si>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</si>
  <si>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</si>
  <si>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</si>
  <si>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</si>
  <si>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</si>
  <si>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</si>
  <si>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</si>
  <si>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</si>
  <si>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</si>
  <si>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</si>
  <si>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</si>
  <si>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</si>
  <si>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</si>
  <si>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</si>
  <si>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</si>
  <si>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</si>
  <si>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</si>
  <si>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</si>
  <si>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</si>
  <si>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</si>
  <si>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</si>
  <si>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</si>
  <si>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</si>
  <si>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</si>
  <si>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</si>
  <si>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</si>
  <si>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</si>
  <si>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</si>
  <si>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</si>
  <si>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</si>
  <si>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</si>
  <si>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</si>
  <si>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</si>
  <si>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</si>
  <si>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</si>
  <si>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</si>
  <si>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</si>
  <si>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</si>
  <si>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</si>
  <si>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</si>
  <si>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</si>
  <si>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</si>
  <si>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</si>
  <si>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</si>
  <si>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</si>
  <si>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</si>
  <si>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</si>
  <si>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</si>
  <si>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</si>
  <si>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</si>
  <si>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</si>
  <si>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</si>
  <si>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</si>
  <si>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</si>
  <si>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</si>
  <si>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</si>
  <si>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</si>
  <si>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</si>
  <si>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</si>
  <si>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</si>
  <si>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</si>
  <si>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</si>
  <si>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</si>
  <si>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</si>
  <si>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</si>
  <si>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</si>
  <si>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</si>
  <si>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</si>
  <si>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</si>
  <si>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</si>
  <si>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</si>
  <si>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</si>
  <si>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</si>
  <si>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</si>
  <si>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</si>
  <si>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</si>
  <si>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</si>
  <si>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</si>
  <si>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</si>
  <si>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</si>
  <si>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</si>
  <si>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</si>
  <si>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</si>
  <si>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</si>
  <si>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</si>
  <si>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</si>
  <si>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</si>
  <si>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</si>
  <si>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</si>
  <si>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</si>
  <si>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</si>
  <si>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</si>
  <si>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</si>
  <si>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</si>
  <si>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</si>
  <si>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</si>
  <si>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</si>
  <si>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</si>
  <si>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</si>
  <si>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</si>
  <si>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</si>
  <si>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</si>
  <si>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</si>
  <si>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</si>
  <si>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</si>
  <si>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</si>
  <si>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</si>
  <si>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</si>
  <si>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</si>
  <si>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</si>
  <si>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</si>
  <si>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</si>
  <si>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</si>
  <si>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</si>
  <si>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</si>
  <si>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</si>
  <si>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</si>
  <si>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</si>
  <si>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</si>
  <si>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</si>
  <si>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</si>
  <si>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</si>
  <si>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</si>
  <si>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</si>
  <si>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</si>
  <si>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</si>
  <si>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</si>
  <si>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</si>
  <si>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</si>
  <si>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</si>
  <si>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</si>
  <si>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</si>
  <si>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</si>
  <si>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</si>
  <si>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</si>
  <si>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</si>
  <si>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</si>
  <si>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</si>
  <si>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</si>
  <si>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</si>
  <si>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</si>
  <si>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</si>
  <si>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</si>
  <si>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</si>
  <si>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</si>
  <si>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</si>
  <si>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</si>
  <si>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</si>
  <si>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</si>
  <si>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</si>
  <si>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</si>
  <si>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</si>
  <si>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</si>
  <si>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</si>
  <si>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</si>
  <si>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</si>
  <si>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</si>
  <si>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</si>
  <si>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</si>
  <si>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</si>
  <si>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</si>
  <si>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</si>
  <si>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</si>
  <si>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</si>
  <si>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</si>
  <si>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</si>
  <si>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</si>
  <si>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</si>
  <si>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</si>
  <si>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</si>
  <si>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</si>
  <si>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</si>
  <si>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</si>
  <si>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</si>
  <si>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</si>
  <si>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</si>
  <si>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</si>
  <si>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</si>
  <si>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</si>
  <si>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</si>
  <si>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</si>
  <si>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</si>
  <si>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</si>
  <si>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</si>
  <si>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</si>
  <si>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</si>
  <si>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</si>
  <si>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</si>
  <si>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</si>
  <si>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</si>
  <si>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</si>
  <si>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</si>
  <si>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</si>
  <si>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</si>
  <si>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</si>
  <si>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</si>
  <si>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</si>
  <si>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</si>
  <si>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</si>
  <si>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</si>
  <si>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</si>
  <si>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</si>
  <si>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</si>
  <si>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</si>
  <si>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</si>
  <si>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</si>
  <si>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</si>
  <si>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</si>
  <si>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</si>
  <si>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</si>
  <si>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</si>
  <si>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</si>
  <si>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</si>
  <si>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</si>
  <si>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</si>
  <si>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</si>
  <si>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</si>
  <si>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</si>
  <si>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</si>
  <si>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</si>
  <si>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</si>
  <si>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</si>
  <si>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</si>
  <si>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</si>
  <si>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</si>
  <si>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</si>
  <si>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</si>
  <si>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</si>
  <si>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</si>
  <si>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</si>
  <si>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</si>
  <si>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</si>
  <si>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</si>
  <si>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</si>
  <si>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</si>
  <si>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</si>
  <si>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</si>
  <si>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</si>
  <si>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</si>
  <si>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</si>
  <si>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</si>
  <si>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</si>
  <si>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</si>
  <si>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</si>
  <si>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</si>
  <si>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</si>
  <si>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</si>
  <si>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</si>
  <si>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</si>
  <si>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</si>
  <si>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</si>
  <si>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</si>
  <si>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</si>
  <si>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</si>
  <si>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</si>
  <si>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</si>
  <si>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</si>
  <si>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</si>
  <si>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</si>
  <si>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</si>
  <si>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</si>
  <si>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</si>
  <si>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</si>
  <si>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</si>
  <si>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</si>
  <si>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</si>
  <si>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</si>
  <si>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</si>
  <si>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</si>
  <si>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</si>
  <si>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</si>
  <si>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</si>
  <si>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</si>
  <si>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</si>
  <si>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</si>
  <si>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</si>
  <si>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</si>
  <si>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</si>
  <si>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</si>
  <si>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</si>
  <si>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</si>
  <si>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</si>
  <si>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</si>
  <si>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</si>
  <si>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</si>
  <si>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</si>
  <si>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</si>
  <si>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</si>
  <si>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</si>
  <si>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</si>
  <si>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</si>
  <si>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</si>
  <si>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</si>
  <si>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</si>
  <si>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</si>
  <si>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</si>
  <si>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</si>
  <si>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</si>
  <si>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</si>
  <si>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</si>
  <si>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</si>
  <si>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</si>
  <si>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</si>
  <si>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</si>
  <si>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</si>
  <si>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</si>
  <si>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</si>
  <si>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</si>
  <si>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</si>
  <si>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</si>
  <si>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</si>
  <si>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</si>
  <si>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</si>
  <si>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</si>
  <si>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</si>
  <si>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</si>
  <si>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</si>
  <si>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</si>
  <si>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</si>
  <si>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</si>
  <si>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</si>
  <si>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</si>
  <si>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</si>
  <si>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</si>
  <si>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</si>
  <si>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</si>
  <si>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</si>
  <si>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</si>
  <si>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</si>
  <si>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</si>
  <si>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</si>
  <si>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</si>
  <si>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</si>
  <si>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</si>
  <si>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</si>
  <si>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</si>
  <si>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</si>
  <si>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</si>
  <si>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</si>
  <si>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</si>
  <si>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</si>
  <si>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</si>
  <si>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</si>
  <si>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</si>
  <si>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</si>
  <si>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</si>
  <si>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</si>
  <si>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</si>
  <si>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</si>
  <si>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</si>
  <si>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</si>
  <si>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</si>
  <si>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</si>
  <si>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</si>
  <si>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</si>
  <si>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</si>
  <si>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</si>
  <si>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</si>
  <si>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</si>
  <si>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</si>
  <si>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</si>
  <si>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</si>
  <si>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</si>
  <si>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</si>
  <si>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</si>
  <si>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</si>
  <si>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</si>
  <si>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</si>
  <si>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</si>
  <si>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</si>
  <si>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</si>
  <si>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</si>
  <si>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</si>
  <si>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</si>
  <si>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</si>
  <si>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</si>
  <si>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</si>
  <si>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</si>
  <si>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</si>
  <si>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</si>
  <si>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</si>
  <si>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</si>
  <si>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</si>
  <si>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</si>
  <si>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</si>
  <si>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</si>
  <si>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</si>
  <si>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</si>
  <si>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</si>
  <si>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</si>
  <si>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</si>
  <si>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</si>
  <si>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</si>
  <si>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</si>
  <si>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</si>
  <si>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</si>
  <si>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</si>
  <si>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</si>
  <si>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</si>
  <si>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</si>
  <si>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</si>
  <si>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</si>
  <si>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</si>
  <si>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</si>
  <si>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</si>
  <si>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</si>
  <si>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</si>
  <si>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</si>
  <si>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</si>
  <si>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</si>
  <si>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</si>
  <si>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</si>
  <si>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</si>
  <si>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</si>
  <si>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</si>
  <si>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</si>
  <si>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</si>
  <si>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</si>
  <si>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</si>
  <si>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</si>
  <si>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</si>
  <si>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</si>
  <si>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</si>
  <si>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</si>
  <si>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</si>
  <si>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</si>
  <si>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</si>
  <si>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</si>
  <si>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</si>
  <si>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</si>
  <si>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</si>
  <si>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</si>
  <si>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</si>
  <si>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</si>
  <si>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</si>
  <si>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</si>
  <si>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</si>
  <si>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</si>
  <si>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</si>
  <si>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</si>
  <si>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</si>
  <si>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</si>
  <si>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</si>
  <si>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</si>
  <si>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</si>
  <si>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</si>
  <si>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</si>
  <si>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</si>
  <si>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</si>
  <si>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</si>
  <si>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</si>
  <si>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</si>
  <si>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</si>
  <si>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</si>
  <si>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</si>
  <si>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</si>
  <si>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</si>
  <si>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</si>
  <si>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</si>
  <si>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</si>
  <si>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</si>
  <si>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</si>
  <si>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</si>
  <si>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</si>
  <si>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</si>
  <si>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</si>
  <si>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</si>
  <si>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</si>
  <si>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</si>
  <si>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</si>
  <si>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</si>
  <si>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</si>
  <si>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</si>
  <si>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</si>
  <si>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</si>
  <si>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</si>
  <si>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</si>
  <si>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</si>
  <si>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</si>
  <si>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</si>
  <si>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</si>
  <si>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</si>
  <si>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</si>
  <si>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</si>
  <si>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</si>
  <si>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</si>
  <si>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</si>
  <si>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</si>
  <si>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</si>
  <si>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</si>
  <si>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</si>
  <si>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</si>
  <si>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</si>
  <si>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</si>
  <si>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</si>
  <si>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</si>
  <si>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</si>
  <si>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</si>
  <si>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</si>
  <si>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</si>
  <si>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</si>
  <si>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</si>
  <si>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</si>
  <si>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</si>
  <si>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</si>
  <si>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</si>
  <si>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</si>
  <si>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</si>
  <si>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</si>
  <si>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</si>
  <si>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</si>
  <si>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</si>
  <si>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</si>
  <si>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</si>
  <si>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</si>
  <si>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</si>
  <si>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</si>
  <si>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</si>
  <si>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</si>
  <si>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</si>
  <si>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</si>
  <si>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</si>
  <si>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</si>
  <si>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</si>
  <si>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</si>
  <si>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</si>
  <si>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</si>
  <si>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</si>
  <si>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</si>
  <si>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</si>
  <si>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</si>
  <si>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</si>
  <si>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</si>
  <si>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</si>
  <si>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</si>
  <si>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</si>
  <si>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</si>
  <si>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</si>
  <si>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</si>
  <si>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</si>
  <si>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</si>
  <si>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</si>
  <si>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</si>
  <si>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</si>
  <si>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</si>
  <si>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</si>
  <si>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</si>
  <si>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</si>
  <si>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</si>
  <si>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</si>
  <si>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</si>
  <si>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</si>
  <si>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</si>
  <si>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</si>
  <si>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</si>
  <si>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</si>
  <si>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</si>
  <si>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</si>
  <si>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</si>
  <si>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</si>
  <si>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</si>
  <si>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</si>
  <si>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</si>
  <si>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</si>
  <si>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</si>
  <si>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</si>
  <si>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</si>
  <si>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</si>
  <si>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</si>
  <si>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</si>
  <si>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</si>
  <si>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</si>
  <si>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</si>
  <si>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</si>
  <si>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</si>
  <si>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</si>
  <si>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</si>
  <si>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</si>
  <si>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</si>
  <si>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</si>
  <si>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</si>
  <si>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</si>
  <si>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</si>
  <si>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</si>
  <si>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</si>
  <si>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</si>
  <si>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</si>
  <si>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</si>
  <si>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</si>
  <si>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</si>
  <si>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</si>
  <si>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</si>
  <si>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</si>
  <si>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</si>
  <si>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</si>
  <si>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</si>
  <si>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</si>
  <si>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</si>
  <si>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</si>
  <si>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</si>
  <si>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</si>
  <si>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</si>
  <si>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</si>
  <si>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</si>
  <si>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</si>
  <si>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</si>
  <si>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</si>
  <si>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</si>
  <si>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</si>
  <si>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</si>
  <si>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</si>
  <si>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</si>
  <si>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</si>
  <si>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</si>
  <si>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</si>
  <si>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</si>
  <si>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</si>
  <si>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</si>
  <si>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</si>
  <si>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</si>
  <si>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</si>
  <si>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</si>
  <si>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</si>
  <si>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</si>
  <si>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</si>
  <si>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</si>
  <si>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</si>
  <si>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</si>
  <si>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</si>
  <si>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</si>
  <si>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</si>
  <si>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</si>
  <si>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</si>
  <si>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</si>
  <si>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</si>
  <si>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</si>
  <si>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</si>
  <si>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</si>
  <si>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</si>
  <si>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</si>
  <si>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</si>
  <si>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</si>
  <si>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</si>
  <si>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</si>
  <si>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</si>
  <si>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</si>
  <si>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</si>
  <si>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</si>
  <si>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</si>
  <si>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</si>
  <si>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</si>
  <si>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</si>
  <si>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</si>
  <si>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</si>
  <si>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</si>
  <si>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</si>
  <si>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</si>
  <si>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</si>
  <si>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</si>
  <si>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</si>
  <si>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</si>
  <si>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</si>
  <si>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</si>
  <si>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</si>
  <si>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</si>
  <si>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</si>
  <si>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</si>
  <si>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</si>
  <si>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</si>
  <si>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</si>
  <si>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</si>
  <si>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</si>
  <si>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</si>
  <si>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</si>
  <si>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</si>
  <si>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</si>
  <si>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</si>
  <si>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</si>
  <si>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</si>
  <si>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</si>
  <si>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</si>
  <si>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</si>
  <si>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</si>
  <si>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</si>
  <si>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</si>
  <si>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</si>
  <si>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</si>
  <si>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</si>
  <si>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</si>
  <si>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</si>
  <si>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</si>
  <si>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</si>
  <si>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</si>
  <si>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</si>
  <si>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</si>
  <si>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</si>
  <si>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</si>
  <si>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</si>
  <si>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</si>
  <si>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</si>
  <si>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</si>
  <si>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</si>
  <si>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</si>
  <si>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</si>
  <si>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</si>
  <si>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</si>
  <si>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</si>
  <si>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</si>
  <si>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</si>
  <si>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</si>
  <si>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</si>
  <si>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</si>
  <si>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</si>
  <si>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</si>
  <si>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</si>
  <si>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</si>
  <si>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</si>
  <si>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</si>
  <si>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</si>
  <si>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</si>
  <si>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</si>
  <si>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</si>
  <si>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</si>
  <si>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</si>
  <si>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</si>
  <si>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</si>
  <si>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</si>
  <si>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</si>
  <si>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</si>
  <si>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</si>
  <si>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</si>
  <si>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</si>
  <si>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</si>
  <si>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</si>
  <si>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</si>
  <si>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</si>
  <si>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</si>
  <si>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</si>
  <si>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</si>
  <si>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</si>
  <si>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</si>
  <si>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</si>
  <si>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</si>
  <si>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</si>
  <si>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</si>
  <si>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</si>
  <si>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</si>
  <si>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</si>
  <si>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</si>
  <si>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</si>
  <si>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</si>
  <si>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</si>
  <si>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</si>
  <si>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</si>
  <si>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</si>
  <si>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</si>
  <si>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</si>
  <si>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</si>
  <si>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</si>
  <si>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</si>
  <si>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</si>
  <si>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</si>
  <si>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</si>
  <si>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</si>
  <si>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</si>
  <si>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</si>
  <si>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</si>
  <si>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</si>
  <si>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</si>
  <si>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</si>
  <si>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</si>
  <si>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</si>
  <si>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</si>
  <si>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</si>
  <si>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</si>
  <si>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</si>
  <si>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</si>
  <si>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</si>
  <si>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</si>
  <si>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</si>
  <si>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</si>
  <si>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</si>
  <si>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</si>
  <si>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</si>
  <si>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</si>
  <si>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</si>
  <si>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</si>
  <si>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</si>
  <si>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</si>
  <si>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</si>
  <si>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</si>
  <si>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</si>
  <si>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</si>
  <si>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</si>
  <si>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</si>
  <si>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</si>
  <si>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</si>
  <si>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</si>
  <si>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</si>
  <si>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</si>
  <si>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</si>
  <si>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</si>
  <si>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</si>
  <si>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</si>
  <si>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</si>
  <si>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</si>
  <si>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</si>
  <si>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</si>
  <si>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</si>
  <si>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</si>
  <si>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</si>
  <si>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</si>
  <si>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</si>
  <si>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</si>
  <si>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</si>
  <si>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</si>
  <si>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</si>
  <si>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</si>
  <si>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</si>
  <si>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</si>
  <si>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</si>
  <si>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</si>
  <si>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</si>
  <si>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</si>
  <si>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</si>
  <si>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</si>
  <si>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</si>
  <si>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</si>
  <si>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</si>
  <si>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</si>
  <si>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</si>
  <si>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</si>
  <si>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</si>
  <si>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</si>
  <si>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</si>
  <si>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</si>
  <si>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</si>
  <si>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</si>
  <si>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</si>
  <si>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</si>
  <si>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</si>
  <si>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</si>
  <si>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</si>
  <si>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</si>
  <si>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</si>
  <si>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</si>
  <si>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</si>
  <si>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</si>
  <si>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</si>
  <si>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</si>
  <si>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</si>
  <si>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</si>
  <si>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</si>
  <si>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</si>
  <si>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</si>
  <si>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</si>
  <si>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</si>
  <si>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</si>
  <si>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</si>
  <si>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</si>
  <si>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</si>
  <si>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</si>
  <si>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</si>
  <si>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</si>
  <si>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</si>
  <si>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</si>
  <si>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</si>
  <si>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</si>
  <si>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</si>
  <si>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</si>
  <si>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</si>
  <si>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</si>
  <si>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</si>
  <si>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</si>
  <si>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</si>
  <si>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</si>
  <si>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</si>
  <si>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</si>
  <si>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</si>
  <si>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</si>
  <si>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</si>
  <si>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</si>
  <si>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</si>
  <si>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</si>
  <si>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</si>
  <si>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</si>
  <si>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</si>
  <si>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</si>
  <si>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</si>
  <si>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</si>
  <si>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</si>
  <si>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</si>
  <si>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</si>
  <si>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</si>
  <si>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</si>
  <si>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</si>
  <si>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</si>
  <si>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</si>
  <si>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</si>
  <si>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</si>
  <si>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</si>
  <si>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</si>
  <si>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</si>
  <si>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</si>
  <si>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</si>
  <si>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</si>
  <si>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</si>
  <si>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</si>
  <si>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</si>
  <si>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</si>
  <si>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</si>
  <si>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</si>
  <si>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</si>
  <si>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</si>
  <si>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</si>
  <si>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</si>
  <si>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</si>
  <si>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</si>
  <si>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</si>
  <si>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</si>
  <si>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</si>
  <si>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</si>
  <si>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</si>
  <si>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</si>
  <si>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</si>
  <si>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</si>
  <si>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</si>
  <si>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</si>
  <si>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</si>
  <si>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</si>
  <si>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</si>
  <si>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</si>
  <si>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</si>
  <si>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</si>
  <si>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</si>
  <si>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</si>
  <si>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</si>
  <si>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</si>
  <si>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</si>
  <si>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</si>
  <si>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</si>
  <si>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</si>
  <si>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</si>
  <si>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</si>
  <si>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</si>
  <si>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</si>
  <si>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</si>
  <si>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</si>
  <si>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</si>
  <si>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</si>
  <si>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</si>
  <si>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</si>
  <si>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</si>
  <si>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</si>
  <si>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</si>
  <si>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</si>
  <si>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</si>
  <si>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</si>
  <si>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</si>
  <si>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</si>
  <si>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</si>
  <si>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</si>
  <si>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</si>
  <si>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</si>
  <si>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</si>
  <si>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</si>
  <si>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</si>
  <si>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</si>
  <si>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</si>
  <si>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</si>
  <si>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</si>
  <si>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</si>
  <si>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</si>
  <si>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</si>
  <si>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</si>
  <si>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</si>
  <si>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</si>
  <si>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</si>
  <si>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</si>
  <si>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</si>
  <si>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</si>
  <si>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</si>
  <si>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</si>
  <si>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</si>
  <si>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</si>
  <si>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</si>
  <si>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</si>
  <si>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</si>
  <si>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</si>
  <si>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</si>
  <si>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</si>
  <si>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</si>
  <si>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</si>
  <si>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</si>
  <si>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</si>
  <si>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</si>
  <si>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</si>
  <si>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</si>
  <si>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</si>
  <si>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</si>
  <si>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</si>
  <si>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</si>
  <si>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</si>
  <si>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</si>
  <si>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</si>
  <si>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</si>
  <si>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</si>
  <si>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</si>
  <si>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</si>
  <si>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</si>
  <si>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</si>
  <si>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</si>
  <si>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</si>
  <si>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</si>
  <si>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</si>
  <si>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</si>
  <si>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</si>
  <si>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</si>
  <si>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</si>
  <si>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</si>
  <si>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</si>
  <si>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</si>
  <si>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</si>
  <si>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</si>
  <si>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</si>
  <si>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</si>
  <si>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</si>
  <si>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</si>
  <si>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</si>
  <si>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</si>
  <si>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</si>
  <si>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</si>
  <si>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</si>
  <si>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</si>
  <si>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</si>
  <si>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</si>
  <si>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</si>
  <si>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</si>
  <si>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</si>
  <si>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</si>
  <si>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</si>
  <si>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</si>
  <si>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</si>
  <si>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</si>
  <si>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</si>
  <si>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</si>
  <si>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</si>
  <si>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</si>
  <si>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</si>
  <si>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</si>
  <si>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</si>
  <si>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</si>
  <si>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</si>
  <si>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</si>
  <si>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</si>
  <si>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</si>
  <si>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</si>
  <si>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</si>
  <si>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</si>
  <si>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</si>
  <si>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</si>
  <si>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</si>
  <si>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</si>
  <si>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</si>
  <si>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</si>
  <si>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</si>
  <si>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</si>
  <si>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</si>
  <si>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</si>
  <si>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</si>
  <si>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</si>
  <si>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</si>
  <si>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</si>
  <si>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</si>
  <si>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</si>
  <si>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</si>
  <si>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</si>
  <si>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</si>
  <si>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</si>
  <si>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</si>
  <si>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</si>
  <si>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</si>
  <si>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</si>
  <si>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</si>
  <si>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</si>
  <si>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</si>
  <si>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</si>
  <si>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</si>
  <si>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</si>
  <si>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</si>
  <si>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</si>
  <si>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</si>
  <si>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</si>
  <si>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</si>
  <si>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</si>
  <si>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</si>
  <si>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</si>
  <si>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</si>
  <si>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</si>
  <si>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</si>
  <si>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</si>
  <si>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</si>
  <si>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</si>
  <si>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</si>
  <si>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</si>
  <si>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</si>
  <si>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</si>
  <si>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</si>
  <si>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</si>
  <si>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</si>
  <si>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</si>
  <si>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</si>
  <si>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</si>
  <si>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</si>
  <si>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</si>
  <si>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</si>
  <si>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</si>
  <si>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</si>
  <si>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</si>
  <si>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</si>
  <si>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</si>
  <si>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</si>
  <si>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</si>
  <si>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</si>
  <si>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</si>
  <si>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</si>
  <si>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</si>
  <si>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</si>
  <si>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</si>
  <si>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</si>
  <si>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</si>
  <si>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</si>
  <si>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</si>
  <si>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</si>
  <si>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</si>
  <si>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</si>
  <si>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</si>
  <si>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</si>
  <si>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</si>
  <si>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</si>
  <si>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</si>
  <si>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</si>
  <si>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</si>
  <si>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</si>
  <si>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</si>
  <si>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</si>
  <si>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</si>
  <si>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</si>
  <si>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</si>
  <si>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</si>
  <si>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</si>
  <si>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</si>
  <si>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</si>
  <si>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</si>
  <si>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</si>
  <si>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</si>
  <si>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</si>
  <si>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</si>
  <si>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</si>
  <si>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</si>
  <si>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</si>
  <si>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</si>
  <si>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</si>
  <si>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</si>
  <si>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</si>
  <si>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</si>
  <si>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</si>
  <si>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</si>
  <si>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</si>
  <si>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</si>
  <si>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</si>
  <si>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</si>
  <si>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</si>
  <si>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</si>
  <si>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</si>
  <si>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</si>
  <si>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</si>
  <si>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</si>
  <si>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</si>
  <si>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</si>
  <si>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</si>
  <si>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</si>
  <si>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</si>
  <si>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</si>
  <si>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</si>
  <si>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</si>
  <si>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</si>
  <si>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</si>
  <si>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</si>
  <si>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</si>
  <si>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</si>
  <si>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</si>
  <si>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</si>
  <si>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</si>
  <si>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</si>
  <si>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</si>
  <si>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</si>
  <si>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</si>
  <si>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</si>
  <si>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</si>
  <si>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</si>
  <si>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</si>
  <si>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</si>
  <si>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</si>
  <si>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</si>
  <si>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</si>
  <si>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</si>
  <si>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</si>
  <si>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</si>
  <si>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</si>
  <si>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</si>
  <si>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</si>
  <si>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</si>
  <si>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</si>
  <si>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</si>
  <si>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</si>
  <si>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</si>
  <si>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</si>
  <si>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</si>
  <si>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</si>
  <si>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</si>
  <si>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</si>
  <si>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</si>
  <si>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</si>
  <si>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</si>
  <si>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</si>
  <si>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</si>
  <si>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</si>
  <si>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</si>
  <si>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</si>
  <si>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</si>
  <si>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</si>
  <si>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</si>
  <si>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</si>
  <si>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</si>
  <si>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</si>
  <si>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</si>
  <si>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</si>
  <si>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</si>
  <si>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</si>
  <si>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</si>
  <si>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</si>
  <si>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</si>
  <si>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</si>
  <si>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</si>
  <si>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</si>
  <si>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</si>
  <si>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</si>
  <si>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</si>
  <si>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</si>
  <si>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</si>
  <si>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</si>
  <si>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</si>
  <si>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</si>
  <si>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</si>
  <si>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</si>
  <si>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</si>
  <si>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</si>
  <si>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</si>
  <si>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</si>
  <si>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</si>
  <si>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</si>
  <si>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</si>
  <si>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</si>
  <si>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</si>
  <si>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</si>
  <si>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</si>
  <si>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</si>
  <si>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</si>
  <si>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</si>
  <si>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</si>
  <si>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</si>
  <si>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</si>
  <si>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</si>
  <si>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</si>
  <si>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</si>
  <si>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</si>
  <si>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</si>
  <si>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</si>
  <si>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</si>
  <si>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</si>
  <si>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</si>
  <si>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</si>
  <si>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</si>
  <si>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</si>
  <si>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</si>
  <si>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</si>
  <si>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</si>
  <si>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</si>
  <si>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</si>
  <si>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</si>
  <si>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</si>
  <si>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</si>
  <si>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</si>
  <si>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</si>
  <si>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</si>
  <si>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</si>
  <si>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</si>
  <si>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</si>
  <si>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</si>
  <si>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</si>
  <si>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</si>
  <si>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</si>
  <si>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</si>
  <si>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</si>
  <si>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</si>
  <si>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</si>
  <si>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</si>
  <si>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</si>
  <si>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</si>
  <si>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</si>
  <si>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</si>
  <si>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</si>
  <si>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</si>
  <si>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</si>
  <si>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</si>
  <si>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</si>
  <si>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</si>
  <si>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</si>
  <si>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</si>
  <si>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</si>
  <si>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</si>
  <si>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</si>
  <si>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</si>
  <si>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</si>
  <si>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</si>
  <si>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</si>
  <si>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</si>
  <si>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</si>
  <si>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</si>
  <si>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</si>
  <si>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</si>
  <si>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</si>
  <si>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</si>
  <si>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</si>
  <si>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</si>
  <si>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</si>
  <si>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</si>
  <si>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</si>
  <si>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</si>
  <si>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</si>
  <si>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</si>
  <si>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</si>
  <si>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</si>
  <si>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</si>
  <si>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</si>
  <si>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</si>
  <si>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</si>
  <si>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</si>
  <si>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</si>
  <si>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</si>
  <si>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</si>
  <si>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</si>
  <si>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</si>
  <si>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</si>
  <si>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</si>
  <si>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</si>
  <si>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</si>
  <si>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</si>
  <si>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</si>
  <si>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</si>
  <si>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</si>
  <si>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</si>
  <si>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</si>
  <si>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</si>
  <si>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</si>
  <si>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</si>
  <si>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</si>
  <si>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</si>
  <si>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</si>
  <si>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</si>
  <si>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</si>
  <si>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</si>
  <si>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</si>
  <si>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</si>
  <si>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</si>
  <si>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</si>
  <si>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</si>
  <si>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</si>
  <si>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</si>
  <si>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</si>
  <si>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</si>
  <si>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</si>
  <si>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</si>
  <si>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</si>
  <si>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</si>
  <si>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</si>
  <si>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</si>
  <si>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</si>
  <si>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16Jun26: Reset parameters for Med1 to standard values. Set formulas for LiveEx1 (HGM) and LiveEx2 (LGM) ready for the addition of saa values. Remove calibration from cl0[8]
6Jun26: Update the Parameters for Med1 &amp; LiveEx2 based on LiveEx calibration 4 - aiming to fix problem with the weaning rate.
25May26: Altered parameters for genptype Med1 and changed genotypes to LiveEx1 &amp; LiveEx2. Using calibration in GEPEP branch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</si>
  <si>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LiveEx_Std</t>
  </si>
  <si>
    <t>LiveEx_HGM</t>
  </si>
  <si>
    <t>LiveEx_LGM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</si>
</sst>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sz val="11"/>
      <color theme="1"/>
      <name val="Calibri"/>
      <family val="2"/>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
      <patternFill patternType="solid">
        <fgColor theme="5" tint="0.79998168889431442"/>
        <bgColor indexed="65"/>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5">
    <xf numFmtId="0" fontId="0" fillId="0" borderId="0"/>
    <xf numFmtId="0" fontId="5" fillId="8" borderId="8" applyNumberFormat="0" applyFont="0" applyBorder="0" applyAlignment="0">
      <alignment horizontal="center"/>
    </xf>
    <xf numFmtId="165" fontId="5" fillId="9" borderId="9">
      <alignment horizontal="right"/>
    </xf>
    <xf numFmtId="9" fontId="8" fillId="0" borderId="0" applyFont="0" applyFill="0" applyBorder="0" applyAlignment="0" applyProtection="0"/>
    <xf numFmtId="44" fontId="8" fillId="0" borderId="0" applyFont="0" applyFill="0" applyBorder="0" applyAlignment="0" applyProtection="0"/>
    <xf numFmtId="0" fontId="8" fillId="10" borderId="0" applyNumberFormat="0" applyFont="0" applyAlignment="0"/>
    <xf numFmtId="0" fontId="9" fillId="11" borderId="9" applyNumberFormat="0" applyProtection="0">
      <alignment horizontal="center" vertical="top"/>
    </xf>
    <xf numFmtId="0" fontId="10" fillId="12" borderId="0" applyNumberFormat="0" applyBorder="0" applyAlignment="0"/>
    <xf numFmtId="0" fontId="9" fillId="13" borderId="16">
      <alignment vertical="top"/>
    </xf>
    <xf numFmtId="0" fontId="8" fillId="14" borderId="0">
      <alignment horizontal="centerContinuous" vertical="top"/>
    </xf>
    <xf numFmtId="0" fontId="11" fillId="14" borderId="0" applyNumberFormat="0" applyBorder="0">
      <alignment horizontal="centerContinuous" vertical="center"/>
    </xf>
    <xf numFmtId="0" fontId="12" fillId="14" borderId="0" applyNumberFormat="0" applyBorder="0" applyProtection="0">
      <alignment horizontal="centerContinuous" vertical="center"/>
    </xf>
    <xf numFmtId="0" fontId="13" fillId="12" borderId="21" applyNumberFormat="0">
      <alignment horizontal="center" vertical="top" wrapText="1"/>
    </xf>
    <xf numFmtId="0" fontId="8" fillId="15" borderId="0" applyNumberFormat="0" applyFont="0" applyBorder="0" applyAlignment="0"/>
    <xf numFmtId="0" fontId="13" fillId="16" borderId="16">
      <alignment vertical="top"/>
    </xf>
    <xf numFmtId="0" fontId="8" fillId="17" borderId="9" applyNumberFormat="0">
      <alignment horizontal="center" vertical="top"/>
    </xf>
    <xf numFmtId="0" fontId="15" fillId="18" borderId="16" applyNumberFormat="0">
      <alignment vertical="top"/>
      <protection locked="0"/>
    </xf>
    <xf numFmtId="0" fontId="16" fillId="14" borderId="0" applyNumberFormat="0">
      <alignment horizontal="left" vertical="top"/>
    </xf>
    <xf numFmtId="0" fontId="15" fillId="19" borderId="16" applyNumberFormat="0">
      <alignment vertical="top"/>
      <protection locked="0"/>
    </xf>
    <xf numFmtId="0" fontId="13" fillId="20" borderId="30" applyNumberFormat="0" applyFont="0" applyAlignment="0">
      <alignment horizontal="center" vertical="top"/>
    </xf>
    <xf numFmtId="0" fontId="13" fillId="21" borderId="30" applyNumberFormat="0" applyFont="0" applyAlignment="0">
      <alignment horizontal="center" vertical="top"/>
    </xf>
    <xf numFmtId="0" fontId="15" fillId="13" borderId="16" applyNumberFormat="0">
      <alignment vertical="top"/>
      <protection locked="0"/>
    </xf>
    <xf numFmtId="0" fontId="13" fillId="22" borderId="30" applyNumberFormat="0" applyFont="0" applyAlignment="0">
      <alignment horizontal="center" vertical="top"/>
    </xf>
    <xf numFmtId="0" fontId="27" fillId="23" borderId="57" applyNumberFormat="0" applyAlignment="0" applyProtection="0"/>
    <xf numFmtId="0" fontId="29" fillId="24" borderId="16" applyNumberFormat="0" applyBorder="0" applyAlignment="0" applyProtection="0">
      <alignment vertical="top"/>
      <protection locked="0"/>
    </xf>
    <xf numFmtId="167" fontId="13" fillId="26" borderId="30" applyNumberFormat="0" applyFont="0" applyAlignment="0">
      <alignment vertical="top"/>
    </xf>
    <xf numFmtId="0" fontId="8" fillId="27" borderId="0" applyNumberFormat="0" applyBorder="0" applyAlignment="0" applyProtection="0"/>
    <xf numFmtId="0" fontId="8" fillId="28" borderId="0" applyNumberFormat="0" applyBorder="0" applyAlignment="0" applyProtection="0"/>
    <xf numFmtId="0" fontId="37" fillId="31" borderId="8" applyNumberFormat="0" applyBorder="0" applyAlignment="0">
      <protection locked="0"/>
    </xf>
    <xf numFmtId="0" fontId="38" fillId="30" borderId="57" applyNumberFormat="0" applyAlignment="0" applyProtection="0"/>
    <xf numFmtId="0" fontId="37" fillId="29" borderId="8" applyBorder="0" applyAlignment="0">
      <protection locked="0"/>
    </xf>
    <xf numFmtId="165" fontId="37" fillId="32" borderId="8" applyNumberFormat="0" applyFont="0" applyBorder="0" applyAlignment="0">
      <alignment horizontal="center"/>
      <protection locked="0"/>
    </xf>
    <xf numFmtId="0" fontId="42" fillId="33" borderId="0" applyNumberFormat="0" applyBorder="0" applyAlignment="0" applyProtection="0"/>
    <xf numFmtId="0" fontId="37" fillId="29" borderId="8" applyNumberFormat="0" applyBorder="0" applyAlignment="0">
      <protection locked="0"/>
    </xf>
    <xf numFmtId="0" fontId="1" fillId="35" borderId="0" applyNumberFormat="0" applyBorder="0" applyAlignment="0" applyProtection="0"/>
  </cellStyleXfs>
  <cellXfs count="645">
    <xf numFmtId="0" fontId="0" fillId="0" borderId="0" xfId="0"/>
    <xf numFmtId="0" fontId="0" fillId="2" borderId="0" xfId="0" applyFill="1"/>
    <xf numFmtId="0" fontId="0" fillId="2" borderId="0" xfId="0" applyFill="1" applyAlignment="1">
      <alignment horizontal="left" vertical="center"/>
    </xf>
    <xf numFmtId="0" fontId="2" fillId="2" borderId="0" xfId="0" applyFont="1" applyFill="1"/>
    <xf numFmtId="14" fontId="0" fillId="0" borderId="0" xfId="0" applyNumberFormat="1"/>
    <xf numFmtId="0" fontId="0" fillId="0" borderId="0" xfId="0" applyAlignment="1">
      <alignment wrapText="1"/>
    </xf>
    <xf numFmtId="0" fontId="0" fillId="3" borderId="0" xfId="0" applyFill="1"/>
    <xf numFmtId="0" fontId="5" fillId="4" borderId="0" xfId="0" applyFont="1" applyFill="1" applyAlignment="1">
      <alignment vertical="center"/>
    </xf>
    <xf numFmtId="0" fontId="0" fillId="5" borderId="0" xfId="0" applyFill="1"/>
    <xf numFmtId="0" fontId="5" fillId="5" borderId="0" xfId="0" applyFont="1" applyFill="1"/>
    <xf numFmtId="164" fontId="5" fillId="6" borderId="2" xfId="0" applyNumberFormat="1" applyFont="1" applyFill="1" applyBorder="1"/>
    <xf numFmtId="0" fontId="5" fillId="6" borderId="2" xfId="0" applyFont="1" applyFill="1" applyBorder="1"/>
    <xf numFmtId="0" fontId="5" fillId="6" borderId="3" xfId="0" applyFont="1" applyFill="1" applyBorder="1"/>
    <xf numFmtId="164" fontId="5" fillId="6" borderId="0" xfId="0" applyNumberFormat="1" applyFont="1" applyFill="1"/>
    <xf numFmtId="0" fontId="5" fillId="0" borderId="0" xfId="0" applyFont="1"/>
    <xf numFmtId="0" fontId="6" fillId="0" borderId="0" xfId="0" applyFont="1"/>
    <xf numFmtId="0" fontId="5" fillId="0" borderId="0" xfId="0" applyFont="1" applyAlignment="1">
      <alignment horizontal="center"/>
    </xf>
    <xf numFmtId="0" fontId="5" fillId="6" borderId="4" xfId="0" applyFont="1" applyFill="1" applyBorder="1"/>
    <xf numFmtId="0" fontId="5" fillId="6" borderId="0" xfId="0" applyFont="1" applyFill="1"/>
    <xf numFmtId="0" fontId="5" fillId="0" borderId="0" xfId="0" applyFont="1" applyAlignment="1">
      <alignment horizontal="left"/>
    </xf>
    <xf numFmtId="15" fontId="7" fillId="0" borderId="0" xfId="0" quotePrefix="1" applyNumberFormat="1" applyFont="1" applyAlignment="1">
      <alignment horizontal="left"/>
    </xf>
    <xf numFmtId="0" fontId="5" fillId="6" borderId="0" xfId="0" applyFont="1" applyFill="1" applyAlignment="1">
      <alignment horizontal="center"/>
    </xf>
    <xf numFmtId="0" fontId="5" fillId="7" borderId="5" xfId="0" applyFont="1" applyFill="1" applyBorder="1" applyAlignment="1">
      <alignment horizontal="center"/>
    </xf>
    <xf numFmtId="0" fontId="5" fillId="7" borderId="0" xfId="0" applyFont="1" applyFill="1" applyAlignment="1">
      <alignment horizontal="center"/>
    </xf>
    <xf numFmtId="2" fontId="5" fillId="0" borderId="0" xfId="0" applyNumberFormat="1" applyFont="1" applyAlignment="1">
      <alignment horizontal="left"/>
    </xf>
    <xf numFmtId="2" fontId="5" fillId="0" borderId="6" xfId="0" applyNumberFormat="1" applyFont="1" applyBorder="1" applyAlignment="1">
      <alignment horizontal="left"/>
    </xf>
    <xf numFmtId="2" fontId="5" fillId="0" borderId="6" xfId="0" applyNumberFormat="1" applyFont="1" applyBorder="1" applyAlignment="1">
      <alignment horizontal="center"/>
    </xf>
    <xf numFmtId="2" fontId="5" fillId="0" borderId="0" xfId="0" applyNumberFormat="1" applyFont="1" applyAlignment="1">
      <alignment horizontal="center"/>
    </xf>
    <xf numFmtId="2" fontId="5" fillId="0" borderId="7" xfId="0" applyNumberFormat="1" applyFont="1" applyBorder="1" applyAlignment="1">
      <alignment horizontal="left"/>
    </xf>
    <xf numFmtId="1" fontId="5" fillId="8" borderId="7" xfId="1" applyNumberFormat="1" applyFont="1" applyBorder="1" applyAlignment="1"/>
    <xf numFmtId="2" fontId="5" fillId="0" borderId="7" xfId="0" applyNumberFormat="1" applyFont="1" applyBorder="1" applyAlignment="1">
      <alignment horizontal="center"/>
    </xf>
    <xf numFmtId="0" fontId="0" fillId="0" borderId="7" xfId="0" applyBorder="1" applyAlignment="1">
      <alignment horizontal="left"/>
    </xf>
    <xf numFmtId="1" fontId="5" fillId="0" borderId="7" xfId="0" applyNumberFormat="1" applyFont="1" applyBorder="1" applyProtection="1">
      <protection locked="0"/>
    </xf>
    <xf numFmtId="2" fontId="5" fillId="0" borderId="0" xfId="0" applyNumberFormat="1" applyFont="1"/>
    <xf numFmtId="2" fontId="5" fillId="0" borderId="1" xfId="0" applyNumberFormat="1" applyFont="1" applyBorder="1" applyAlignment="1">
      <alignment horizontal="left"/>
    </xf>
    <xf numFmtId="2" fontId="5" fillId="0" borderId="1" xfId="0" applyNumberFormat="1" applyFont="1" applyBorder="1" applyAlignment="1">
      <alignment horizontal="center"/>
    </xf>
    <xf numFmtId="0" fontId="5" fillId="6" borderId="10" xfId="0" applyFont="1" applyFill="1" applyBorder="1"/>
    <xf numFmtId="0" fontId="5" fillId="6" borderId="10" xfId="0" applyFont="1" applyFill="1" applyBorder="1" applyAlignment="1">
      <alignment vertical="center"/>
    </xf>
    <xf numFmtId="164" fontId="5" fillId="6" borderId="11" xfId="0" applyNumberFormat="1" applyFont="1" applyFill="1" applyBorder="1" applyAlignment="1">
      <alignment vertical="center"/>
    </xf>
    <xf numFmtId="2" fontId="5" fillId="8" borderId="7" xfId="1" applyNumberFormat="1" applyFont="1" applyBorder="1" applyAlignment="1">
      <alignment horizontal="center"/>
    </xf>
    <xf numFmtId="2" fontId="5" fillId="8" borderId="7" xfId="1" applyNumberFormat="1" applyFont="1" applyBorder="1" applyAlignment="1"/>
    <xf numFmtId="2" fontId="5" fillId="0" borderId="7" xfId="0" applyNumberFormat="1" applyFont="1" applyBorder="1" applyAlignment="1">
      <alignment horizontal="right"/>
    </xf>
    <xf numFmtId="166" fontId="0" fillId="0" borderId="0" xfId="3" applyNumberFormat="1" applyFont="1" applyFill="1"/>
    <xf numFmtId="9" fontId="5" fillId="8" borderId="7" xfId="3" applyFont="1" applyFill="1" applyBorder="1" applyAlignment="1"/>
    <xf numFmtId="9" fontId="0" fillId="0" borderId="0" xfId="3" applyFont="1" applyFill="1"/>
    <xf numFmtId="0" fontId="0" fillId="10" borderId="0" xfId="5" applyFont="1"/>
    <xf numFmtId="167" fontId="9" fillId="10" borderId="0" xfId="5" applyNumberFormat="1" applyFont="1"/>
    <xf numFmtId="167" fontId="9" fillId="11" borderId="0" xfId="6" applyNumberFormat="1" applyBorder="1" applyAlignment="1"/>
    <xf numFmtId="0" fontId="0" fillId="10" borderId="12" xfId="5" applyFont="1" applyBorder="1"/>
    <xf numFmtId="167" fontId="9" fillId="11" borderId="12" xfId="6" applyNumberFormat="1" applyBorder="1" applyAlignment="1"/>
    <xf numFmtId="0" fontId="10" fillId="12" borderId="13" xfId="7" applyBorder="1"/>
    <xf numFmtId="167" fontId="9" fillId="11" borderId="2" xfId="6" applyNumberFormat="1" applyBorder="1" applyAlignment="1"/>
    <xf numFmtId="0" fontId="0" fillId="12" borderId="2" xfId="7" applyFont="1" applyBorder="1"/>
    <xf numFmtId="0" fontId="0" fillId="12" borderId="3" xfId="7" applyFont="1" applyBorder="1"/>
    <xf numFmtId="0" fontId="10" fillId="12" borderId="14" xfId="7" applyBorder="1"/>
    <xf numFmtId="0" fontId="0" fillId="12" borderId="0" xfId="7" applyFont="1"/>
    <xf numFmtId="0" fontId="9" fillId="11" borderId="9" xfId="6">
      <alignment horizontal="center" vertical="top"/>
    </xf>
    <xf numFmtId="0" fontId="0" fillId="12" borderId="4" xfId="7" applyFont="1" applyBorder="1"/>
    <xf numFmtId="0" fontId="0" fillId="12" borderId="15" xfId="7" applyFont="1" applyBorder="1"/>
    <xf numFmtId="0" fontId="9" fillId="13" borderId="16" xfId="8" applyAlignment="1">
      <alignment horizontal="right" vertical="top"/>
    </xf>
    <xf numFmtId="0" fontId="9" fillId="13" borderId="16" xfId="8" applyAlignment="1">
      <alignment horizontal="center" vertical="top"/>
    </xf>
    <xf numFmtId="0" fontId="8" fillId="14" borderId="17" xfId="9" applyBorder="1" applyAlignment="1">
      <alignment vertical="top"/>
    </xf>
    <xf numFmtId="0" fontId="11" fillId="14" borderId="1" xfId="10" applyBorder="1">
      <alignment horizontal="centerContinuous" vertical="center"/>
    </xf>
    <xf numFmtId="0" fontId="8" fillId="14" borderId="1" xfId="9" applyBorder="1">
      <alignment horizontal="centerContinuous" vertical="top"/>
    </xf>
    <xf numFmtId="0" fontId="8" fillId="14" borderId="18" xfId="9" applyBorder="1" applyAlignment="1">
      <alignment vertical="top"/>
    </xf>
    <xf numFmtId="9" fontId="9" fillId="13" borderId="16" xfId="8" applyNumberFormat="1" applyAlignment="1">
      <alignment horizontal="center" vertical="top"/>
    </xf>
    <xf numFmtId="0" fontId="8" fillId="14" borderId="19" xfId="9" applyBorder="1" applyAlignment="1">
      <alignment vertical="top"/>
    </xf>
    <xf numFmtId="0" fontId="12" fillId="14" borderId="6" xfId="11" applyBorder="1">
      <alignment horizontal="centerContinuous" vertical="center"/>
    </xf>
    <xf numFmtId="0" fontId="8" fillId="14" borderId="6" xfId="9" applyBorder="1">
      <alignment horizontal="centerContinuous" vertical="top"/>
    </xf>
    <xf numFmtId="0" fontId="8" fillId="14" borderId="20" xfId="9" applyBorder="1" applyAlignment="1">
      <alignment vertical="top"/>
    </xf>
    <xf numFmtId="0" fontId="9" fillId="13" borderId="16" xfId="8">
      <alignment vertical="top"/>
    </xf>
    <xf numFmtId="0" fontId="13" fillId="12" borderId="0" xfId="12" applyBorder="1">
      <alignment horizontal="center" vertical="top" wrapText="1"/>
    </xf>
    <xf numFmtId="0" fontId="13" fillId="12" borderId="21" xfId="12">
      <alignment horizontal="center" vertical="top" wrapText="1"/>
    </xf>
    <xf numFmtId="0" fontId="0" fillId="15" borderId="0" xfId="13" applyFont="1"/>
    <xf numFmtId="0" fontId="0" fillId="15" borderId="22" xfId="13" applyFont="1" applyBorder="1"/>
    <xf numFmtId="0" fontId="14" fillId="16" borderId="16" xfId="14" applyFont="1">
      <alignment vertical="top"/>
    </xf>
    <xf numFmtId="0" fontId="13" fillId="16" borderId="16" xfId="14">
      <alignment vertical="top"/>
    </xf>
    <xf numFmtId="0" fontId="15" fillId="18" borderId="0" xfId="16" applyBorder="1" applyAlignment="1">
      <alignment horizontal="left" vertical="top" wrapText="1"/>
      <protection locked="0"/>
    </xf>
    <xf numFmtId="0" fontId="13" fillId="16" borderId="16" xfId="14" applyAlignment="1">
      <alignment horizontal="right" vertical="top"/>
    </xf>
    <xf numFmtId="0" fontId="8" fillId="17" borderId="9" xfId="15">
      <alignment horizontal="center" vertical="top"/>
    </xf>
    <xf numFmtId="9" fontId="8" fillId="17" borderId="9" xfId="15" applyNumberFormat="1">
      <alignment horizontal="center" vertical="top"/>
    </xf>
    <xf numFmtId="0" fontId="10" fillId="12" borderId="25" xfId="7" applyBorder="1"/>
    <xf numFmtId="167" fontId="9"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9" fillId="11" borderId="26" xfId="6" applyNumberFormat="1" applyBorder="1" applyAlignment="1"/>
    <xf numFmtId="167" fontId="9" fillId="11" borderId="0" xfId="6" applyNumberFormat="1" applyBorder="1" applyAlignment="1">
      <alignment vertical="center"/>
    </xf>
    <xf numFmtId="167" fontId="9" fillId="11" borderId="12" xfId="6" applyNumberFormat="1" applyBorder="1" applyAlignment="1">
      <alignment vertical="center"/>
    </xf>
    <xf numFmtId="167" fontId="9" fillId="11" borderId="2" xfId="6" applyNumberFormat="1" applyBorder="1" applyAlignment="1">
      <alignment vertical="center"/>
    </xf>
    <xf numFmtId="0" fontId="16" fillId="14" borderId="0" xfId="17">
      <alignment horizontal="left" vertical="top"/>
    </xf>
    <xf numFmtId="0" fontId="17" fillId="14" borderId="0" xfId="9" quotePrefix="1" applyFont="1" applyAlignment="1">
      <alignment horizontal="left" vertical="top"/>
    </xf>
    <xf numFmtId="0" fontId="8" fillId="14" borderId="0" xfId="9">
      <alignment horizontal="centerContinuous" vertical="top"/>
    </xf>
    <xf numFmtId="0" fontId="8" fillId="14" borderId="0" xfId="9" applyAlignment="1">
      <alignment horizontal="left" vertical="top"/>
    </xf>
    <xf numFmtId="0" fontId="0" fillId="15" borderId="16" xfId="13" applyFont="1" applyBorder="1"/>
    <xf numFmtId="0" fontId="13" fillId="16" borderId="16" xfId="14" applyAlignment="1">
      <alignment horizontal="centerContinuous" vertical="top"/>
    </xf>
    <xf numFmtId="0" fontId="13" fillId="16" borderId="16" xfId="14" applyAlignment="1">
      <alignment horizontal="center" vertical="top"/>
    </xf>
    <xf numFmtId="0" fontId="15" fillId="18" borderId="16" xfId="16">
      <alignment vertical="top"/>
      <protection locked="0"/>
    </xf>
    <xf numFmtId="0" fontId="18" fillId="15" borderId="0" xfId="13" applyFont="1"/>
    <xf numFmtId="0" fontId="15" fillId="18" borderId="16" xfId="16" applyAlignment="1">
      <alignment horizontal="center" vertical="top"/>
      <protection locked="0"/>
    </xf>
    <xf numFmtId="167" fontId="9" fillId="11" borderId="10" xfId="6" applyNumberFormat="1" applyBorder="1" applyAlignment="1">
      <alignment vertical="center"/>
    </xf>
    <xf numFmtId="0" fontId="18" fillId="12" borderId="10" xfId="7" applyFont="1" applyBorder="1"/>
    <xf numFmtId="167" fontId="9" fillId="11" borderId="26" xfId="6" applyNumberFormat="1" applyBorder="1" applyAlignment="1">
      <alignment vertical="center"/>
    </xf>
    <xf numFmtId="0" fontId="18" fillId="10" borderId="26" xfId="5" applyFont="1" applyBorder="1"/>
    <xf numFmtId="0" fontId="19" fillId="10" borderId="0" xfId="5" applyFont="1"/>
    <xf numFmtId="0" fontId="13" fillId="16" borderId="27" xfId="14" applyBorder="1">
      <alignment vertical="top"/>
    </xf>
    <xf numFmtId="0" fontId="20" fillId="16" borderId="27" xfId="14" applyFont="1" applyBorder="1" applyAlignment="1">
      <alignment horizontal="centerContinuous" vertical="top"/>
    </xf>
    <xf numFmtId="0" fontId="13" fillId="16" borderId="27" xfId="14" applyBorder="1" applyAlignment="1">
      <alignment horizontal="centerContinuous" vertical="top"/>
    </xf>
    <xf numFmtId="0" fontId="13" fillId="16" borderId="21" xfId="14" applyBorder="1" applyAlignment="1">
      <alignment horizontal="center" vertical="top"/>
    </xf>
    <xf numFmtId="0" fontId="13" fillId="16" borderId="28" xfId="14" applyBorder="1">
      <alignment vertical="top"/>
    </xf>
    <xf numFmtId="0" fontId="8" fillId="17" borderId="8" xfId="15" applyBorder="1">
      <alignment horizontal="center" vertical="top"/>
    </xf>
    <xf numFmtId="166" fontId="13" fillId="20" borderId="31" xfId="19" applyNumberFormat="1" applyFont="1" applyBorder="1" applyAlignment="1">
      <alignment vertical="top"/>
    </xf>
    <xf numFmtId="9" fontId="13" fillId="20" borderId="31" xfId="19" applyNumberFormat="1" applyFont="1" applyBorder="1" applyAlignment="1">
      <alignment vertical="top"/>
    </xf>
    <xf numFmtId="9" fontId="15" fillId="18" borderId="16" xfId="16" applyNumberFormat="1" applyAlignment="1">
      <alignment horizontal="center" vertical="top"/>
      <protection locked="0"/>
    </xf>
    <xf numFmtId="10" fontId="13" fillId="16" borderId="16" xfId="3" applyNumberFormat="1" applyFont="1" applyFill="1" applyBorder="1" applyAlignment="1">
      <alignment vertical="top"/>
    </xf>
    <xf numFmtId="9" fontId="15" fillId="18" borderId="16" xfId="3" applyFont="1" applyFill="1" applyBorder="1" applyAlignment="1" applyProtection="1">
      <alignment vertical="top"/>
      <protection locked="0"/>
    </xf>
    <xf numFmtId="166" fontId="0" fillId="0" borderId="0" xfId="0" applyNumberFormat="1"/>
    <xf numFmtId="166" fontId="15" fillId="18" borderId="16" xfId="16" applyNumberFormat="1">
      <alignment vertical="top"/>
      <protection locked="0"/>
    </xf>
    <xf numFmtId="9" fontId="15" fillId="18" borderId="16" xfId="16" applyNumberFormat="1">
      <alignment vertical="top"/>
      <protection locked="0"/>
    </xf>
    <xf numFmtId="0" fontId="15" fillId="18" borderId="27" xfId="16" applyBorder="1">
      <alignment vertical="top"/>
      <protection locked="0"/>
    </xf>
    <xf numFmtId="0" fontId="21" fillId="16" borderId="16" xfId="14" applyFont="1" applyAlignment="1">
      <alignment horizontal="centerContinuous" vertical="center"/>
    </xf>
    <xf numFmtId="0" fontId="13" fillId="16" borderId="16" xfId="14" applyAlignment="1">
      <alignment horizontal="right" vertical="center"/>
    </xf>
    <xf numFmtId="2" fontId="13" fillId="16" borderId="16" xfId="14" applyNumberFormat="1" applyAlignment="1">
      <alignment horizontal="center" vertical="top"/>
    </xf>
    <xf numFmtId="166" fontId="13" fillId="16" borderId="16" xfId="3" applyNumberFormat="1" applyFont="1" applyFill="1" applyBorder="1" applyAlignment="1">
      <alignment horizontal="center" vertical="top"/>
    </xf>
    <xf numFmtId="166" fontId="15" fillId="18" borderId="16" xfId="16" applyNumberFormat="1" applyAlignment="1">
      <alignment horizontal="center" vertical="top"/>
      <protection locked="0"/>
    </xf>
    <xf numFmtId="0" fontId="13" fillId="16" borderId="34" xfId="14" applyBorder="1">
      <alignment vertical="top"/>
    </xf>
    <xf numFmtId="0" fontId="13" fillId="16" borderId="34" xfId="14" applyBorder="1" applyAlignment="1">
      <alignment horizontal="center" vertical="top"/>
    </xf>
    <xf numFmtId="166" fontId="13" fillId="16" borderId="34" xfId="3" applyNumberFormat="1" applyFont="1" applyFill="1" applyBorder="1" applyAlignment="1">
      <alignment horizontal="center" vertical="top"/>
    </xf>
    <xf numFmtId="0" fontId="9" fillId="13" borderId="16" xfId="8" applyAlignment="1">
      <alignment vertical="top" wrapText="1"/>
    </xf>
    <xf numFmtId="0" fontId="13" fillId="16" borderId="16" xfId="14" applyAlignment="1">
      <alignment horizontal="left" vertical="top"/>
    </xf>
    <xf numFmtId="0" fontId="20" fillId="16" borderId="21" xfId="14" applyFont="1" applyBorder="1">
      <alignment vertical="top"/>
    </xf>
    <xf numFmtId="0" fontId="13" fillId="16" borderId="28" xfId="14" applyBorder="1" applyAlignment="1">
      <alignment horizontal="centerContinuous" vertical="top"/>
    </xf>
    <xf numFmtId="0" fontId="13" fillId="16" borderId="28" xfId="14" applyBorder="1" applyAlignment="1">
      <alignment horizontal="center" vertical="top"/>
    </xf>
    <xf numFmtId="0" fontId="13" fillId="16" borderId="28" xfId="14" applyBorder="1" applyAlignment="1">
      <alignment horizontal="center" vertical="top" wrapText="1"/>
    </xf>
    <xf numFmtId="0" fontId="13" fillId="16" borderId="28" xfId="14" applyBorder="1" applyAlignment="1">
      <alignment vertical="top" wrapText="1"/>
    </xf>
    <xf numFmtId="0" fontId="13" fillId="16" borderId="35" xfId="14" applyBorder="1">
      <alignment vertical="top"/>
    </xf>
    <xf numFmtId="0" fontId="15" fillId="18" borderId="29" xfId="16" applyBorder="1">
      <alignment vertical="top"/>
      <protection locked="0"/>
    </xf>
    <xf numFmtId="0" fontId="15" fillId="18" borderId="29" xfId="16" applyBorder="1" applyAlignment="1">
      <alignment horizontal="center" vertical="top"/>
      <protection locked="0"/>
    </xf>
    <xf numFmtId="9" fontId="15" fillId="18" borderId="29" xfId="3" applyFont="1" applyFill="1" applyBorder="1" applyAlignment="1" applyProtection="1">
      <alignment horizontal="center" vertical="top"/>
      <protection locked="0"/>
    </xf>
    <xf numFmtId="0" fontId="13" fillId="16" borderId="29" xfId="14" applyBorder="1" applyAlignment="1">
      <alignment horizontal="center" vertical="top"/>
    </xf>
    <xf numFmtId="0" fontId="13" fillId="16" borderId="29" xfId="14" applyBorder="1">
      <alignment vertical="top"/>
    </xf>
    <xf numFmtId="0" fontId="15" fillId="18" borderId="36" xfId="16" applyBorder="1" applyAlignment="1">
      <alignment horizontal="right" vertical="top"/>
      <protection locked="0"/>
    </xf>
    <xf numFmtId="9" fontId="15" fillId="18" borderId="29" xfId="16" applyNumberFormat="1" applyBorder="1" applyAlignment="1">
      <alignment horizontal="center" vertical="top"/>
      <protection locked="0"/>
    </xf>
    <xf numFmtId="10" fontId="15" fillId="18" borderId="29" xfId="16" applyNumberFormat="1" applyBorder="1" applyAlignment="1">
      <alignment horizontal="center" vertical="top"/>
      <protection locked="0"/>
    </xf>
    <xf numFmtId="166" fontId="13" fillId="16" borderId="29" xfId="3" applyNumberFormat="1" applyFont="1" applyFill="1" applyBorder="1" applyAlignment="1">
      <alignment horizontal="center" vertical="top"/>
    </xf>
    <xf numFmtId="0" fontId="15" fillId="18" borderId="16" xfId="16" quotePrefix="1" applyAlignment="1">
      <alignment horizontal="center" vertical="top"/>
      <protection locked="0"/>
    </xf>
    <xf numFmtId="9" fontId="15" fillId="18" borderId="16" xfId="3" applyFont="1" applyFill="1" applyBorder="1" applyAlignment="1" applyProtection="1">
      <alignment horizontal="center" vertical="top"/>
      <protection locked="0"/>
    </xf>
    <xf numFmtId="0" fontId="15" fillId="18" borderId="37" xfId="16" applyBorder="1" applyAlignment="1">
      <alignment horizontal="right" vertical="top"/>
      <protection locked="0"/>
    </xf>
    <xf numFmtId="0" fontId="15" fillId="18" borderId="38" xfId="16" applyBorder="1" applyAlignment="1">
      <alignment horizontal="center" vertical="top"/>
      <protection locked="0"/>
    </xf>
    <xf numFmtId="9" fontId="15" fillId="18" borderId="38" xfId="16" applyNumberFormat="1" applyBorder="1" applyAlignment="1">
      <alignment horizontal="center" vertical="top"/>
      <protection locked="0"/>
    </xf>
    <xf numFmtId="10" fontId="15" fillId="18" borderId="38" xfId="16" applyNumberFormat="1" applyBorder="1" applyAlignment="1">
      <alignment horizontal="center" vertical="top"/>
      <protection locked="0"/>
    </xf>
    <xf numFmtId="0" fontId="13" fillId="16" borderId="38" xfId="14" applyBorder="1" applyAlignment="1">
      <alignment horizontal="center" vertical="top"/>
    </xf>
    <xf numFmtId="166" fontId="13" fillId="16" borderId="38" xfId="3" applyNumberFormat="1" applyFont="1" applyFill="1" applyBorder="1" applyAlignment="1">
      <alignment horizontal="center" vertical="top"/>
    </xf>
    <xf numFmtId="0" fontId="15" fillId="18" borderId="28" xfId="16" applyBorder="1">
      <alignment vertical="top"/>
      <protection locked="0"/>
    </xf>
    <xf numFmtId="0" fontId="15" fillId="18" borderId="28" xfId="16" applyBorder="1" applyAlignment="1">
      <alignment horizontal="center" vertical="top"/>
      <protection locked="0"/>
    </xf>
    <xf numFmtId="0" fontId="13" fillId="16" borderId="21" xfId="14" applyBorder="1">
      <alignment vertical="top"/>
    </xf>
    <xf numFmtId="0" fontId="15" fillId="18" borderId="39" xfId="16" applyBorder="1" applyAlignment="1">
      <alignment horizontal="right" vertical="top"/>
      <protection locked="0"/>
    </xf>
    <xf numFmtId="0" fontId="15" fillId="18" borderId="40" xfId="16" applyBorder="1" applyAlignment="1">
      <alignment horizontal="center" vertical="top"/>
      <protection locked="0"/>
    </xf>
    <xf numFmtId="9" fontId="15" fillId="18" borderId="40" xfId="16" applyNumberFormat="1" applyBorder="1" applyAlignment="1">
      <alignment horizontal="center" vertical="top"/>
      <protection locked="0"/>
    </xf>
    <xf numFmtId="10" fontId="15" fillId="18" borderId="40" xfId="16" applyNumberFormat="1" applyBorder="1" applyAlignment="1">
      <alignment horizontal="center" vertical="top"/>
      <protection locked="0"/>
    </xf>
    <xf numFmtId="0" fontId="13" fillId="16" borderId="40" xfId="14" applyBorder="1" applyAlignment="1">
      <alignment horizontal="center" vertical="top"/>
    </xf>
    <xf numFmtId="166" fontId="13" fillId="16" borderId="40" xfId="3" applyNumberFormat="1" applyFont="1" applyFill="1" applyBorder="1" applyAlignment="1">
      <alignment horizontal="center" vertical="top"/>
    </xf>
    <xf numFmtId="0" fontId="13" fillId="16" borderId="32" xfId="14" applyBorder="1">
      <alignment vertical="top"/>
    </xf>
    <xf numFmtId="0" fontId="15" fillId="18" borderId="32" xfId="16" applyBorder="1">
      <alignment vertical="top"/>
      <protection locked="0"/>
    </xf>
    <xf numFmtId="0" fontId="15" fillId="18" borderId="32" xfId="16" applyBorder="1" applyAlignment="1">
      <alignment horizontal="center" vertical="top"/>
      <protection locked="0"/>
    </xf>
    <xf numFmtId="9" fontId="15" fillId="18" borderId="32" xfId="3" applyFont="1" applyFill="1" applyBorder="1" applyAlignment="1" applyProtection="1">
      <alignment horizontal="center" vertical="top"/>
      <protection locked="0"/>
    </xf>
    <xf numFmtId="0" fontId="13" fillId="16" borderId="32" xfId="14" applyBorder="1" applyAlignment="1">
      <alignment horizontal="center" vertical="top"/>
    </xf>
    <xf numFmtId="0" fontId="15" fillId="18" borderId="41" xfId="16" applyBorder="1" applyAlignment="1">
      <alignment horizontal="right" vertical="top"/>
      <protection locked="0"/>
    </xf>
    <xf numFmtId="9" fontId="15" fillId="18" borderId="32" xfId="16" applyNumberFormat="1" applyBorder="1" applyAlignment="1">
      <alignment horizontal="center" vertical="top"/>
      <protection locked="0"/>
    </xf>
    <xf numFmtId="10" fontId="15" fillId="18" borderId="32" xfId="16" applyNumberFormat="1" applyBorder="1" applyAlignment="1">
      <alignment horizontal="center" vertical="top"/>
      <protection locked="0"/>
    </xf>
    <xf numFmtId="166" fontId="13" fillId="16" borderId="32" xfId="3" applyNumberFormat="1" applyFont="1" applyFill="1" applyBorder="1" applyAlignment="1">
      <alignment horizontal="center" vertical="top"/>
    </xf>
    <xf numFmtId="9" fontId="13" fillId="16" borderId="16" xfId="14" applyNumberFormat="1" applyAlignment="1">
      <alignment horizontal="center" vertical="top"/>
    </xf>
    <xf numFmtId="0" fontId="20" fillId="16" borderId="27" xfId="14" applyFont="1" applyBorder="1" applyAlignment="1">
      <alignment horizontal="center" vertical="top"/>
    </xf>
    <xf numFmtId="0" fontId="8" fillId="17" borderId="42" xfId="15" applyBorder="1">
      <alignment horizontal="center" vertical="top"/>
    </xf>
    <xf numFmtId="0" fontId="13" fillId="16" borderId="46" xfId="14" applyBorder="1">
      <alignment vertical="top"/>
    </xf>
    <xf numFmtId="0" fontId="8" fillId="17" borderId="24" xfId="15" applyBorder="1">
      <alignment horizontal="center" vertical="top"/>
    </xf>
    <xf numFmtId="0" fontId="22" fillId="16" borderId="16" xfId="14" applyFont="1" applyAlignment="1">
      <alignment horizontal="center" vertical="top"/>
    </xf>
    <xf numFmtId="0" fontId="13" fillId="16" borderId="27" xfId="14" applyBorder="1" applyAlignment="1">
      <alignment horizontal="center" vertical="top"/>
    </xf>
    <xf numFmtId="0" fontId="8" fillId="17" borderId="22" xfId="15" applyBorder="1">
      <alignment horizontal="center" vertical="top"/>
    </xf>
    <xf numFmtId="0" fontId="15" fillId="18" borderId="16" xfId="16" quotePrefix="1">
      <alignment vertical="top"/>
      <protection locked="0"/>
    </xf>
    <xf numFmtId="0" fontId="15" fillId="19" borderId="16" xfId="18" applyAlignment="1">
      <alignment horizontal="center" vertical="top"/>
      <protection locked="0"/>
    </xf>
    <xf numFmtId="0" fontId="13" fillId="16" borderId="38" xfId="14" applyBorder="1">
      <alignment vertical="top"/>
    </xf>
    <xf numFmtId="0" fontId="13" fillId="16" borderId="38" xfId="14" applyBorder="1" applyAlignment="1">
      <alignment horizontal="right" vertical="top"/>
    </xf>
    <xf numFmtId="9" fontId="15" fillId="18" borderId="38" xfId="3" applyFont="1" applyFill="1" applyBorder="1" applyAlignment="1" applyProtection="1">
      <alignment vertical="top"/>
      <protection locked="0"/>
    </xf>
    <xf numFmtId="0" fontId="13" fillId="16" borderId="51" xfId="14" applyBorder="1">
      <alignment vertical="top"/>
    </xf>
    <xf numFmtId="0" fontId="13" fillId="16" borderId="51" xfId="14" applyBorder="1" applyAlignment="1">
      <alignment horizontal="right" vertical="top"/>
    </xf>
    <xf numFmtId="9" fontId="15" fillId="18" borderId="51" xfId="3" applyFont="1" applyFill="1" applyBorder="1" applyAlignment="1" applyProtection="1">
      <alignment vertical="top"/>
      <protection locked="0"/>
    </xf>
    <xf numFmtId="0" fontId="20" fillId="16" borderId="16" xfId="14" applyFont="1">
      <alignment vertical="top"/>
    </xf>
    <xf numFmtId="0" fontId="15" fillId="18" borderId="16" xfId="16" applyAlignment="1">
      <alignment horizontal="right" vertical="top"/>
      <protection locked="0"/>
    </xf>
    <xf numFmtId="0" fontId="21" fillId="16" borderId="28" xfId="14" applyFont="1" applyBorder="1" applyAlignment="1">
      <alignment horizontal="center" vertical="center" wrapText="1"/>
    </xf>
    <xf numFmtId="0" fontId="23" fillId="18" borderId="29" xfId="16" applyFont="1" applyBorder="1" applyAlignment="1">
      <alignment horizontal="center" vertical="top"/>
      <protection locked="0"/>
    </xf>
    <xf numFmtId="0" fontId="24" fillId="18" borderId="16" xfId="16" applyFont="1" applyAlignment="1">
      <alignment horizontal="center" vertical="top"/>
      <protection locked="0"/>
    </xf>
    <xf numFmtId="167" fontId="15" fillId="18" borderId="16" xfId="16" applyNumberFormat="1" applyAlignment="1">
      <alignment horizontal="center" vertical="top"/>
      <protection locked="0"/>
    </xf>
    <xf numFmtId="167" fontId="13" fillId="16" borderId="16" xfId="14" applyNumberFormat="1" applyAlignment="1">
      <alignment horizontal="center" vertical="top"/>
    </xf>
    <xf numFmtId="0" fontId="21" fillId="16" borderId="32" xfId="14" applyFont="1" applyBorder="1" applyAlignment="1">
      <alignment vertical="top" wrapText="1" shrinkToFit="1"/>
    </xf>
    <xf numFmtId="0" fontId="21" fillId="16" borderId="16" xfId="14" applyFont="1" applyAlignment="1">
      <alignment horizontal="centerContinuous" vertical="top"/>
    </xf>
    <xf numFmtId="0" fontId="21" fillId="16" borderId="16" xfId="14" applyFont="1" applyAlignment="1">
      <alignment horizontal="center" vertical="top"/>
    </xf>
    <xf numFmtId="0" fontId="13" fillId="16" borderId="32" xfId="14" applyBorder="1" applyAlignment="1">
      <alignment horizontal="centerContinuous" vertical="top"/>
    </xf>
    <xf numFmtId="0" fontId="13" fillId="16" borderId="32" xfId="14" applyBorder="1" applyAlignment="1">
      <alignment horizontal="right" vertical="top"/>
    </xf>
    <xf numFmtId="169" fontId="15" fillId="18" borderId="16" xfId="16" applyNumberFormat="1" applyAlignment="1">
      <alignment horizontal="center" vertical="top"/>
      <protection locked="0"/>
    </xf>
    <xf numFmtId="0" fontId="25" fillId="16" borderId="27" xfId="14" applyFont="1" applyBorder="1">
      <alignment vertical="top"/>
    </xf>
    <xf numFmtId="0" fontId="15" fillId="18" borderId="16" xfId="16" applyNumberFormat="1" applyAlignment="1">
      <alignment horizontal="center" vertical="top"/>
      <protection locked="0"/>
    </xf>
    <xf numFmtId="0" fontId="15" fillId="18" borderId="52" xfId="16" applyNumberFormat="1" applyBorder="1" applyAlignment="1">
      <alignment horizontal="center" vertical="top"/>
      <protection locked="0"/>
    </xf>
    <xf numFmtId="170" fontId="15" fillId="18" borderId="16" xfId="16" applyNumberFormat="1">
      <alignment vertical="top"/>
      <protection locked="0"/>
    </xf>
    <xf numFmtId="0" fontId="25" fillId="16" borderId="16" xfId="14" applyFont="1">
      <alignment vertical="top"/>
    </xf>
    <xf numFmtId="165" fontId="25" fillId="16" borderId="16" xfId="14" applyNumberFormat="1" applyFont="1">
      <alignment vertical="top"/>
    </xf>
    <xf numFmtId="171" fontId="15" fillId="18" borderId="16" xfId="16" applyNumberFormat="1" applyAlignment="1">
      <alignment horizontal="center" vertical="top"/>
      <protection locked="0"/>
    </xf>
    <xf numFmtId="171" fontId="15" fillId="18" borderId="53" xfId="16" applyNumberFormat="1" applyBorder="1" applyAlignment="1">
      <alignment horizontal="center" vertical="top"/>
      <protection locked="0"/>
    </xf>
    <xf numFmtId="0" fontId="25" fillId="16" borderId="28" xfId="14" applyFont="1" applyBorder="1">
      <alignment vertical="top"/>
    </xf>
    <xf numFmtId="0" fontId="13" fillId="16" borderId="54" xfId="14" applyBorder="1" applyAlignment="1">
      <alignment horizontal="center" vertical="top"/>
    </xf>
    <xf numFmtId="0" fontId="13" fillId="16" borderId="55" xfId="14" applyBorder="1">
      <alignment vertical="top"/>
    </xf>
    <xf numFmtId="0" fontId="13" fillId="16" borderId="56" xfId="14" applyBorder="1" applyAlignment="1">
      <alignment horizontal="center" vertical="top"/>
    </xf>
    <xf numFmtId="171" fontId="15" fillId="18" borderId="56" xfId="16" applyNumberFormat="1" applyBorder="1" applyAlignment="1">
      <alignment horizontal="center" vertical="top"/>
      <protection locked="0"/>
    </xf>
    <xf numFmtId="173" fontId="15" fillId="18" borderId="56" xfId="16" applyNumberFormat="1" applyBorder="1" applyAlignment="1">
      <alignment horizontal="center" vertical="top"/>
      <protection locked="0"/>
    </xf>
    <xf numFmtId="165" fontId="25" fillId="16" borderId="56" xfId="14" applyNumberFormat="1" applyFont="1" applyBorder="1">
      <alignment vertical="top"/>
    </xf>
    <xf numFmtId="0" fontId="25" fillId="16" borderId="56" xfId="14" applyFont="1" applyBorder="1">
      <alignment vertical="top"/>
    </xf>
    <xf numFmtId="170" fontId="15" fillId="18" borderId="56" xfId="16" applyNumberFormat="1" applyBorder="1">
      <alignment vertical="top"/>
      <protection locked="0"/>
    </xf>
    <xf numFmtId="173" fontId="15" fillId="18" borderId="16" xfId="16" applyNumberFormat="1" applyAlignment="1">
      <alignment horizontal="center" vertical="top"/>
      <protection locked="0"/>
    </xf>
    <xf numFmtId="0" fontId="13" fillId="16" borderId="53" xfId="14" applyBorder="1">
      <alignment vertical="top"/>
    </xf>
    <xf numFmtId="0" fontId="13" fillId="16" borderId="53" xfId="14" applyBorder="1" applyAlignment="1">
      <alignment horizontal="center" vertical="top"/>
    </xf>
    <xf numFmtId="165" fontId="25" fillId="16" borderId="53" xfId="14" applyNumberFormat="1" applyFont="1" applyBorder="1">
      <alignment vertical="top"/>
    </xf>
    <xf numFmtId="173" fontId="15" fillId="18" borderId="53" xfId="16" applyNumberFormat="1" applyBorder="1" applyAlignment="1">
      <alignment horizontal="center" vertical="top"/>
      <protection locked="0"/>
    </xf>
    <xf numFmtId="0" fontId="25" fillId="16" borderId="53" xfId="14" applyFont="1" applyBorder="1">
      <alignment vertical="top"/>
    </xf>
    <xf numFmtId="170" fontId="15" fillId="18" borderId="53" xfId="16" applyNumberFormat="1" applyBorder="1">
      <alignment vertical="top"/>
      <protection locked="0"/>
    </xf>
    <xf numFmtId="0" fontId="0" fillId="12" borderId="2" xfId="7" applyFont="1" applyBorder="1" applyAlignment="1"/>
    <xf numFmtId="0" fontId="9" fillId="11" borderId="9" xfId="6" applyAlignment="1">
      <alignment vertical="top"/>
    </xf>
    <xf numFmtId="0" fontId="8" fillId="14" borderId="1" xfId="9" applyBorder="1" applyAlignment="1">
      <alignment vertical="top"/>
    </xf>
    <xf numFmtId="0" fontId="8" fillId="14" borderId="6" xfId="9" applyBorder="1" applyAlignment="1">
      <alignment vertical="top"/>
    </xf>
    <xf numFmtId="0" fontId="13" fillId="12" borderId="21" xfId="12" applyAlignment="1">
      <alignment horizontal="centerContinuous" vertical="top"/>
    </xf>
    <xf numFmtId="0" fontId="13" fillId="12" borderId="21" xfId="12" applyAlignment="1">
      <alignment horizontal="center" vertical="top"/>
    </xf>
    <xf numFmtId="0" fontId="20" fillId="16" borderId="16" xfId="14" applyFont="1" applyAlignment="1">
      <alignment horizontal="centerContinuous" vertical="top"/>
    </xf>
    <xf numFmtId="0" fontId="20" fillId="16" borderId="16" xfId="14" applyFont="1" applyAlignment="1">
      <alignment horizontal="center" vertical="top"/>
    </xf>
    <xf numFmtId="0" fontId="26" fillId="16" borderId="16" xfId="14" applyFont="1" applyAlignment="1">
      <alignment horizontal="center" vertical="top"/>
    </xf>
    <xf numFmtId="167" fontId="9" fillId="0" borderId="0" xfId="0" applyNumberFormat="1" applyFont="1"/>
    <xf numFmtId="0" fontId="0" fillId="15" borderId="0" xfId="13" applyFont="1" applyBorder="1"/>
    <xf numFmtId="0" fontId="11" fillId="14" borderId="1" xfId="10" applyBorder="1" applyAlignment="1">
      <alignment horizontal="left" vertical="center"/>
    </xf>
    <xf numFmtId="0" fontId="12" fillId="14" borderId="6" xfId="11" applyBorder="1" applyAlignment="1">
      <alignment horizontal="left" vertical="center"/>
    </xf>
    <xf numFmtId="0" fontId="8" fillId="14" borderId="6" xfId="9" applyBorder="1" applyAlignment="1">
      <alignment horizontal="left" vertical="top"/>
    </xf>
    <xf numFmtId="0" fontId="20" fillId="12" borderId="0" xfId="12" applyFont="1" applyBorder="1">
      <alignment horizontal="center" vertical="top" wrapText="1"/>
    </xf>
    <xf numFmtId="0" fontId="13" fillId="12" borderId="21" xfId="12" applyAlignment="1">
      <alignment horizontal="centerContinuous" vertical="top" wrapText="1"/>
    </xf>
    <xf numFmtId="0" fontId="13" fillId="12" borderId="58" xfId="12" applyBorder="1" applyAlignment="1">
      <alignment horizontal="centerContinuous" vertical="top" wrapText="1"/>
    </xf>
    <xf numFmtId="0" fontId="13" fillId="12" borderId="21" xfId="12" applyAlignment="1">
      <alignment horizontal="left" vertical="top" wrapText="1"/>
    </xf>
    <xf numFmtId="0" fontId="13" fillId="12" borderId="0" xfId="12" applyBorder="1" applyAlignment="1">
      <alignment horizontal="centerContinuous" vertical="top" wrapText="1"/>
    </xf>
    <xf numFmtId="0" fontId="22" fillId="12" borderId="21" xfId="12" applyFont="1">
      <alignment horizontal="center" vertical="top" wrapText="1"/>
    </xf>
    <xf numFmtId="0" fontId="13" fillId="12" borderId="58" xfId="12" applyBorder="1">
      <alignment horizontal="center" vertical="top" wrapText="1"/>
    </xf>
    <xf numFmtId="0" fontId="15" fillId="18" borderId="16" xfId="16" applyAlignment="1">
      <alignment vertical="center"/>
      <protection locked="0"/>
    </xf>
    <xf numFmtId="0" fontId="16" fillId="16" borderId="16" xfId="14" applyFont="1">
      <alignment vertical="top"/>
    </xf>
    <xf numFmtId="0" fontId="20" fillId="16" borderId="16" xfId="14" applyFont="1" applyAlignment="1">
      <alignment horizontal="right" vertical="top" indent="2"/>
    </xf>
    <xf numFmtId="0" fontId="15" fillId="18" borderId="45" xfId="16" applyBorder="1">
      <alignment vertical="top"/>
      <protection locked="0"/>
    </xf>
    <xf numFmtId="9" fontId="27" fillId="23" borderId="57" xfId="23" applyNumberFormat="1" applyAlignment="1" applyProtection="1">
      <alignment horizontal="right" vertical="top"/>
      <protection locked="0"/>
    </xf>
    <xf numFmtId="9" fontId="29" fillId="24" borderId="16" xfId="24" applyNumberFormat="1">
      <alignment vertical="top"/>
      <protection locked="0"/>
    </xf>
    <xf numFmtId="9" fontId="27" fillId="23" borderId="57" xfId="23" applyNumberFormat="1" applyAlignment="1" applyProtection="1">
      <alignment vertical="top"/>
      <protection locked="0"/>
    </xf>
    <xf numFmtId="9" fontId="15" fillId="20" borderId="30" xfId="19" applyNumberFormat="1" applyFont="1" applyAlignment="1">
      <alignment vertical="top"/>
    </xf>
    <xf numFmtId="0" fontId="27" fillId="23" borderId="57" xfId="23" applyAlignment="1">
      <alignment vertical="top"/>
    </xf>
    <xf numFmtId="166" fontId="15" fillId="18" borderId="16" xfId="3" applyNumberFormat="1" applyFont="1" applyFill="1" applyBorder="1" applyAlignment="1" applyProtection="1">
      <alignment vertical="top"/>
      <protection locked="0"/>
    </xf>
    <xf numFmtId="0" fontId="29" fillId="24" borderId="16" xfId="24">
      <alignment vertical="top"/>
      <protection locked="0"/>
    </xf>
    <xf numFmtId="0" fontId="30" fillId="13" borderId="16" xfId="8" applyFont="1">
      <alignment vertical="top"/>
    </xf>
    <xf numFmtId="0" fontId="31" fillId="16" borderId="16" xfId="14" applyFont="1">
      <alignment vertical="top"/>
    </xf>
    <xf numFmtId="0" fontId="15" fillId="18" borderId="16" xfId="16" applyNumberFormat="1">
      <alignment vertical="top"/>
      <protection locked="0"/>
    </xf>
    <xf numFmtId="0" fontId="8" fillId="17" borderId="9" xfId="15" applyNumberFormat="1">
      <alignment horizontal="center" vertical="top"/>
    </xf>
    <xf numFmtId="11" fontId="15" fillId="18" borderId="16" xfId="16" applyNumberFormat="1">
      <alignment vertical="top"/>
      <protection locked="0"/>
    </xf>
    <xf numFmtId="0" fontId="27" fillId="23" borderId="57" xfId="23" applyAlignment="1" applyProtection="1">
      <alignment vertical="top"/>
      <protection locked="0"/>
    </xf>
    <xf numFmtId="1" fontId="15" fillId="18" borderId="16" xfId="16" applyNumberFormat="1">
      <alignment vertical="top"/>
      <protection locked="0"/>
    </xf>
    <xf numFmtId="0" fontId="28" fillId="18" borderId="16" xfId="16" applyFont="1">
      <alignment vertical="top"/>
      <protection locked="0"/>
    </xf>
    <xf numFmtId="0" fontId="22" fillId="16" borderId="16" xfId="14" applyFont="1">
      <alignment vertical="top"/>
    </xf>
    <xf numFmtId="0" fontId="30" fillId="13" borderId="16" xfId="8" applyFont="1" applyAlignment="1">
      <alignment horizontal="center" vertical="top"/>
    </xf>
    <xf numFmtId="9" fontId="15" fillId="18" borderId="45" xfId="16" applyNumberFormat="1" applyBorder="1">
      <alignment vertical="top"/>
      <protection locked="0"/>
    </xf>
    <xf numFmtId="0" fontId="33" fillId="16" borderId="16" xfId="14" applyFont="1">
      <alignment vertical="top"/>
    </xf>
    <xf numFmtId="172" fontId="15" fillId="18" borderId="53" xfId="16" applyNumberFormat="1" applyBorder="1" applyAlignment="1">
      <alignment horizontal="center" vertical="top"/>
      <protection locked="0"/>
    </xf>
    <xf numFmtId="0" fontId="15" fillId="18" borderId="53" xfId="16" applyNumberFormat="1" applyBorder="1" applyAlignment="1">
      <alignment horizontal="center" vertical="top"/>
      <protection locked="0"/>
    </xf>
    <xf numFmtId="0" fontId="13" fillId="16" borderId="16" xfId="14" applyAlignment="1">
      <alignment horizontal="center" vertical="top" wrapText="1"/>
    </xf>
    <xf numFmtId="15" fontId="15" fillId="18" borderId="16" xfId="16" applyNumberFormat="1" applyAlignment="1">
      <alignment horizontal="center" vertical="top" wrapText="1"/>
      <protection locked="0"/>
    </xf>
    <xf numFmtId="0" fontId="13" fillId="12" borderId="59" xfId="12" applyBorder="1" applyAlignment="1">
      <alignment horizontal="center" vertical="top"/>
    </xf>
    <xf numFmtId="0" fontId="13" fillId="12" borderId="58" xfId="12" applyBorder="1" applyAlignment="1">
      <alignment horizontal="center" vertical="top"/>
    </xf>
    <xf numFmtId="0" fontId="13" fillId="12" borderId="59" xfId="12" applyBorder="1" applyAlignment="1">
      <alignment horizontal="centerContinuous" vertical="top"/>
    </xf>
    <xf numFmtId="0" fontId="13" fillId="12" borderId="58" xfId="12" applyBorder="1" applyAlignment="1">
      <alignment horizontal="centerContinuous" vertical="top"/>
    </xf>
    <xf numFmtId="0" fontId="13" fillId="12" borderId="59" xfId="12" applyBorder="1">
      <alignment horizontal="center" vertical="top" wrapText="1"/>
    </xf>
    <xf numFmtId="0" fontId="13" fillId="12" borderId="60" xfId="12" applyBorder="1">
      <alignment horizontal="center" vertical="top" wrapText="1"/>
    </xf>
    <xf numFmtId="0" fontId="13" fillId="12" borderId="61" xfId="12" applyBorder="1">
      <alignment horizontal="center" vertical="top" wrapText="1"/>
    </xf>
    <xf numFmtId="15" fontId="8" fillId="17" borderId="9" xfId="15" applyNumberFormat="1" applyAlignment="1">
      <alignment horizontal="center" vertical="top" wrapText="1"/>
    </xf>
    <xf numFmtId="167" fontId="27" fillId="23" borderId="57" xfId="23" applyNumberFormat="1" applyAlignment="1">
      <alignment vertical="top"/>
    </xf>
    <xf numFmtId="167" fontId="15" fillId="18" borderId="16" xfId="16" applyNumberFormat="1">
      <alignment vertical="top"/>
      <protection locked="0"/>
    </xf>
    <xf numFmtId="0" fontId="13" fillId="20" borderId="30" xfId="19" applyAlignment="1">
      <alignment vertical="top"/>
    </xf>
    <xf numFmtId="0" fontId="16" fillId="25" borderId="21" xfId="12" applyFont="1" applyFill="1">
      <alignment horizontal="center" vertical="top" wrapText="1"/>
    </xf>
    <xf numFmtId="0" fontId="8" fillId="17" borderId="9" xfId="15" applyAlignment="1">
      <alignment horizontal="left" vertical="top"/>
    </xf>
    <xf numFmtId="168" fontId="13" fillId="20" borderId="31" xfId="19" applyNumberFormat="1" applyFont="1" applyBorder="1" applyAlignment="1">
      <alignment vertical="top"/>
    </xf>
    <xf numFmtId="166" fontId="0" fillId="10" borderId="0" xfId="3" applyNumberFormat="1" applyFont="1" applyFill="1"/>
    <xf numFmtId="166" fontId="15" fillId="20" borderId="30" xfId="19" applyNumberFormat="1" applyFont="1" applyAlignment="1">
      <alignment vertical="top"/>
    </xf>
    <xf numFmtId="168" fontId="13" fillId="22" borderId="30" xfId="22" applyNumberFormat="1" applyAlignment="1">
      <alignment vertical="top"/>
    </xf>
    <xf numFmtId="166" fontId="15" fillId="21" borderId="30" xfId="20" applyNumberFormat="1" applyFont="1" applyAlignment="1">
      <alignment vertical="top"/>
    </xf>
    <xf numFmtId="9" fontId="15" fillId="21" borderId="30" xfId="20" applyNumberFormat="1" applyFont="1" applyAlignment="1">
      <alignment vertical="top"/>
    </xf>
    <xf numFmtId="167" fontId="13" fillId="22" borderId="30" xfId="22" applyNumberFormat="1" applyAlignment="1">
      <alignment vertical="top"/>
    </xf>
    <xf numFmtId="167" fontId="13" fillId="26" borderId="30" xfId="25" applyNumberFormat="1" applyAlignment="1">
      <alignment vertical="top"/>
    </xf>
    <xf numFmtId="166" fontId="15" fillId="21" borderId="33" xfId="20" applyNumberFormat="1" applyFont="1" applyBorder="1" applyAlignment="1">
      <alignment vertical="top"/>
    </xf>
    <xf numFmtId="9" fontId="15" fillId="21" borderId="33" xfId="20" applyNumberFormat="1" applyFont="1" applyBorder="1" applyAlignment="1">
      <alignment vertical="top"/>
    </xf>
    <xf numFmtId="166" fontId="15" fillId="19" borderId="16" xfId="18" applyNumberFormat="1" applyAlignment="1">
      <alignment horizontal="center" vertical="top"/>
      <protection locked="0"/>
    </xf>
    <xf numFmtId="166" fontId="15" fillId="20" borderId="30" xfId="19" applyNumberFormat="1" applyFont="1" applyAlignment="1">
      <alignment horizontal="center" vertical="top"/>
    </xf>
    <xf numFmtId="166" fontId="15" fillId="21" borderId="30" xfId="20" applyNumberFormat="1" applyFont="1" applyAlignment="1">
      <alignment horizontal="center" vertical="top"/>
    </xf>
    <xf numFmtId="174" fontId="13" fillId="16" borderId="34" xfId="4" applyNumberFormat="1" applyFont="1" applyFill="1" applyBorder="1" applyAlignment="1">
      <alignment horizontal="center" vertical="top"/>
    </xf>
    <xf numFmtId="15" fontId="8" fillId="17" borderId="9" xfId="15" applyNumberFormat="1">
      <alignment horizontal="center" vertical="top"/>
    </xf>
    <xf numFmtId="0" fontId="34" fillId="19" borderId="16" xfId="18" applyFont="1" applyAlignment="1">
      <alignment horizontal="center" vertical="top"/>
      <protection locked="0"/>
    </xf>
    <xf numFmtId="0" fontId="29" fillId="18" borderId="16" xfId="16" applyFont="1" applyAlignment="1">
      <alignment horizontal="center" vertical="top"/>
      <protection locked="0"/>
    </xf>
    <xf numFmtId="9" fontId="29" fillId="24" borderId="16" xfId="3" applyFont="1" applyFill="1" applyBorder="1" applyAlignment="1" applyProtection="1">
      <alignment vertical="top"/>
      <protection locked="0"/>
    </xf>
    <xf numFmtId="15" fontId="15" fillId="18" borderId="16" xfId="16" applyNumberFormat="1" applyAlignment="1">
      <alignment horizontal="center" vertical="top"/>
      <protection locked="0"/>
    </xf>
    <xf numFmtId="0" fontId="33" fillId="16" borderId="28" xfId="14" applyFont="1" applyBorder="1">
      <alignment vertical="top"/>
    </xf>
    <xf numFmtId="0" fontId="13" fillId="16" borderId="28" xfId="14" applyBorder="1" applyAlignment="1">
      <alignment horizontal="left" vertical="top"/>
    </xf>
    <xf numFmtId="0" fontId="13" fillId="16" borderId="56" xfId="14" applyBorder="1">
      <alignment vertical="top"/>
    </xf>
    <xf numFmtId="0" fontId="15" fillId="18" borderId="56" xfId="16" applyBorder="1">
      <alignment vertical="top"/>
      <protection locked="0"/>
    </xf>
    <xf numFmtId="0" fontId="15" fillId="18" borderId="53" xfId="16" applyBorder="1">
      <alignment vertical="top"/>
      <protection locked="0"/>
    </xf>
    <xf numFmtId="166" fontId="15" fillId="19" borderId="16" xfId="3" applyNumberFormat="1" applyFont="1" applyFill="1" applyBorder="1" applyAlignment="1" applyProtection="1">
      <alignment horizontal="center" vertical="top"/>
      <protection locked="0"/>
    </xf>
    <xf numFmtId="167" fontId="15" fillId="18" borderId="29" xfId="16" applyNumberFormat="1" applyBorder="1" applyAlignment="1">
      <alignment horizontal="center" vertical="top"/>
      <protection locked="0"/>
    </xf>
    <xf numFmtId="167" fontId="15" fillId="18" borderId="28" xfId="16" applyNumberFormat="1" applyBorder="1" applyAlignment="1">
      <alignment horizontal="center" vertical="top"/>
      <protection locked="0"/>
    </xf>
    <xf numFmtId="0" fontId="13"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5"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3" fillId="12" borderId="21" xfId="12" applyAlignment="1">
      <alignment horizontal="center" vertical="center" wrapText="1"/>
    </xf>
    <xf numFmtId="0" fontId="0" fillId="0" borderId="62" xfId="0" applyBorder="1" applyAlignment="1">
      <alignment horizontal="left"/>
    </xf>
    <xf numFmtId="9" fontId="13" fillId="16" borderId="16" xfId="14" applyNumberFormat="1">
      <alignment vertical="top"/>
    </xf>
    <xf numFmtId="0" fontId="35" fillId="18" borderId="16" xfId="16" applyFont="1">
      <alignment vertical="top"/>
      <protection locked="0"/>
    </xf>
    <xf numFmtId="9" fontId="15" fillId="19" borderId="16" xfId="18" applyNumberFormat="1">
      <alignment vertical="top"/>
      <protection locked="0"/>
    </xf>
    <xf numFmtId="2" fontId="15" fillId="18" borderId="16" xfId="16" applyNumberFormat="1">
      <alignment vertical="top"/>
      <protection locked="0"/>
    </xf>
    <xf numFmtId="0" fontId="26" fillId="16" borderId="16" xfId="14" applyFont="1" applyAlignment="1">
      <alignment horizontal="center" vertical="top" wrapText="1"/>
    </xf>
    <xf numFmtId="2" fontId="29" fillId="24" borderId="16" xfId="24" applyNumberFormat="1">
      <alignment vertical="top"/>
      <protection locked="0"/>
    </xf>
    <xf numFmtId="2" fontId="27"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5" fillId="20" borderId="30" xfId="19" applyNumberFormat="1" applyFont="1" applyAlignment="1">
      <alignment horizontal="left"/>
    </xf>
    <xf numFmtId="0" fontId="0" fillId="0" borderId="66" xfId="0" applyBorder="1"/>
    <xf numFmtId="0" fontId="0" fillId="8" borderId="0" xfId="1" applyFont="1" applyBorder="1" applyAlignment="1"/>
    <xf numFmtId="0" fontId="2" fillId="0" borderId="0" xfId="0" applyFont="1"/>
    <xf numFmtId="1" fontId="5" fillId="20" borderId="67" xfId="19" applyNumberFormat="1" applyFont="1" applyBorder="1" applyAlignment="1">
      <alignment horizontal="center"/>
    </xf>
    <xf numFmtId="0" fontId="28" fillId="12" borderId="0" xfId="7" applyFont="1"/>
    <xf numFmtId="175" fontId="37" fillId="31" borderId="0" xfId="28" applyNumberFormat="1" applyBorder="1">
      <protection locked="0"/>
    </xf>
    <xf numFmtId="165" fontId="0" fillId="8" borderId="0" xfId="1" applyNumberFormat="1" applyFont="1" applyBorder="1" applyAlignment="1"/>
    <xf numFmtId="0" fontId="2" fillId="15" borderId="16" xfId="13" applyFont="1" applyBorder="1"/>
    <xf numFmtId="0" fontId="37" fillId="31" borderId="16" xfId="28" applyBorder="1" applyAlignment="1">
      <alignment vertical="top"/>
      <protection locked="0"/>
    </xf>
    <xf numFmtId="0" fontId="37" fillId="31" borderId="57" xfId="28" applyBorder="1">
      <protection locked="0"/>
    </xf>
    <xf numFmtId="0" fontId="38" fillId="30" borderId="57" xfId="29" applyAlignment="1">
      <alignment vertical="top"/>
    </xf>
    <xf numFmtId="0" fontId="13" fillId="16" borderId="16" xfId="14" applyAlignment="1">
      <alignment vertical="top" wrapText="1"/>
    </xf>
    <xf numFmtId="2" fontId="13" fillId="16" borderId="56" xfId="14" applyNumberFormat="1" applyBorder="1">
      <alignment vertical="top"/>
    </xf>
    <xf numFmtId="2" fontId="13" fillId="16" borderId="16" xfId="14" applyNumberFormat="1">
      <alignment vertical="top"/>
    </xf>
    <xf numFmtId="2" fontId="13" fillId="16" borderId="53" xfId="14" applyNumberFormat="1" applyBorder="1">
      <alignment vertical="top"/>
    </xf>
    <xf numFmtId="165" fontId="13" fillId="16" borderId="56" xfId="14" applyNumberFormat="1" applyBorder="1">
      <alignment vertical="top"/>
    </xf>
    <xf numFmtId="165" fontId="13" fillId="16" borderId="16" xfId="14" applyNumberFormat="1">
      <alignment vertical="top"/>
    </xf>
    <xf numFmtId="165" fontId="13" fillId="16" borderId="53" xfId="14" applyNumberFormat="1" applyBorder="1">
      <alignment vertical="top"/>
    </xf>
    <xf numFmtId="165" fontId="13" fillId="16" borderId="28" xfId="14" applyNumberFormat="1" applyBorder="1">
      <alignment vertical="top"/>
    </xf>
    <xf numFmtId="165" fontId="13" fillId="16" borderId="27" xfId="14" applyNumberFormat="1" applyBorder="1">
      <alignment vertical="top"/>
    </xf>
    <xf numFmtId="165" fontId="13" fillId="16" borderId="68" xfId="14" applyNumberFormat="1" applyBorder="1">
      <alignment vertical="top"/>
    </xf>
    <xf numFmtId="165" fontId="13" fillId="16" borderId="69" xfId="14" applyNumberFormat="1" applyBorder="1">
      <alignment vertical="top"/>
    </xf>
    <xf numFmtId="1" fontId="13" fillId="16" borderId="16" xfId="14" applyNumberFormat="1">
      <alignment vertical="top"/>
    </xf>
    <xf numFmtId="1" fontId="13" fillId="16" borderId="56" xfId="14" applyNumberFormat="1" applyBorder="1">
      <alignment vertical="top"/>
    </xf>
    <xf numFmtId="1" fontId="13" fillId="16" borderId="45" xfId="14" applyNumberFormat="1" applyBorder="1">
      <alignment vertical="top"/>
    </xf>
    <xf numFmtId="1" fontId="13" fillId="16" borderId="53" xfId="14" applyNumberFormat="1" applyBorder="1">
      <alignment vertical="top"/>
    </xf>
    <xf numFmtId="1" fontId="27" fillId="23" borderId="57" xfId="23" applyNumberFormat="1"/>
    <xf numFmtId="0" fontId="15" fillId="18" borderId="57" xfId="16" applyBorder="1">
      <alignment vertical="top"/>
      <protection locked="0"/>
    </xf>
    <xf numFmtId="0" fontId="29" fillId="24" borderId="16" xfId="24" applyNumberFormat="1">
      <alignment vertical="top"/>
      <protection locked="0"/>
    </xf>
    <xf numFmtId="0" fontId="36" fillId="16" borderId="16" xfId="14" applyFont="1" applyAlignment="1">
      <alignment horizontal="left" vertical="top"/>
    </xf>
    <xf numFmtId="0" fontId="39" fillId="16" borderId="16" xfId="14" applyFont="1">
      <alignment vertical="top"/>
    </xf>
    <xf numFmtId="0" fontId="32" fillId="16" borderId="16" xfId="14" applyFont="1">
      <alignment vertical="top"/>
    </xf>
    <xf numFmtId="0" fontId="37" fillId="31" borderId="0" xfId="28" applyNumberFormat="1" applyBorder="1">
      <protection locked="0"/>
    </xf>
    <xf numFmtId="0" fontId="37" fillId="29" borderId="57" xfId="30" applyBorder="1" applyAlignment="1">
      <protection locked="0"/>
    </xf>
    <xf numFmtId="0" fontId="37" fillId="29" borderId="57" xfId="30" applyBorder="1">
      <protection locked="0"/>
    </xf>
    <xf numFmtId="0" fontId="37" fillId="29" borderId="9" xfId="30" applyBorder="1" applyAlignment="1">
      <alignment horizontal="right"/>
      <protection locked="0"/>
    </xf>
    <xf numFmtId="9" fontId="37" fillId="31" borderId="0" xfId="28" applyNumberFormat="1" applyBorder="1">
      <protection locked="0"/>
    </xf>
    <xf numFmtId="0" fontId="37" fillId="31" borderId="0" xfId="28" applyBorder="1">
      <protection locked="0"/>
    </xf>
    <xf numFmtId="0" fontId="37" fillId="32" borderId="7" xfId="31" applyNumberFormat="1" applyBorder="1" applyAlignment="1">
      <alignment horizontal="center"/>
      <protection locked="0"/>
    </xf>
    <xf numFmtId="0" fontId="37" fillId="29" borderId="16" xfId="30" applyBorder="1" applyAlignment="1">
      <alignment vertical="top"/>
      <protection locked="0"/>
    </xf>
    <xf numFmtId="0" fontId="38" fillId="30" borderId="57" xfId="29" applyAlignment="1" applyProtection="1">
      <alignment vertical="top"/>
      <protection locked="0"/>
    </xf>
    <xf numFmtId="0" fontId="8" fillId="17" borderId="5" xfId="15" applyBorder="1">
      <alignment horizontal="center" vertical="top"/>
    </xf>
    <xf numFmtId="2" fontId="15" fillId="18" borderId="43" xfId="16" applyNumberFormat="1" applyBorder="1" applyAlignment="1">
      <alignment horizontal="center" vertical="top"/>
      <protection locked="0"/>
    </xf>
    <xf numFmtId="2" fontId="15" fillId="18" borderId="29" xfId="16" applyNumberFormat="1" applyBorder="1" applyAlignment="1">
      <alignment horizontal="center" vertical="top"/>
      <protection locked="0"/>
    </xf>
    <xf numFmtId="2" fontId="15" fillId="18" borderId="44" xfId="16" applyNumberFormat="1" applyBorder="1" applyAlignment="1">
      <alignment horizontal="center" vertical="top"/>
      <protection locked="0"/>
    </xf>
    <xf numFmtId="2" fontId="15" fillId="18" borderId="47" xfId="16" applyNumberFormat="1" applyBorder="1" applyAlignment="1">
      <alignment horizontal="center" vertical="top"/>
      <protection locked="0"/>
    </xf>
    <xf numFmtId="2" fontId="15" fillId="18" borderId="16" xfId="16" applyNumberFormat="1" applyAlignment="1">
      <alignment horizontal="center" vertical="top"/>
      <protection locked="0"/>
    </xf>
    <xf numFmtId="2" fontId="15" fillId="18" borderId="48" xfId="16" applyNumberFormat="1" applyBorder="1" applyAlignment="1">
      <alignment horizontal="center" vertical="top"/>
      <protection locked="0"/>
    </xf>
    <xf numFmtId="2" fontId="15" fillId="18" borderId="49" xfId="16" applyNumberFormat="1" applyBorder="1" applyAlignment="1">
      <alignment horizontal="center" vertical="top"/>
      <protection locked="0"/>
    </xf>
    <xf numFmtId="2" fontId="15" fillId="18" borderId="32" xfId="16" applyNumberFormat="1" applyBorder="1" applyAlignment="1">
      <alignment horizontal="center" vertical="top"/>
      <protection locked="0"/>
    </xf>
    <xf numFmtId="2" fontId="15" fillId="18" borderId="50" xfId="16" applyNumberFormat="1" applyBorder="1" applyAlignment="1">
      <alignment horizontal="center" vertical="top"/>
      <protection locked="0"/>
    </xf>
    <xf numFmtId="0" fontId="5" fillId="6" borderId="0" xfId="0" quotePrefix="1" applyFont="1" applyFill="1"/>
    <xf numFmtId="0" fontId="40" fillId="0" borderId="0" xfId="0" applyFont="1" applyAlignment="1">
      <alignment horizontal="left"/>
    </xf>
    <xf numFmtId="2" fontId="37" fillId="31" borderId="6" xfId="28" applyNumberFormat="1" applyBorder="1" applyAlignment="1">
      <alignment horizontal="left"/>
      <protection locked="0"/>
    </xf>
    <xf numFmtId="2" fontId="37" fillId="0" borderId="6" xfId="28" applyNumberFormat="1" applyFill="1" applyBorder="1" applyAlignment="1" applyProtection="1">
      <alignment horizontal="center"/>
    </xf>
    <xf numFmtId="0" fontId="9" fillId="13" borderId="28" xfId="8" applyBorder="1">
      <alignment vertical="top"/>
    </xf>
    <xf numFmtId="0" fontId="9" fillId="13" borderId="27" xfId="8" applyBorder="1">
      <alignment vertical="top"/>
    </xf>
    <xf numFmtId="0" fontId="29" fillId="24" borderId="16" xfId="24" applyBorder="1">
      <alignment vertical="top"/>
      <protection locked="0"/>
    </xf>
    <xf numFmtId="0" fontId="29" fillId="24" borderId="27" xfId="24" applyBorder="1">
      <alignment vertical="top"/>
      <protection locked="0"/>
    </xf>
    <xf numFmtId="0" fontId="9" fillId="13" borderId="38" xfId="8" applyBorder="1">
      <alignment vertical="top"/>
    </xf>
    <xf numFmtId="0" fontId="0" fillId="15" borderId="70" xfId="13" applyFont="1" applyBorder="1"/>
    <xf numFmtId="0" fontId="15" fillId="18" borderId="38" xfId="16" applyBorder="1">
      <alignment vertical="top"/>
      <protection locked="0"/>
    </xf>
    <xf numFmtId="0" fontId="29" fillId="24" borderId="38" xfId="24" applyBorder="1">
      <alignment vertical="top"/>
      <protection locked="0"/>
    </xf>
    <xf numFmtId="0" fontId="9" fillId="13" borderId="51" xfId="8" applyBorder="1">
      <alignment vertical="top"/>
    </xf>
    <xf numFmtId="0" fontId="0" fillId="15" borderId="71" xfId="13" applyFont="1" applyBorder="1"/>
    <xf numFmtId="167" fontId="15" fillId="32" borderId="51" xfId="31" applyNumberFormat="1" applyFont="1" applyBorder="1" applyAlignment="1">
      <alignment vertical="top"/>
      <protection locked="0"/>
    </xf>
    <xf numFmtId="0" fontId="15" fillId="18" borderId="51" xfId="16" applyBorder="1">
      <alignment vertical="top"/>
      <protection locked="0"/>
    </xf>
    <xf numFmtId="0" fontId="29" fillId="24" borderId="51" xfId="24" applyBorder="1">
      <alignment vertical="top"/>
      <protection locked="0"/>
    </xf>
    <xf numFmtId="0" fontId="29" fillId="24" borderId="53" xfId="24" applyBorder="1">
      <alignment vertical="top"/>
      <protection locked="0"/>
    </xf>
    <xf numFmtId="167" fontId="15"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3" fillId="16" borderId="29" xfId="14" applyNumberFormat="1" applyBorder="1" applyAlignment="1">
      <alignment horizontal="center" vertical="top"/>
    </xf>
    <xf numFmtId="2" fontId="13" fillId="16" borderId="28" xfId="14" applyNumberFormat="1" applyBorder="1" applyAlignment="1">
      <alignment horizontal="center" vertical="top"/>
    </xf>
    <xf numFmtId="2" fontId="13" fillId="16" borderId="32" xfId="14" applyNumberFormat="1" applyBorder="1" applyAlignment="1">
      <alignment horizontal="center" vertical="top"/>
    </xf>
    <xf numFmtId="0" fontId="38" fillId="30" borderId="57" xfId="29" applyAlignment="1">
      <alignment horizontal="center" vertical="center"/>
    </xf>
    <xf numFmtId="9" fontId="37"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3" fillId="26" borderId="73" xfId="25" applyNumberFormat="1" applyBorder="1" applyAlignment="1">
      <alignment vertical="top"/>
    </xf>
    <xf numFmtId="168" fontId="13" fillId="20" borderId="72" xfId="19" applyNumberFormat="1" applyFont="1" applyBorder="1" applyAlignment="1">
      <alignment vertical="top"/>
    </xf>
    <xf numFmtId="0" fontId="41" fillId="0" borderId="0" xfId="0" applyFont="1"/>
    <xf numFmtId="0" fontId="8" fillId="16" borderId="16" xfId="14" applyFont="1" applyAlignment="1">
      <alignment horizontal="center" vertical="top"/>
    </xf>
    <xf numFmtId="0" fontId="42"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2" fillId="16" borderId="16" xfId="14" applyFont="1" applyAlignment="1">
      <alignment horizontal="center" vertical="top" wrapText="1"/>
    </xf>
    <xf numFmtId="0" fontId="37" fillId="31" borderId="0" xfId="28" applyBorder="1" applyProtection="1"/>
    <xf numFmtId="9" fontId="0" fillId="0" borderId="0" xfId="0" applyNumberFormat="1"/>
    <xf numFmtId="0" fontId="38" fillId="30" borderId="57" xfId="29"/>
    <xf numFmtId="0" fontId="8" fillId="17" borderId="8" xfId="15" applyBorder="1" applyAlignment="1">
      <alignment vertical="top"/>
    </xf>
    <xf numFmtId="0" fontId="8" fillId="17" borderId="9" xfId="15" applyAlignment="1">
      <alignment vertical="top"/>
    </xf>
    <xf numFmtId="0" fontId="0" fillId="0" borderId="0" xfId="5" applyFont="1" applyFill="1"/>
    <xf numFmtId="167" fontId="13" fillId="16" borderId="16" xfId="14" applyNumberFormat="1">
      <alignment vertical="top"/>
    </xf>
    <xf numFmtId="165" fontId="0" fillId="0" borderId="0" xfId="0" applyNumberFormat="1"/>
    <xf numFmtId="0" fontId="44" fillId="18" borderId="43" xfId="16" applyFont="1" applyBorder="1" applyAlignment="1">
      <alignment horizontal="center" vertical="top"/>
      <protection locked="0"/>
    </xf>
    <xf numFmtId="0" fontId="44" fillId="18" borderId="29" xfId="16" applyFont="1" applyBorder="1" applyAlignment="1">
      <alignment horizontal="center" vertical="top"/>
      <protection locked="0"/>
    </xf>
    <xf numFmtId="0" fontId="44" fillId="18" borderId="44" xfId="16" applyFont="1" applyBorder="1" applyAlignment="1">
      <alignment horizontal="center" vertical="top"/>
      <protection locked="0"/>
    </xf>
    <xf numFmtId="0" fontId="45" fillId="16" borderId="45" xfId="14" applyFont="1" applyBorder="1" applyAlignment="1">
      <alignment horizontal="center" vertical="top"/>
    </xf>
    <xf numFmtId="0" fontId="44" fillId="18" borderId="47" xfId="16" applyFont="1" applyBorder="1" applyAlignment="1">
      <alignment horizontal="center" vertical="top"/>
      <protection locked="0"/>
    </xf>
    <xf numFmtId="0" fontId="44" fillId="18" borderId="16" xfId="16" applyFont="1" applyAlignment="1">
      <alignment horizontal="center" vertical="top"/>
      <protection locked="0"/>
    </xf>
    <xf numFmtId="0" fontId="44" fillId="18" borderId="48" xfId="16" applyFont="1" applyBorder="1" applyAlignment="1">
      <alignment horizontal="center" vertical="top"/>
      <protection locked="0"/>
    </xf>
    <xf numFmtId="0" fontId="44" fillId="18" borderId="49" xfId="16" applyFont="1" applyBorder="1" applyAlignment="1">
      <alignment horizontal="center" vertical="top"/>
      <protection locked="0"/>
    </xf>
    <xf numFmtId="0" fontId="44" fillId="18" borderId="32" xfId="16" applyFont="1" applyBorder="1" applyAlignment="1">
      <alignment horizontal="center" vertical="top"/>
      <protection locked="0"/>
    </xf>
    <xf numFmtId="0" fontId="44" fillId="18" borderId="50" xfId="16" applyFont="1" applyBorder="1" applyAlignment="1">
      <alignment horizontal="center" vertical="top"/>
      <protection locked="0"/>
    </xf>
    <xf numFmtId="0" fontId="45" fillId="16" borderId="27" xfId="14" applyFont="1" applyBorder="1" applyAlignment="1">
      <alignment horizontal="center" vertical="top"/>
    </xf>
    <xf numFmtId="0" fontId="45" fillId="16" borderId="16" xfId="14" applyFont="1" applyAlignment="1">
      <alignment horizontal="center" vertical="top"/>
    </xf>
    <xf numFmtId="2" fontId="44" fillId="27" borderId="43" xfId="26" applyNumberFormat="1" applyFont="1" applyBorder="1" applyAlignment="1" applyProtection="1">
      <alignment horizontal="center" vertical="top"/>
      <protection locked="0"/>
    </xf>
    <xf numFmtId="2" fontId="44" fillId="27" borderId="29" xfId="26" applyNumberFormat="1" applyFont="1" applyBorder="1" applyAlignment="1" applyProtection="1">
      <alignment horizontal="center" vertical="top"/>
      <protection locked="0"/>
    </xf>
    <xf numFmtId="2" fontId="44" fillId="27" borderId="44" xfId="26" applyNumberFormat="1" applyFont="1" applyBorder="1" applyAlignment="1" applyProtection="1">
      <alignment horizontal="center" vertical="top"/>
      <protection locked="0"/>
    </xf>
    <xf numFmtId="2" fontId="44" fillId="27" borderId="47" xfId="26" applyNumberFormat="1" applyFont="1" applyBorder="1" applyAlignment="1" applyProtection="1">
      <alignment horizontal="center" vertical="top"/>
      <protection locked="0"/>
    </xf>
    <xf numFmtId="2" fontId="44" fillId="27" borderId="16" xfId="26" applyNumberFormat="1" applyFont="1" applyBorder="1" applyAlignment="1" applyProtection="1">
      <alignment horizontal="center" vertical="top"/>
      <protection locked="0"/>
    </xf>
    <xf numFmtId="2" fontId="44" fillId="28" borderId="47" xfId="27" applyNumberFormat="1" applyFont="1" applyBorder="1" applyAlignment="1" applyProtection="1">
      <alignment horizontal="center" vertical="top"/>
      <protection locked="0"/>
    </xf>
    <xf numFmtId="2" fontId="44" fillId="28" borderId="16" xfId="27" applyNumberFormat="1" applyFont="1" applyBorder="1" applyAlignment="1" applyProtection="1">
      <alignment horizontal="center" vertical="top"/>
      <protection locked="0"/>
    </xf>
    <xf numFmtId="2" fontId="44" fillId="28" borderId="49" xfId="27" applyNumberFormat="1" applyFont="1" applyBorder="1" applyAlignment="1" applyProtection="1">
      <alignment horizontal="center" vertical="top"/>
      <protection locked="0"/>
    </xf>
    <xf numFmtId="2" fontId="44" fillId="28" borderId="32" xfId="27" applyNumberFormat="1" applyFont="1" applyBorder="1" applyAlignment="1" applyProtection="1">
      <alignment horizontal="center" vertical="top"/>
      <protection locked="0"/>
    </xf>
    <xf numFmtId="0" fontId="44" fillId="19" borderId="49" xfId="18" applyFont="1" applyBorder="1" applyAlignment="1">
      <alignment horizontal="center" vertical="top"/>
      <protection locked="0"/>
    </xf>
    <xf numFmtId="0" fontId="44" fillId="19" borderId="32" xfId="18" applyFont="1" applyBorder="1" applyAlignment="1">
      <alignment horizontal="center" vertical="top"/>
      <protection locked="0"/>
    </xf>
    <xf numFmtId="0" fontId="44" fillId="19" borderId="50" xfId="18" applyFont="1" applyBorder="1" applyAlignment="1">
      <alignment horizontal="center" vertical="top"/>
      <protection locked="0"/>
    </xf>
    <xf numFmtId="0" fontId="44" fillId="19" borderId="47" xfId="18" applyFont="1" applyBorder="1" applyAlignment="1">
      <alignment horizontal="center" vertical="top"/>
      <protection locked="0"/>
    </xf>
    <xf numFmtId="0" fontId="44" fillId="19" borderId="16" xfId="18" applyFont="1" applyAlignment="1">
      <alignment horizontal="center" vertical="top"/>
      <protection locked="0"/>
    </xf>
    <xf numFmtId="0" fontId="44" fillId="19" borderId="48" xfId="18" applyFont="1" applyBorder="1" applyAlignment="1">
      <alignment horizontal="center" vertical="top"/>
      <protection locked="0"/>
    </xf>
    <xf numFmtId="0" fontId="13" fillId="16" borderId="0" xfId="14" applyBorder="1">
      <alignment vertical="top"/>
    </xf>
    <xf numFmtId="0" fontId="21" fillId="16" borderId="0" xfId="14" applyFont="1" applyBorder="1" applyAlignment="1">
      <alignment horizontal="center" vertical="center" wrapText="1"/>
    </xf>
    <xf numFmtId="0" fontId="23" fillId="18" borderId="0" xfId="16" applyFont="1" applyBorder="1" applyAlignment="1">
      <alignment horizontal="center" vertical="top"/>
      <protection locked="0"/>
    </xf>
    <xf numFmtId="0" fontId="21" fillId="16" borderId="0" xfId="14" applyFont="1" applyBorder="1" applyAlignment="1">
      <alignment vertical="top" wrapText="1" shrinkToFit="1"/>
    </xf>
    <xf numFmtId="0" fontId="13" fillId="16" borderId="0" xfId="14" applyBorder="1" applyAlignment="1">
      <alignment horizontal="center" vertical="top"/>
    </xf>
    <xf numFmtId="170" fontId="15" fillId="18" borderId="0" xfId="16" applyNumberFormat="1" applyBorder="1">
      <alignment vertical="top"/>
      <protection locked="0"/>
    </xf>
    <xf numFmtId="2" fontId="37" fillId="31" borderId="0" xfId="28" applyNumberFormat="1" applyBorder="1" applyAlignment="1">
      <alignment horizontal="left"/>
      <protection locked="0"/>
    </xf>
    <xf numFmtId="167" fontId="37" fillId="31" borderId="0" xfId="28" applyNumberFormat="1" applyBorder="1" applyAlignment="1">
      <alignment horizontal="left"/>
      <protection locked="0"/>
    </xf>
    <xf numFmtId="1" fontId="37" fillId="31" borderId="0" xfId="28" applyNumberFormat="1" applyBorder="1" applyAlignment="1">
      <alignment horizontal="left"/>
      <protection locked="0"/>
    </xf>
    <xf numFmtId="1" fontId="5" fillId="0" borderId="0" xfId="0" applyNumberFormat="1" applyFont="1" applyAlignment="1">
      <alignment horizontal="left"/>
    </xf>
    <xf numFmtId="9" fontId="0" fillId="2" borderId="0" xfId="0" applyNumberFormat="1" applyFill="1"/>
    <xf numFmtId="176" fontId="15" fillId="18" borderId="16" xfId="16" applyNumberFormat="1">
      <alignment vertical="top"/>
      <protection locked="0"/>
    </xf>
    <xf numFmtId="2" fontId="6" fillId="0" borderId="0" xfId="0" applyNumberFormat="1" applyFont="1" applyAlignment="1">
      <alignment horizontal="left"/>
    </xf>
    <xf numFmtId="0" fontId="22" fillId="0" borderId="0" xfId="0" applyFont="1"/>
    <xf numFmtId="0" fontId="22" fillId="0" borderId="0" xfId="0" applyFont="1" applyAlignment="1">
      <alignment horizontal="left"/>
    </xf>
    <xf numFmtId="0" fontId="46" fillId="0" borderId="0" xfId="0" applyFont="1" applyAlignment="1">
      <alignment horizontal="left"/>
    </xf>
    <xf numFmtId="0" fontId="22" fillId="0" borderId="7" xfId="0" applyFont="1" applyBorder="1" applyAlignment="1">
      <alignment horizontal="left"/>
    </xf>
    <xf numFmtId="167" fontId="5" fillId="0" borderId="0" xfId="0" applyNumberFormat="1" applyFont="1" applyAlignment="1">
      <alignment horizontal="left"/>
    </xf>
    <xf numFmtId="0" fontId="46" fillId="0" borderId="0" xfId="0" applyFont="1"/>
    <xf numFmtId="0" fontId="37" fillId="29" borderId="28" xfId="30" applyBorder="1" applyAlignment="1">
      <alignment vertical="top"/>
      <protection locked="0"/>
    </xf>
    <xf numFmtId="177" fontId="0" fillId="0" borderId="0" xfId="3" applyNumberFormat="1" applyFont="1" applyFill="1"/>
    <xf numFmtId="0" fontId="40" fillId="0" borderId="0" xfId="0" quotePrefix="1" applyFont="1" applyAlignment="1">
      <alignment horizontal="left"/>
    </xf>
    <xf numFmtId="2" fontId="5" fillId="0" borderId="22" xfId="0" applyNumberFormat="1" applyFont="1" applyBorder="1" applyAlignment="1">
      <alignment horizontal="left"/>
    </xf>
    <xf numFmtId="2" fontId="5" fillId="0" borderId="22" xfId="0" applyNumberFormat="1" applyFont="1" applyBorder="1" applyAlignment="1">
      <alignment horizontal="center"/>
    </xf>
    <xf numFmtId="2" fontId="5" fillId="0" borderId="9" xfId="0" applyNumberFormat="1" applyFont="1" applyBorder="1" applyAlignment="1">
      <alignment horizontal="center"/>
    </xf>
    <xf numFmtId="178" fontId="5" fillId="0" borderId="9" xfId="0" applyNumberFormat="1" applyFont="1" applyBorder="1" applyProtection="1">
      <protection locked="0"/>
    </xf>
    <xf numFmtId="178" fontId="37" fillId="29" borderId="9" xfId="33" applyNumberFormat="1" applyBorder="1" applyAlignment="1">
      <protection locked="0"/>
    </xf>
    <xf numFmtId="2" fontId="5" fillId="0" borderId="22" xfId="0" applyNumberFormat="1" applyFont="1" applyBorder="1" applyAlignment="1">
      <alignment horizontal="right"/>
    </xf>
    <xf numFmtId="9" fontId="37" fillId="29" borderId="22" xfId="3" applyFont="1" applyFill="1" applyBorder="1" applyAlignment="1" applyProtection="1">
      <alignment horizontal="right"/>
      <protection locked="0"/>
    </xf>
    <xf numFmtId="178" fontId="5" fillId="0" borderId="7" xfId="0" applyNumberFormat="1" applyFont="1" applyBorder="1" applyProtection="1">
      <protection locked="0"/>
    </xf>
    <xf numFmtId="0" fontId="37" fillId="0" borderId="0" xfId="33" applyNumberFormat="1" applyFill="1" applyBorder="1" applyAlignment="1" applyProtection="1">
      <alignment horizontal="center"/>
    </xf>
    <xf numFmtId="9" fontId="37" fillId="29" borderId="0" xfId="33" applyNumberFormat="1" applyBorder="1" applyAlignment="1" applyProtection="1">
      <alignment horizontal="center"/>
    </xf>
    <xf numFmtId="0" fontId="40" fillId="0" borderId="6" xfId="0" quotePrefix="1" applyFont="1" applyBorder="1" applyAlignment="1">
      <alignment horizontal="left"/>
    </xf>
    <xf numFmtId="0" fontId="5" fillId="0" borderId="5" xfId="0" applyFont="1" applyBorder="1" applyAlignment="1">
      <alignment horizontal="center"/>
    </xf>
    <xf numFmtId="0" fontId="5" fillId="0" borderId="5" xfId="0" applyFont="1" applyBorder="1"/>
    <xf numFmtId="0" fontId="37" fillId="0" borderId="22" xfId="33" applyNumberFormat="1" applyFill="1" applyBorder="1" applyAlignment="1" applyProtection="1">
      <alignment horizontal="center"/>
    </xf>
    <xf numFmtId="2" fontId="5" fillId="0" borderId="9" xfId="0" applyNumberFormat="1" applyFont="1" applyBorder="1" applyAlignment="1">
      <alignment horizontal="left"/>
    </xf>
    <xf numFmtId="14" fontId="5" fillId="0" borderId="9" xfId="0" applyNumberFormat="1" applyFont="1" applyBorder="1" applyAlignment="1">
      <alignment horizontal="center"/>
    </xf>
    <xf numFmtId="0" fontId="47" fillId="0" borderId="0" xfId="0" applyFont="1"/>
    <xf numFmtId="1" fontId="5" fillId="0" borderId="9" xfId="0" applyNumberFormat="1" applyFont="1" applyBorder="1" applyAlignment="1">
      <alignment horizontal="center"/>
    </xf>
    <xf numFmtId="1" fontId="5" fillId="0" borderId="1" xfId="0" applyNumberFormat="1" applyFont="1" applyBorder="1" applyAlignment="1">
      <alignment horizontal="center"/>
    </xf>
    <xf numFmtId="1" fontId="5" fillId="0" borderId="0" xfId="0" applyNumberFormat="1" applyFont="1" applyAlignment="1">
      <alignment horizontal="center"/>
    </xf>
    <xf numFmtId="0" fontId="0" fillId="0" borderId="62" xfId="0" applyBorder="1" applyAlignment="1">
      <alignment wrapText="1"/>
    </xf>
    <xf numFmtId="1" fontId="5" fillId="20" borderId="30" xfId="19" applyNumberFormat="1" applyFont="1" applyAlignment="1">
      <alignment horizontal="center"/>
    </xf>
    <xf numFmtId="178" fontId="37" fillId="29" borderId="0" xfId="33" applyNumberFormat="1" applyBorder="1">
      <protection locked="0"/>
    </xf>
    <xf numFmtId="178" fontId="38" fillId="30" borderId="57" xfId="29" applyNumberFormat="1" applyProtection="1">
      <protection locked="0"/>
    </xf>
    <xf numFmtId="0" fontId="5" fillId="0" borderId="5" xfId="0" applyFont="1" applyBorder="1" applyAlignment="1">
      <alignment horizontal="left"/>
    </xf>
    <xf numFmtId="0" fontId="5" fillId="0" borderId="22" xfId="0" applyFont="1" applyBorder="1" applyAlignment="1">
      <alignment horizontal="center"/>
    </xf>
    <xf numFmtId="0" fontId="0" fillId="0" borderId="74" xfId="0" applyBorder="1"/>
    <xf numFmtId="0" fontId="5" fillId="0" borderId="62" xfId="0" applyFont="1" applyBorder="1" applyAlignment="1">
      <alignment horizontal="left"/>
    </xf>
    <xf numFmtId="0" fontId="0" fillId="0" borderId="75" xfId="0" applyBorder="1"/>
    <xf numFmtId="0" fontId="5" fillId="0" borderId="20" xfId="0" applyFont="1" applyBorder="1" applyAlignment="1">
      <alignment horizontal="center"/>
    </xf>
    <xf numFmtId="0" fontId="0" fillId="0" borderId="0" xfId="0" applyAlignment="1">
      <alignment horizontal="center"/>
    </xf>
    <xf numFmtId="178" fontId="37" fillId="32" borderId="0" xfId="31" applyNumberFormat="1" applyBorder="1" applyAlignment="1">
      <protection locked="0"/>
    </xf>
    <xf numFmtId="1" fontId="5" fillId="0" borderId="7" xfId="0" applyNumberFormat="1" applyFont="1" applyBorder="1" applyAlignment="1">
      <alignment horizontal="center"/>
    </xf>
    <xf numFmtId="2" fontId="6" fillId="0" borderId="7" xfId="0" applyNumberFormat="1" applyFont="1" applyBorder="1" applyAlignment="1">
      <alignment horizontal="left"/>
    </xf>
    <xf numFmtId="0" fontId="5" fillId="0" borderId="22" xfId="0" applyFont="1" applyBorder="1" applyAlignment="1">
      <alignment horizontal="left"/>
    </xf>
    <xf numFmtId="178" fontId="37" fillId="29" borderId="9" xfId="33" applyNumberFormat="1" applyBorder="1" applyAlignment="1">
      <alignment horizontal="right"/>
      <protection locked="0"/>
    </xf>
    <xf numFmtId="178" fontId="37" fillId="29" borderId="9" xfId="33" applyNumberFormat="1" applyBorder="1">
      <protection locked="0"/>
    </xf>
    <xf numFmtId="2" fontId="37" fillId="29" borderId="57" xfId="33" applyNumberFormat="1" applyBorder="1">
      <protection locked="0"/>
    </xf>
    <xf numFmtId="166" fontId="37" fillId="29" borderId="9" xfId="3" applyNumberFormat="1" applyFont="1" applyFill="1" applyBorder="1" applyProtection="1">
      <protection locked="0"/>
    </xf>
    <xf numFmtId="10" fontId="37" fillId="29" borderId="9" xfId="3" applyNumberFormat="1" applyFont="1" applyFill="1" applyBorder="1" applyProtection="1">
      <protection locked="0"/>
    </xf>
    <xf numFmtId="9" fontId="37" fillId="29" borderId="9" xfId="3" applyFont="1" applyFill="1" applyBorder="1" applyProtection="1">
      <protection locked="0"/>
    </xf>
    <xf numFmtId="2" fontId="5" fillId="0" borderId="5" xfId="0" applyNumberFormat="1" applyFont="1" applyBorder="1" applyAlignment="1">
      <alignment horizontal="left"/>
    </xf>
    <xf numFmtId="178" fontId="5" fillId="0" borderId="8" xfId="0" applyNumberFormat="1" applyFont="1" applyBorder="1" applyProtection="1">
      <protection locked="0"/>
    </xf>
    <xf numFmtId="178" fontId="5" fillId="0" borderId="0" xfId="0" applyNumberFormat="1" applyFont="1" applyProtection="1">
      <protection locked="0"/>
    </xf>
    <xf numFmtId="2" fontId="5" fillId="0" borderId="76" xfId="0" applyNumberFormat="1" applyFont="1" applyBorder="1" applyAlignment="1">
      <alignment horizontal="center"/>
    </xf>
    <xf numFmtId="178" fontId="5" fillId="0" borderId="77" xfId="0" applyNumberFormat="1" applyFont="1" applyBorder="1" applyAlignment="1" applyProtection="1">
      <alignment horizontal="center"/>
      <protection locked="0"/>
    </xf>
    <xf numFmtId="2" fontId="5" fillId="0" borderId="77" xfId="0" applyNumberFormat="1" applyFont="1" applyBorder="1" applyAlignment="1">
      <alignment horizontal="center"/>
    </xf>
    <xf numFmtId="178" fontId="5" fillId="0" borderId="77" xfId="0" applyNumberFormat="1" applyFont="1" applyBorder="1" applyProtection="1">
      <protection locked="0"/>
    </xf>
    <xf numFmtId="2" fontId="5" fillId="0" borderId="62" xfId="0" applyNumberFormat="1" applyFont="1" applyBorder="1" applyAlignment="1">
      <alignment horizontal="center"/>
    </xf>
    <xf numFmtId="2" fontId="5" fillId="0" borderId="75" xfId="0" applyNumberFormat="1" applyFont="1" applyBorder="1" applyAlignment="1">
      <alignment horizontal="center"/>
    </xf>
    <xf numFmtId="178" fontId="37" fillId="29" borderId="22" xfId="33" applyNumberFormat="1" applyBorder="1">
      <protection locked="0"/>
    </xf>
    <xf numFmtId="166" fontId="37" fillId="29" borderId="7" xfId="3" applyNumberFormat="1" applyFont="1" applyFill="1" applyBorder="1" applyAlignment="1" applyProtection="1">
      <alignment horizontal="right"/>
      <protection locked="0"/>
    </xf>
    <xf numFmtId="166" fontId="37" fillId="29" borderId="22" xfId="3" applyNumberFormat="1" applyFont="1" applyFill="1" applyBorder="1" applyAlignment="1" applyProtection="1">
      <alignment horizontal="right"/>
      <protection locked="0"/>
    </xf>
    <xf numFmtId="166" fontId="37" fillId="29" borderId="7" xfId="3" applyNumberFormat="1" applyFont="1" applyFill="1" applyBorder="1" applyAlignment="1" applyProtection="1">
      <alignment horizontal="center"/>
      <protection locked="0"/>
    </xf>
    <xf numFmtId="2" fontId="5" fillId="0" borderId="0" xfId="0" applyNumberFormat="1" applyFont="1" applyAlignment="1">
      <alignment horizontal="right"/>
    </xf>
    <xf numFmtId="0" fontId="5" fillId="6" borderId="78" xfId="0" applyFont="1" applyFill="1" applyBorder="1" applyAlignment="1">
      <alignment horizontal="centerContinuous"/>
    </xf>
    <xf numFmtId="0" fontId="5" fillId="6" borderId="78" xfId="0" applyFont="1" applyFill="1" applyBorder="1" applyAlignment="1">
      <alignment horizontal="center"/>
    </xf>
    <xf numFmtId="0" fontId="5" fillId="7" borderId="78" xfId="0" applyFont="1" applyFill="1" applyBorder="1" applyAlignment="1">
      <alignment horizontal="center"/>
    </xf>
    <xf numFmtId="2" fontId="6" fillId="0" borderId="6" xfId="0" applyNumberFormat="1" applyFont="1" applyBorder="1" applyAlignment="1">
      <alignment horizontal="left"/>
    </xf>
    <xf numFmtId="1" fontId="37" fillId="29" borderId="0" xfId="33" applyNumberFormat="1" applyBorder="1" applyAlignment="1">
      <alignment horizontal="center"/>
      <protection locked="0"/>
    </xf>
    <xf numFmtId="15" fontId="38" fillId="30" borderId="57" xfId="29" applyNumberFormat="1" applyAlignment="1">
      <alignment vertical="top"/>
    </xf>
    <xf numFmtId="0" fontId="37" fillId="29" borderId="22" xfId="33" applyNumberFormat="1" applyBorder="1" applyAlignment="1">
      <alignment horizontal="center"/>
      <protection locked="0"/>
    </xf>
    <xf numFmtId="0" fontId="27" fillId="23" borderId="57" xfId="23" applyNumberFormat="1" applyAlignment="1" applyProtection="1">
      <alignment horizontal="center"/>
      <protection locked="0"/>
    </xf>
    <xf numFmtId="1" fontId="27" fillId="23" borderId="57" xfId="23" applyNumberFormat="1" applyAlignment="1" applyProtection="1">
      <alignment horizontal="center"/>
      <protection locked="0"/>
    </xf>
    <xf numFmtId="0" fontId="37" fillId="29" borderId="16" xfId="33" applyBorder="1" applyAlignment="1">
      <alignment vertical="top"/>
      <protection locked="0"/>
    </xf>
    <xf numFmtId="165" fontId="37" fillId="29" borderId="0" xfId="33" applyNumberFormat="1" applyBorder="1" applyAlignment="1">
      <alignment horizontal="center"/>
      <protection locked="0"/>
    </xf>
    <xf numFmtId="165" fontId="27" fillId="23" borderId="57" xfId="23" applyNumberFormat="1" applyAlignment="1" applyProtection="1">
      <alignment horizontal="center"/>
      <protection locked="0"/>
    </xf>
    <xf numFmtId="0" fontId="37" fillId="29" borderId="0" xfId="33" applyBorder="1">
      <protection locked="0"/>
    </xf>
    <xf numFmtId="2" fontId="5" fillId="0" borderId="14" xfId="0" applyNumberFormat="1" applyFont="1" applyBorder="1" applyAlignment="1">
      <alignment wrapText="1"/>
    </xf>
    <xf numFmtId="1" fontId="38" fillId="30" borderId="57" xfId="29" applyNumberFormat="1" applyAlignment="1">
      <alignment horizontal="center"/>
    </xf>
    <xf numFmtId="178" fontId="5" fillId="0" borderId="15" xfId="0" applyNumberFormat="1" applyFont="1" applyBorder="1" applyProtection="1">
      <protection locked="0"/>
    </xf>
    <xf numFmtId="178" fontId="5" fillId="0" borderId="20" xfId="0" applyNumberFormat="1" applyFont="1" applyBorder="1" applyAlignment="1" applyProtection="1">
      <alignment wrapText="1"/>
      <protection locked="0"/>
    </xf>
    <xf numFmtId="1" fontId="27" fillId="32" borderId="57" xfId="31" applyNumberFormat="1" applyFont="1" applyBorder="1" applyAlignment="1">
      <alignment horizontal="center"/>
      <protection locked="0"/>
    </xf>
    <xf numFmtId="9" fontId="37" fillId="29" borderId="0" xfId="3" applyFont="1" applyFill="1" applyBorder="1" applyAlignment="1" applyProtection="1">
      <alignment horizontal="center"/>
      <protection locked="0"/>
    </xf>
    <xf numFmtId="9" fontId="27" fillId="23" borderId="57" xfId="23" applyNumberFormat="1" applyAlignment="1" applyProtection="1">
      <alignment horizontal="center"/>
      <protection locked="0"/>
    </xf>
    <xf numFmtId="2" fontId="37" fillId="29" borderId="0" xfId="33" applyNumberFormat="1" applyBorder="1" applyAlignment="1">
      <alignment horizontal="center"/>
      <protection locked="0"/>
    </xf>
    <xf numFmtId="2" fontId="27" fillId="23" borderId="57" xfId="23" applyNumberFormat="1" applyAlignment="1" applyProtection="1">
      <alignment horizontal="center"/>
      <protection locked="0"/>
    </xf>
    <xf numFmtId="2" fontId="5" fillId="0" borderId="22" xfId="0" quotePrefix="1" applyNumberFormat="1" applyFont="1" applyBorder="1" applyAlignment="1">
      <alignment horizontal="center"/>
    </xf>
    <xf numFmtId="0" fontId="37" fillId="29" borderId="9" xfId="33" applyNumberFormat="1" applyBorder="1" applyAlignment="1">
      <alignment horizontal="center" vertical="center"/>
      <protection locked="0"/>
    </xf>
    <xf numFmtId="2" fontId="5" fillId="0" borderId="9" xfId="0" applyNumberFormat="1" applyFont="1" applyBorder="1" applyAlignment="1">
      <alignment horizontal="left" vertical="center"/>
    </xf>
    <xf numFmtId="2" fontId="37" fillId="29" borderId="7" xfId="33" applyNumberFormat="1" applyBorder="1" applyAlignment="1">
      <alignment horizontal="center" vertical="center"/>
      <protection locked="0"/>
    </xf>
    <xf numFmtId="2" fontId="6" fillId="0" borderId="9" xfId="0" applyNumberFormat="1" applyFont="1" applyBorder="1" applyAlignment="1">
      <alignment horizontal="left"/>
    </xf>
    <xf numFmtId="14" fontId="38" fillId="30" borderId="57" xfId="29" applyNumberFormat="1" applyAlignment="1" applyProtection="1">
      <alignment horizontal="center"/>
      <protection locked="0"/>
    </xf>
    <xf numFmtId="1" fontId="37" fillId="32" borderId="7" xfId="31" applyNumberFormat="1" applyBorder="1" applyAlignment="1">
      <alignment horizontal="center"/>
      <protection locked="0"/>
    </xf>
    <xf numFmtId="0" fontId="37" fillId="29" borderId="9" xfId="33" applyNumberFormat="1" applyBorder="1" applyAlignment="1">
      <alignment horizontal="right"/>
      <protection locked="0"/>
    </xf>
    <xf numFmtId="2" fontId="5" fillId="0" borderId="42" xfId="0" applyNumberFormat="1" applyFont="1" applyBorder="1" applyAlignment="1">
      <alignment horizontal="left"/>
    </xf>
    <xf numFmtId="0" fontId="37" fillId="29" borderId="9" xfId="33" applyNumberFormat="1" applyBorder="1" applyAlignment="1">
      <alignment horizontal="center"/>
      <protection locked="0"/>
    </xf>
    <xf numFmtId="2" fontId="5" fillId="0" borderId="42" xfId="0" applyNumberFormat="1" applyFont="1" applyBorder="1" applyAlignment="1">
      <alignment horizontal="center"/>
    </xf>
    <xf numFmtId="16" fontId="5" fillId="0" borderId="9" xfId="0" applyNumberFormat="1" applyFont="1" applyBorder="1" applyProtection="1">
      <protection locked="0"/>
    </xf>
    <xf numFmtId="167" fontId="37" fillId="29" borderId="9" xfId="33" applyNumberFormat="1" applyBorder="1" applyAlignment="1">
      <alignment horizontal="center"/>
      <protection locked="0"/>
    </xf>
    <xf numFmtId="2" fontId="5" fillId="0" borderId="42" xfId="0" applyNumberFormat="1" applyFont="1" applyBorder="1"/>
    <xf numFmtId="2" fontId="5" fillId="0" borderId="7" xfId="0" applyNumberFormat="1" applyFont="1" applyBorder="1"/>
    <xf numFmtId="2" fontId="8" fillId="27" borderId="42" xfId="26" applyNumberFormat="1" applyBorder="1" applyAlignment="1"/>
    <xf numFmtId="179" fontId="37" fillId="29" borderId="9" xfId="33" applyNumberFormat="1" applyBorder="1">
      <protection locked="0"/>
    </xf>
    <xf numFmtId="2" fontId="37" fillId="29" borderId="9" xfId="33" applyNumberFormat="1" applyBorder="1" applyAlignment="1">
      <protection locked="0"/>
    </xf>
    <xf numFmtId="2" fontId="6" fillId="0" borderId="42" xfId="0" applyNumberFormat="1" applyFont="1" applyBorder="1" applyAlignment="1">
      <alignment horizontal="left"/>
    </xf>
    <xf numFmtId="2" fontId="5" fillId="0" borderId="6" xfId="0" applyNumberFormat="1" applyFont="1" applyBorder="1" applyAlignment="1">
      <alignment horizontal="right"/>
    </xf>
    <xf numFmtId="179" fontId="37" fillId="32" borderId="9" xfId="31" applyNumberFormat="1" applyBorder="1" applyAlignment="1">
      <protection locked="0"/>
    </xf>
    <xf numFmtId="178" fontId="5" fillId="0" borderId="1" xfId="0" applyNumberFormat="1" applyFont="1" applyBorder="1" applyProtection="1">
      <protection locked="0"/>
    </xf>
    <xf numFmtId="2" fontId="48" fillId="23" borderId="79" xfId="23" applyNumberFormat="1" applyFont="1" applyBorder="1" applyAlignment="1" applyProtection="1">
      <alignment horizontal="center" vertical="top"/>
      <protection locked="0"/>
    </xf>
    <xf numFmtId="2" fontId="48" fillId="23" borderId="57" xfId="23" applyNumberFormat="1" applyFont="1" applyAlignment="1" applyProtection="1">
      <alignment horizontal="center" vertical="top"/>
      <protection locked="0"/>
    </xf>
    <xf numFmtId="2" fontId="15" fillId="19" borderId="16" xfId="18" applyNumberFormat="1" applyAlignment="1">
      <alignment horizontal="center" vertical="top"/>
      <protection locked="0"/>
    </xf>
    <xf numFmtId="0" fontId="15" fillId="18" borderId="21" xfId="16" applyBorder="1">
      <alignment vertical="top"/>
      <protection locked="0"/>
    </xf>
    <xf numFmtId="168" fontId="13" fillId="16" borderId="16" xfId="14" applyNumberFormat="1">
      <alignment vertical="top"/>
    </xf>
    <xf numFmtId="166" fontId="13" fillId="16" borderId="16" xfId="3" applyNumberFormat="1" applyFont="1" applyFill="1" applyBorder="1" applyAlignment="1">
      <alignment vertical="top"/>
    </xf>
    <xf numFmtId="180" fontId="13" fillId="16" borderId="16" xfId="3" applyNumberFormat="1" applyFont="1" applyFill="1" applyBorder="1" applyAlignment="1">
      <alignment vertical="top"/>
    </xf>
    <xf numFmtId="166" fontId="13" fillId="16" borderId="16" xfId="14" applyNumberFormat="1">
      <alignment vertical="top"/>
    </xf>
    <xf numFmtId="1" fontId="13" fillId="16" borderId="27" xfId="14" applyNumberFormat="1" applyBorder="1">
      <alignment vertical="top"/>
    </xf>
    <xf numFmtId="0" fontId="15" fillId="18" borderId="80" xfId="16" applyBorder="1">
      <alignment vertical="top"/>
      <protection locked="0"/>
    </xf>
    <xf numFmtId="0" fontId="34" fillId="18" borderId="27" xfId="16" applyFont="1" applyBorder="1">
      <alignment vertical="top"/>
      <protection locked="0"/>
    </xf>
    <xf numFmtId="10" fontId="34" fillId="21" borderId="33" xfId="20" applyNumberFormat="1" applyFont="1" applyBorder="1" applyAlignment="1">
      <alignment vertical="top"/>
    </xf>
    <xf numFmtId="1" fontId="18" fillId="18" borderId="16" xfId="16" applyNumberFormat="1" applyFont="1">
      <alignment vertical="top"/>
      <protection locked="0"/>
    </xf>
    <xf numFmtId="10" fontId="34" fillId="21" borderId="30" xfId="20" applyNumberFormat="1" applyFont="1" applyAlignment="1">
      <alignment vertical="top"/>
    </xf>
    <xf numFmtId="10" fontId="34" fillId="18" borderId="16" xfId="16" applyNumberFormat="1" applyFont="1">
      <alignment vertical="top"/>
      <protection locked="0"/>
    </xf>
    <xf numFmtId="10" fontId="34" fillId="20" borderId="30" xfId="19" applyNumberFormat="1" applyFont="1" applyAlignment="1">
      <alignment vertical="top"/>
    </xf>
    <xf numFmtId="10" fontId="25" fillId="20" borderId="31" xfId="19" applyNumberFormat="1" applyFont="1" applyBorder="1" applyAlignment="1">
      <alignment vertical="top"/>
    </xf>
    <xf numFmtId="0" fontId="34" fillId="17" borderId="9" xfId="15" applyFont="1">
      <alignment horizontal="center" vertical="top"/>
    </xf>
    <xf numFmtId="0" fontId="25" fillId="16" borderId="16" xfId="14" applyFont="1" applyAlignment="1">
      <alignment horizontal="center" vertical="top"/>
    </xf>
    <xf numFmtId="0" fontId="25" fillId="16" borderId="27" xfId="14" applyFont="1" applyBorder="1" applyAlignment="1">
      <alignment horizontal="centerContinuous" vertical="top"/>
    </xf>
    <xf numFmtId="0" fontId="49" fillId="16" borderId="27" xfId="14" applyFont="1" applyBorder="1" applyAlignment="1">
      <alignment horizontal="centerContinuous" vertical="top"/>
    </xf>
    <xf numFmtId="0" fontId="0" fillId="2" borderId="0" xfId="0" applyFill="1" applyAlignment="1">
      <alignment horizontal="centerContinuous"/>
    </xf>
    <xf numFmtId="165" fontId="15" fillId="19" borderId="16" xfId="18" applyNumberFormat="1">
      <alignment vertical="top"/>
      <protection locked="0"/>
    </xf>
    <xf numFmtId="0" fontId="22" fillId="12" borderId="21" xfId="12" applyFont="1" applyAlignment="1">
      <alignment horizontal="center" vertical="top"/>
    </xf>
    <xf numFmtId="2" fontId="37" fillId="29" borderId="9" xfId="33" applyNumberFormat="1" applyBorder="1" applyAlignment="1">
      <alignment horizontal="right"/>
      <protection locked="0"/>
    </xf>
    <xf numFmtId="0" fontId="15" fillId="20" borderId="30" xfId="19" applyFont="1" applyAlignment="1">
      <alignment vertical="top"/>
    </xf>
    <xf numFmtId="0" fontId="5" fillId="6" borderId="84" xfId="0" applyFont="1" applyFill="1" applyBorder="1"/>
    <xf numFmtId="0" fontId="37"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7" fillId="29" borderId="0" xfId="33" applyNumberFormat="1" applyBorder="1" applyAlignment="1">
      <protection locked="0"/>
    </xf>
    <xf numFmtId="2" fontId="0" fillId="3" borderId="1" xfId="0" applyNumberFormat="1" applyFill="1" applyBorder="1" applyAlignment="1">
      <alignment horizontal="center"/>
    </xf>
    <xf numFmtId="9" fontId="37"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7" fillId="31" borderId="0" xfId="28" applyNumberFormat="1" applyBorder="1">
      <protection locked="0"/>
    </xf>
    <xf numFmtId="167" fontId="37" fillId="31" borderId="0" xfId="28" applyNumberFormat="1" applyBorder="1" applyAlignment="1">
      <alignment horizontal="right"/>
      <protection locked="0"/>
    </xf>
    <xf numFmtId="9" fontId="37" fillId="29" borderId="0" xfId="3" applyFont="1" applyFill="1" applyBorder="1" applyAlignment="1" applyProtection="1">
      <protection locked="0"/>
    </xf>
    <xf numFmtId="0" fontId="29" fillId="34" borderId="16" xfId="24" applyFill="1">
      <alignment vertical="top"/>
      <protection locked="0"/>
    </xf>
    <xf numFmtId="0" fontId="38" fillId="30" borderId="57" xfId="29" applyAlignment="1">
      <alignment vertical="top" wrapText="1"/>
    </xf>
    <xf numFmtId="0" fontId="19" fillId="20" borderId="30" xfId="19" applyFont="1" applyAlignment="1">
      <alignment vertical="top"/>
    </xf>
    <xf numFmtId="0" fontId="1" fillId="35" borderId="16" xfId="34" applyBorder="1" applyAlignment="1" applyProtection="1">
      <alignment vertical="top"/>
      <protection locked="0"/>
    </xf>
    <xf numFmtId="2" fontId="5" fillId="0" borderId="0" xfId="0" applyNumberFormat="1" applyFont="1" applyAlignment="1">
      <alignment horizontal="right" vertical="top" wrapText="1"/>
    </xf>
    <xf numFmtId="0" fontId="8" fillId="17" borderId="42" xfId="15" applyBorder="1" applyAlignment="1">
      <alignment horizontal="left" vertical="top" wrapText="1"/>
    </xf>
    <xf numFmtId="0" fontId="8" fillId="17" borderId="7" xfId="15" applyBorder="1" applyAlignment="1">
      <alignment horizontal="left" vertical="top" wrapText="1"/>
    </xf>
    <xf numFmtId="0" fontId="8" fillId="17" borderId="24" xfId="15" applyBorder="1" applyAlignment="1">
      <alignment horizontal="left" vertical="top" wrapText="1"/>
    </xf>
    <xf numFmtId="0" fontId="15" fillId="18" borderId="81" xfId="16" applyNumberFormat="1" applyBorder="1" applyAlignment="1">
      <alignment horizontal="left" vertical="top" wrapText="1"/>
      <protection locked="0"/>
    </xf>
    <xf numFmtId="0" fontId="15" fillId="18" borderId="82" xfId="16" applyNumberFormat="1" applyBorder="1" applyAlignment="1">
      <alignment horizontal="left" vertical="top" wrapText="1"/>
      <protection locked="0"/>
    </xf>
    <xf numFmtId="0" fontId="15" fillId="18" borderId="83" xfId="16" applyNumberFormat="1" applyBorder="1" applyAlignment="1">
      <alignment horizontal="left" vertical="top" wrapText="1"/>
      <protection locked="0"/>
    </xf>
    <xf numFmtId="0" fontId="8" fillId="17" borderId="9" xfId="15" applyAlignment="1">
      <alignment horizontal="left" vertical="top"/>
    </xf>
    <xf numFmtId="0" fontId="15" fillId="18" borderId="23" xfId="16" applyBorder="1" applyAlignment="1">
      <alignment horizontal="left" vertical="top" wrapText="1"/>
      <protection locked="0"/>
    </xf>
    <xf numFmtId="0" fontId="15" fillId="18" borderId="7" xfId="16" applyBorder="1" applyAlignment="1">
      <alignment horizontal="left" vertical="top" wrapText="1"/>
      <protection locked="0"/>
    </xf>
    <xf numFmtId="0" fontId="15" fillId="18" borderId="24" xfId="16" applyBorder="1" applyAlignment="1">
      <alignment horizontal="left" vertical="top" wrapText="1"/>
      <protection locked="0"/>
    </xf>
    <xf numFmtId="0" fontId="8" fillId="17" borderId="9" xfId="15" applyAlignment="1">
      <alignment horizontal="left" vertical="top" wrapText="1"/>
    </xf>
    <xf numFmtId="0" fontId="15" fillId="18" borderId="85" xfId="16" applyNumberFormat="1" applyBorder="1" applyAlignment="1">
      <alignment horizontal="left" vertical="top" wrapText="1"/>
      <protection locked="0"/>
    </xf>
  </cellXfs>
  <cellStyles count="35">
    <cellStyle name="20% - Accent1" xfId="26" builtinId="30"/>
    <cellStyle name="20% - Accent2" xfId="34" builtinId="34"/>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2318</v>
      </c>
      <c r="G20" s="383" t="s">
        <v>3781</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2325</v>
      </c>
      <c r="G22" s="94"/>
      <c r="H22" s="94"/>
      <c r="I22" s="94"/>
      <c r="J22" s="94"/>
      <c r="K22" s="350" t="s">
        <v>2319</v>
      </c>
      <c r="L22" s="94"/>
      <c r="M22" s="94"/>
      <c r="N22" s="350" t="s">
        <v>2320</v>
      </c>
      <c r="O22" s="94"/>
      <c r="P22" s="94"/>
      <c r="Q22" s="350" t="s">
        <v>3778</v>
      </c>
      <c r="R22" s="94"/>
      <c r="S22" s="94"/>
      <c r="T22" s="350" t="s">
        <v>3779</v>
      </c>
      <c r="U22" s="94"/>
      <c r="V22" s="94"/>
      <c r="W22" s="73"/>
      <c r="X22" s="57"/>
      <c r="Y22" s="45"/>
      <c r="Z22" s="45"/>
      <c r="AA22" s="45"/>
    </row>
    <row r="23" spans="1:27" ht="75" outlineLevel="3" x14ac:dyDescent="0.25">
      <c r="A23" s="45"/>
      <c r="B23" s="54"/>
      <c r="C23" s="73"/>
      <c r="D23" s="73"/>
      <c r="E23" s="76"/>
      <c r="F23" s="354" t="s">
        <v>3780</v>
      </c>
      <c r="G23" s="629" t="s">
        <v>3781</v>
      </c>
      <c r="H23" s="76"/>
      <c r="I23" s="76"/>
      <c r="J23" s="76"/>
      <c r="K23" s="354" t="s">
        <v>2321</v>
      </c>
      <c r="L23" s="351">
        <v>1.1999999999999999E-6</v>
      </c>
      <c r="M23" s="76"/>
      <c r="N23" s="354" t="s">
        <v>2322</v>
      </c>
      <c r="O23" s="351">
        <v>0.7</v>
      </c>
      <c r="P23" s="76"/>
      <c r="Q23" s="354" t="s">
        <v>9</v>
      </c>
      <c r="R23" s="351">
        <v>0.64</v>
      </c>
      <c r="S23" s="76"/>
      <c r="T23" s="354" t="s">
        <v>3782</v>
      </c>
      <c r="U23" s="351">
        <v>0.9</v>
      </c>
      <c r="V23" s="76"/>
      <c r="W23" s="73"/>
      <c r="X23" s="57"/>
      <c r="Y23" s="45"/>
      <c r="Z23" s="45"/>
      <c r="AA23" s="45"/>
    </row>
    <row r="24" spans="1:27" outlineLevel="3" x14ac:dyDescent="0.25">
      <c r="A24" s="45"/>
      <c r="B24" s="54"/>
      <c r="C24" s="73"/>
      <c r="D24" s="73"/>
      <c r="E24" s="76"/>
      <c r="F24" s="76"/>
      <c r="G24" s="353" t="s">
        <v>2319</v>
      </c>
      <c r="H24" s="76"/>
      <c r="I24" s="76"/>
      <c r="J24" s="76"/>
      <c r="K24" s="76"/>
      <c r="L24" s="76"/>
      <c r="M24" s="76"/>
      <c r="N24" s="76"/>
      <c r="O24" s="76"/>
      <c r="P24" s="76"/>
      <c r="Q24" s="76" t="s">
        <v>2297</v>
      </c>
      <c r="R24" s="351">
        <v>-4.6119999999999998E-3</v>
      </c>
      <c r="S24" s="76"/>
      <c r="T24" s="76" t="s">
        <v>3783</v>
      </c>
      <c r="U24" s="351">
        <v>0.5</v>
      </c>
      <c r="V24" s="76"/>
      <c r="W24" s="73"/>
      <c r="X24" s="57"/>
      <c r="Y24" s="45"/>
      <c r="Z24" s="45"/>
      <c r="AA24" s="45"/>
    </row>
    <row r="25" spans="1:27" outlineLevel="3" x14ac:dyDescent="0.2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3784</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25">
      <c r="A27" s="45"/>
      <c r="B27" s="54"/>
      <c r="C27" s="73"/>
      <c r="D27" s="73"/>
      <c r="E27" s="76"/>
      <c r="F27" s="76"/>
      <c r="G27" s="353" t="s">
        <v>3779</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3456</v>
      </c>
      <c r="H38" s="14"/>
      <c r="I38" s="14" t="s">
        <v>3457</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3458</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3459</v>
      </c>
      <c r="H43" s="18" t="s">
        <v>3460</v>
      </c>
      <c r="I43" s="18" t="s">
        <v>3461</v>
      </c>
      <c r="J43" s="18" t="s">
        <v>3462</v>
      </c>
      <c r="K43" s="18" t="s">
        <v>3463</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3468</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3469</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3472</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3470</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3471</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2905</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2543</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2295</v>
      </c>
      <c r="I65" t="s">
        <v>2296</v>
      </c>
      <c r="K65" t="s">
        <v>2699</v>
      </c>
      <c r="M65" t="s">
        <v>2700</v>
      </c>
    </row>
    <row r="66" spans="7:13" x14ac:dyDescent="0.25">
      <c r="G66" s="338" t="s">
        <v>4</v>
      </c>
      <c r="I66" s="338" t="s">
        <v>2297</v>
      </c>
      <c r="K66" s="338" t="s">
        <v>45</v>
      </c>
      <c r="M66" s="428" t="s">
        <v>2701</v>
      </c>
    </row>
    <row r="67" spans="7:13" x14ac:dyDescent="0.25">
      <c r="G67" s="339" t="s">
        <v>2289</v>
      </c>
      <c r="I67" s="339" t="s">
        <v>2559</v>
      </c>
      <c r="K67" s="339" t="s">
        <v>2906</v>
      </c>
      <c r="M67" s="429" t="s">
        <v>2702</v>
      </c>
    </row>
    <row r="68" spans="7:13" ht="45" x14ac:dyDescent="0.25">
      <c r="G68" s="339" t="s">
        <v>10</v>
      </c>
      <c r="I68" s="339" t="s">
        <v>4</v>
      </c>
      <c r="K68" s="339" t="s">
        <v>2691</v>
      </c>
      <c r="M68" s="429" t="s">
        <v>2703</v>
      </c>
    </row>
    <row r="69" spans="7:13" ht="30" x14ac:dyDescent="0.25">
      <c r="G69" t="s">
        <v>60</v>
      </c>
      <c r="H69" s="343"/>
      <c r="I69" s="339" t="s">
        <v>2289</v>
      </c>
      <c r="K69" s="339" t="s">
        <v>2692</v>
      </c>
      <c r="M69" s="430" t="s">
        <v>2704</v>
      </c>
    </row>
    <row r="70" spans="7:13" x14ac:dyDescent="0.25">
      <c r="G70" s="339" t="s">
        <v>61</v>
      </c>
      <c r="I70" s="339" t="s">
        <v>10</v>
      </c>
      <c r="K70" s="340" t="s">
        <v>2907</v>
      </c>
    </row>
    <row r="71" spans="7:13" x14ac:dyDescent="0.25">
      <c r="G71" s="339" t="s">
        <v>62</v>
      </c>
      <c r="I71" s="339" t="s">
        <v>60</v>
      </c>
    </row>
    <row r="72" spans="7:13" x14ac:dyDescent="0.25">
      <c r="G72" s="339" t="s">
        <v>7</v>
      </c>
      <c r="I72" s="339" t="s">
        <v>61</v>
      </c>
    </row>
    <row r="73" spans="7:13" x14ac:dyDescent="0.25">
      <c r="G73" s="339" t="s">
        <v>3275</v>
      </c>
      <c r="I73" s="339" t="s">
        <v>2298</v>
      </c>
    </row>
    <row r="74" spans="7:13" x14ac:dyDescent="0.25">
      <c r="G74" s="339" t="s">
        <v>3201</v>
      </c>
      <c r="I74" s="339" t="s">
        <v>107</v>
      </c>
    </row>
    <row r="75" spans="7:13" x14ac:dyDescent="0.25">
      <c r="G75" s="339" t="s">
        <v>6</v>
      </c>
      <c r="I75" s="339" t="s">
        <v>62</v>
      </c>
    </row>
    <row r="76" spans="7:13" x14ac:dyDescent="0.25">
      <c r="G76" s="339" t="s">
        <v>2293</v>
      </c>
      <c r="I76" s="339" t="s">
        <v>7</v>
      </c>
    </row>
    <row r="77" spans="7:13" x14ac:dyDescent="0.25">
      <c r="G77" s="339" t="s">
        <v>72</v>
      </c>
      <c r="I77" s="339" t="s">
        <v>3275</v>
      </c>
    </row>
    <row r="78" spans="7:13" x14ac:dyDescent="0.25">
      <c r="G78" s="339" t="s">
        <v>9</v>
      </c>
      <c r="I78" s="339" t="s">
        <v>113</v>
      </c>
    </row>
    <row r="79" spans="7:13" x14ac:dyDescent="0.25">
      <c r="G79" s="339" t="s">
        <v>2292</v>
      </c>
      <c r="I79" s="339" t="s">
        <v>3201</v>
      </c>
    </row>
    <row r="80" spans="7:13" x14ac:dyDescent="0.25">
      <c r="G80" s="339" t="s">
        <v>63</v>
      </c>
      <c r="I80" s="339" t="s">
        <v>6</v>
      </c>
    </row>
    <row r="81" spans="7:9" x14ac:dyDescent="0.25">
      <c r="G81" s="339" t="s">
        <v>5</v>
      </c>
      <c r="I81" s="339" t="s">
        <v>2293</v>
      </c>
    </row>
    <row r="82" spans="7:9" x14ac:dyDescent="0.25">
      <c r="G82" s="339" t="s">
        <v>2291</v>
      </c>
      <c r="I82" s="339" t="s">
        <v>72</v>
      </c>
    </row>
    <row r="83" spans="7:9" x14ac:dyDescent="0.25">
      <c r="G83" s="339" t="s">
        <v>8</v>
      </c>
      <c r="I83" s="339" t="s">
        <v>9</v>
      </c>
    </row>
    <row r="84" spans="7:9" x14ac:dyDescent="0.25">
      <c r="G84" s="340" t="s">
        <v>2290</v>
      </c>
      <c r="I84" s="339" t="s">
        <v>2292</v>
      </c>
    </row>
    <row r="85" spans="7:9" x14ac:dyDescent="0.25">
      <c r="I85" s="339" t="s">
        <v>2299</v>
      </c>
    </row>
    <row r="86" spans="7:9" x14ac:dyDescent="0.25">
      <c r="I86" s="339" t="s">
        <v>2546</v>
      </c>
    </row>
    <row r="87" spans="7:9" x14ac:dyDescent="0.25">
      <c r="I87" s="339" t="s">
        <v>2300</v>
      </c>
    </row>
    <row r="88" spans="7:9" x14ac:dyDescent="0.25">
      <c r="I88" s="339" t="s">
        <v>106</v>
      </c>
    </row>
    <row r="89" spans="7:9" x14ac:dyDescent="0.25">
      <c r="I89" s="339" t="s">
        <v>2301</v>
      </c>
    </row>
    <row r="90" spans="7:9" x14ac:dyDescent="0.25">
      <c r="I90" s="339" t="s">
        <v>108</v>
      </c>
    </row>
    <row r="91" spans="7:9" x14ac:dyDescent="0.25">
      <c r="I91" s="339" t="s">
        <v>63</v>
      </c>
    </row>
    <row r="92" spans="7:9" x14ac:dyDescent="0.25">
      <c r="I92" s="339" t="s">
        <v>5</v>
      </c>
    </row>
    <row r="93" spans="7:9" x14ac:dyDescent="0.25">
      <c r="I93" s="339" t="s">
        <v>2291</v>
      </c>
    </row>
    <row r="94" spans="7:9" x14ac:dyDescent="0.25">
      <c r="I94" s="339" t="s">
        <v>2302</v>
      </c>
    </row>
    <row r="95" spans="7:9" x14ac:dyDescent="0.25">
      <c r="I95" s="339" t="s">
        <v>109</v>
      </c>
    </row>
    <row r="96" spans="7:9" x14ac:dyDescent="0.25">
      <c r="I96" s="339" t="s">
        <v>8</v>
      </c>
    </row>
    <row r="97" spans="9:9" x14ac:dyDescent="0.2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3010</v>
      </c>
    </row>
    <row r="9" spans="1:3" x14ac:dyDescent="0.25">
      <c r="A9" s="341" t="str">
        <f>General!G66</f>
        <v>b</v>
      </c>
      <c r="B9">
        <v>680</v>
      </c>
      <c r="C9" s="1" t="s">
        <v>2884</v>
      </c>
    </row>
    <row r="10" spans="1:3" x14ac:dyDescent="0.25">
      <c r="A10" s="341" t="str">
        <f>General!G67</f>
        <v>bd</v>
      </c>
      <c r="B10">
        <v>680</v>
      </c>
      <c r="C10" s="1" t="s">
        <v>2884</v>
      </c>
    </row>
    <row r="11" spans="1:3" x14ac:dyDescent="0.25">
      <c r="A11" s="341" t="str">
        <f>General!G68</f>
        <v>f</v>
      </c>
      <c r="B11">
        <v>680</v>
      </c>
      <c r="C11" s="1" t="s">
        <v>2884</v>
      </c>
    </row>
    <row r="12" spans="1:3" x14ac:dyDescent="0.25">
      <c r="A12" s="341" t="str">
        <f>General!G69</f>
        <v>h</v>
      </c>
      <c r="B12">
        <v>680</v>
      </c>
      <c r="C12" s="1" t="s">
        <v>2884</v>
      </c>
    </row>
    <row r="13" spans="1:3" x14ac:dyDescent="0.25">
      <c r="A13" s="341" t="str">
        <f>General!G70</f>
        <v>i</v>
      </c>
      <c r="B13">
        <v>680</v>
      </c>
      <c r="C13" s="1" t="s">
        <v>2884</v>
      </c>
    </row>
    <row r="14" spans="1:3" x14ac:dyDescent="0.25">
      <c r="A14" s="341" t="str">
        <f>General!G71</f>
        <v>k</v>
      </c>
      <c r="B14">
        <v>680</v>
      </c>
      <c r="C14" s="1" t="s">
        <v>2884</v>
      </c>
    </row>
    <row r="15" spans="1:3" x14ac:dyDescent="0.25">
      <c r="A15" s="341" t="str">
        <f>General!G72</f>
        <v>l</v>
      </c>
      <c r="B15">
        <v>680</v>
      </c>
      <c r="C15" s="1" t="s">
        <v>2884</v>
      </c>
    </row>
    <row r="16" spans="1:3" x14ac:dyDescent="0.25">
      <c r="A16" s="341" t="str">
        <f>General!G73</f>
        <v>lf</v>
      </c>
      <c r="B16">
        <v>680</v>
      </c>
      <c r="C16" s="1" t="s">
        <v>2884</v>
      </c>
    </row>
    <row r="17" spans="1:3" x14ac:dyDescent="0.25">
      <c r="A17" s="341" t="str">
        <f>General!G74</f>
        <v>ms</v>
      </c>
      <c r="B17">
        <v>680</v>
      </c>
      <c r="C17" s="1" t="s">
        <v>2884</v>
      </c>
    </row>
    <row r="18" spans="1:3" x14ac:dyDescent="0.25">
      <c r="A18" s="341" t="str">
        <f>General!G75</f>
        <v>o</v>
      </c>
      <c r="B18">
        <v>680</v>
      </c>
      <c r="C18" s="1" t="s">
        <v>2884</v>
      </c>
    </row>
    <row r="19" spans="1:3" x14ac:dyDescent="0.25">
      <c r="A19" s="341" t="str">
        <f>General!G76</f>
        <v>od</v>
      </c>
      <c r="B19">
        <v>680</v>
      </c>
      <c r="C19" s="1" t="s">
        <v>2884</v>
      </c>
    </row>
    <row r="20" spans="1:3" x14ac:dyDescent="0.25">
      <c r="A20" s="341" t="str">
        <f>General!G77</f>
        <v>of</v>
      </c>
      <c r="B20">
        <v>680</v>
      </c>
      <c r="C20" s="1" t="s">
        <v>2884</v>
      </c>
    </row>
    <row r="21" spans="1:3" x14ac:dyDescent="0.25">
      <c r="A21" s="341" t="str">
        <f>General!G78</f>
        <v>r</v>
      </c>
      <c r="B21">
        <v>680</v>
      </c>
      <c r="C21" s="1" t="s">
        <v>2884</v>
      </c>
    </row>
    <row r="22" spans="1:3" x14ac:dyDescent="0.25">
      <c r="A22" s="341" t="str">
        <f>General!G79</f>
        <v>rd</v>
      </c>
      <c r="B22">
        <v>680</v>
      </c>
      <c r="C22" s="1" t="s">
        <v>2884</v>
      </c>
    </row>
    <row r="23" spans="1:3" x14ac:dyDescent="0.25">
      <c r="A23" s="341" t="str">
        <f>General!G80</f>
        <v>v</v>
      </c>
      <c r="B23">
        <v>680</v>
      </c>
      <c r="C23" s="1" t="s">
        <v>2884</v>
      </c>
    </row>
    <row r="24" spans="1:3" x14ac:dyDescent="0.25">
      <c r="A24" s="341" t="str">
        <f>General!G81</f>
        <v>w</v>
      </c>
      <c r="B24">
        <v>680</v>
      </c>
      <c r="C24" s="1" t="s">
        <v>2884</v>
      </c>
    </row>
    <row r="25" spans="1:3" x14ac:dyDescent="0.25">
      <c r="A25" s="341" t="str">
        <f>General!G82</f>
        <v>wd</v>
      </c>
      <c r="B25">
        <v>680</v>
      </c>
      <c r="C25" s="1" t="s">
        <v>2884</v>
      </c>
    </row>
    <row r="26" spans="1:3" x14ac:dyDescent="0.25">
      <c r="A26" s="341" t="str">
        <f>General!G83</f>
        <v>z</v>
      </c>
      <c r="B26">
        <v>680</v>
      </c>
      <c r="C26" s="1" t="s">
        <v>2884</v>
      </c>
    </row>
    <row r="27" spans="1:3" x14ac:dyDescent="0.25">
      <c r="A27" s="341" t="str">
        <f>General!G84</f>
        <v>zd</v>
      </c>
      <c r="B27">
        <v>680</v>
      </c>
      <c r="C27" s="1" t="s">
        <v>2884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2252</v>
      </c>
      <c r="B48">
        <v>50</v>
      </c>
      <c r="K48" s="1" t="s">
        <v>2253</v>
      </c>
    </row>
    <row r="49" spans="1:27" x14ac:dyDescent="0.2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2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25">
      <c r="A51" t="s">
        <v>59</v>
      </c>
      <c r="B51" t="s">
        <v>3266</v>
      </c>
      <c r="C51" t="s">
        <v>3268</v>
      </c>
      <c r="D51" t="s">
        <v>2254</v>
      </c>
      <c r="E51" t="s">
        <v>64</v>
      </c>
      <c r="F51" t="s">
        <v>65</v>
      </c>
      <c r="G51" t="s">
        <v>3239</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3237</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3"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2294</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2200</v>
      </c>
      <c r="B9" s="42">
        <v>0</v>
      </c>
    </row>
    <row r="10" spans="1:2" x14ac:dyDescent="0.25">
      <c r="A10" t="s">
        <v>2201</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3019</v>
      </c>
    </row>
    <row r="19" spans="1:2" ht="30" x14ac:dyDescent="0.2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3203</v>
      </c>
      <c r="H54" s="28"/>
      <c r="I54" s="41" t="s">
        <v>3202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3206</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2312</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2304</v>
      </c>
      <c r="K88" t="s">
        <v>2306</v>
      </c>
      <c r="L88" t="s">
        <v>2305</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3" t="s">
        <v>3238</v>
      </c>
      <c r="K11" s="634"/>
      <c r="L11" s="634"/>
      <c r="M11" s="634"/>
      <c r="N11" s="634"/>
      <c r="O11" s="634"/>
      <c r="P11" s="634"/>
      <c r="Q11" s="634"/>
      <c r="R11" s="634"/>
      <c r="S11" s="634"/>
      <c r="T11" s="634"/>
      <c r="U11" s="635"/>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6" t="s">
        <v>3803</v>
      </c>
      <c r="K12" s="637"/>
      <c r="L12" s="637"/>
      <c r="M12" s="637"/>
      <c r="N12" s="637"/>
      <c r="O12" s="637"/>
      <c r="P12" s="637"/>
      <c r="Q12" s="637"/>
      <c r="R12" s="637"/>
      <c r="S12" s="637"/>
      <c r="T12" s="637"/>
      <c r="U12" s="638"/>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3023</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3804</v>
      </c>
      <c r="Y205" s="21" t="s">
        <v>3805</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3807</v>
      </c>
      <c r="AM205" s="21" t="s">
        <v>3808</v>
      </c>
      <c r="AN205" s="21" t="s">
        <v>3076</v>
      </c>
      <c r="AO205" s="21" t="s">
        <v>3077</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4" t="s">
        <v>3809</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t="s">
        <v>3810</v>
      </c>
      <c r="AM207" s="545" t="s">
        <v>3811</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6" t="s">
        <v>3812</v>
      </c>
      <c r="AM208" s="546" t="s">
        <v>3812</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3109</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3112</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3806</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3114</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3115</v>
      </c>
      <c r="I222" s="25"/>
      <c r="J222" s="554" t="s">
        <v>2304</v>
      </c>
      <c r="K222" s="554" t="s">
        <v>2304</v>
      </c>
      <c r="L222" s="554" t="s">
        <v>2304</v>
      </c>
      <c r="M222" s="554" t="s">
        <v>2304</v>
      </c>
      <c r="N222" s="554" t="s">
        <v>2304</v>
      </c>
      <c r="O222" s="554" t="s">
        <v>2304</v>
      </c>
      <c r="P222" s="554" t="s">
        <v>2304</v>
      </c>
      <c r="Q222" s="554" t="s">
        <v>2304</v>
      </c>
      <c r="R222" s="554" t="s">
        <v>3116</v>
      </c>
      <c r="S222" s="554" t="s">
        <v>2304</v>
      </c>
      <c r="T222" s="554" t="s">
        <v>3116</v>
      </c>
      <c r="U222" s="554" t="s">
        <v>2304</v>
      </c>
      <c r="V222" s="554" t="s">
        <v>3116</v>
      </c>
      <c r="W222" s="554" t="s">
        <v>2304</v>
      </c>
      <c r="X222" s="554" t="s">
        <v>3116</v>
      </c>
      <c r="Y222" s="554" t="s">
        <v>2304</v>
      </c>
      <c r="Z222" s="554" t="s">
        <v>3116</v>
      </c>
      <c r="AA222" s="554" t="s">
        <v>2304</v>
      </c>
      <c r="AB222" s="554" t="s">
        <v>3116</v>
      </c>
      <c r="AC222" s="554" t="s">
        <v>2304</v>
      </c>
      <c r="AD222" s="554" t="s">
        <v>2306</v>
      </c>
      <c r="AE222" s="554" t="s">
        <v>2306</v>
      </c>
      <c r="AF222" s="554" t="s">
        <v>2306</v>
      </c>
      <c r="AG222" s="554" t="s">
        <v>2306</v>
      </c>
      <c r="AH222" s="554" t="s">
        <v>2306</v>
      </c>
      <c r="AI222" s="554" t="s">
        <v>2306</v>
      </c>
      <c r="AJ222" s="554" t="s">
        <v>2304</v>
      </c>
      <c r="AK222" s="554" t="s">
        <v>2306</v>
      </c>
      <c r="AL222" s="554" t="s">
        <v>2304</v>
      </c>
      <c r="AM222" s="554" t="s">
        <v>2304</v>
      </c>
      <c r="AN222" s="490"/>
      <c r="AO222" s="490"/>
      <c r="AP222" s="27"/>
      <c r="AQ222" s="17"/>
      <c r="AR222" s="9"/>
      <c r="AS222" s="9"/>
      <c r="AT222" s="9"/>
    </row>
    <row r="223" spans="1:46" customFormat="1" outlineLevel="1" x14ac:dyDescent="0.25">
      <c r="A223" s="7"/>
      <c r="B223" s="8"/>
      <c r="C223" s="18"/>
      <c r="D223" s="18"/>
      <c r="E223" s="18"/>
      <c r="F223" s="24"/>
      <c r="G223" s="25"/>
      <c r="H223" s="25" t="s">
        <v>3117</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3118</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3119</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3120</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3289</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3121</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3122</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3123</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3124</v>
      </c>
      <c r="I231" s="632" t="s">
        <v>3125</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3126</v>
      </c>
      <c r="I232" s="632"/>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3127</v>
      </c>
      <c r="I233" s="632"/>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3128</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3129</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3130</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3131</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3132</v>
      </c>
      <c r="I240" s="16" t="s">
        <v>3133</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3134</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3135</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3136</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3137</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3138</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3139</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3140</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3141</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3142</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3143</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3144</v>
      </c>
      <c r="I252" s="566" t="s">
        <v>3135</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3136</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3137</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3138</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3139</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3140</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3145</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3146</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3121</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3122</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3147</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3124</v>
      </c>
      <c r="I264" s="632" t="s">
        <v>3125</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3126</v>
      </c>
      <c r="I265" s="632"/>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3127</v>
      </c>
      <c r="I266" s="632"/>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3148</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3149</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3150</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3151</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3152</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3153</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2778</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2779</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2780</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2781</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3154</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3155</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3156</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3157</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3158</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3159</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3160</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3161</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3162</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3163</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2349</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3164</v>
      </c>
      <c r="AT297" s="9"/>
    </row>
    <row r="298" spans="1:46" customFormat="1" ht="12" customHeight="1" outlineLevel="1" x14ac:dyDescent="0.25">
      <c r="A298" s="7"/>
      <c r="B298" s="8"/>
      <c r="C298" s="18"/>
      <c r="D298" s="18"/>
      <c r="E298" s="18"/>
      <c r="F298" s="24"/>
      <c r="G298" s="25"/>
      <c r="H298" s="41" t="s">
        <v>3165</v>
      </c>
      <c r="I298" s="576" t="s">
        <v>3166</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3167</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3168</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3169</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3170</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3171</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3172</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3173</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3174</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3175</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3176</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3177</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3178</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3179</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3180</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3181</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3182</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3183</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3184</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3185</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3186</v>
      </c>
      <c r="H321" s="28"/>
      <c r="I321" s="579" t="s">
        <v>3187</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2297</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3043</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3188</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2304</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2306</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2305</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3"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9" t="s">
        <v>2178</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0" t="s">
        <v>2177</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6" activePane="bottomLeft" state="frozen"/>
      <selection pane="bottomLeft" activeCell="A398" sqref="A398"/>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3" t="s">
        <v>3799</v>
      </c>
      <c r="K11" s="639"/>
      <c r="L11" s="639"/>
      <c r="M11" s="639"/>
      <c r="N11" s="639"/>
      <c r="O11" s="639"/>
      <c r="P11" s="639"/>
      <c r="Q11" s="639"/>
      <c r="R11" s="639"/>
      <c r="S11" s="639"/>
      <c r="T11" s="639"/>
      <c r="U11" s="639"/>
      <c r="V11" s="639"/>
      <c r="W11" s="639"/>
      <c r="X11" s="639"/>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40" t="s">
        <v>3487</v>
      </c>
      <c r="K12" s="641"/>
      <c r="L12" s="641"/>
      <c r="M12" s="641"/>
      <c r="N12" s="641"/>
      <c r="O12" s="641"/>
      <c r="P12" s="641"/>
      <c r="Q12" s="641"/>
      <c r="R12" s="641"/>
      <c r="S12" s="641"/>
      <c r="T12" s="641"/>
      <c r="U12" s="641"/>
      <c r="V12" s="641"/>
      <c r="W12" s="641"/>
      <c r="X12" s="642"/>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3473</v>
      </c>
      <c r="Q48" s="96" t="s">
        <v>3480</v>
      </c>
      <c r="R48" s="96" t="s">
        <v>3474</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25">
      <c r="A94" s="45"/>
      <c r="B94" s="54"/>
      <c r="C94" s="87">
        <f>INT($C$81)+2</f>
        <v>3</v>
      </c>
      <c r="D94" s="73"/>
      <c r="E94" s="70"/>
      <c r="F94" s="70"/>
      <c r="G94" s="73"/>
      <c r="H94" s="76"/>
      <c r="I94" s="95" t="s">
        <v>3271</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3230</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2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3798</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3797</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3229</v>
      </c>
      <c r="J114" s="119"/>
      <c r="K114" s="119"/>
      <c r="L114" s="119"/>
      <c r="M114" s="119"/>
      <c r="N114" s="119" t="s">
        <v>197</v>
      </c>
      <c r="O114" s="119"/>
      <c r="P114" s="119"/>
      <c r="Q114" s="598" t="s">
        <v>3228</v>
      </c>
      <c r="R114" s="598"/>
      <c r="S114" s="598"/>
      <c r="T114" s="598"/>
      <c r="U114" s="598"/>
      <c r="V114" s="598"/>
      <c r="W114" s="598"/>
      <c r="X114" s="598"/>
      <c r="Y114" s="119" t="s">
        <v>2182</v>
      </c>
      <c r="Z114" s="119"/>
      <c r="AA114" s="119"/>
      <c r="AB114" s="119"/>
      <c r="AC114" s="119"/>
      <c r="AD114" s="119"/>
      <c r="AE114" s="76"/>
      <c r="AF114" s="119" t="s">
        <v>3227</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2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2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3225</v>
      </c>
      <c r="I137" s="76" t="s">
        <v>2776</v>
      </c>
      <c r="J137" s="76" t="s">
        <v>2777</v>
      </c>
      <c r="K137" s="76" t="s">
        <v>3224</v>
      </c>
      <c r="L137" s="76"/>
      <c r="M137" s="76"/>
      <c r="N137" s="76"/>
      <c r="O137" s="76"/>
      <c r="P137" s="246" t="s">
        <v>3223</v>
      </c>
      <c r="Q137" s="76"/>
      <c r="R137" s="76" t="s">
        <v>3222</v>
      </c>
      <c r="S137" s="76" t="s">
        <v>3221</v>
      </c>
      <c r="T137" s="76" t="s">
        <v>3220</v>
      </c>
      <c r="U137" s="76" t="s">
        <v>3219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3218</v>
      </c>
      <c r="I138" s="595">
        <v>-0.10100000000000001</v>
      </c>
      <c r="J138" s="595">
        <v>0</v>
      </c>
      <c r="K138" s="594">
        <v>0</v>
      </c>
      <c r="L138" s="76"/>
      <c r="M138" s="76"/>
      <c r="N138" s="76"/>
      <c r="O138" s="76"/>
      <c r="P138" s="76" t="s">
        <v>3218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3217</v>
      </c>
      <c r="I139" s="595">
        <v>0</v>
      </c>
      <c r="J139" s="595">
        <v>0.113</v>
      </c>
      <c r="K139" s="594">
        <v>5.9005989731888203E-3</v>
      </c>
      <c r="L139" s="76"/>
      <c r="M139" s="76"/>
      <c r="N139" s="76"/>
      <c r="O139" s="76"/>
      <c r="P139" s="76" t="s">
        <v>3217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3216</v>
      </c>
      <c r="I140" s="595">
        <v>-6.0999999999999999E-2</v>
      </c>
      <c r="J140" s="595">
        <v>5.1999999999999998E-2</v>
      </c>
      <c r="K140" s="594">
        <v>3.5107296137339059E-3</v>
      </c>
      <c r="L140" s="76"/>
      <c r="M140" s="76"/>
      <c r="N140" s="76"/>
      <c r="O140" s="76"/>
      <c r="P140" s="76" t="s">
        <v>3216</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3215</v>
      </c>
      <c r="I141" s="356">
        <v>47.809731093905945</v>
      </c>
      <c r="J141" s="365">
        <v>4566.4973039173738</v>
      </c>
      <c r="K141" s="356">
        <v>45.892351332455597</v>
      </c>
      <c r="L141" s="76"/>
      <c r="M141" s="76"/>
      <c r="N141" s="76"/>
      <c r="O141" s="76"/>
      <c r="P141" s="76" t="s">
        <v>3215</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3214</v>
      </c>
      <c r="I142" s="438">
        <v>-0.22538711253423788</v>
      </c>
      <c r="J142" s="592">
        <v>-0.50483440440253269</v>
      </c>
      <c r="K142" s="592">
        <v>-0.22213692403040283</v>
      </c>
      <c r="L142" s="76"/>
      <c r="M142" s="76"/>
      <c r="N142" s="76"/>
      <c r="O142" s="76"/>
      <c r="P142" s="76" t="s">
        <v>3214</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3213</v>
      </c>
      <c r="I144" s="76">
        <v>35</v>
      </c>
      <c r="J144" s="76"/>
      <c r="K144" s="76"/>
      <c r="L144" s="76"/>
      <c r="M144" s="76"/>
      <c r="N144" s="76"/>
      <c r="O144" s="76"/>
      <c r="P144" s="76" t="s">
        <v>3212</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3211</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3210</v>
      </c>
      <c r="J146" s="119"/>
      <c r="K146" s="119"/>
      <c r="L146" s="119"/>
      <c r="M146" s="119"/>
      <c r="N146" s="119"/>
      <c r="O146" s="76"/>
      <c r="P146" s="76" t="s">
        <v>196</v>
      </c>
      <c r="Q146" s="76"/>
      <c r="R146" s="591" t="s">
        <v>3209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3796</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2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2881</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2974</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3464</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3465</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3466</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3467</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2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filterMode="1">
    <outlinePr summaryBelow="0" summaryRight="0"/>
  </sheetPr>
  <dimension ref="A1:AN2119"/>
  <sheetViews>
    <sheetView tabSelected="1" topLeftCell="A3" zoomScale="85" zoomScaleNormal="85" workbookViewId="0">
      <pane xSplit="9" ySplit="36" topLeftCell="J40" activePane="bottomRight" state="frozen"/>
      <selection activeCell="A3" sqref="A3"/>
      <selection pane="topRight" activeCell="J3" sqref="J3"/>
      <selection pane="bottomLeft" activeCell="A39" sqref="A39"/>
      <selection pane="bottomRight" activeCell="X413" sqref="X413"/>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46131.875047453701</v>
      </c>
      <c r="J11" s="633" t="s">
        <v>3815</v>
      </c>
      <c r="K11" s="634"/>
      <c r="L11" s="634"/>
      <c r="M11" s="634"/>
      <c r="N11" s="634"/>
      <c r="O11" s="634"/>
      <c r="P11" s="634"/>
      <c r="Q11" s="634"/>
      <c r="R11" s="634"/>
      <c r="S11" s="634"/>
      <c r="T11" s="634"/>
      <c r="U11" s="634"/>
      <c r="V11" s="634"/>
      <c r="W11" s="634"/>
      <c r="X11" s="634"/>
      <c r="Y11" s="634"/>
      <c r="Z11" s="634"/>
      <c r="AA11" s="634"/>
      <c r="AB11" s="634"/>
      <c r="AC11" s="634"/>
      <c r="AD11" s="635"/>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46189.819027777798</v>
      </c>
      <c r="J12" s="636" t="s">
        <v>3816</v>
      </c>
      <c r="K12" s="637"/>
      <c r="L12" s="637"/>
      <c r="M12" s="637"/>
      <c r="N12" s="637"/>
      <c r="O12" s="637"/>
      <c r="P12" s="637"/>
      <c r="Q12" s="637"/>
      <c r="R12" s="637"/>
      <c r="S12" s="637"/>
      <c r="T12" s="637"/>
      <c r="U12" s="637"/>
      <c r="V12" s="637"/>
      <c r="W12" s="637"/>
      <c r="X12" s="637"/>
      <c r="Y12" s="637"/>
      <c r="Z12" s="637"/>
      <c r="AA12" s="637"/>
      <c r="AB12" s="637"/>
      <c r="AC12" s="637"/>
      <c r="AD12" s="644"/>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3296</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3818</v>
      </c>
      <c r="X35" s="611" t="s">
        <v>3819</v>
      </c>
      <c r="Y35" s="72" t="s">
        <v>3817</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hidden="1"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hidden="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hidden="1" outlineLevel="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3289</v>
      </c>
      <c r="G44" s="73"/>
      <c r="H44" s="129" t="s">
        <v>2962</v>
      </c>
      <c r="I44" s="96" t="s">
        <v>692</v>
      </c>
      <c r="J44" s="96"/>
      <c r="K44" s="76"/>
      <c r="L44" s="76"/>
      <c r="M44" s="76"/>
      <c r="N44" s="76"/>
      <c r="O44" s="76"/>
      <c r="P44" s="76"/>
      <c r="Q44" s="76"/>
      <c r="R44" s="76"/>
      <c r="S44" s="76"/>
      <c r="T44" s="76" t="s">
        <v>3286</v>
      </c>
      <c r="U44" s="248">
        <v>45</v>
      </c>
      <c r="V44" s="97">
        <v>60</v>
      </c>
      <c r="W44" s="631">
        <f>$V44+0.5</f>
        <v>60.5</v>
      </c>
      <c r="X44" s="631">
        <f>$V44+0-0.5</f>
        <v>59.5</v>
      </c>
      <c r="Y44" s="631">
        <f t="shared" ref="X44:Y44" si="1">$V44+0</f>
        <v>60</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2944</v>
      </c>
      <c r="I45" s="96" t="s">
        <v>692</v>
      </c>
      <c r="J45" s="96"/>
      <c r="K45" s="76"/>
      <c r="L45" s="76"/>
      <c r="M45" s="76"/>
      <c r="N45" s="76"/>
      <c r="O45" s="76"/>
      <c r="P45" s="76"/>
      <c r="Q45" s="76"/>
      <c r="R45" s="76"/>
      <c r="S45" s="76"/>
      <c r="T45" s="76"/>
      <c r="U45" s="610">
        <f t="shared" ref="U45:AD45" si="2">3.058*U44/(U$377*U$383)</f>
        <v>27.53301320528211</v>
      </c>
      <c r="V45" s="610">
        <f t="shared" si="2"/>
        <v>36.710684273709482</v>
      </c>
      <c r="W45" s="610">
        <f t="shared" si="2"/>
        <v>37.016606642657059</v>
      </c>
      <c r="X45" s="610">
        <f t="shared" si="2"/>
        <v>36.404761904761905</v>
      </c>
      <c r="Y45" s="610">
        <f t="shared" si="2"/>
        <v>36.710684273709482</v>
      </c>
      <c r="Z45" s="610">
        <f t="shared" si="2"/>
        <v>36.710684273709482</v>
      </c>
      <c r="AA45" s="610">
        <f t="shared" si="2"/>
        <v>44.052821128451377</v>
      </c>
      <c r="AB45" s="610">
        <f t="shared" si="2"/>
        <v>42.829131652661061</v>
      </c>
      <c r="AC45" s="610">
        <f t="shared" si="2"/>
        <v>42.829131652661061</v>
      </c>
      <c r="AD45" s="610">
        <f t="shared" si="2"/>
        <v>48.947579031612641</v>
      </c>
      <c r="AE45" s="76"/>
      <c r="AF45" s="97" t="s">
        <v>2961</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outlineLevel="2" x14ac:dyDescent="0.25">
      <c r="A50" s="45"/>
      <c r="B50" s="54"/>
      <c r="C50" s="47">
        <f t="shared" si="0"/>
        <v>3</v>
      </c>
      <c r="D50" s="73"/>
      <c r="E50" s="70"/>
      <c r="F50" s="70" t="s">
        <v>3288</v>
      </c>
      <c r="G50" s="73"/>
      <c r="H50" s="129" t="s">
        <v>464</v>
      </c>
      <c r="I50" s="96" t="s">
        <v>465</v>
      </c>
      <c r="J50" s="96"/>
      <c r="K50" s="76"/>
      <c r="L50" s="76"/>
      <c r="M50" s="76"/>
      <c r="N50" s="76"/>
      <c r="O50" s="76"/>
      <c r="P50" s="76"/>
      <c r="Q50" s="76"/>
      <c r="R50" s="76"/>
      <c r="S50" s="76"/>
      <c r="T50" s="76" t="s">
        <v>3286</v>
      </c>
      <c r="U50" s="97">
        <v>3.5</v>
      </c>
      <c r="V50" s="97">
        <v>3.8</v>
      </c>
      <c r="W50" s="631">
        <f>$V50+0-0.0253866996</f>
        <v>3.7746133004</v>
      </c>
      <c r="X50" s="631">
        <f>$V50+0.299999748</f>
        <v>4.0999997480000001</v>
      </c>
      <c r="Y50" s="631">
        <f>$V50+0.034355202</f>
        <v>3.8343552019999998</v>
      </c>
      <c r="Z50" s="97">
        <v>1.5</v>
      </c>
      <c r="AA50" s="97">
        <v>3</v>
      </c>
      <c r="AB50" s="97">
        <v>3</v>
      </c>
      <c r="AC50" s="97">
        <v>3</v>
      </c>
      <c r="AD50" s="97">
        <v>3</v>
      </c>
      <c r="AE50" s="76"/>
      <c r="AF50" s="97"/>
      <c r="AG50" s="76"/>
      <c r="AH50" s="97">
        <v>1</v>
      </c>
      <c r="AI50" s="97">
        <v>1</v>
      </c>
      <c r="AJ50" s="73"/>
      <c r="AK50" s="57"/>
      <c r="AL50" s="45"/>
      <c r="AM50" s="45"/>
      <c r="AN50" s="45"/>
    </row>
    <row r="51" spans="1:40" outlineLevel="2" x14ac:dyDescent="0.25">
      <c r="A51" s="45"/>
      <c r="B51" s="54"/>
      <c r="C51" s="47">
        <f t="shared" si="0"/>
        <v>3</v>
      </c>
      <c r="D51" s="73"/>
      <c r="E51" s="70"/>
      <c r="F51" s="70" t="s">
        <v>3287</v>
      </c>
      <c r="G51" s="73"/>
      <c r="H51" s="129" t="s">
        <v>466</v>
      </c>
      <c r="I51" s="96" t="s">
        <v>1402</v>
      </c>
      <c r="J51" s="96"/>
      <c r="K51" s="76"/>
      <c r="L51" s="76"/>
      <c r="M51" s="76"/>
      <c r="N51" s="76"/>
      <c r="O51" s="76"/>
      <c r="P51" s="76"/>
      <c r="Q51" s="76"/>
      <c r="R51" s="76"/>
      <c r="S51" s="76"/>
      <c r="T51" s="76" t="s">
        <v>3286</v>
      </c>
      <c r="U51" s="97">
        <v>17.5</v>
      </c>
      <c r="V51" s="97">
        <v>19</v>
      </c>
      <c r="W51" s="631">
        <f>$V51+0-0.106331621</f>
        <v>18.893668379000001</v>
      </c>
      <c r="X51" s="631">
        <f>$V51+0-0.0545830275</f>
        <v>18.945416972499999</v>
      </c>
      <c r="Y51" s="631">
        <f>$V51+0-0.227498915</f>
        <v>18.772501084999998</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3">1-(U52+U53)</f>
        <v>0.88</v>
      </c>
      <c r="V54" s="249">
        <f t="shared" si="3"/>
        <v>0.88</v>
      </c>
      <c r="W54" s="249">
        <f t="shared" si="3"/>
        <v>0.88</v>
      </c>
      <c r="X54" s="249">
        <f t="shared" si="3"/>
        <v>0.88</v>
      </c>
      <c r="Y54" s="249">
        <f t="shared" si="3"/>
        <v>0.88</v>
      </c>
      <c r="Z54" s="249">
        <f t="shared" si="3"/>
        <v>0.88</v>
      </c>
      <c r="AA54" s="249">
        <f t="shared" si="3"/>
        <v>0.88</v>
      </c>
      <c r="AB54" s="249">
        <f t="shared" si="3"/>
        <v>0.88</v>
      </c>
      <c r="AC54" s="249">
        <f t="shared" si="3"/>
        <v>0.88</v>
      </c>
      <c r="AD54" s="249">
        <f t="shared" si="3"/>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4">1-(U55+U56)</f>
        <v>0.83000000000000007</v>
      </c>
      <c r="V57" s="249">
        <f t="shared" si="4"/>
        <v>0.83000000000000007</v>
      </c>
      <c r="W57" s="249">
        <f t="shared" si="4"/>
        <v>0.83000000000000007</v>
      </c>
      <c r="X57" s="249">
        <f t="shared" si="4"/>
        <v>0.83000000000000007</v>
      </c>
      <c r="Y57" s="249">
        <f t="shared" si="4"/>
        <v>0.83000000000000007</v>
      </c>
      <c r="Z57" s="249">
        <f t="shared" si="4"/>
        <v>0.83000000000000007</v>
      </c>
      <c r="AA57" s="249">
        <f t="shared" si="4"/>
        <v>0.83000000000000007</v>
      </c>
      <c r="AB57" s="249">
        <f t="shared" si="4"/>
        <v>0.83000000000000007</v>
      </c>
      <c r="AC57" s="249">
        <f t="shared" si="4"/>
        <v>0.83000000000000007</v>
      </c>
      <c r="AD57" s="249">
        <f t="shared" si="4"/>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5">AA60</f>
        <v>40</v>
      </c>
      <c r="AC60" s="371">
        <f t="shared" si="5"/>
        <v>40</v>
      </c>
      <c r="AD60" s="371">
        <f t="shared" si="5"/>
        <v>40</v>
      </c>
      <c r="AE60" s="76"/>
      <c r="AF60" s="97" t="s">
        <v>2515</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5"/>
        <v>0.94</v>
      </c>
      <c r="AC61" s="250">
        <f t="shared" si="5"/>
        <v>0.94</v>
      </c>
      <c r="AD61" s="250">
        <f t="shared" si="5"/>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5"/>
        <v>0.75</v>
      </c>
      <c r="AC62" s="250">
        <f t="shared" si="5"/>
        <v>0.75</v>
      </c>
      <c r="AD62" s="250">
        <f t="shared" si="5"/>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5"/>
        <v>0.55000000000000004</v>
      </c>
      <c r="AC63" s="250">
        <f t="shared" si="5"/>
        <v>0.55000000000000004</v>
      </c>
      <c r="AD63" s="250">
        <f t="shared" si="5"/>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6">0.15*U$64</f>
        <v>1.7999999999999999E-2</v>
      </c>
      <c r="V67" s="258">
        <f t="shared" si="6"/>
        <v>1.7999999999999999E-2</v>
      </c>
      <c r="W67" s="258">
        <f t="shared" si="6"/>
        <v>1.7999999999999999E-2</v>
      </c>
      <c r="X67" s="258">
        <f t="shared" si="6"/>
        <v>1.7999999999999999E-2</v>
      </c>
      <c r="Y67" s="258">
        <f t="shared" si="6"/>
        <v>1.7999999999999999E-2</v>
      </c>
      <c r="Z67" s="258">
        <f t="shared" si="6"/>
        <v>1.7999999999999999E-2</v>
      </c>
      <c r="AA67" s="258">
        <f t="shared" si="6"/>
        <v>1.7999999999999999E-2</v>
      </c>
      <c r="AB67" s="258">
        <f t="shared" si="6"/>
        <v>1.7999999999999999E-2</v>
      </c>
      <c r="AC67" s="258">
        <f t="shared" si="6"/>
        <v>1.7999999999999999E-2</v>
      </c>
      <c r="AD67" s="258">
        <f t="shared" si="6"/>
        <v>1.7999999999999999E-2</v>
      </c>
      <c r="AE67" s="76"/>
      <c r="AF67" s="97" t="s">
        <v>2736</v>
      </c>
      <c r="AG67" s="76"/>
      <c r="AH67" s="97">
        <v>1</v>
      </c>
      <c r="AI67" s="97">
        <v>1</v>
      </c>
      <c r="AJ67" s="73"/>
      <c r="AK67" s="57"/>
      <c r="AL67" s="45"/>
      <c r="AM67" s="45"/>
      <c r="AN67" s="45"/>
    </row>
    <row r="68" spans="1:40" hidden="1"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7">U69</f>
        <v>0</v>
      </c>
      <c r="W69" s="251">
        <f t="shared" ref="W69:X76" si="8">U69</f>
        <v>0</v>
      </c>
      <c r="X69" s="251">
        <f t="shared" si="8"/>
        <v>0</v>
      </c>
      <c r="Y69" s="251">
        <f t="shared" ref="Y69:Y76" si="9">V69</f>
        <v>0</v>
      </c>
      <c r="Z69" s="250">
        <f t="shared" ref="Z69:AD76" si="10">Y69</f>
        <v>0</v>
      </c>
      <c r="AA69" s="250">
        <f t="shared" si="10"/>
        <v>0</v>
      </c>
      <c r="AB69" s="250">
        <f t="shared" si="10"/>
        <v>0</v>
      </c>
      <c r="AC69" s="250">
        <f t="shared" si="10"/>
        <v>0</v>
      </c>
      <c r="AD69" s="250">
        <f t="shared" si="10"/>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1">0.96^$F70*(1-0.96)/(1-0.96^$T$68)*($F70&lt;$T$68)*(1-$U$69)</f>
        <v>0.16093178091915078</v>
      </c>
      <c r="V70" s="251">
        <f t="shared" si="7"/>
        <v>0.16093178091915078</v>
      </c>
      <c r="W70" s="251">
        <f t="shared" si="8"/>
        <v>0.16093178091915078</v>
      </c>
      <c r="X70" s="251">
        <f t="shared" si="8"/>
        <v>0.16093178091915078</v>
      </c>
      <c r="Y70" s="251">
        <f t="shared" si="9"/>
        <v>0.16093178091915078</v>
      </c>
      <c r="Z70" s="250">
        <f t="shared" si="10"/>
        <v>0.16093178091915078</v>
      </c>
      <c r="AA70" s="250">
        <f t="shared" si="10"/>
        <v>0.16093178091915078</v>
      </c>
      <c r="AB70" s="250">
        <f t="shared" si="10"/>
        <v>0.16093178091915078</v>
      </c>
      <c r="AC70" s="250">
        <f t="shared" si="10"/>
        <v>0.16093178091915078</v>
      </c>
      <c r="AD70" s="250">
        <f t="shared" si="10"/>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1"/>
        <v>0.15449450968238473</v>
      </c>
      <c r="V71" s="251">
        <f t="shared" si="7"/>
        <v>0.15449450968238473</v>
      </c>
      <c r="W71" s="251">
        <f t="shared" si="8"/>
        <v>0.15449450968238473</v>
      </c>
      <c r="X71" s="251">
        <f t="shared" si="8"/>
        <v>0.15449450968238473</v>
      </c>
      <c r="Y71" s="251">
        <f t="shared" si="9"/>
        <v>0.15449450968238473</v>
      </c>
      <c r="Z71" s="250">
        <f t="shared" si="10"/>
        <v>0.15449450968238473</v>
      </c>
      <c r="AA71" s="250">
        <f t="shared" si="10"/>
        <v>0.15449450968238473</v>
      </c>
      <c r="AB71" s="250">
        <f t="shared" si="10"/>
        <v>0.15449450968238473</v>
      </c>
      <c r="AC71" s="250">
        <f t="shared" si="10"/>
        <v>0.15449450968238473</v>
      </c>
      <c r="AD71" s="250">
        <f t="shared" si="10"/>
        <v>0.15449450968238473</v>
      </c>
      <c r="AE71" s="76"/>
      <c r="AF71" s="76"/>
      <c r="AG71" s="76"/>
      <c r="AH71" s="97">
        <v>1</v>
      </c>
      <c r="AI71" s="97">
        <v>1</v>
      </c>
      <c r="AJ71" s="73"/>
      <c r="AK71" s="57"/>
      <c r="AL71" s="45"/>
      <c r="AM71" s="45"/>
      <c r="AN71" s="45"/>
    </row>
    <row r="72" spans="1:40" hidden="1" outlineLevel="2" x14ac:dyDescent="0.25">
      <c r="A72" s="45"/>
      <c r="B72" s="54"/>
      <c r="C72" s="47">
        <f t="shared" ref="C72:C101" si="12">INT($C$29)+2</f>
        <v>3</v>
      </c>
      <c r="D72" s="73"/>
      <c r="E72" s="70"/>
      <c r="F72" s="70">
        <v>2</v>
      </c>
      <c r="G72" s="73"/>
      <c r="H72" s="76" t="s">
        <v>471</v>
      </c>
      <c r="I72" s="96" t="s">
        <v>90</v>
      </c>
      <c r="J72" s="96"/>
      <c r="K72" s="76"/>
      <c r="L72" s="76"/>
      <c r="M72" s="76"/>
      <c r="N72" s="76"/>
      <c r="O72" s="76"/>
      <c r="P72" s="76"/>
      <c r="Q72" s="76"/>
      <c r="R72" s="76"/>
      <c r="S72" s="76"/>
      <c r="T72" s="76"/>
      <c r="U72" s="252">
        <f t="shared" si="11"/>
        <v>0.14831472929508935</v>
      </c>
      <c r="V72" s="251">
        <f t="shared" si="7"/>
        <v>0.14831472929508935</v>
      </c>
      <c r="W72" s="251">
        <f t="shared" si="8"/>
        <v>0.14831472929508935</v>
      </c>
      <c r="X72" s="251">
        <f t="shared" si="8"/>
        <v>0.14831472929508935</v>
      </c>
      <c r="Y72" s="251">
        <f t="shared" si="9"/>
        <v>0.14831472929508935</v>
      </c>
      <c r="Z72" s="250">
        <f t="shared" si="10"/>
        <v>0.14831472929508935</v>
      </c>
      <c r="AA72" s="250">
        <f t="shared" si="10"/>
        <v>0.14831472929508935</v>
      </c>
      <c r="AB72" s="250">
        <f t="shared" si="10"/>
        <v>0.14831472929508935</v>
      </c>
      <c r="AC72" s="250">
        <f t="shared" si="10"/>
        <v>0.14831472929508935</v>
      </c>
      <c r="AD72" s="250">
        <f t="shared" si="10"/>
        <v>0.14831472929508935</v>
      </c>
      <c r="AE72" s="76"/>
      <c r="AF72" s="76"/>
      <c r="AG72" s="76"/>
      <c r="AH72" s="97">
        <v>1</v>
      </c>
      <c r="AI72" s="97">
        <v>1</v>
      </c>
      <c r="AJ72" s="73"/>
      <c r="AK72" s="57"/>
      <c r="AL72" s="45"/>
      <c r="AM72" s="45"/>
      <c r="AN72" s="45"/>
    </row>
    <row r="73" spans="1:40" hidden="1" outlineLevel="2" x14ac:dyDescent="0.25">
      <c r="A73" s="45"/>
      <c r="B73" s="54"/>
      <c r="C73" s="47">
        <f t="shared" si="12"/>
        <v>3</v>
      </c>
      <c r="D73" s="73"/>
      <c r="E73" s="70"/>
      <c r="F73" s="70">
        <v>3</v>
      </c>
      <c r="G73" s="73"/>
      <c r="H73" s="76" t="s">
        <v>472</v>
      </c>
      <c r="I73" s="96" t="s">
        <v>90</v>
      </c>
      <c r="J73" s="96"/>
      <c r="K73" s="76"/>
      <c r="L73" s="76"/>
      <c r="M73" s="76"/>
      <c r="N73" s="76"/>
      <c r="O73" s="76"/>
      <c r="P73" s="76"/>
      <c r="Q73" s="76"/>
      <c r="R73" s="76"/>
      <c r="S73" s="76"/>
      <c r="T73" s="76"/>
      <c r="U73" s="252">
        <f t="shared" si="11"/>
        <v>0.14238214012328579</v>
      </c>
      <c r="V73" s="251">
        <f t="shared" si="7"/>
        <v>0.14238214012328579</v>
      </c>
      <c r="W73" s="251">
        <f t="shared" si="8"/>
        <v>0.14238214012328579</v>
      </c>
      <c r="X73" s="251">
        <f t="shared" si="8"/>
        <v>0.14238214012328579</v>
      </c>
      <c r="Y73" s="251">
        <f t="shared" si="9"/>
        <v>0.14238214012328579</v>
      </c>
      <c r="Z73" s="250">
        <f t="shared" si="10"/>
        <v>0.14238214012328579</v>
      </c>
      <c r="AA73" s="250">
        <f t="shared" si="10"/>
        <v>0.14238214012328579</v>
      </c>
      <c r="AB73" s="250">
        <f t="shared" si="10"/>
        <v>0.14238214012328579</v>
      </c>
      <c r="AC73" s="250">
        <f t="shared" si="10"/>
        <v>0.14238214012328579</v>
      </c>
      <c r="AD73" s="250">
        <f t="shared" si="10"/>
        <v>0.14238214012328579</v>
      </c>
      <c r="AE73" s="76"/>
      <c r="AF73" s="76"/>
      <c r="AG73" s="76"/>
      <c r="AH73" s="97">
        <v>1</v>
      </c>
      <c r="AI73" s="97">
        <v>1</v>
      </c>
      <c r="AJ73" s="73"/>
      <c r="AK73" s="57"/>
      <c r="AL73" s="45"/>
      <c r="AM73" s="45"/>
      <c r="AN73" s="45"/>
    </row>
    <row r="74" spans="1:40" hidden="1" outlineLevel="2" x14ac:dyDescent="0.25">
      <c r="A74" s="45"/>
      <c r="B74" s="54"/>
      <c r="C74" s="47">
        <f t="shared" si="12"/>
        <v>3</v>
      </c>
      <c r="D74" s="73"/>
      <c r="E74" s="70"/>
      <c r="F74" s="70">
        <v>4</v>
      </c>
      <c r="G74" s="73"/>
      <c r="H74" s="76" t="s">
        <v>473</v>
      </c>
      <c r="I74" s="96" t="s">
        <v>90</v>
      </c>
      <c r="J74" s="96"/>
      <c r="K74" s="76"/>
      <c r="L74" s="76"/>
      <c r="M74" s="76"/>
      <c r="N74" s="76"/>
      <c r="O74" s="76"/>
      <c r="P74" s="76"/>
      <c r="Q74" s="76"/>
      <c r="R74" s="76"/>
      <c r="S74" s="76"/>
      <c r="T74" s="76"/>
      <c r="U74" s="252">
        <f t="shared" si="11"/>
        <v>0.13668685451835433</v>
      </c>
      <c r="V74" s="251">
        <f t="shared" si="7"/>
        <v>0.13668685451835433</v>
      </c>
      <c r="W74" s="251">
        <f t="shared" si="8"/>
        <v>0.13668685451835433</v>
      </c>
      <c r="X74" s="251">
        <f t="shared" si="8"/>
        <v>0.13668685451835433</v>
      </c>
      <c r="Y74" s="251">
        <f t="shared" si="9"/>
        <v>0.13668685451835433</v>
      </c>
      <c r="Z74" s="250">
        <f t="shared" si="10"/>
        <v>0.13668685451835433</v>
      </c>
      <c r="AA74" s="250">
        <f t="shared" si="10"/>
        <v>0.13668685451835433</v>
      </c>
      <c r="AB74" s="250">
        <f t="shared" si="10"/>
        <v>0.13668685451835433</v>
      </c>
      <c r="AC74" s="250">
        <f t="shared" si="10"/>
        <v>0.13668685451835433</v>
      </c>
      <c r="AD74" s="250">
        <f t="shared" si="10"/>
        <v>0.13668685451835433</v>
      </c>
      <c r="AE74" s="76"/>
      <c r="AF74" s="76"/>
      <c r="AG74" s="76"/>
      <c r="AH74" s="97">
        <v>1</v>
      </c>
      <c r="AI74" s="97">
        <v>1</v>
      </c>
      <c r="AJ74" s="73"/>
      <c r="AK74" s="57"/>
      <c r="AL74" s="45"/>
      <c r="AM74" s="45"/>
      <c r="AN74" s="45"/>
    </row>
    <row r="75" spans="1:40" hidden="1" outlineLevel="2" x14ac:dyDescent="0.25">
      <c r="A75" s="45"/>
      <c r="B75" s="54"/>
      <c r="C75" s="47">
        <f t="shared" si="12"/>
        <v>3</v>
      </c>
      <c r="D75" s="73"/>
      <c r="E75" s="70"/>
      <c r="F75" s="70">
        <v>5</v>
      </c>
      <c r="G75" s="73"/>
      <c r="H75" s="76" t="s">
        <v>474</v>
      </c>
      <c r="I75" s="96" t="s">
        <v>90</v>
      </c>
      <c r="J75" s="96"/>
      <c r="K75" s="76"/>
      <c r="L75" s="76"/>
      <c r="M75" s="76"/>
      <c r="N75" s="76"/>
      <c r="O75" s="76"/>
      <c r="P75" s="76"/>
      <c r="Q75" s="76"/>
      <c r="R75" s="76"/>
      <c r="S75" s="76"/>
      <c r="T75" s="76"/>
      <c r="U75" s="252">
        <f t="shared" si="11"/>
        <v>0.13121938033762018</v>
      </c>
      <c r="V75" s="251">
        <f t="shared" si="7"/>
        <v>0.13121938033762018</v>
      </c>
      <c r="W75" s="251">
        <f t="shared" si="8"/>
        <v>0.13121938033762018</v>
      </c>
      <c r="X75" s="251">
        <f t="shared" si="8"/>
        <v>0.13121938033762018</v>
      </c>
      <c r="Y75" s="251">
        <f t="shared" si="9"/>
        <v>0.13121938033762018</v>
      </c>
      <c r="Z75" s="250">
        <f t="shared" si="10"/>
        <v>0.13121938033762018</v>
      </c>
      <c r="AA75" s="250">
        <f t="shared" si="10"/>
        <v>0.13121938033762018</v>
      </c>
      <c r="AB75" s="250">
        <f t="shared" si="10"/>
        <v>0.13121938033762018</v>
      </c>
      <c r="AC75" s="250">
        <f t="shared" si="10"/>
        <v>0.13121938033762018</v>
      </c>
      <c r="AD75" s="250">
        <f t="shared" si="10"/>
        <v>0.13121938033762018</v>
      </c>
      <c r="AE75" s="76"/>
      <c r="AF75" s="76"/>
      <c r="AG75" s="76"/>
      <c r="AH75" s="97">
        <v>1</v>
      </c>
      <c r="AI75" s="97">
        <v>1</v>
      </c>
      <c r="AJ75" s="73"/>
      <c r="AK75" s="57"/>
      <c r="AL75" s="45"/>
      <c r="AM75" s="45"/>
      <c r="AN75" s="45"/>
    </row>
    <row r="76" spans="1:40" hidden="1" outlineLevel="2" x14ac:dyDescent="0.25">
      <c r="A76" s="45"/>
      <c r="B76" s="54"/>
      <c r="C76" s="47">
        <f t="shared" si="12"/>
        <v>3</v>
      </c>
      <c r="D76" s="73"/>
      <c r="E76" s="70"/>
      <c r="F76" s="70">
        <v>6</v>
      </c>
      <c r="G76" s="73"/>
      <c r="H76" s="76" t="s">
        <v>475</v>
      </c>
      <c r="I76" s="96" t="s">
        <v>90</v>
      </c>
      <c r="J76" s="96"/>
      <c r="K76" s="76"/>
      <c r="L76" s="76"/>
      <c r="M76" s="76"/>
      <c r="N76" s="76"/>
      <c r="O76" s="76"/>
      <c r="P76" s="76"/>
      <c r="Q76" s="76"/>
      <c r="R76" s="76"/>
      <c r="S76" s="76"/>
      <c r="T76" s="76"/>
      <c r="U76" s="252">
        <f t="shared" si="11"/>
        <v>0.12597060512411537</v>
      </c>
      <c r="V76" s="251">
        <f t="shared" si="7"/>
        <v>0.12597060512411537</v>
      </c>
      <c r="W76" s="251">
        <f t="shared" si="8"/>
        <v>0.12597060512411537</v>
      </c>
      <c r="X76" s="251">
        <f t="shared" si="8"/>
        <v>0.12597060512411537</v>
      </c>
      <c r="Y76" s="251">
        <f t="shared" si="9"/>
        <v>0.12597060512411537</v>
      </c>
      <c r="Z76" s="250">
        <f t="shared" si="10"/>
        <v>0.12597060512411537</v>
      </c>
      <c r="AA76" s="250">
        <f t="shared" si="10"/>
        <v>0.12597060512411537</v>
      </c>
      <c r="AB76" s="250">
        <f t="shared" si="10"/>
        <v>0.12597060512411537</v>
      </c>
      <c r="AC76" s="250">
        <f t="shared" si="10"/>
        <v>0.12597060512411537</v>
      </c>
      <c r="AD76" s="250">
        <f t="shared" si="10"/>
        <v>0.12597060512411537</v>
      </c>
      <c r="AE76" s="76"/>
      <c r="AF76" s="76"/>
      <c r="AG76" s="76"/>
      <c r="AH76" s="97">
        <v>1</v>
      </c>
      <c r="AI76" s="97">
        <v>1</v>
      </c>
      <c r="AJ76" s="73"/>
      <c r="AK76" s="57"/>
      <c r="AL76" s="45"/>
      <c r="AM76" s="45"/>
      <c r="AN76" s="45"/>
    </row>
    <row r="77" spans="1:40" hidden="1" outlineLevel="1" collapsed="1" x14ac:dyDescent="0.25">
      <c r="A77" s="45"/>
      <c r="B77" s="54"/>
      <c r="C77" s="47">
        <f t="shared" si="12"/>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2"/>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2"/>
        <v>3</v>
      </c>
      <c r="D79" s="73"/>
      <c r="E79" s="70"/>
      <c r="F79" s="70"/>
      <c r="G79" s="73"/>
      <c r="H79" s="76" t="s">
        <v>478</v>
      </c>
      <c r="I79" s="96" t="s">
        <v>477</v>
      </c>
      <c r="J79" s="96"/>
      <c r="K79" s="76"/>
      <c r="L79" s="76"/>
      <c r="M79" s="76"/>
      <c r="N79" s="76"/>
      <c r="O79" s="76"/>
      <c r="P79" s="76"/>
      <c r="Q79" s="76"/>
      <c r="R79" s="76"/>
      <c r="S79" s="76"/>
      <c r="T79" s="76"/>
      <c r="U79" s="253">
        <f t="shared" ref="U79:AD80" si="13">U78</f>
        <v>13</v>
      </c>
      <c r="V79" s="253">
        <f t="shared" si="13"/>
        <v>13</v>
      </c>
      <c r="W79" s="253">
        <f t="shared" si="13"/>
        <v>13</v>
      </c>
      <c r="X79" s="253">
        <f t="shared" si="13"/>
        <v>13</v>
      </c>
      <c r="Y79" s="253">
        <f t="shared" si="13"/>
        <v>13</v>
      </c>
      <c r="Z79" s="253">
        <f t="shared" si="13"/>
        <v>13</v>
      </c>
      <c r="AA79" s="253">
        <f t="shared" si="13"/>
        <v>13</v>
      </c>
      <c r="AB79" s="253">
        <f t="shared" si="13"/>
        <v>13</v>
      </c>
      <c r="AC79" s="253">
        <f t="shared" si="13"/>
        <v>13</v>
      </c>
      <c r="AD79" s="253">
        <f t="shared" si="13"/>
        <v>13</v>
      </c>
      <c r="AE79" s="76"/>
      <c r="AF79" s="76"/>
      <c r="AG79" s="76"/>
      <c r="AH79" s="97">
        <v>1</v>
      </c>
      <c r="AI79" s="97">
        <v>1</v>
      </c>
      <c r="AJ79" s="73"/>
      <c r="AK79" s="57"/>
      <c r="AL79" s="45"/>
      <c r="AM79" s="45"/>
      <c r="AN79" s="45"/>
    </row>
    <row r="80" spans="1:40" hidden="1" outlineLevel="2" x14ac:dyDescent="0.25">
      <c r="A80" s="45"/>
      <c r="B80" s="54"/>
      <c r="C80" s="47">
        <f t="shared" si="12"/>
        <v>3</v>
      </c>
      <c r="D80" s="73"/>
      <c r="E80" s="70"/>
      <c r="F80" s="70"/>
      <c r="G80" s="73"/>
      <c r="H80" s="76" t="s">
        <v>479</v>
      </c>
      <c r="I80" s="96" t="s">
        <v>477</v>
      </c>
      <c r="J80" s="96"/>
      <c r="K80" s="76"/>
      <c r="L80" s="76"/>
      <c r="M80" s="76"/>
      <c r="N80" s="76"/>
      <c r="O80" s="76"/>
      <c r="P80" s="76"/>
      <c r="Q80" s="76"/>
      <c r="R80" s="76"/>
      <c r="S80" s="76"/>
      <c r="T80" s="76"/>
      <c r="U80" s="253">
        <f t="shared" si="13"/>
        <v>13</v>
      </c>
      <c r="V80" s="253">
        <f t="shared" si="13"/>
        <v>13</v>
      </c>
      <c r="W80" s="253">
        <f t="shared" si="13"/>
        <v>13</v>
      </c>
      <c r="X80" s="253">
        <f t="shared" si="13"/>
        <v>13</v>
      </c>
      <c r="Y80" s="253">
        <f t="shared" si="13"/>
        <v>13</v>
      </c>
      <c r="Z80" s="253">
        <f t="shared" si="13"/>
        <v>13</v>
      </c>
      <c r="AA80" s="253">
        <f t="shared" si="13"/>
        <v>13</v>
      </c>
      <c r="AB80" s="253">
        <f t="shared" si="13"/>
        <v>13</v>
      </c>
      <c r="AC80" s="253">
        <f t="shared" si="13"/>
        <v>13</v>
      </c>
      <c r="AD80" s="253">
        <f t="shared" si="13"/>
        <v>13</v>
      </c>
      <c r="AE80" s="76"/>
      <c r="AF80" s="76"/>
      <c r="AG80" s="76"/>
      <c r="AH80" s="97">
        <v>1</v>
      </c>
      <c r="AI80" s="97">
        <v>1</v>
      </c>
      <c r="AJ80" s="73"/>
      <c r="AK80" s="57"/>
      <c r="AL80" s="45"/>
      <c r="AM80" s="45"/>
      <c r="AN80" s="45"/>
    </row>
    <row r="81" spans="1:40" hidden="1" outlineLevel="2" x14ac:dyDescent="0.25">
      <c r="A81" s="45"/>
      <c r="B81" s="54"/>
      <c r="C81" s="47">
        <f t="shared" si="12"/>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2"/>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2"/>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2"/>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2"/>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2"/>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2"/>
        <v>3</v>
      </c>
      <c r="D87" s="73"/>
      <c r="E87" s="70"/>
      <c r="F87" s="70"/>
      <c r="G87" s="73"/>
      <c r="H87" s="76" t="s">
        <v>478</v>
      </c>
      <c r="I87" s="96" t="s">
        <v>477</v>
      </c>
      <c r="J87" s="96"/>
      <c r="K87" s="76"/>
      <c r="L87" s="76"/>
      <c r="M87" s="76"/>
      <c r="N87" s="76"/>
      <c r="O87" s="76"/>
      <c r="P87" s="76"/>
      <c r="Q87" s="76"/>
      <c r="R87" s="76"/>
      <c r="S87" s="76"/>
      <c r="T87" s="76"/>
      <c r="U87" s="253">
        <f t="shared" ref="U87:AD88" si="14">U86</f>
        <v>0</v>
      </c>
      <c r="V87" s="253">
        <f t="shared" si="14"/>
        <v>0</v>
      </c>
      <c r="W87" s="253">
        <f t="shared" si="14"/>
        <v>0</v>
      </c>
      <c r="X87" s="253">
        <f t="shared" si="14"/>
        <v>0</v>
      </c>
      <c r="Y87" s="253">
        <f t="shared" si="14"/>
        <v>0</v>
      </c>
      <c r="Z87" s="253">
        <f t="shared" si="14"/>
        <v>0</v>
      </c>
      <c r="AA87" s="253">
        <f t="shared" si="14"/>
        <v>0</v>
      </c>
      <c r="AB87" s="253">
        <f t="shared" si="14"/>
        <v>0</v>
      </c>
      <c r="AC87" s="253">
        <f t="shared" si="14"/>
        <v>0</v>
      </c>
      <c r="AD87" s="253">
        <f t="shared" si="14"/>
        <v>0</v>
      </c>
      <c r="AE87" s="76"/>
      <c r="AF87" s="76"/>
      <c r="AG87" s="76"/>
      <c r="AH87" s="97">
        <v>1</v>
      </c>
      <c r="AI87" s="97">
        <v>1</v>
      </c>
      <c r="AJ87" s="73"/>
      <c r="AK87" s="57"/>
      <c r="AL87" s="45"/>
      <c r="AM87" s="45"/>
      <c r="AN87" s="45"/>
    </row>
    <row r="88" spans="1:40" hidden="1" outlineLevel="2" x14ac:dyDescent="0.25">
      <c r="A88" s="45"/>
      <c r="B88" s="54"/>
      <c r="C88" s="47">
        <f t="shared" si="12"/>
        <v>3</v>
      </c>
      <c r="D88" s="73"/>
      <c r="E88" s="70"/>
      <c r="F88" s="70"/>
      <c r="G88" s="73"/>
      <c r="H88" s="76" t="s">
        <v>479</v>
      </c>
      <c r="I88" s="96" t="s">
        <v>477</v>
      </c>
      <c r="J88" s="96"/>
      <c r="K88" s="76"/>
      <c r="L88" s="76"/>
      <c r="M88" s="76"/>
      <c r="N88" s="76"/>
      <c r="O88" s="76"/>
      <c r="P88" s="76"/>
      <c r="Q88" s="76"/>
      <c r="R88" s="76"/>
      <c r="S88" s="76"/>
      <c r="T88" s="76"/>
      <c r="U88" s="253">
        <f t="shared" si="14"/>
        <v>0</v>
      </c>
      <c r="V88" s="253">
        <f t="shared" si="14"/>
        <v>0</v>
      </c>
      <c r="W88" s="253">
        <f t="shared" si="14"/>
        <v>0</v>
      </c>
      <c r="X88" s="253">
        <f t="shared" si="14"/>
        <v>0</v>
      </c>
      <c r="Y88" s="253">
        <f t="shared" si="14"/>
        <v>0</v>
      </c>
      <c r="Z88" s="253">
        <f t="shared" si="14"/>
        <v>0</v>
      </c>
      <c r="AA88" s="253">
        <f t="shared" si="14"/>
        <v>0</v>
      </c>
      <c r="AB88" s="253">
        <f t="shared" si="14"/>
        <v>0</v>
      </c>
      <c r="AC88" s="253">
        <f t="shared" si="14"/>
        <v>0</v>
      </c>
      <c r="AD88" s="253">
        <f t="shared" si="14"/>
        <v>0</v>
      </c>
      <c r="AE88" s="76"/>
      <c r="AF88" s="76"/>
      <c r="AG88" s="76"/>
      <c r="AH88" s="97">
        <v>1</v>
      </c>
      <c r="AI88" s="97">
        <v>1</v>
      </c>
      <c r="AJ88" s="73"/>
      <c r="AK88" s="57"/>
      <c r="AL88" s="45"/>
      <c r="AM88" s="45"/>
      <c r="AN88" s="45"/>
    </row>
    <row r="89" spans="1:40" hidden="1" outlineLevel="2" x14ac:dyDescent="0.25">
      <c r="A89" s="45"/>
      <c r="B89" s="54"/>
      <c r="C89" s="47">
        <f t="shared" si="12"/>
        <v>3</v>
      </c>
      <c r="D89" s="73"/>
      <c r="E89" s="70"/>
      <c r="F89" s="70"/>
      <c r="G89" s="73"/>
      <c r="H89" s="76" t="s">
        <v>480</v>
      </c>
      <c r="I89" s="96" t="s">
        <v>477</v>
      </c>
      <c r="J89" s="96"/>
      <c r="K89" s="76"/>
      <c r="L89" s="76"/>
      <c r="M89" s="76"/>
      <c r="N89" s="76"/>
      <c r="O89" s="76"/>
      <c r="P89" s="76"/>
      <c r="Q89" s="76"/>
      <c r="R89" s="76"/>
      <c r="S89" s="76"/>
      <c r="T89" s="76"/>
      <c r="U89" s="253">
        <f t="shared" ref="U89:AD89" si="15">U78</f>
        <v>13</v>
      </c>
      <c r="V89" s="253">
        <f t="shared" si="15"/>
        <v>13</v>
      </c>
      <c r="W89" s="253">
        <f t="shared" si="15"/>
        <v>13</v>
      </c>
      <c r="X89" s="253">
        <f t="shared" si="15"/>
        <v>13</v>
      </c>
      <c r="Y89" s="253">
        <f t="shared" si="15"/>
        <v>13</v>
      </c>
      <c r="Z89" s="253">
        <f t="shared" si="15"/>
        <v>13</v>
      </c>
      <c r="AA89" s="253">
        <f t="shared" si="15"/>
        <v>13</v>
      </c>
      <c r="AB89" s="253">
        <f t="shared" si="15"/>
        <v>13</v>
      </c>
      <c r="AC89" s="253">
        <f t="shared" si="15"/>
        <v>13</v>
      </c>
      <c r="AD89" s="253">
        <f t="shared" si="15"/>
        <v>13</v>
      </c>
      <c r="AE89" s="76"/>
      <c r="AF89" s="76"/>
      <c r="AG89" s="76"/>
      <c r="AH89" s="97">
        <v>1</v>
      </c>
      <c r="AI89" s="97">
        <v>1</v>
      </c>
      <c r="AJ89" s="73"/>
      <c r="AK89" s="57"/>
      <c r="AL89" s="45"/>
      <c r="AM89" s="45"/>
      <c r="AN89" s="45"/>
    </row>
    <row r="90" spans="1:40" hidden="1" outlineLevel="2" x14ac:dyDescent="0.25">
      <c r="A90" s="45"/>
      <c r="B90" s="54"/>
      <c r="C90" s="47">
        <f t="shared" si="12"/>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2"/>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2"/>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2"/>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2"/>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2"/>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hidden="1" outlineLevel="1" collapsed="1" x14ac:dyDescent="0.25">
      <c r="A96" s="45"/>
      <c r="B96" s="54"/>
      <c r="C96" s="47">
        <f t="shared" si="12"/>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2"/>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6">Y97</f>
        <v>0.45</v>
      </c>
      <c r="AA97" s="302">
        <f t="shared" si="16"/>
        <v>0.45</v>
      </c>
      <c r="AB97" s="302">
        <f t="shared" si="16"/>
        <v>0.45</v>
      </c>
      <c r="AC97" s="302">
        <f t="shared" si="16"/>
        <v>0.45</v>
      </c>
      <c r="AD97" s="302">
        <f t="shared" si="16"/>
        <v>0.45</v>
      </c>
      <c r="AE97" s="76"/>
      <c r="AF97" s="76"/>
      <c r="AG97" s="76"/>
      <c r="AH97" s="97">
        <v>1</v>
      </c>
      <c r="AI97" s="97">
        <v>1</v>
      </c>
      <c r="AJ97" s="73"/>
      <c r="AK97" s="57"/>
      <c r="AL97" s="45"/>
      <c r="AM97" s="45"/>
      <c r="AN97" s="45"/>
    </row>
    <row r="98" spans="1:40" hidden="1" outlineLevel="2" x14ac:dyDescent="0.25">
      <c r="A98" s="45"/>
      <c r="B98" s="54"/>
      <c r="C98" s="47">
        <f t="shared" si="12"/>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6"/>
        <v>0.15</v>
      </c>
      <c r="AA98" s="302">
        <f t="shared" si="16"/>
        <v>0.15</v>
      </c>
      <c r="AB98" s="302">
        <f t="shared" si="16"/>
        <v>0.15</v>
      </c>
      <c r="AC98" s="302">
        <f t="shared" si="16"/>
        <v>0.15</v>
      </c>
      <c r="AD98" s="302">
        <f t="shared" si="16"/>
        <v>0.15</v>
      </c>
      <c r="AE98" s="76"/>
      <c r="AF98" s="76"/>
      <c r="AG98" s="76"/>
      <c r="AH98" s="97">
        <v>1</v>
      </c>
      <c r="AI98" s="97">
        <v>1</v>
      </c>
      <c r="AJ98" s="73"/>
      <c r="AK98" s="57"/>
      <c r="AL98" s="45"/>
      <c r="AM98" s="45"/>
      <c r="AN98" s="45"/>
    </row>
    <row r="99" spans="1:40" hidden="1" outlineLevel="2" x14ac:dyDescent="0.25">
      <c r="A99" s="45"/>
      <c r="B99" s="54"/>
      <c r="C99" s="47">
        <f t="shared" si="12"/>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6"/>
        <v>19</v>
      </c>
      <c r="AA99" s="255">
        <f t="shared" si="16"/>
        <v>19</v>
      </c>
      <c r="AB99" s="255">
        <f t="shared" si="16"/>
        <v>19</v>
      </c>
      <c r="AC99" s="255">
        <f t="shared" si="16"/>
        <v>19</v>
      </c>
      <c r="AD99" s="255">
        <f t="shared" si="16"/>
        <v>19</v>
      </c>
      <c r="AE99" s="76"/>
      <c r="AF99" s="76"/>
      <c r="AG99" s="76"/>
      <c r="AH99" s="97">
        <v>1</v>
      </c>
      <c r="AI99" s="97">
        <v>1</v>
      </c>
      <c r="AJ99" s="73"/>
      <c r="AK99" s="57"/>
      <c r="AL99" s="45"/>
      <c r="AM99" s="45"/>
      <c r="AN99" s="45"/>
    </row>
    <row r="100" spans="1:40" hidden="1" outlineLevel="2" x14ac:dyDescent="0.25">
      <c r="A100" s="45"/>
      <c r="B100" s="54"/>
      <c r="C100" s="47">
        <f t="shared" si="12"/>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6"/>
        <v>2.5</v>
      </c>
      <c r="AA100" s="255">
        <f t="shared" si="16"/>
        <v>2.5</v>
      </c>
      <c r="AB100" s="255">
        <f t="shared" si="16"/>
        <v>2.5</v>
      </c>
      <c r="AC100" s="255">
        <f t="shared" si="16"/>
        <v>2.5</v>
      </c>
      <c r="AD100" s="255">
        <f t="shared" si="16"/>
        <v>2.5</v>
      </c>
      <c r="AE100" s="76"/>
      <c r="AF100" s="76"/>
      <c r="AG100" s="76"/>
      <c r="AH100" s="97">
        <v>1</v>
      </c>
      <c r="AI100" s="97">
        <v>1</v>
      </c>
      <c r="AJ100" s="73"/>
      <c r="AK100" s="57"/>
      <c r="AL100" s="45"/>
      <c r="AM100" s="45"/>
      <c r="AN100" s="45"/>
    </row>
    <row r="101" spans="1:40" hidden="1" outlineLevel="2" x14ac:dyDescent="0.25">
      <c r="A101" s="45"/>
      <c r="B101" s="54"/>
      <c r="C101" s="47">
        <f t="shared" si="12"/>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hidden="1" outlineLevel="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t="s">
        <v>3286</v>
      </c>
      <c r="U104" s="253">
        <f t="shared" ref="U104:AD107" si="17">INDEX($K104:$Q104,1,U$43)</f>
        <v>1.5699999999999999E-2</v>
      </c>
      <c r="V104" s="253">
        <f t="shared" si="17"/>
        <v>1.5699999999999999E-2</v>
      </c>
      <c r="W104" s="631">
        <f>$V104+0</f>
        <v>1.5699999999999999E-2</v>
      </c>
      <c r="X104" s="631">
        <f>$V104+0-0.003</f>
        <v>1.2699999999999999E-2</v>
      </c>
      <c r="Y104" s="631">
        <f>$V104+0-0.0015</f>
        <v>1.4199999999999999E-2</v>
      </c>
      <c r="Z104" s="253">
        <f t="shared" si="17"/>
        <v>1.5699999999999999E-2</v>
      </c>
      <c r="AA104" s="253">
        <f t="shared" si="17"/>
        <v>1.5699999999999999E-2</v>
      </c>
      <c r="AB104" s="253">
        <f t="shared" si="17"/>
        <v>1.5699999999999999E-2</v>
      </c>
      <c r="AC104" s="253">
        <f t="shared" si="17"/>
        <v>1.5699999999999999E-2</v>
      </c>
      <c r="AD104" s="253">
        <f t="shared" si="17"/>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7"/>
        <v>0.27</v>
      </c>
      <c r="V105" s="253">
        <f t="shared" si="17"/>
        <v>0.27</v>
      </c>
      <c r="W105" s="253">
        <f t="shared" si="17"/>
        <v>0.27</v>
      </c>
      <c r="X105" s="253">
        <f t="shared" si="17"/>
        <v>0.27</v>
      </c>
      <c r="Y105" s="253">
        <f t="shared" si="17"/>
        <v>0.27</v>
      </c>
      <c r="Z105" s="253">
        <f t="shared" si="17"/>
        <v>0.27</v>
      </c>
      <c r="AA105" s="253">
        <f t="shared" si="17"/>
        <v>0.27</v>
      </c>
      <c r="AB105" s="253">
        <f t="shared" si="17"/>
        <v>0.27</v>
      </c>
      <c r="AC105" s="253">
        <f t="shared" si="17"/>
        <v>0.27</v>
      </c>
      <c r="AD105" s="253">
        <f t="shared" si="17"/>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7"/>
        <v>0.4</v>
      </c>
      <c r="V106" s="253">
        <f t="shared" si="17"/>
        <v>0.4</v>
      </c>
      <c r="W106" s="253">
        <f t="shared" si="17"/>
        <v>0.4</v>
      </c>
      <c r="X106" s="253">
        <f t="shared" si="17"/>
        <v>0.4</v>
      </c>
      <c r="Y106" s="253">
        <f t="shared" si="17"/>
        <v>0.4</v>
      </c>
      <c r="Z106" s="253">
        <f t="shared" si="17"/>
        <v>0.4</v>
      </c>
      <c r="AA106" s="253">
        <f t="shared" si="17"/>
        <v>0.4</v>
      </c>
      <c r="AB106" s="253">
        <f t="shared" si="17"/>
        <v>0.4</v>
      </c>
      <c r="AC106" s="253">
        <f t="shared" si="17"/>
        <v>0.4</v>
      </c>
      <c r="AD106" s="253">
        <f t="shared" si="17"/>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7"/>
        <v>0.6</v>
      </c>
      <c r="V107" s="253">
        <f t="shared" si="17"/>
        <v>0.6</v>
      </c>
      <c r="W107" s="253">
        <f t="shared" si="17"/>
        <v>0.6</v>
      </c>
      <c r="X107" s="253">
        <f t="shared" si="17"/>
        <v>0.6</v>
      </c>
      <c r="Y107" s="253">
        <f t="shared" si="17"/>
        <v>0.6</v>
      </c>
      <c r="Z107" s="253">
        <f t="shared" si="17"/>
        <v>0.6</v>
      </c>
      <c r="AA107" s="253">
        <f t="shared" si="17"/>
        <v>0.6</v>
      </c>
      <c r="AB107" s="253">
        <f t="shared" si="17"/>
        <v>0.6</v>
      </c>
      <c r="AC107" s="253">
        <f t="shared" si="17"/>
        <v>0.6</v>
      </c>
      <c r="AD107" s="253">
        <f t="shared" si="17"/>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25">
      <c r="A109" s="45"/>
      <c r="B109" s="54"/>
      <c r="C109" s="47">
        <f t="shared" ref="C109:C125" si="18">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8"/>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8"/>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25">
      <c r="A112" s="45"/>
      <c r="B112" s="54"/>
      <c r="C112" s="47">
        <f t="shared" si="18"/>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25">
      <c r="A113" s="45"/>
      <c r="B113" s="54"/>
      <c r="C113" s="47">
        <f t="shared" si="18"/>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25">
      <c r="A114" s="45"/>
      <c r="B114" s="54"/>
      <c r="C114" s="47">
        <f t="shared" si="18"/>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8"/>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8"/>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8"/>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8"/>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8"/>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8"/>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8"/>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8"/>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8"/>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8"/>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8"/>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hidden="1" outlineLevel="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outlineLevel="2" x14ac:dyDescent="0.25">
      <c r="A128" s="45"/>
      <c r="B128" s="54"/>
      <c r="C128" s="47">
        <f t="shared" ref="C128:C145" si="19">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3286</v>
      </c>
      <c r="U128" s="253">
        <f t="shared" ref="U128:V142" si="20">INDEX($K128:$Q128,1,U$43)</f>
        <v>0.04</v>
      </c>
      <c r="V128" s="253">
        <f t="shared" si="20"/>
        <v>0.04</v>
      </c>
      <c r="W128" s="631">
        <f>$V128+0-0.0028615762</f>
        <v>3.7138423800000001E-2</v>
      </c>
      <c r="X128" s="631">
        <f>$V128+0-0.0055380691</f>
        <v>3.44619309E-2</v>
      </c>
      <c r="Y128" s="631">
        <f>$V128+0.000174328864</f>
        <v>4.0174328863999999E-2</v>
      </c>
      <c r="Z128" s="253">
        <f t="shared" ref="Y128:AD142" si="21">INDEX($K128:$Q128,1,Z$43)</f>
        <v>0.05</v>
      </c>
      <c r="AA128" s="253">
        <f t="shared" si="21"/>
        <v>0.05</v>
      </c>
      <c r="AB128" s="253">
        <f t="shared" si="21"/>
        <v>0.05</v>
      </c>
      <c r="AC128" s="253">
        <f t="shared" si="21"/>
        <v>0.05</v>
      </c>
      <c r="AD128" s="253">
        <f t="shared" si="21"/>
        <v>0.05</v>
      </c>
      <c r="AE128" s="76"/>
      <c r="AF128" s="76"/>
      <c r="AG128" s="76"/>
      <c r="AH128" s="97">
        <v>1</v>
      </c>
      <c r="AI128" s="97">
        <v>1</v>
      </c>
      <c r="AJ128" s="73"/>
      <c r="AK128" s="57"/>
      <c r="AL128" s="45"/>
      <c r="AM128" s="45"/>
      <c r="AN128" s="45"/>
    </row>
    <row r="129" spans="1:40" hidden="1" outlineLevel="2" x14ac:dyDescent="0.25">
      <c r="A129" s="45"/>
      <c r="B129" s="54"/>
      <c r="C129" s="47">
        <f t="shared" si="19"/>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20"/>
        <v>1.7</v>
      </c>
      <c r="V129" s="253">
        <f t="shared" si="20"/>
        <v>1.7</v>
      </c>
      <c r="W129" s="253">
        <f t="shared" ref="W129:Y142" si="22">INDEX($K129:$Q129,1,W$43)</f>
        <v>1.7</v>
      </c>
      <c r="X129" s="253">
        <f t="shared" si="22"/>
        <v>1.7</v>
      </c>
      <c r="Y129" s="253">
        <f t="shared" si="22"/>
        <v>1.7</v>
      </c>
      <c r="Z129" s="253">
        <f t="shared" si="21"/>
        <v>1.7</v>
      </c>
      <c r="AA129" s="253">
        <f t="shared" si="21"/>
        <v>1.7</v>
      </c>
      <c r="AB129" s="253">
        <f t="shared" si="21"/>
        <v>1.7</v>
      </c>
      <c r="AC129" s="253">
        <f t="shared" si="21"/>
        <v>1.7</v>
      </c>
      <c r="AD129" s="253">
        <f t="shared" si="21"/>
        <v>1.7</v>
      </c>
      <c r="AE129" s="76"/>
      <c r="AF129" s="76"/>
      <c r="AG129" s="76"/>
      <c r="AH129" s="97">
        <v>1</v>
      </c>
      <c r="AI129" s="97">
        <v>1</v>
      </c>
      <c r="AJ129" s="73"/>
      <c r="AK129" s="57"/>
      <c r="AL129" s="45"/>
      <c r="AM129" s="45"/>
      <c r="AN129" s="45"/>
    </row>
    <row r="130" spans="1:40" hidden="1" outlineLevel="2" x14ac:dyDescent="0.25">
      <c r="A130" s="45"/>
      <c r="B130" s="54"/>
      <c r="C130" s="47">
        <f t="shared" si="19"/>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20"/>
        <v>0.5</v>
      </c>
      <c r="V130" s="253">
        <f t="shared" si="20"/>
        <v>0.5</v>
      </c>
      <c r="W130" s="253">
        <f t="shared" si="22"/>
        <v>0.5</v>
      </c>
      <c r="X130" s="253">
        <f t="shared" si="22"/>
        <v>0.5</v>
      </c>
      <c r="Y130" s="253">
        <f t="shared" si="22"/>
        <v>0.5</v>
      </c>
      <c r="Z130" s="253">
        <f t="shared" si="21"/>
        <v>0.5</v>
      </c>
      <c r="AA130" s="253">
        <f t="shared" si="21"/>
        <v>0.5</v>
      </c>
      <c r="AB130" s="253">
        <f t="shared" si="21"/>
        <v>0.5</v>
      </c>
      <c r="AC130" s="253">
        <f t="shared" si="21"/>
        <v>0.5</v>
      </c>
      <c r="AD130" s="253">
        <f t="shared" si="21"/>
        <v>0.5</v>
      </c>
      <c r="AE130" s="76"/>
      <c r="AF130" s="76"/>
      <c r="AG130" s="76"/>
      <c r="AH130" s="97">
        <v>1</v>
      </c>
      <c r="AI130" s="97">
        <v>1</v>
      </c>
      <c r="AJ130" s="73"/>
      <c r="AK130" s="57"/>
      <c r="AL130" s="45"/>
      <c r="AM130" s="45"/>
      <c r="AN130" s="45"/>
    </row>
    <row r="131" spans="1:40" hidden="1" outlineLevel="2" x14ac:dyDescent="0.25">
      <c r="A131" s="45"/>
      <c r="B131" s="54"/>
      <c r="C131" s="47">
        <f t="shared" si="19"/>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20"/>
        <v>25</v>
      </c>
      <c r="V131" s="253">
        <f t="shared" si="20"/>
        <v>25</v>
      </c>
      <c r="W131" s="253">
        <f t="shared" si="22"/>
        <v>25</v>
      </c>
      <c r="X131" s="253">
        <f t="shared" si="22"/>
        <v>25</v>
      </c>
      <c r="Y131" s="253">
        <f t="shared" si="22"/>
        <v>25</v>
      </c>
      <c r="Z131" s="253">
        <f t="shared" si="21"/>
        <v>25</v>
      </c>
      <c r="AA131" s="253">
        <f t="shared" si="21"/>
        <v>25</v>
      </c>
      <c r="AB131" s="253">
        <f t="shared" si="21"/>
        <v>25</v>
      </c>
      <c r="AC131" s="253">
        <f t="shared" si="21"/>
        <v>25</v>
      </c>
      <c r="AD131" s="253">
        <f t="shared" si="21"/>
        <v>25</v>
      </c>
      <c r="AE131" s="76"/>
      <c r="AF131" s="76"/>
      <c r="AG131" s="76"/>
      <c r="AH131" s="97">
        <v>1</v>
      </c>
      <c r="AI131" s="97">
        <v>1</v>
      </c>
      <c r="AJ131" s="73"/>
      <c r="AK131" s="57"/>
      <c r="AL131" s="45"/>
      <c r="AM131" s="45"/>
      <c r="AN131" s="45"/>
    </row>
    <row r="132" spans="1:40" hidden="1" outlineLevel="2" x14ac:dyDescent="0.25">
      <c r="A132" s="45"/>
      <c r="B132" s="54"/>
      <c r="C132" s="47">
        <f t="shared" si="19"/>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20"/>
        <v>0.01</v>
      </c>
      <c r="V132" s="253">
        <f t="shared" si="20"/>
        <v>0.01</v>
      </c>
      <c r="W132" s="253">
        <f t="shared" si="22"/>
        <v>0.01</v>
      </c>
      <c r="X132" s="253">
        <f t="shared" si="22"/>
        <v>0.01</v>
      </c>
      <c r="Y132" s="253">
        <f t="shared" si="22"/>
        <v>0.01</v>
      </c>
      <c r="Z132" s="253">
        <f t="shared" si="21"/>
        <v>0.01</v>
      </c>
      <c r="AA132" s="253">
        <f t="shared" si="21"/>
        <v>0.01</v>
      </c>
      <c r="AB132" s="253">
        <f t="shared" si="21"/>
        <v>0.01</v>
      </c>
      <c r="AC132" s="253">
        <f t="shared" si="21"/>
        <v>0.01</v>
      </c>
      <c r="AD132" s="253">
        <f t="shared" si="21"/>
        <v>0.01</v>
      </c>
      <c r="AE132" s="76"/>
      <c r="AF132" s="76"/>
      <c r="AG132" s="76"/>
      <c r="AH132" s="97">
        <v>1</v>
      </c>
      <c r="AI132" s="97">
        <v>1</v>
      </c>
      <c r="AJ132" s="73"/>
      <c r="AK132" s="57"/>
      <c r="AL132" s="45"/>
      <c r="AM132" s="45"/>
      <c r="AN132" s="45"/>
    </row>
    <row r="133" spans="1:40" hidden="1" outlineLevel="2" x14ac:dyDescent="0.25">
      <c r="A133" s="45"/>
      <c r="B133" s="54"/>
      <c r="C133" s="47">
        <f t="shared" si="19"/>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20"/>
        <v>25</v>
      </c>
      <c r="V133" s="253">
        <f t="shared" si="20"/>
        <v>25</v>
      </c>
      <c r="W133" s="253">
        <f t="shared" si="22"/>
        <v>25</v>
      </c>
      <c r="X133" s="253">
        <f t="shared" si="22"/>
        <v>25</v>
      </c>
      <c r="Y133" s="253">
        <f t="shared" si="22"/>
        <v>25</v>
      </c>
      <c r="Z133" s="253">
        <f t="shared" si="21"/>
        <v>25</v>
      </c>
      <c r="AA133" s="253">
        <f t="shared" si="21"/>
        <v>25</v>
      </c>
      <c r="AB133" s="253">
        <f t="shared" si="21"/>
        <v>25</v>
      </c>
      <c r="AC133" s="253">
        <f t="shared" si="21"/>
        <v>25</v>
      </c>
      <c r="AD133" s="253">
        <f t="shared" si="21"/>
        <v>25</v>
      </c>
      <c r="AE133" s="76"/>
      <c r="AF133" s="76"/>
      <c r="AG133" s="76"/>
      <c r="AH133" s="97">
        <v>1</v>
      </c>
      <c r="AI133" s="97">
        <v>1</v>
      </c>
      <c r="AJ133" s="73"/>
      <c r="AK133" s="57"/>
      <c r="AL133" s="45"/>
      <c r="AM133" s="45"/>
      <c r="AN133" s="45"/>
    </row>
    <row r="134" spans="1:40" hidden="1" outlineLevel="2" x14ac:dyDescent="0.25">
      <c r="A134" s="45"/>
      <c r="B134" s="54"/>
      <c r="C134" s="47">
        <f t="shared" si="19"/>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20"/>
        <v>22</v>
      </c>
      <c r="V134" s="253">
        <f t="shared" si="20"/>
        <v>22</v>
      </c>
      <c r="W134" s="253">
        <f t="shared" si="22"/>
        <v>22</v>
      </c>
      <c r="X134" s="253">
        <f t="shared" si="22"/>
        <v>22</v>
      </c>
      <c r="Y134" s="253">
        <f t="shared" si="22"/>
        <v>22</v>
      </c>
      <c r="Z134" s="253">
        <f t="shared" si="21"/>
        <v>22</v>
      </c>
      <c r="AA134" s="253">
        <f t="shared" si="21"/>
        <v>22</v>
      </c>
      <c r="AB134" s="253">
        <f t="shared" si="21"/>
        <v>22</v>
      </c>
      <c r="AC134" s="253">
        <f t="shared" si="21"/>
        <v>22</v>
      </c>
      <c r="AD134" s="253">
        <f t="shared" si="21"/>
        <v>22</v>
      </c>
      <c r="AE134" s="76"/>
      <c r="AF134" s="76"/>
      <c r="AG134" s="76"/>
      <c r="AH134" s="97">
        <v>1</v>
      </c>
      <c r="AI134" s="97">
        <v>1</v>
      </c>
      <c r="AJ134" s="73"/>
      <c r="AK134" s="57"/>
      <c r="AL134" s="45"/>
      <c r="AM134" s="45"/>
      <c r="AN134" s="45"/>
    </row>
    <row r="135" spans="1:40" hidden="1" outlineLevel="2" x14ac:dyDescent="0.25">
      <c r="A135" s="45"/>
      <c r="B135" s="54"/>
      <c r="C135" s="47">
        <f t="shared" si="19"/>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20"/>
        <v>28</v>
      </c>
      <c r="V135" s="253">
        <f t="shared" si="20"/>
        <v>28</v>
      </c>
      <c r="W135" s="253">
        <f t="shared" si="22"/>
        <v>28</v>
      </c>
      <c r="X135" s="253">
        <f t="shared" si="22"/>
        <v>28</v>
      </c>
      <c r="Y135" s="253">
        <f t="shared" si="22"/>
        <v>28</v>
      </c>
      <c r="Z135" s="253">
        <f t="shared" si="21"/>
        <v>28</v>
      </c>
      <c r="AA135" s="253">
        <f t="shared" si="21"/>
        <v>28</v>
      </c>
      <c r="AB135" s="253">
        <f t="shared" si="21"/>
        <v>28</v>
      </c>
      <c r="AC135" s="253">
        <f t="shared" si="21"/>
        <v>28</v>
      </c>
      <c r="AD135" s="253">
        <f t="shared" si="21"/>
        <v>28</v>
      </c>
      <c r="AE135" s="76"/>
      <c r="AF135" s="76"/>
      <c r="AG135" s="76"/>
      <c r="AH135" s="97">
        <v>1</v>
      </c>
      <c r="AI135" s="97">
        <v>1</v>
      </c>
      <c r="AJ135" s="73"/>
      <c r="AK135" s="57"/>
      <c r="AL135" s="45"/>
      <c r="AM135" s="45"/>
      <c r="AN135" s="45"/>
    </row>
    <row r="136" spans="1:40" hidden="1" outlineLevel="2" x14ac:dyDescent="0.25">
      <c r="A136" s="45"/>
      <c r="B136" s="54"/>
      <c r="C136" s="47">
        <f t="shared" si="19"/>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20"/>
        <v>1.4</v>
      </c>
      <c r="V136" s="253">
        <f t="shared" si="20"/>
        <v>1.4</v>
      </c>
      <c r="W136" s="253">
        <f t="shared" si="22"/>
        <v>1.4</v>
      </c>
      <c r="X136" s="253">
        <f t="shared" si="22"/>
        <v>1.4</v>
      </c>
      <c r="Y136" s="253">
        <f t="shared" si="22"/>
        <v>1.4</v>
      </c>
      <c r="Z136" s="253">
        <f t="shared" si="21"/>
        <v>1.4</v>
      </c>
      <c r="AA136" s="253">
        <f t="shared" si="21"/>
        <v>1.4</v>
      </c>
      <c r="AB136" s="253">
        <f t="shared" si="21"/>
        <v>1.4</v>
      </c>
      <c r="AC136" s="253">
        <f t="shared" si="21"/>
        <v>1.4</v>
      </c>
      <c r="AD136" s="253">
        <f t="shared" si="21"/>
        <v>1.4</v>
      </c>
      <c r="AE136" s="76"/>
      <c r="AF136" s="76"/>
      <c r="AG136" s="76"/>
      <c r="AH136" s="97">
        <v>1</v>
      </c>
      <c r="AI136" s="97">
        <v>1</v>
      </c>
      <c r="AJ136" s="73"/>
      <c r="AK136" s="57"/>
      <c r="AL136" s="45"/>
      <c r="AM136" s="45"/>
      <c r="AN136" s="45"/>
    </row>
    <row r="137" spans="1:40" hidden="1" outlineLevel="2" x14ac:dyDescent="0.25">
      <c r="A137" s="45"/>
      <c r="B137" s="54"/>
      <c r="C137" s="47">
        <f t="shared" si="19"/>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20"/>
        <v>0</v>
      </c>
      <c r="V137" s="253">
        <f t="shared" si="20"/>
        <v>0</v>
      </c>
      <c r="W137" s="253">
        <f t="shared" si="22"/>
        <v>0</v>
      </c>
      <c r="X137" s="253">
        <f t="shared" si="22"/>
        <v>0</v>
      </c>
      <c r="Y137" s="253">
        <f t="shared" si="22"/>
        <v>0</v>
      </c>
      <c r="Z137" s="253">
        <f t="shared" si="21"/>
        <v>0</v>
      </c>
      <c r="AA137" s="253">
        <f t="shared" si="21"/>
        <v>0</v>
      </c>
      <c r="AB137" s="253">
        <f t="shared" si="21"/>
        <v>0</v>
      </c>
      <c r="AC137" s="253">
        <f t="shared" si="21"/>
        <v>0</v>
      </c>
      <c r="AD137" s="253">
        <f t="shared" si="21"/>
        <v>0</v>
      </c>
      <c r="AE137" s="76"/>
      <c r="AF137" s="76"/>
      <c r="AG137" s="76"/>
      <c r="AH137" s="97">
        <v>1</v>
      </c>
      <c r="AI137" s="97">
        <v>1</v>
      </c>
      <c r="AJ137" s="73"/>
      <c r="AK137" s="57"/>
      <c r="AL137" s="45"/>
      <c r="AM137" s="45"/>
      <c r="AN137" s="45"/>
    </row>
    <row r="138" spans="1:40" hidden="1" outlineLevel="2" x14ac:dyDescent="0.25">
      <c r="A138" s="45"/>
      <c r="B138" s="54"/>
      <c r="C138" s="47">
        <f t="shared" si="19"/>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20"/>
        <v>0</v>
      </c>
      <c r="V138" s="253">
        <f t="shared" si="20"/>
        <v>0</v>
      </c>
      <c r="W138" s="253">
        <f t="shared" si="22"/>
        <v>0</v>
      </c>
      <c r="X138" s="253">
        <f t="shared" si="22"/>
        <v>0</v>
      </c>
      <c r="Y138" s="253">
        <f t="shared" si="22"/>
        <v>0</v>
      </c>
      <c r="Z138" s="253">
        <f t="shared" si="21"/>
        <v>0</v>
      </c>
      <c r="AA138" s="253">
        <f t="shared" si="21"/>
        <v>0</v>
      </c>
      <c r="AB138" s="253">
        <f t="shared" si="21"/>
        <v>0</v>
      </c>
      <c r="AC138" s="253">
        <f t="shared" si="21"/>
        <v>0</v>
      </c>
      <c r="AD138" s="253">
        <f t="shared" si="21"/>
        <v>0</v>
      </c>
      <c r="AE138" s="76"/>
      <c r="AF138" s="76"/>
      <c r="AG138" s="76"/>
      <c r="AH138" s="97">
        <v>1</v>
      </c>
      <c r="AI138" s="97">
        <v>1</v>
      </c>
      <c r="AJ138" s="73"/>
      <c r="AK138" s="57"/>
      <c r="AL138" s="45"/>
      <c r="AM138" s="45"/>
      <c r="AN138" s="45"/>
    </row>
    <row r="139" spans="1:40" hidden="1" outlineLevel="2" x14ac:dyDescent="0.25">
      <c r="A139" s="45"/>
      <c r="B139" s="54"/>
      <c r="C139" s="47">
        <f t="shared" si="19"/>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20"/>
        <v>0.15</v>
      </c>
      <c r="V139" s="253">
        <f t="shared" si="20"/>
        <v>0.15</v>
      </c>
      <c r="W139" s="253">
        <f t="shared" si="22"/>
        <v>0.15</v>
      </c>
      <c r="X139" s="253">
        <f t="shared" si="22"/>
        <v>0.15</v>
      </c>
      <c r="Y139" s="253">
        <f t="shared" si="22"/>
        <v>0.15</v>
      </c>
      <c r="Z139" s="253">
        <f t="shared" si="21"/>
        <v>0.15</v>
      </c>
      <c r="AA139" s="253">
        <f t="shared" si="21"/>
        <v>0.15</v>
      </c>
      <c r="AB139" s="253">
        <f t="shared" si="21"/>
        <v>0.15</v>
      </c>
      <c r="AC139" s="253">
        <f t="shared" si="21"/>
        <v>0.15</v>
      </c>
      <c r="AD139" s="253">
        <f t="shared" si="21"/>
        <v>0.15</v>
      </c>
      <c r="AE139" s="76"/>
      <c r="AF139" s="76"/>
      <c r="AG139" s="76"/>
      <c r="AH139" s="97">
        <v>1</v>
      </c>
      <c r="AI139" s="97">
        <v>1</v>
      </c>
      <c r="AJ139" s="73"/>
      <c r="AK139" s="57"/>
      <c r="AL139" s="45"/>
      <c r="AM139" s="45"/>
      <c r="AN139" s="45"/>
    </row>
    <row r="140" spans="1:40" hidden="1" outlineLevel="2" x14ac:dyDescent="0.25">
      <c r="A140" s="45"/>
      <c r="B140" s="54"/>
      <c r="C140" s="47">
        <f t="shared" si="19"/>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20"/>
        <v>0.02</v>
      </c>
      <c r="V140" s="253">
        <f t="shared" si="20"/>
        <v>0.02</v>
      </c>
      <c r="W140" s="253">
        <f t="shared" si="22"/>
        <v>0.02</v>
      </c>
      <c r="X140" s="253">
        <f t="shared" si="22"/>
        <v>0.02</v>
      </c>
      <c r="Y140" s="253">
        <f t="shared" si="22"/>
        <v>0.02</v>
      </c>
      <c r="Z140" s="253">
        <f t="shared" si="21"/>
        <v>0.02</v>
      </c>
      <c r="AA140" s="253">
        <f t="shared" si="21"/>
        <v>0.02</v>
      </c>
      <c r="AB140" s="253">
        <f t="shared" si="21"/>
        <v>0.02</v>
      </c>
      <c r="AC140" s="253">
        <f t="shared" si="21"/>
        <v>0.02</v>
      </c>
      <c r="AD140" s="253">
        <f t="shared" si="21"/>
        <v>0.02</v>
      </c>
      <c r="AE140" s="76"/>
      <c r="AF140" s="76"/>
      <c r="AG140" s="76"/>
      <c r="AH140" s="97">
        <v>1</v>
      </c>
      <c r="AI140" s="97">
        <v>1</v>
      </c>
      <c r="AJ140" s="73"/>
      <c r="AK140" s="57"/>
      <c r="AL140" s="45"/>
      <c r="AM140" s="45"/>
      <c r="AN140" s="45"/>
    </row>
    <row r="141" spans="1:40" hidden="1" outlineLevel="2" x14ac:dyDescent="0.25">
      <c r="A141" s="45"/>
      <c r="B141" s="54"/>
      <c r="C141" s="47">
        <f t="shared" si="19"/>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20"/>
        <v>2E-3</v>
      </c>
      <c r="V141" s="253">
        <f t="shared" si="20"/>
        <v>2E-3</v>
      </c>
      <c r="W141" s="253">
        <f t="shared" si="22"/>
        <v>2E-3</v>
      </c>
      <c r="X141" s="253">
        <f t="shared" si="22"/>
        <v>2E-3</v>
      </c>
      <c r="Y141" s="253">
        <f t="shared" si="22"/>
        <v>2E-3</v>
      </c>
      <c r="Z141" s="253">
        <f t="shared" si="21"/>
        <v>2E-3</v>
      </c>
      <c r="AA141" s="253">
        <f t="shared" si="21"/>
        <v>2E-3</v>
      </c>
      <c r="AB141" s="253">
        <f t="shared" si="21"/>
        <v>2E-3</v>
      </c>
      <c r="AC141" s="253">
        <f t="shared" si="21"/>
        <v>2E-3</v>
      </c>
      <c r="AD141" s="253">
        <f t="shared" si="21"/>
        <v>2E-3</v>
      </c>
      <c r="AE141" s="76"/>
      <c r="AF141" s="76"/>
      <c r="AG141" s="76"/>
      <c r="AH141" s="97">
        <v>1</v>
      </c>
      <c r="AI141" s="97">
        <v>1</v>
      </c>
      <c r="AJ141" s="73"/>
      <c r="AK141" s="57"/>
      <c r="AL141" s="45"/>
      <c r="AM141" s="45"/>
      <c r="AN141" s="45"/>
    </row>
    <row r="142" spans="1:40" hidden="1" outlineLevel="2" collapsed="1" x14ac:dyDescent="0.25">
      <c r="A142" s="45"/>
      <c r="B142" s="54"/>
      <c r="C142" s="47">
        <f t="shared" si="19"/>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20"/>
        <v>0.5</v>
      </c>
      <c r="V142" s="253">
        <f t="shared" si="20"/>
        <v>0.5</v>
      </c>
      <c r="W142" s="253">
        <f t="shared" si="22"/>
        <v>0.5</v>
      </c>
      <c r="X142" s="253">
        <f t="shared" si="22"/>
        <v>0.5</v>
      </c>
      <c r="Y142" s="253">
        <f t="shared" si="22"/>
        <v>0.5</v>
      </c>
      <c r="Z142" s="253">
        <f t="shared" si="21"/>
        <v>0.5</v>
      </c>
      <c r="AA142" s="253">
        <f t="shared" si="21"/>
        <v>0.5</v>
      </c>
      <c r="AB142" s="253">
        <f t="shared" si="21"/>
        <v>0.5</v>
      </c>
      <c r="AC142" s="253">
        <f t="shared" si="21"/>
        <v>0.5</v>
      </c>
      <c r="AD142" s="253">
        <f t="shared" si="21"/>
        <v>0.5</v>
      </c>
      <c r="AE142" s="76"/>
      <c r="AF142" s="76"/>
      <c r="AG142" s="76"/>
      <c r="AH142" s="97">
        <v>1</v>
      </c>
      <c r="AI142" s="97">
        <v>1</v>
      </c>
      <c r="AJ142" s="73"/>
      <c r="AK142" s="57"/>
      <c r="AL142" s="45"/>
      <c r="AM142" s="45"/>
      <c r="AN142" s="45"/>
    </row>
    <row r="143" spans="1:40" hidden="1" outlineLevel="3" x14ac:dyDescent="0.25">
      <c r="A143" s="45"/>
      <c r="B143" s="54"/>
      <c r="C143" s="47">
        <f t="shared" si="19"/>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9"/>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3">INDEX($K144:$Q144,1,U$43)</f>
        <v>0.01</v>
      </c>
      <c r="V144" s="253">
        <f t="shared" si="23"/>
        <v>0.01</v>
      </c>
      <c r="W144" s="253">
        <f t="shared" si="23"/>
        <v>0.01</v>
      </c>
      <c r="X144" s="253">
        <f t="shared" si="23"/>
        <v>0.01</v>
      </c>
      <c r="Y144" s="253">
        <f t="shared" si="23"/>
        <v>0.01</v>
      </c>
      <c r="Z144" s="253">
        <f t="shared" si="23"/>
        <v>0.01</v>
      </c>
      <c r="AA144" s="253">
        <f t="shared" si="23"/>
        <v>0.01</v>
      </c>
      <c r="AB144" s="253">
        <f t="shared" si="23"/>
        <v>0.01</v>
      </c>
      <c r="AC144" s="253">
        <f t="shared" si="23"/>
        <v>0.01</v>
      </c>
      <c r="AD144" s="253">
        <f t="shared" si="23"/>
        <v>0.01</v>
      </c>
      <c r="AE144" s="76"/>
      <c r="AF144" s="76"/>
      <c r="AG144" s="76"/>
      <c r="AH144" s="97">
        <v>1</v>
      </c>
      <c r="AI144" s="97">
        <v>1</v>
      </c>
      <c r="AJ144" s="73"/>
      <c r="AK144" s="57"/>
      <c r="AL144" s="45"/>
      <c r="AM144" s="45"/>
      <c r="AN144" s="45"/>
    </row>
    <row r="145" spans="1:40" hidden="1" outlineLevel="2" collapsed="1" x14ac:dyDescent="0.25">
      <c r="A145" s="45"/>
      <c r="B145" s="54"/>
      <c r="C145" s="47">
        <f t="shared" si="19"/>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3"/>
        <v>20</v>
      </c>
      <c r="V145" s="253">
        <f t="shared" si="23"/>
        <v>20</v>
      </c>
      <c r="W145" s="253">
        <f t="shared" si="23"/>
        <v>20</v>
      </c>
      <c r="X145" s="253">
        <f t="shared" si="23"/>
        <v>20</v>
      </c>
      <c r="Y145" s="253">
        <f t="shared" si="23"/>
        <v>20</v>
      </c>
      <c r="Z145" s="253">
        <f t="shared" si="23"/>
        <v>20</v>
      </c>
      <c r="AA145" s="253">
        <f t="shared" si="23"/>
        <v>20</v>
      </c>
      <c r="AB145" s="253">
        <f t="shared" si="23"/>
        <v>20</v>
      </c>
      <c r="AC145" s="253">
        <f t="shared" si="23"/>
        <v>20</v>
      </c>
      <c r="AD145" s="253">
        <f t="shared" si="23"/>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4">INDEX($K147:$Q147,1,U$43)</f>
        <v>1.5</v>
      </c>
      <c r="V147" s="253">
        <f t="shared" si="24"/>
        <v>1.5</v>
      </c>
      <c r="W147" s="253">
        <f t="shared" si="24"/>
        <v>1.5</v>
      </c>
      <c r="X147" s="253">
        <f t="shared" si="24"/>
        <v>1.5</v>
      </c>
      <c r="Y147" s="253">
        <f t="shared" si="24"/>
        <v>1.5</v>
      </c>
      <c r="Z147" s="253">
        <f t="shared" si="24"/>
        <v>1.7</v>
      </c>
      <c r="AA147" s="253">
        <f t="shared" si="24"/>
        <v>1.7</v>
      </c>
      <c r="AB147" s="253">
        <f t="shared" si="24"/>
        <v>1.7</v>
      </c>
      <c r="AC147" s="253">
        <f t="shared" si="24"/>
        <v>1.7</v>
      </c>
      <c r="AD147" s="253">
        <f t="shared" si="24"/>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4"/>
        <v>3</v>
      </c>
      <c r="V148" s="253">
        <f t="shared" si="24"/>
        <v>3</v>
      </c>
      <c r="W148" s="253">
        <f t="shared" si="24"/>
        <v>3</v>
      </c>
      <c r="X148" s="253">
        <f t="shared" si="24"/>
        <v>3</v>
      </c>
      <c r="Y148" s="253">
        <f t="shared" si="24"/>
        <v>3</v>
      </c>
      <c r="Z148" s="253">
        <f t="shared" si="24"/>
        <v>3</v>
      </c>
      <c r="AA148" s="253">
        <f t="shared" si="24"/>
        <v>3</v>
      </c>
      <c r="AB148" s="253">
        <f t="shared" si="24"/>
        <v>3</v>
      </c>
      <c r="AC148" s="253">
        <f t="shared" si="24"/>
        <v>3</v>
      </c>
      <c r="AD148" s="253">
        <f t="shared" si="24"/>
        <v>3</v>
      </c>
      <c r="AE148" s="76"/>
      <c r="AF148" s="76"/>
      <c r="AG148" s="76"/>
      <c r="AH148" s="97">
        <v>1</v>
      </c>
      <c r="AI148" s="97">
        <v>1</v>
      </c>
      <c r="AJ148" s="73"/>
      <c r="AK148" s="57"/>
      <c r="AL148" s="45"/>
      <c r="AM148" s="45"/>
      <c r="AN148" s="45"/>
    </row>
    <row r="149" spans="1:40" hidden="1"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5">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6">INDEX($K151:$Q151,1,U$43)</f>
        <v>0.8</v>
      </c>
      <c r="V151" s="253">
        <f t="shared" si="26"/>
        <v>0.8</v>
      </c>
      <c r="W151" s="253">
        <f t="shared" si="26"/>
        <v>0.8</v>
      </c>
      <c r="X151" s="253">
        <f t="shared" si="26"/>
        <v>0.8</v>
      </c>
      <c r="Y151" s="253">
        <f t="shared" si="26"/>
        <v>0.8</v>
      </c>
      <c r="Z151" s="253">
        <f t="shared" si="26"/>
        <v>0.8</v>
      </c>
      <c r="AA151" s="253">
        <f t="shared" si="26"/>
        <v>0.8</v>
      </c>
      <c r="AB151" s="253">
        <f t="shared" si="26"/>
        <v>0.8</v>
      </c>
      <c r="AC151" s="253">
        <f t="shared" si="26"/>
        <v>0.8</v>
      </c>
      <c r="AD151" s="253">
        <f t="shared" si="26"/>
        <v>0.8</v>
      </c>
      <c r="AE151" s="76"/>
      <c r="AF151" s="76"/>
      <c r="AG151" s="76"/>
      <c r="AH151" s="97">
        <v>1</v>
      </c>
      <c r="AI151" s="97">
        <v>1</v>
      </c>
      <c r="AJ151" s="73"/>
      <c r="AK151" s="57"/>
      <c r="AL151" s="45"/>
      <c r="AM151" s="45"/>
      <c r="AN151" s="45"/>
    </row>
    <row r="152" spans="1:40" hidden="1" outlineLevel="2" x14ac:dyDescent="0.25">
      <c r="A152" s="45"/>
      <c r="B152" s="54"/>
      <c r="C152" s="47">
        <f t="shared" si="25"/>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6"/>
        <v>0.17</v>
      </c>
      <c r="V152" s="253">
        <f t="shared" si="26"/>
        <v>0.17</v>
      </c>
      <c r="W152" s="253">
        <f t="shared" si="26"/>
        <v>0.17</v>
      </c>
      <c r="X152" s="253">
        <f t="shared" si="26"/>
        <v>0.17</v>
      </c>
      <c r="Y152" s="253">
        <f t="shared" si="26"/>
        <v>0.17</v>
      </c>
      <c r="Z152" s="253">
        <f t="shared" si="26"/>
        <v>0.17</v>
      </c>
      <c r="AA152" s="253">
        <f t="shared" si="26"/>
        <v>0.17</v>
      </c>
      <c r="AB152" s="253">
        <f t="shared" si="26"/>
        <v>0.17</v>
      </c>
      <c r="AC152" s="253">
        <f t="shared" si="26"/>
        <v>0.17</v>
      </c>
      <c r="AD152" s="253">
        <f t="shared" si="26"/>
        <v>0.17</v>
      </c>
      <c r="AE152" s="76"/>
      <c r="AF152" s="76"/>
      <c r="AG152" s="76"/>
      <c r="AH152" s="97">
        <v>1</v>
      </c>
      <c r="AI152" s="97">
        <v>1</v>
      </c>
      <c r="AJ152" s="73"/>
      <c r="AK152" s="57"/>
      <c r="AL152" s="45"/>
      <c r="AM152" s="45"/>
      <c r="AN152" s="45"/>
    </row>
    <row r="153" spans="1:40" hidden="1" outlineLevel="2" x14ac:dyDescent="0.25">
      <c r="A153" s="45"/>
      <c r="B153" s="54"/>
      <c r="C153" s="47">
        <f t="shared" si="25"/>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6"/>
        <v>1.7</v>
      </c>
      <c r="V153" s="253">
        <f t="shared" si="26"/>
        <v>1.7</v>
      </c>
      <c r="W153" s="253">
        <f t="shared" si="26"/>
        <v>1.7</v>
      </c>
      <c r="X153" s="253">
        <f t="shared" si="26"/>
        <v>1.7</v>
      </c>
      <c r="Y153" s="253">
        <f t="shared" si="26"/>
        <v>1.7</v>
      </c>
      <c r="Z153" s="253">
        <f t="shared" si="26"/>
        <v>1.7</v>
      </c>
      <c r="AA153" s="253">
        <f t="shared" si="26"/>
        <v>1.7</v>
      </c>
      <c r="AB153" s="253">
        <f t="shared" si="26"/>
        <v>1.7</v>
      </c>
      <c r="AC153" s="253">
        <f t="shared" si="26"/>
        <v>1.7</v>
      </c>
      <c r="AD153" s="253">
        <f t="shared" si="26"/>
        <v>1.7</v>
      </c>
      <c r="AE153" s="76"/>
      <c r="AF153" s="76"/>
      <c r="AG153" s="76"/>
      <c r="AH153" s="97">
        <v>1</v>
      </c>
      <c r="AI153" s="97">
        <v>1</v>
      </c>
      <c r="AJ153" s="73"/>
      <c r="AK153" s="57"/>
      <c r="AL153" s="45"/>
      <c r="AM153" s="45"/>
      <c r="AN153" s="45"/>
    </row>
    <row r="154" spans="1:40" hidden="1" outlineLevel="2" x14ac:dyDescent="0.25">
      <c r="A154" s="45"/>
      <c r="B154" s="54"/>
      <c r="C154" s="47">
        <f t="shared" si="25"/>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6"/>
        <v>1.1199999999999999E-3</v>
      </c>
      <c r="V154" s="253">
        <f t="shared" si="26"/>
        <v>1.1199999999999999E-3</v>
      </c>
      <c r="W154" s="253">
        <f t="shared" si="26"/>
        <v>1.1199999999999999E-3</v>
      </c>
      <c r="X154" s="253">
        <f t="shared" si="26"/>
        <v>1.1199999999999999E-3</v>
      </c>
      <c r="Y154" s="253">
        <f t="shared" si="26"/>
        <v>1.1199999999999999E-3</v>
      </c>
      <c r="Z154" s="253">
        <f t="shared" si="26"/>
        <v>1.1199999999999999E-3</v>
      </c>
      <c r="AA154" s="253">
        <f t="shared" si="26"/>
        <v>1.1199999999999999E-3</v>
      </c>
      <c r="AB154" s="253">
        <f t="shared" si="26"/>
        <v>1.1199999999999999E-3</v>
      </c>
      <c r="AC154" s="253">
        <f t="shared" si="26"/>
        <v>1.1199999999999999E-3</v>
      </c>
      <c r="AD154" s="253">
        <f t="shared" si="26"/>
        <v>1.1199999999999999E-3</v>
      </c>
      <c r="AE154" s="76"/>
      <c r="AF154" s="76"/>
      <c r="AG154" s="76"/>
      <c r="AH154" s="97">
        <v>1</v>
      </c>
      <c r="AI154" s="97">
        <v>1</v>
      </c>
      <c r="AJ154" s="73"/>
      <c r="AK154" s="57"/>
      <c r="AL154" s="45"/>
      <c r="AM154" s="45"/>
      <c r="AN154" s="45"/>
    </row>
    <row r="155" spans="1:40" hidden="1" outlineLevel="2" x14ac:dyDescent="0.25">
      <c r="A155" s="45"/>
      <c r="B155" s="54"/>
      <c r="C155" s="47">
        <f t="shared" si="25"/>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6"/>
        <v>0.6</v>
      </c>
      <c r="V155" s="253">
        <f t="shared" si="26"/>
        <v>0.6</v>
      </c>
      <c r="W155" s="253">
        <f t="shared" si="26"/>
        <v>0.6</v>
      </c>
      <c r="X155" s="253">
        <f t="shared" si="26"/>
        <v>0.6</v>
      </c>
      <c r="Y155" s="253">
        <f t="shared" si="26"/>
        <v>0.6</v>
      </c>
      <c r="Z155" s="253">
        <f t="shared" si="26"/>
        <v>0.6</v>
      </c>
      <c r="AA155" s="253">
        <f t="shared" si="26"/>
        <v>0.6</v>
      </c>
      <c r="AB155" s="253">
        <f t="shared" si="26"/>
        <v>0.6</v>
      </c>
      <c r="AC155" s="253">
        <f t="shared" si="26"/>
        <v>0.6</v>
      </c>
      <c r="AD155" s="253">
        <f t="shared" si="26"/>
        <v>0.6</v>
      </c>
      <c r="AE155" s="76"/>
      <c r="AF155" s="76"/>
      <c r="AG155" s="76"/>
      <c r="AH155" s="97">
        <v>1</v>
      </c>
      <c r="AI155" s="97">
        <v>1</v>
      </c>
      <c r="AJ155" s="73"/>
      <c r="AK155" s="57"/>
      <c r="AL155" s="45"/>
      <c r="AM155" s="45"/>
      <c r="AN155" s="45"/>
    </row>
    <row r="156" spans="1:40" hidden="1" outlineLevel="2" x14ac:dyDescent="0.25">
      <c r="A156" s="45"/>
      <c r="B156" s="54"/>
      <c r="C156" s="47">
        <f t="shared" si="25"/>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6"/>
        <v>1.1199999999999999E-3</v>
      </c>
      <c r="V156" s="253">
        <f t="shared" si="26"/>
        <v>1.1199999999999999E-3</v>
      </c>
      <c r="W156" s="253">
        <f t="shared" si="26"/>
        <v>1.1199999999999999E-3</v>
      </c>
      <c r="X156" s="253">
        <f t="shared" si="26"/>
        <v>1.1199999999999999E-3</v>
      </c>
      <c r="Y156" s="253">
        <f t="shared" si="26"/>
        <v>1.1199999999999999E-3</v>
      </c>
      <c r="Z156" s="253">
        <f t="shared" si="26"/>
        <v>1.1199999999999999E-3</v>
      </c>
      <c r="AA156" s="253">
        <f t="shared" si="26"/>
        <v>1.1199999999999999E-3</v>
      </c>
      <c r="AB156" s="253">
        <f t="shared" si="26"/>
        <v>1.1199999999999999E-3</v>
      </c>
      <c r="AC156" s="253">
        <f t="shared" si="26"/>
        <v>1.1199999999999999E-3</v>
      </c>
      <c r="AD156" s="253">
        <f t="shared" si="26"/>
        <v>1.1199999999999999E-3</v>
      </c>
      <c r="AE156" s="76"/>
      <c r="AF156" s="76"/>
      <c r="AG156" s="76"/>
      <c r="AH156" s="97">
        <v>1</v>
      </c>
      <c r="AI156" s="97">
        <v>1</v>
      </c>
      <c r="AJ156" s="73"/>
      <c r="AK156" s="57"/>
      <c r="AL156" s="45"/>
      <c r="AM156" s="45"/>
      <c r="AN156" s="45"/>
    </row>
    <row r="157" spans="1:40" hidden="1" outlineLevel="2" x14ac:dyDescent="0.25">
      <c r="A157" s="45"/>
      <c r="B157" s="54"/>
      <c r="C157" s="47">
        <f t="shared" si="25"/>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6"/>
        <v>0</v>
      </c>
      <c r="V157" s="253">
        <f t="shared" si="26"/>
        <v>0</v>
      </c>
      <c r="W157" s="253">
        <f t="shared" si="26"/>
        <v>0</v>
      </c>
      <c r="X157" s="253">
        <f t="shared" si="26"/>
        <v>0</v>
      </c>
      <c r="Y157" s="253">
        <f t="shared" si="26"/>
        <v>0</v>
      </c>
      <c r="Z157" s="253">
        <f t="shared" si="26"/>
        <v>0</v>
      </c>
      <c r="AA157" s="253">
        <f t="shared" si="26"/>
        <v>0</v>
      </c>
      <c r="AB157" s="253">
        <f t="shared" si="26"/>
        <v>0</v>
      </c>
      <c r="AC157" s="253">
        <f t="shared" si="26"/>
        <v>0</v>
      </c>
      <c r="AD157" s="253">
        <f t="shared" si="26"/>
        <v>0</v>
      </c>
      <c r="AE157" s="76"/>
      <c r="AF157" s="76"/>
      <c r="AG157" s="76"/>
      <c r="AH157" s="97">
        <v>1</v>
      </c>
      <c r="AI157" s="97">
        <v>1</v>
      </c>
      <c r="AJ157" s="73"/>
      <c r="AK157" s="57"/>
      <c r="AL157" s="45"/>
      <c r="AM157" s="45"/>
      <c r="AN157" s="45"/>
    </row>
    <row r="158" spans="1:40" hidden="1" outlineLevel="2" x14ac:dyDescent="0.25">
      <c r="A158" s="45"/>
      <c r="B158" s="54"/>
      <c r="C158" s="47">
        <f t="shared" si="25"/>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6"/>
        <v>0</v>
      </c>
      <c r="V158" s="253">
        <f t="shared" si="26"/>
        <v>0</v>
      </c>
      <c r="W158" s="253">
        <f t="shared" si="26"/>
        <v>0</v>
      </c>
      <c r="X158" s="253">
        <f t="shared" si="26"/>
        <v>0</v>
      </c>
      <c r="Y158" s="253">
        <f t="shared" si="26"/>
        <v>0</v>
      </c>
      <c r="Z158" s="253">
        <f t="shared" si="26"/>
        <v>0</v>
      </c>
      <c r="AA158" s="253">
        <f t="shared" si="26"/>
        <v>0</v>
      </c>
      <c r="AB158" s="253">
        <f t="shared" si="26"/>
        <v>0</v>
      </c>
      <c r="AC158" s="253">
        <f t="shared" si="26"/>
        <v>0</v>
      </c>
      <c r="AD158" s="253">
        <f t="shared" si="26"/>
        <v>0</v>
      </c>
      <c r="AE158" s="76"/>
      <c r="AF158" s="76"/>
      <c r="AG158" s="76"/>
      <c r="AH158" s="97">
        <v>1</v>
      </c>
      <c r="AI158" s="97">
        <v>1</v>
      </c>
      <c r="AJ158" s="73"/>
      <c r="AK158" s="57"/>
      <c r="AL158" s="45"/>
      <c r="AM158" s="45"/>
      <c r="AN158" s="45"/>
    </row>
    <row r="159" spans="1:40" hidden="1" outlineLevel="2" x14ac:dyDescent="0.25">
      <c r="A159" s="45"/>
      <c r="B159" s="54"/>
      <c r="C159" s="47">
        <f t="shared" si="25"/>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6"/>
        <v>0</v>
      </c>
      <c r="V159" s="253">
        <f t="shared" si="26"/>
        <v>0</v>
      </c>
      <c r="W159" s="253">
        <f t="shared" si="26"/>
        <v>0</v>
      </c>
      <c r="X159" s="253">
        <f t="shared" si="26"/>
        <v>0</v>
      </c>
      <c r="Y159" s="253">
        <f t="shared" si="26"/>
        <v>0</v>
      </c>
      <c r="Z159" s="253">
        <f t="shared" si="26"/>
        <v>0</v>
      </c>
      <c r="AA159" s="253">
        <f t="shared" si="26"/>
        <v>0</v>
      </c>
      <c r="AB159" s="253">
        <f t="shared" si="26"/>
        <v>0</v>
      </c>
      <c r="AC159" s="253">
        <f t="shared" si="26"/>
        <v>0</v>
      </c>
      <c r="AD159" s="253">
        <f t="shared" si="26"/>
        <v>0</v>
      </c>
      <c r="AE159" s="76"/>
      <c r="AF159" s="76"/>
      <c r="AG159" s="76"/>
      <c r="AH159" s="97">
        <v>1</v>
      </c>
      <c r="AI159" s="97">
        <v>1</v>
      </c>
      <c r="AJ159" s="73"/>
      <c r="AK159" s="57"/>
      <c r="AL159" s="45"/>
      <c r="AM159" s="45"/>
      <c r="AN159" s="45"/>
    </row>
    <row r="160" spans="1:40" hidden="1" outlineLevel="2" x14ac:dyDescent="0.25">
      <c r="A160" s="45"/>
      <c r="B160" s="54"/>
      <c r="C160" s="47">
        <f t="shared" si="25"/>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6"/>
        <v>0</v>
      </c>
      <c r="V160" s="253">
        <f t="shared" si="26"/>
        <v>0</v>
      </c>
      <c r="W160" s="253">
        <f t="shared" si="26"/>
        <v>0</v>
      </c>
      <c r="X160" s="253">
        <f t="shared" si="26"/>
        <v>0</v>
      </c>
      <c r="Y160" s="253">
        <f t="shared" si="26"/>
        <v>0</v>
      </c>
      <c r="Z160" s="253">
        <f t="shared" si="26"/>
        <v>0</v>
      </c>
      <c r="AA160" s="253">
        <f t="shared" si="26"/>
        <v>0</v>
      </c>
      <c r="AB160" s="253">
        <f t="shared" si="26"/>
        <v>0</v>
      </c>
      <c r="AC160" s="253">
        <f t="shared" si="26"/>
        <v>0</v>
      </c>
      <c r="AD160" s="253">
        <f t="shared" si="26"/>
        <v>0</v>
      </c>
      <c r="AE160" s="76"/>
      <c r="AF160" s="76"/>
      <c r="AG160" s="76"/>
      <c r="AH160" s="97">
        <v>1</v>
      </c>
      <c r="AI160" s="97">
        <v>1</v>
      </c>
      <c r="AJ160" s="73"/>
      <c r="AK160" s="57"/>
      <c r="AL160" s="45"/>
      <c r="AM160" s="45"/>
      <c r="AN160" s="45"/>
    </row>
    <row r="161" spans="1:40" hidden="1" outlineLevel="2" x14ac:dyDescent="0.25">
      <c r="A161" s="45"/>
      <c r="B161" s="54"/>
      <c r="C161" s="47">
        <f t="shared" si="25"/>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6"/>
        <v>10.5</v>
      </c>
      <c r="V161" s="253">
        <f t="shared" si="26"/>
        <v>10.5</v>
      </c>
      <c r="W161" s="253">
        <f t="shared" si="26"/>
        <v>10.5</v>
      </c>
      <c r="X161" s="253">
        <f t="shared" si="26"/>
        <v>10.5</v>
      </c>
      <c r="Y161" s="253">
        <f t="shared" si="26"/>
        <v>10.5</v>
      </c>
      <c r="Z161" s="253">
        <f t="shared" si="26"/>
        <v>10.5</v>
      </c>
      <c r="AA161" s="253">
        <f t="shared" si="26"/>
        <v>10.5</v>
      </c>
      <c r="AB161" s="253">
        <f t="shared" si="26"/>
        <v>10.5</v>
      </c>
      <c r="AC161" s="253">
        <f t="shared" si="26"/>
        <v>10.5</v>
      </c>
      <c r="AD161" s="253">
        <f t="shared" si="26"/>
        <v>10.5</v>
      </c>
      <c r="AE161" s="76"/>
      <c r="AF161" s="76"/>
      <c r="AG161" s="76"/>
      <c r="AH161" s="97">
        <v>1</v>
      </c>
      <c r="AI161" s="97">
        <v>1</v>
      </c>
      <c r="AJ161" s="73"/>
      <c r="AK161" s="57"/>
      <c r="AL161" s="45"/>
      <c r="AM161" s="45"/>
      <c r="AN161" s="45"/>
    </row>
    <row r="162" spans="1:40" hidden="1" outlineLevel="2" x14ac:dyDescent="0.25">
      <c r="A162" s="45"/>
      <c r="B162" s="54"/>
      <c r="C162" s="47">
        <f t="shared" si="25"/>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6"/>
        <v>1</v>
      </c>
      <c r="V162" s="253">
        <f t="shared" si="26"/>
        <v>1</v>
      </c>
      <c r="W162" s="253">
        <f t="shared" si="26"/>
        <v>1</v>
      </c>
      <c r="X162" s="253">
        <f t="shared" si="26"/>
        <v>1</v>
      </c>
      <c r="Y162" s="253">
        <f t="shared" si="26"/>
        <v>1</v>
      </c>
      <c r="Z162" s="253">
        <f t="shared" si="26"/>
        <v>1</v>
      </c>
      <c r="AA162" s="253">
        <f t="shared" si="26"/>
        <v>1</v>
      </c>
      <c r="AB162" s="253">
        <f t="shared" si="26"/>
        <v>1</v>
      </c>
      <c r="AC162" s="253">
        <f t="shared" si="26"/>
        <v>1</v>
      </c>
      <c r="AD162" s="253">
        <f t="shared" si="26"/>
        <v>1</v>
      </c>
      <c r="AE162" s="76"/>
      <c r="AF162" s="76"/>
      <c r="AG162" s="76"/>
      <c r="AH162" s="97">
        <v>1</v>
      </c>
      <c r="AI162" s="97">
        <v>1</v>
      </c>
      <c r="AJ162" s="73"/>
      <c r="AK162" s="57"/>
      <c r="AL162" s="45"/>
      <c r="AM162" s="45"/>
      <c r="AN162" s="45"/>
    </row>
    <row r="163" spans="1:40" hidden="1" outlineLevel="2" x14ac:dyDescent="0.25">
      <c r="A163" s="45"/>
      <c r="B163" s="54"/>
      <c r="C163" s="47">
        <f t="shared" si="25"/>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6"/>
        <v>0.35</v>
      </c>
      <c r="V163" s="253">
        <f t="shared" si="26"/>
        <v>0.35</v>
      </c>
      <c r="W163" s="253">
        <f t="shared" si="26"/>
        <v>0.35</v>
      </c>
      <c r="X163" s="253">
        <f t="shared" si="26"/>
        <v>0.35</v>
      </c>
      <c r="Y163" s="253">
        <f t="shared" si="26"/>
        <v>0.35</v>
      </c>
      <c r="Z163" s="253">
        <f t="shared" si="26"/>
        <v>0.35</v>
      </c>
      <c r="AA163" s="253">
        <f t="shared" si="26"/>
        <v>0.35</v>
      </c>
      <c r="AB163" s="253">
        <f t="shared" si="26"/>
        <v>0.35</v>
      </c>
      <c r="AC163" s="253">
        <f t="shared" si="26"/>
        <v>0.35</v>
      </c>
      <c r="AD163" s="253">
        <f t="shared" si="26"/>
        <v>0.35</v>
      </c>
      <c r="AE163" s="76"/>
      <c r="AF163" s="76"/>
      <c r="AG163" s="76"/>
      <c r="AH163" s="97">
        <v>1</v>
      </c>
      <c r="AI163" s="97">
        <v>1</v>
      </c>
      <c r="AJ163" s="73"/>
      <c r="AK163" s="57"/>
      <c r="AL163" s="45"/>
      <c r="AM163" s="45"/>
      <c r="AN163" s="45"/>
    </row>
    <row r="164" spans="1:40" hidden="1" outlineLevel="2" collapsed="1" x14ac:dyDescent="0.25">
      <c r="A164" s="45"/>
      <c r="B164" s="54"/>
      <c r="C164" s="47">
        <f t="shared" si="25"/>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6"/>
        <v>1</v>
      </c>
      <c r="V164" s="253">
        <f t="shared" si="26"/>
        <v>1</v>
      </c>
      <c r="W164" s="253">
        <f t="shared" si="26"/>
        <v>1</v>
      </c>
      <c r="X164" s="253">
        <f t="shared" si="26"/>
        <v>1</v>
      </c>
      <c r="Y164" s="253">
        <f t="shared" si="26"/>
        <v>1</v>
      </c>
      <c r="Z164" s="253">
        <f t="shared" si="26"/>
        <v>1</v>
      </c>
      <c r="AA164" s="253">
        <f t="shared" si="26"/>
        <v>1</v>
      </c>
      <c r="AB164" s="253">
        <f t="shared" si="26"/>
        <v>1</v>
      </c>
      <c r="AC164" s="253">
        <f t="shared" si="26"/>
        <v>1</v>
      </c>
      <c r="AD164" s="253">
        <f t="shared" si="26"/>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7">INDEX($K170:$Q170,1,U$43)</f>
        <v>11.5</v>
      </c>
      <c r="V170" s="253">
        <f t="shared" si="27"/>
        <v>11.5</v>
      </c>
      <c r="W170" s="253">
        <f t="shared" si="27"/>
        <v>11.5</v>
      </c>
      <c r="X170" s="253">
        <f t="shared" si="27"/>
        <v>11.5</v>
      </c>
      <c r="Y170" s="253">
        <f t="shared" si="27"/>
        <v>11.5</v>
      </c>
      <c r="Z170" s="253">
        <f t="shared" si="27"/>
        <v>11.5</v>
      </c>
      <c r="AA170" s="253">
        <f t="shared" si="27"/>
        <v>11.5</v>
      </c>
      <c r="AB170" s="253">
        <f t="shared" si="27"/>
        <v>11.5</v>
      </c>
      <c r="AC170" s="253">
        <f t="shared" si="27"/>
        <v>11.5</v>
      </c>
      <c r="AD170" s="253">
        <f t="shared" si="27"/>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7"/>
        <v>0</v>
      </c>
      <c r="V171" s="253">
        <f t="shared" si="27"/>
        <v>0</v>
      </c>
      <c r="W171" s="253">
        <f t="shared" si="27"/>
        <v>0</v>
      </c>
      <c r="X171" s="253">
        <f t="shared" si="27"/>
        <v>0</v>
      </c>
      <c r="Y171" s="253">
        <f t="shared" si="27"/>
        <v>0</v>
      </c>
      <c r="Z171" s="253">
        <f t="shared" si="27"/>
        <v>0</v>
      </c>
      <c r="AA171" s="253">
        <f t="shared" si="27"/>
        <v>0</v>
      </c>
      <c r="AB171" s="253">
        <f t="shared" si="27"/>
        <v>0</v>
      </c>
      <c r="AC171" s="253">
        <f t="shared" si="27"/>
        <v>0</v>
      </c>
      <c r="AD171" s="253">
        <f t="shared" si="27"/>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8">K$151-(1/K$153)</f>
        <v>0.21176470588235297</v>
      </c>
      <c r="L172" s="97">
        <f t="shared" si="28"/>
        <v>0.21176470588235297</v>
      </c>
      <c r="M172" s="97">
        <f t="shared" si="28"/>
        <v>0.21176470588235297</v>
      </c>
      <c r="N172" s="97">
        <f t="shared" si="28"/>
        <v>0.21176470588235297</v>
      </c>
      <c r="O172" s="97">
        <f t="shared" si="28"/>
        <v>0.21176470588235297</v>
      </c>
      <c r="P172" s="97">
        <f t="shared" si="28"/>
        <v>0.21176470588235297</v>
      </c>
      <c r="Q172" s="76"/>
      <c r="R172" s="76" t="s">
        <v>617</v>
      </c>
      <c r="S172" s="76" t="s">
        <v>617</v>
      </c>
      <c r="T172" s="76"/>
      <c r="U172" s="253">
        <f t="shared" si="27"/>
        <v>0.21176470588235297</v>
      </c>
      <c r="V172" s="253">
        <f t="shared" si="27"/>
        <v>0.21176470588235297</v>
      </c>
      <c r="W172" s="253">
        <f t="shared" si="27"/>
        <v>0.21176470588235297</v>
      </c>
      <c r="X172" s="253">
        <f t="shared" si="27"/>
        <v>0.21176470588235297</v>
      </c>
      <c r="Y172" s="253">
        <f t="shared" si="27"/>
        <v>0.21176470588235297</v>
      </c>
      <c r="Z172" s="253">
        <f t="shared" si="27"/>
        <v>0.21176470588235297</v>
      </c>
      <c r="AA172" s="253">
        <f t="shared" si="27"/>
        <v>0.21176470588235297</v>
      </c>
      <c r="AB172" s="253">
        <f t="shared" si="27"/>
        <v>0.21176470588235297</v>
      </c>
      <c r="AC172" s="253">
        <f t="shared" si="27"/>
        <v>0.21176470588235297</v>
      </c>
      <c r="AD172" s="253">
        <f t="shared" si="27"/>
        <v>0.21176470588235297</v>
      </c>
      <c r="AE172" s="76"/>
      <c r="AF172" s="76"/>
      <c r="AG172" s="76"/>
      <c r="AH172" s="97">
        <v>1</v>
      </c>
      <c r="AI172" s="97">
        <v>1</v>
      </c>
      <c r="AJ172" s="73"/>
      <c r="AK172" s="57"/>
      <c r="AL172" s="45"/>
      <c r="AM172" s="45"/>
      <c r="AN172" s="45"/>
    </row>
    <row r="173" spans="1:40" hidden="1"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9">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30">INDEX($K175:$Q175,1,U$43)</f>
        <v>0.5</v>
      </c>
      <c r="V175" s="253">
        <f t="shared" si="30"/>
        <v>0.5</v>
      </c>
      <c r="W175" s="253">
        <f t="shared" si="30"/>
        <v>0.5</v>
      </c>
      <c r="X175" s="253">
        <f t="shared" si="30"/>
        <v>0.5</v>
      </c>
      <c r="Y175" s="253">
        <f t="shared" si="30"/>
        <v>0.5</v>
      </c>
      <c r="Z175" s="253">
        <f t="shared" si="30"/>
        <v>0.5</v>
      </c>
      <c r="AA175" s="253">
        <f t="shared" si="30"/>
        <v>0.5</v>
      </c>
      <c r="AB175" s="253">
        <f t="shared" si="30"/>
        <v>0.5</v>
      </c>
      <c r="AC175" s="253">
        <f t="shared" si="30"/>
        <v>0.5</v>
      </c>
      <c r="AD175" s="253">
        <f t="shared" si="30"/>
        <v>0.5</v>
      </c>
      <c r="AE175" s="76"/>
      <c r="AF175" s="76"/>
      <c r="AG175" s="76"/>
      <c r="AH175" s="97">
        <v>1</v>
      </c>
      <c r="AI175" s="97">
        <v>1</v>
      </c>
      <c r="AJ175" s="73"/>
      <c r="AK175" s="57"/>
      <c r="AL175" s="45"/>
      <c r="AM175" s="45"/>
      <c r="AN175" s="45"/>
    </row>
    <row r="176" spans="1:40" hidden="1" outlineLevel="2" x14ac:dyDescent="0.25">
      <c r="A176" s="45"/>
      <c r="B176" s="54"/>
      <c r="C176" s="47">
        <f t="shared" si="29"/>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30"/>
        <v>0.02</v>
      </c>
      <c r="V176" s="253">
        <f t="shared" si="30"/>
        <v>0.02</v>
      </c>
      <c r="W176" s="253">
        <f t="shared" si="30"/>
        <v>0.02</v>
      </c>
      <c r="X176" s="253">
        <f t="shared" si="30"/>
        <v>0.02</v>
      </c>
      <c r="Y176" s="253">
        <f t="shared" si="30"/>
        <v>0.02</v>
      </c>
      <c r="Z176" s="253">
        <f t="shared" si="30"/>
        <v>0.02</v>
      </c>
      <c r="AA176" s="253">
        <f t="shared" si="30"/>
        <v>0.02</v>
      </c>
      <c r="AB176" s="253">
        <f t="shared" si="30"/>
        <v>0.02</v>
      </c>
      <c r="AC176" s="253">
        <f t="shared" si="30"/>
        <v>0.02</v>
      </c>
      <c r="AD176" s="253">
        <f t="shared" si="30"/>
        <v>0.02</v>
      </c>
      <c r="AE176" s="76"/>
      <c r="AF176" s="76"/>
      <c r="AG176" s="76"/>
      <c r="AH176" s="97">
        <v>1</v>
      </c>
      <c r="AI176" s="97">
        <v>1</v>
      </c>
      <c r="AJ176" s="73"/>
      <c r="AK176" s="57"/>
      <c r="AL176" s="45"/>
      <c r="AM176" s="45"/>
      <c r="AN176" s="45"/>
    </row>
    <row r="177" spans="1:40" hidden="1" outlineLevel="2" x14ac:dyDescent="0.25">
      <c r="A177" s="45"/>
      <c r="B177" s="54"/>
      <c r="C177" s="47">
        <f t="shared" si="29"/>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30"/>
        <v>0.85</v>
      </c>
      <c r="V177" s="253">
        <f t="shared" si="30"/>
        <v>0.85</v>
      </c>
      <c r="W177" s="253">
        <f t="shared" si="30"/>
        <v>0.85</v>
      </c>
      <c r="X177" s="253">
        <f t="shared" si="30"/>
        <v>0.85</v>
      </c>
      <c r="Y177" s="253">
        <f t="shared" si="30"/>
        <v>0.85</v>
      </c>
      <c r="Z177" s="253">
        <f t="shared" si="30"/>
        <v>0.85</v>
      </c>
      <c r="AA177" s="253">
        <f t="shared" si="30"/>
        <v>0.85</v>
      </c>
      <c r="AB177" s="253">
        <f t="shared" si="30"/>
        <v>0.85</v>
      </c>
      <c r="AC177" s="253">
        <f t="shared" si="30"/>
        <v>0.85</v>
      </c>
      <c r="AD177" s="253">
        <f t="shared" si="30"/>
        <v>0.85</v>
      </c>
      <c r="AE177" s="76"/>
      <c r="AF177" s="76"/>
      <c r="AG177" s="76"/>
      <c r="AH177" s="97">
        <v>1</v>
      </c>
      <c r="AI177" s="97">
        <v>1</v>
      </c>
      <c r="AJ177" s="73"/>
      <c r="AK177" s="57"/>
      <c r="AL177" s="45"/>
      <c r="AM177" s="45"/>
      <c r="AN177" s="45"/>
    </row>
    <row r="178" spans="1:40" hidden="1" outlineLevel="2" x14ac:dyDescent="0.25">
      <c r="A178" s="45"/>
      <c r="B178" s="54"/>
      <c r="C178" s="47">
        <f t="shared" si="29"/>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30"/>
        <v>0.7</v>
      </c>
      <c r="V178" s="253">
        <f t="shared" si="30"/>
        <v>0.7</v>
      </c>
      <c r="W178" s="253">
        <f t="shared" si="30"/>
        <v>0.7</v>
      </c>
      <c r="X178" s="253">
        <f t="shared" si="30"/>
        <v>0.7</v>
      </c>
      <c r="Y178" s="253">
        <f t="shared" si="30"/>
        <v>0.7</v>
      </c>
      <c r="Z178" s="253">
        <f t="shared" si="30"/>
        <v>0.7</v>
      </c>
      <c r="AA178" s="253">
        <f t="shared" si="30"/>
        <v>0.7</v>
      </c>
      <c r="AB178" s="253">
        <f t="shared" si="30"/>
        <v>0.7</v>
      </c>
      <c r="AC178" s="253">
        <f t="shared" si="30"/>
        <v>0.7</v>
      </c>
      <c r="AD178" s="253">
        <f t="shared" si="30"/>
        <v>0.7</v>
      </c>
      <c r="AE178" s="76"/>
      <c r="AF178" s="76"/>
      <c r="AG178" s="76"/>
      <c r="AH178" s="97">
        <v>1</v>
      </c>
      <c r="AI178" s="97">
        <v>1</v>
      </c>
      <c r="AJ178" s="73"/>
      <c r="AK178" s="57"/>
      <c r="AL178" s="45"/>
      <c r="AM178" s="45"/>
      <c r="AN178" s="45"/>
    </row>
    <row r="179" spans="1:40" hidden="1" outlineLevel="2" x14ac:dyDescent="0.25">
      <c r="A179" s="45"/>
      <c r="B179" s="54"/>
      <c r="C179" s="47">
        <f t="shared" si="29"/>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30"/>
        <v>0.4</v>
      </c>
      <c r="V179" s="253">
        <f t="shared" si="30"/>
        <v>0.4</v>
      </c>
      <c r="W179" s="253">
        <f t="shared" si="30"/>
        <v>0.4</v>
      </c>
      <c r="X179" s="253">
        <f t="shared" si="30"/>
        <v>0.4</v>
      </c>
      <c r="Y179" s="253">
        <f t="shared" si="30"/>
        <v>0.4</v>
      </c>
      <c r="Z179" s="253">
        <f t="shared" si="30"/>
        <v>0.4</v>
      </c>
      <c r="AA179" s="253">
        <f t="shared" si="30"/>
        <v>0.4</v>
      </c>
      <c r="AB179" s="253">
        <f t="shared" si="30"/>
        <v>0.4</v>
      </c>
      <c r="AC179" s="253">
        <f t="shared" si="30"/>
        <v>0.4</v>
      </c>
      <c r="AD179" s="253">
        <f t="shared" si="30"/>
        <v>0.4</v>
      </c>
      <c r="AE179" s="76"/>
      <c r="AF179" s="76"/>
      <c r="AG179" s="76"/>
      <c r="AH179" s="97">
        <v>1</v>
      </c>
      <c r="AI179" s="97">
        <v>1</v>
      </c>
      <c r="AJ179" s="73"/>
      <c r="AK179" s="57"/>
      <c r="AL179" s="45"/>
      <c r="AM179" s="45"/>
      <c r="AN179" s="45"/>
    </row>
    <row r="180" spans="1:40" hidden="1" outlineLevel="2" x14ac:dyDescent="0.25">
      <c r="A180" s="45"/>
      <c r="B180" s="54"/>
      <c r="C180" s="47">
        <f t="shared" si="29"/>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30"/>
        <v>0.02</v>
      </c>
      <c r="V180" s="253">
        <f t="shared" si="30"/>
        <v>0.02</v>
      </c>
      <c r="W180" s="253">
        <f t="shared" si="30"/>
        <v>0.02</v>
      </c>
      <c r="X180" s="253">
        <f t="shared" si="30"/>
        <v>0.02</v>
      </c>
      <c r="Y180" s="253">
        <f t="shared" si="30"/>
        <v>0.02</v>
      </c>
      <c r="Z180" s="253">
        <f t="shared" si="30"/>
        <v>0.02</v>
      </c>
      <c r="AA180" s="253">
        <f t="shared" si="30"/>
        <v>0.02</v>
      </c>
      <c r="AB180" s="253">
        <f t="shared" si="30"/>
        <v>0.02</v>
      </c>
      <c r="AC180" s="253">
        <f t="shared" si="30"/>
        <v>0.02</v>
      </c>
      <c r="AD180" s="253">
        <f t="shared" si="30"/>
        <v>0.02</v>
      </c>
      <c r="AE180" s="76"/>
      <c r="AF180" s="76"/>
      <c r="AG180" s="76"/>
      <c r="AH180" s="97">
        <v>1</v>
      </c>
      <c r="AI180" s="97">
        <v>1</v>
      </c>
      <c r="AJ180" s="73"/>
      <c r="AK180" s="57"/>
      <c r="AL180" s="45"/>
      <c r="AM180" s="45"/>
      <c r="AN180" s="45"/>
    </row>
    <row r="181" spans="1:40" hidden="1" outlineLevel="2" x14ac:dyDescent="0.25">
      <c r="A181" s="45"/>
      <c r="B181" s="54"/>
      <c r="C181" s="47">
        <f t="shared" si="29"/>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30"/>
        <v>0.6</v>
      </c>
      <c r="V181" s="253">
        <f t="shared" si="30"/>
        <v>0.6</v>
      </c>
      <c r="W181" s="253">
        <f t="shared" si="30"/>
        <v>0.6</v>
      </c>
      <c r="X181" s="253">
        <f t="shared" si="30"/>
        <v>0.6</v>
      </c>
      <c r="Y181" s="253">
        <f t="shared" si="30"/>
        <v>0.6</v>
      </c>
      <c r="Z181" s="253">
        <f t="shared" si="30"/>
        <v>0.6</v>
      </c>
      <c r="AA181" s="253">
        <f t="shared" si="30"/>
        <v>0.6</v>
      </c>
      <c r="AB181" s="253">
        <f t="shared" si="30"/>
        <v>0.6</v>
      </c>
      <c r="AC181" s="253">
        <f t="shared" si="30"/>
        <v>0.6</v>
      </c>
      <c r="AD181" s="253">
        <f t="shared" si="30"/>
        <v>0.6</v>
      </c>
      <c r="AE181" s="76"/>
      <c r="AF181" s="76"/>
      <c r="AG181" s="76"/>
      <c r="AH181" s="97">
        <v>1</v>
      </c>
      <c r="AI181" s="97">
        <v>1</v>
      </c>
      <c r="AJ181" s="73"/>
      <c r="AK181" s="57"/>
      <c r="AL181" s="45"/>
      <c r="AM181" s="45"/>
      <c r="AN181" s="45"/>
    </row>
    <row r="182" spans="1:40" hidden="1" outlineLevel="2" x14ac:dyDescent="0.25">
      <c r="A182" s="45"/>
      <c r="B182" s="54"/>
      <c r="C182" s="47">
        <f t="shared" si="29"/>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30"/>
        <v>0.13300000000000001</v>
      </c>
      <c r="V182" s="253">
        <f t="shared" si="30"/>
        <v>0.13300000000000001</v>
      </c>
      <c r="W182" s="253">
        <f t="shared" si="30"/>
        <v>0.13300000000000001</v>
      </c>
      <c r="X182" s="253">
        <f t="shared" si="30"/>
        <v>0.13300000000000001</v>
      </c>
      <c r="Y182" s="253">
        <f t="shared" si="30"/>
        <v>0.13300000000000001</v>
      </c>
      <c r="Z182" s="253">
        <f t="shared" si="30"/>
        <v>0.13300000000000001</v>
      </c>
      <c r="AA182" s="253">
        <f t="shared" si="30"/>
        <v>0.13300000000000001</v>
      </c>
      <c r="AB182" s="253">
        <f t="shared" si="30"/>
        <v>0.13300000000000001</v>
      </c>
      <c r="AC182" s="253">
        <f t="shared" si="30"/>
        <v>0.13300000000000001</v>
      </c>
      <c r="AD182" s="253">
        <f t="shared" si="30"/>
        <v>0.13300000000000001</v>
      </c>
      <c r="AE182" s="76"/>
      <c r="AF182" s="76"/>
      <c r="AG182" s="76"/>
      <c r="AH182" s="97">
        <v>1</v>
      </c>
      <c r="AI182" s="97">
        <v>1</v>
      </c>
      <c r="AJ182" s="73"/>
      <c r="AK182" s="57"/>
      <c r="AL182" s="45"/>
      <c r="AM182" s="45"/>
      <c r="AN182" s="45"/>
    </row>
    <row r="183" spans="1:40" hidden="1" outlineLevel="2" x14ac:dyDescent="0.25">
      <c r="A183" s="45"/>
      <c r="B183" s="54"/>
      <c r="C183" s="47">
        <f t="shared" si="29"/>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30"/>
        <v>0.95</v>
      </c>
      <c r="V183" s="253">
        <f t="shared" si="30"/>
        <v>0.95</v>
      </c>
      <c r="W183" s="253">
        <f t="shared" si="30"/>
        <v>0.95</v>
      </c>
      <c r="X183" s="253">
        <f t="shared" si="30"/>
        <v>0.95</v>
      </c>
      <c r="Y183" s="253">
        <f t="shared" si="30"/>
        <v>0.95</v>
      </c>
      <c r="Z183" s="253">
        <f t="shared" si="30"/>
        <v>0.95</v>
      </c>
      <c r="AA183" s="253">
        <f t="shared" si="30"/>
        <v>0.95</v>
      </c>
      <c r="AB183" s="253">
        <f t="shared" si="30"/>
        <v>0.95</v>
      </c>
      <c r="AC183" s="253">
        <f t="shared" si="30"/>
        <v>0.95</v>
      </c>
      <c r="AD183" s="253">
        <f t="shared" si="30"/>
        <v>0.95</v>
      </c>
      <c r="AE183" s="76"/>
      <c r="AF183" s="76"/>
      <c r="AG183" s="76"/>
      <c r="AH183" s="97">
        <v>1</v>
      </c>
      <c r="AI183" s="97">
        <v>1</v>
      </c>
      <c r="AJ183" s="73"/>
      <c r="AK183" s="57"/>
      <c r="AL183" s="45"/>
      <c r="AM183" s="45"/>
      <c r="AN183" s="45"/>
    </row>
    <row r="184" spans="1:40" hidden="1" outlineLevel="2" x14ac:dyDescent="0.25">
      <c r="A184" s="45"/>
      <c r="B184" s="54"/>
      <c r="C184" s="47">
        <f t="shared" si="29"/>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30"/>
        <v>0.84</v>
      </c>
      <c r="V184" s="253">
        <f t="shared" si="30"/>
        <v>0.84</v>
      </c>
      <c r="W184" s="253">
        <f t="shared" si="30"/>
        <v>0.84</v>
      </c>
      <c r="X184" s="253">
        <f t="shared" si="30"/>
        <v>0.84</v>
      </c>
      <c r="Y184" s="253">
        <f t="shared" si="30"/>
        <v>0.84</v>
      </c>
      <c r="Z184" s="253">
        <f t="shared" si="30"/>
        <v>0.84</v>
      </c>
      <c r="AA184" s="253">
        <f t="shared" si="30"/>
        <v>0.84</v>
      </c>
      <c r="AB184" s="253">
        <f t="shared" si="30"/>
        <v>0.84</v>
      </c>
      <c r="AC184" s="253">
        <f t="shared" si="30"/>
        <v>0.84</v>
      </c>
      <c r="AD184" s="253">
        <f t="shared" si="30"/>
        <v>0.84</v>
      </c>
      <c r="AE184" s="76"/>
      <c r="AF184" s="76"/>
      <c r="AG184" s="76"/>
      <c r="AH184" s="97">
        <v>1</v>
      </c>
      <c r="AI184" s="97">
        <v>1</v>
      </c>
      <c r="AJ184" s="73"/>
      <c r="AK184" s="57"/>
      <c r="AL184" s="45"/>
      <c r="AM184" s="45"/>
      <c r="AN184" s="45"/>
    </row>
    <row r="185" spans="1:40" hidden="1" outlineLevel="2" x14ac:dyDescent="0.25">
      <c r="A185" s="45"/>
      <c r="B185" s="54"/>
      <c r="C185" s="47">
        <f t="shared" si="29"/>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1">INDEX($K185:$Q185,1,U$43)</f>
        <v>0.8</v>
      </c>
      <c r="V185" s="253">
        <f t="shared" si="31"/>
        <v>0.8</v>
      </c>
      <c r="W185" s="253">
        <f t="shared" si="31"/>
        <v>0.8</v>
      </c>
      <c r="X185" s="253">
        <f t="shared" si="31"/>
        <v>0.8</v>
      </c>
      <c r="Y185" s="253">
        <f t="shared" si="31"/>
        <v>0.8</v>
      </c>
      <c r="Z185" s="253">
        <f t="shared" si="31"/>
        <v>0.8</v>
      </c>
      <c r="AA185" s="253">
        <f t="shared" si="31"/>
        <v>0.8</v>
      </c>
      <c r="AB185" s="253">
        <f t="shared" si="31"/>
        <v>0.8</v>
      </c>
      <c r="AC185" s="253">
        <f t="shared" si="31"/>
        <v>0.8</v>
      </c>
      <c r="AD185" s="253">
        <f t="shared" si="31"/>
        <v>0.8</v>
      </c>
      <c r="AE185" s="76"/>
      <c r="AF185" s="76"/>
      <c r="AG185" s="76"/>
      <c r="AH185" s="97">
        <v>1</v>
      </c>
      <c r="AI185" s="97">
        <v>1</v>
      </c>
      <c r="AJ185" s="73"/>
      <c r="AK185" s="57"/>
      <c r="AL185" s="45"/>
      <c r="AM185" s="45"/>
      <c r="AN185" s="45"/>
    </row>
    <row r="186" spans="1:40" hidden="1" outlineLevel="2" x14ac:dyDescent="0.25">
      <c r="A186" s="45"/>
      <c r="B186" s="54"/>
      <c r="C186" s="47">
        <f t="shared" si="29"/>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1"/>
        <v>0.7</v>
      </c>
      <c r="V186" s="253">
        <f t="shared" si="31"/>
        <v>0.7</v>
      </c>
      <c r="W186" s="253">
        <f t="shared" si="31"/>
        <v>0.7</v>
      </c>
      <c r="X186" s="253">
        <f t="shared" si="31"/>
        <v>0.7</v>
      </c>
      <c r="Y186" s="253">
        <f t="shared" si="31"/>
        <v>0.7</v>
      </c>
      <c r="Z186" s="253">
        <f t="shared" si="31"/>
        <v>0.7</v>
      </c>
      <c r="AA186" s="253">
        <f t="shared" si="31"/>
        <v>0.7</v>
      </c>
      <c r="AB186" s="253">
        <f t="shared" si="31"/>
        <v>0.7</v>
      </c>
      <c r="AC186" s="253">
        <f t="shared" si="31"/>
        <v>0.7</v>
      </c>
      <c r="AD186" s="253">
        <f t="shared" si="31"/>
        <v>0.7</v>
      </c>
      <c r="AE186" s="76"/>
      <c r="AF186" s="76"/>
      <c r="AG186" s="76"/>
      <c r="AH186" s="97">
        <v>1</v>
      </c>
      <c r="AI186" s="97">
        <v>1</v>
      </c>
      <c r="AJ186" s="73"/>
      <c r="AK186" s="57"/>
      <c r="AL186" s="45"/>
      <c r="AM186" s="45"/>
      <c r="AN186" s="45"/>
    </row>
    <row r="187" spans="1:40" hidden="1" outlineLevel="2" x14ac:dyDescent="0.25">
      <c r="A187" s="45"/>
      <c r="B187" s="54"/>
      <c r="C187" s="47">
        <f t="shared" si="29"/>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1"/>
        <v>3.5000000000000003E-2</v>
      </c>
      <c r="V187" s="253">
        <f t="shared" si="31"/>
        <v>3.5000000000000003E-2</v>
      </c>
      <c r="W187" s="253">
        <f t="shared" si="31"/>
        <v>3.5000000000000003E-2</v>
      </c>
      <c r="X187" s="253">
        <f t="shared" si="31"/>
        <v>3.5000000000000003E-2</v>
      </c>
      <c r="Y187" s="253">
        <f t="shared" si="31"/>
        <v>3.5000000000000003E-2</v>
      </c>
      <c r="Z187" s="253">
        <f t="shared" si="31"/>
        <v>3.5000000000000003E-2</v>
      </c>
      <c r="AA187" s="253">
        <f t="shared" si="31"/>
        <v>3.5000000000000003E-2</v>
      </c>
      <c r="AB187" s="253">
        <f t="shared" si="31"/>
        <v>3.5000000000000003E-2</v>
      </c>
      <c r="AC187" s="253">
        <f t="shared" si="31"/>
        <v>3.5000000000000003E-2</v>
      </c>
      <c r="AD187" s="253">
        <f t="shared" si="31"/>
        <v>3.5000000000000003E-2</v>
      </c>
      <c r="AE187" s="76"/>
      <c r="AF187" s="76"/>
      <c r="AG187" s="76"/>
      <c r="AH187" s="97">
        <v>1</v>
      </c>
      <c r="AI187" s="97">
        <v>1</v>
      </c>
      <c r="AJ187" s="73"/>
      <c r="AK187" s="57"/>
      <c r="AL187" s="45"/>
      <c r="AM187" s="45"/>
      <c r="AN187" s="45"/>
    </row>
    <row r="188" spans="1:40" hidden="1" outlineLevel="2" x14ac:dyDescent="0.25">
      <c r="A188" s="45"/>
      <c r="B188" s="54"/>
      <c r="C188" s="47">
        <f t="shared" si="29"/>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1"/>
        <v>0.33</v>
      </c>
      <c r="V188" s="253">
        <f t="shared" si="31"/>
        <v>0.33</v>
      </c>
      <c r="W188" s="253">
        <f t="shared" si="31"/>
        <v>0.33</v>
      </c>
      <c r="X188" s="253">
        <f t="shared" si="31"/>
        <v>0.33</v>
      </c>
      <c r="Y188" s="253">
        <f t="shared" si="31"/>
        <v>0.33</v>
      </c>
      <c r="Z188" s="253">
        <f t="shared" si="31"/>
        <v>0.33</v>
      </c>
      <c r="AA188" s="253">
        <f t="shared" si="31"/>
        <v>0.33</v>
      </c>
      <c r="AB188" s="253">
        <f t="shared" si="31"/>
        <v>0.33</v>
      </c>
      <c r="AC188" s="253">
        <f t="shared" si="31"/>
        <v>0.33</v>
      </c>
      <c r="AD188" s="253">
        <f t="shared" si="31"/>
        <v>0.33</v>
      </c>
      <c r="AE188" s="76"/>
      <c r="AF188" s="76"/>
      <c r="AG188" s="76"/>
      <c r="AH188" s="97">
        <v>1</v>
      </c>
      <c r="AI188" s="97">
        <v>1</v>
      </c>
      <c r="AJ188" s="73"/>
      <c r="AK188" s="57"/>
      <c r="AL188" s="45"/>
      <c r="AM188" s="45"/>
      <c r="AN188" s="45"/>
    </row>
    <row r="189" spans="1:40" hidden="1" outlineLevel="2" x14ac:dyDescent="0.25">
      <c r="A189" s="45"/>
      <c r="B189" s="54"/>
      <c r="C189" s="47">
        <f t="shared" si="29"/>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1"/>
        <v>0.12</v>
      </c>
      <c r="V189" s="253">
        <f t="shared" si="31"/>
        <v>0.12</v>
      </c>
      <c r="W189" s="253">
        <f t="shared" si="31"/>
        <v>0.12</v>
      </c>
      <c r="X189" s="253">
        <f t="shared" si="31"/>
        <v>0.12</v>
      </c>
      <c r="Y189" s="253">
        <f t="shared" si="31"/>
        <v>0.12</v>
      </c>
      <c r="Z189" s="253">
        <f t="shared" si="31"/>
        <v>0.12</v>
      </c>
      <c r="AA189" s="253">
        <f t="shared" si="31"/>
        <v>0.12</v>
      </c>
      <c r="AB189" s="253">
        <f t="shared" si="31"/>
        <v>0.12</v>
      </c>
      <c r="AC189" s="253">
        <f t="shared" si="31"/>
        <v>0.12</v>
      </c>
      <c r="AD189" s="253">
        <f t="shared" si="31"/>
        <v>0.12</v>
      </c>
      <c r="AE189" s="76"/>
      <c r="AF189" s="76"/>
      <c r="AG189" s="76"/>
      <c r="AH189" s="97">
        <v>1</v>
      </c>
      <c r="AI189" s="97">
        <v>1</v>
      </c>
      <c r="AJ189" s="73"/>
      <c r="AK189" s="57"/>
      <c r="AL189" s="45"/>
      <c r="AM189" s="45"/>
      <c r="AN189" s="45"/>
    </row>
    <row r="190" spans="1:40" hidden="1" outlineLevel="2" x14ac:dyDescent="0.25">
      <c r="A190" s="45"/>
      <c r="B190" s="54"/>
      <c r="C190" s="47">
        <f t="shared" si="29"/>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1"/>
        <v>4.2999999999999997E-2</v>
      </c>
      <c r="V190" s="253">
        <f t="shared" si="31"/>
        <v>4.2999999999999997E-2</v>
      </c>
      <c r="W190" s="253">
        <f t="shared" si="31"/>
        <v>4.2999999999999997E-2</v>
      </c>
      <c r="X190" s="253">
        <f t="shared" si="31"/>
        <v>4.2999999999999997E-2</v>
      </c>
      <c r="Y190" s="253">
        <f t="shared" si="31"/>
        <v>4.2999999999999997E-2</v>
      </c>
      <c r="Z190" s="253">
        <f t="shared" si="31"/>
        <v>4.2999999999999997E-2</v>
      </c>
      <c r="AA190" s="253">
        <f t="shared" si="31"/>
        <v>4.2999999999999997E-2</v>
      </c>
      <c r="AB190" s="253">
        <f t="shared" si="31"/>
        <v>4.2999999999999997E-2</v>
      </c>
      <c r="AC190" s="253">
        <f t="shared" si="31"/>
        <v>4.2999999999999997E-2</v>
      </c>
      <c r="AD190" s="253">
        <f t="shared" si="31"/>
        <v>4.2999999999999997E-2</v>
      </c>
      <c r="AE190" s="76"/>
      <c r="AF190" s="76"/>
      <c r="AG190" s="76"/>
      <c r="AH190" s="97">
        <v>1</v>
      </c>
      <c r="AI190" s="97">
        <v>1</v>
      </c>
      <c r="AJ190" s="73"/>
      <c r="AK190" s="57"/>
      <c r="AL190" s="45"/>
      <c r="AM190" s="45"/>
      <c r="AN190" s="45"/>
    </row>
    <row r="191" spans="1:40" hidden="1" outlineLevel="2" x14ac:dyDescent="0.25">
      <c r="A191" s="45"/>
      <c r="B191" s="54"/>
      <c r="C191" s="47">
        <f t="shared" si="29"/>
        <v>3</v>
      </c>
      <c r="D191" s="73"/>
      <c r="E191" s="70"/>
      <c r="F191" s="70" t="s">
        <v>653</v>
      </c>
      <c r="G191" s="73"/>
      <c r="H191" s="76" t="s">
        <v>3243</v>
      </c>
      <c r="I191" s="96" t="s">
        <v>626</v>
      </c>
      <c r="J191" s="96"/>
      <c r="K191" s="97">
        <v>0.43</v>
      </c>
      <c r="L191" s="97">
        <v>0.43</v>
      </c>
      <c r="M191" s="76"/>
      <c r="N191" s="76"/>
      <c r="O191" s="76"/>
      <c r="P191" s="76"/>
      <c r="Q191" s="76"/>
      <c r="R191" s="76" t="s">
        <v>2828</v>
      </c>
      <c r="S191" s="76"/>
      <c r="T191" s="76"/>
      <c r="U191" s="253">
        <f t="shared" si="31"/>
        <v>0.43</v>
      </c>
      <c r="V191" s="253">
        <f t="shared" si="31"/>
        <v>0.43</v>
      </c>
      <c r="W191" s="253">
        <f t="shared" si="31"/>
        <v>0.43</v>
      </c>
      <c r="X191" s="253">
        <f t="shared" si="31"/>
        <v>0.43</v>
      </c>
      <c r="Y191" s="253">
        <f t="shared" si="31"/>
        <v>0.43</v>
      </c>
      <c r="Z191" s="253">
        <f t="shared" si="31"/>
        <v>0.43</v>
      </c>
      <c r="AA191" s="253">
        <f t="shared" si="31"/>
        <v>0.43</v>
      </c>
      <c r="AB191" s="253">
        <f t="shared" si="31"/>
        <v>0.43</v>
      </c>
      <c r="AC191" s="253">
        <f t="shared" si="31"/>
        <v>0.43</v>
      </c>
      <c r="AD191" s="253">
        <f t="shared" si="31"/>
        <v>0.43</v>
      </c>
      <c r="AE191" s="76"/>
      <c r="AF191" s="76"/>
      <c r="AG191" s="76"/>
      <c r="AH191" s="97">
        <v>1</v>
      </c>
      <c r="AI191" s="97">
        <v>1</v>
      </c>
      <c r="AJ191" s="73"/>
      <c r="AK191" s="57"/>
      <c r="AL191" s="45"/>
      <c r="AM191" s="45"/>
      <c r="AN191" s="45"/>
    </row>
    <row r="192" spans="1:40" hidden="1" outlineLevel="2" x14ac:dyDescent="0.25">
      <c r="A192" s="45"/>
      <c r="B192" s="54"/>
      <c r="C192" s="47">
        <f t="shared" si="29"/>
        <v>3</v>
      </c>
      <c r="D192" s="73"/>
      <c r="E192" s="70"/>
      <c r="F192" s="70" t="s">
        <v>2814</v>
      </c>
      <c r="G192" s="73"/>
      <c r="H192" s="76" t="s">
        <v>3192</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3189</v>
      </c>
      <c r="S192" s="76" t="s">
        <v>3189</v>
      </c>
      <c r="T192" s="76"/>
      <c r="U192" s="253">
        <f t="shared" si="31"/>
        <v>8.9999999999999993E-3</v>
      </c>
      <c r="V192" s="253">
        <f t="shared" si="31"/>
        <v>8.9999999999999993E-3</v>
      </c>
      <c r="W192" s="253">
        <f t="shared" si="31"/>
        <v>8.9999999999999993E-3</v>
      </c>
      <c r="X192" s="253">
        <f t="shared" si="31"/>
        <v>8.9999999999999993E-3</v>
      </c>
      <c r="Y192" s="253">
        <f t="shared" si="31"/>
        <v>8.9999999999999993E-3</v>
      </c>
      <c r="Z192" s="253">
        <f t="shared" si="31"/>
        <v>8.9999999999999993E-3</v>
      </c>
      <c r="AA192" s="253">
        <f t="shared" si="31"/>
        <v>8.9999999999999993E-3</v>
      </c>
      <c r="AB192" s="253">
        <f t="shared" si="31"/>
        <v>8.9999999999999993E-3</v>
      </c>
      <c r="AC192" s="253">
        <f t="shared" si="31"/>
        <v>8.9999999999999993E-3</v>
      </c>
      <c r="AD192" s="253">
        <f t="shared" si="31"/>
        <v>8.9999999999999993E-3</v>
      </c>
      <c r="AE192" s="76"/>
      <c r="AF192" s="76"/>
      <c r="AG192" s="76"/>
      <c r="AH192" s="97">
        <v>1</v>
      </c>
      <c r="AI192" s="97">
        <v>1</v>
      </c>
      <c r="AJ192" s="73"/>
      <c r="AK192" s="57"/>
      <c r="AL192" s="45"/>
      <c r="AM192" s="45"/>
      <c r="AN192" s="45"/>
    </row>
    <row r="193" spans="1:40" hidden="1" outlineLevel="2" x14ac:dyDescent="0.25">
      <c r="A193" s="45"/>
      <c r="B193" s="54"/>
      <c r="C193" s="47">
        <f t="shared" si="29"/>
        <v>3</v>
      </c>
      <c r="D193" s="73"/>
      <c r="E193" s="70"/>
      <c r="F193" s="70" t="s">
        <v>2815</v>
      </c>
      <c r="G193" s="73"/>
      <c r="H193" s="76" t="s">
        <v>3193</v>
      </c>
      <c r="I193" s="96" t="s">
        <v>2826</v>
      </c>
      <c r="J193" s="96"/>
      <c r="K193" s="97">
        <v>7.6536</v>
      </c>
      <c r="L193" s="97">
        <v>7.6536</v>
      </c>
      <c r="M193" s="97">
        <v>7.6536</v>
      </c>
      <c r="N193" s="97">
        <v>7.6536</v>
      </c>
      <c r="O193" s="97">
        <v>7.6536</v>
      </c>
      <c r="P193" s="97">
        <v>7.6536</v>
      </c>
      <c r="Q193" s="76"/>
      <c r="R193" s="76" t="s">
        <v>3189</v>
      </c>
      <c r="S193" s="76" t="s">
        <v>3189</v>
      </c>
      <c r="T193" s="76"/>
      <c r="U193" s="253">
        <f t="shared" si="31"/>
        <v>7.6536</v>
      </c>
      <c r="V193" s="253">
        <f t="shared" si="31"/>
        <v>7.6536</v>
      </c>
      <c r="W193" s="253">
        <f t="shared" si="31"/>
        <v>7.6536</v>
      </c>
      <c r="X193" s="253">
        <f t="shared" si="31"/>
        <v>7.6536</v>
      </c>
      <c r="Y193" s="253">
        <f t="shared" si="31"/>
        <v>7.6536</v>
      </c>
      <c r="Z193" s="253">
        <f t="shared" si="31"/>
        <v>7.6536</v>
      </c>
      <c r="AA193" s="253">
        <f t="shared" si="31"/>
        <v>7.6536</v>
      </c>
      <c r="AB193" s="253">
        <f t="shared" si="31"/>
        <v>7.6536</v>
      </c>
      <c r="AC193" s="253">
        <f t="shared" si="31"/>
        <v>7.6536</v>
      </c>
      <c r="AD193" s="253">
        <f t="shared" si="31"/>
        <v>7.6536</v>
      </c>
      <c r="AE193" s="76"/>
      <c r="AF193" s="76"/>
      <c r="AG193" s="76"/>
      <c r="AH193" s="97">
        <v>1</v>
      </c>
      <c r="AI193" s="97">
        <v>1</v>
      </c>
      <c r="AJ193" s="73"/>
      <c r="AK193" s="57"/>
      <c r="AL193" s="45"/>
      <c r="AM193" s="45"/>
      <c r="AN193" s="45"/>
    </row>
    <row r="194" spans="1:40" hidden="1" outlineLevel="2" x14ac:dyDescent="0.25">
      <c r="A194" s="45"/>
      <c r="B194" s="54"/>
      <c r="C194" s="47">
        <f t="shared" si="29"/>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1"/>
        <v>0.43</v>
      </c>
      <c r="V194" s="253">
        <f t="shared" si="31"/>
        <v>0.43</v>
      </c>
      <c r="W194" s="253">
        <f t="shared" si="31"/>
        <v>0.43</v>
      </c>
      <c r="X194" s="253">
        <f t="shared" si="31"/>
        <v>0.43</v>
      </c>
      <c r="Y194" s="253">
        <f t="shared" si="31"/>
        <v>0.43</v>
      </c>
      <c r="Z194" s="253">
        <f t="shared" si="31"/>
        <v>0.43</v>
      </c>
      <c r="AA194" s="253">
        <f t="shared" si="31"/>
        <v>0.43</v>
      </c>
      <c r="AB194" s="253">
        <f t="shared" si="31"/>
        <v>0.43</v>
      </c>
      <c r="AC194" s="253">
        <f t="shared" si="31"/>
        <v>0.43</v>
      </c>
      <c r="AD194" s="253">
        <f t="shared" si="31"/>
        <v>0.43</v>
      </c>
      <c r="AE194" s="76"/>
      <c r="AF194" s="76"/>
      <c r="AG194" s="76"/>
      <c r="AH194" s="97">
        <v>1</v>
      </c>
      <c r="AI194" s="97">
        <v>1</v>
      </c>
      <c r="AJ194" s="73"/>
      <c r="AK194" s="57"/>
      <c r="AL194" s="45"/>
      <c r="AM194" s="45"/>
      <c r="AN194" s="45"/>
    </row>
    <row r="195" spans="1:40" hidden="1" outlineLevel="2" x14ac:dyDescent="0.25">
      <c r="A195" s="45"/>
      <c r="B195" s="54"/>
      <c r="C195" s="47">
        <f t="shared" si="29"/>
        <v>3</v>
      </c>
      <c r="D195" s="73"/>
      <c r="E195" s="70"/>
      <c r="F195" s="70" t="s">
        <v>2820</v>
      </c>
      <c r="G195" s="73"/>
      <c r="H195" s="76" t="s">
        <v>2867</v>
      </c>
      <c r="I195" s="96" t="s">
        <v>2826</v>
      </c>
      <c r="J195" s="96"/>
      <c r="K195" s="97">
        <f>1/0.4-1</f>
        <v>1.5</v>
      </c>
      <c r="L195" s="97">
        <f t="shared" ref="L195:P196" si="32">K195</f>
        <v>1.5</v>
      </c>
      <c r="M195" s="97">
        <f t="shared" si="32"/>
        <v>1.5</v>
      </c>
      <c r="N195" s="97">
        <f t="shared" si="32"/>
        <v>1.5</v>
      </c>
      <c r="O195" s="97">
        <f t="shared" si="32"/>
        <v>1.5</v>
      </c>
      <c r="P195" s="97">
        <f t="shared" si="32"/>
        <v>1.5</v>
      </c>
      <c r="Q195" s="76"/>
      <c r="R195" s="76" t="s">
        <v>2825</v>
      </c>
      <c r="S195" s="76" t="s">
        <v>2825</v>
      </c>
      <c r="T195" s="76"/>
      <c r="U195" s="253">
        <f t="shared" ref="U195:AD204" si="33">INDEX($K195:$Q195,1,U$43)</f>
        <v>1.5</v>
      </c>
      <c r="V195" s="253">
        <f t="shared" si="33"/>
        <v>1.5</v>
      </c>
      <c r="W195" s="253">
        <f t="shared" si="33"/>
        <v>1.5</v>
      </c>
      <c r="X195" s="253">
        <f t="shared" si="33"/>
        <v>1.5</v>
      </c>
      <c r="Y195" s="253">
        <f t="shared" si="33"/>
        <v>1.5</v>
      </c>
      <c r="Z195" s="253">
        <f t="shared" si="33"/>
        <v>1.5</v>
      </c>
      <c r="AA195" s="253">
        <f t="shared" si="33"/>
        <v>1.5</v>
      </c>
      <c r="AB195" s="253">
        <f t="shared" si="33"/>
        <v>1.5</v>
      </c>
      <c r="AC195" s="253">
        <f t="shared" si="33"/>
        <v>1.5</v>
      </c>
      <c r="AD195" s="253">
        <f t="shared" si="33"/>
        <v>1.5</v>
      </c>
      <c r="AE195" s="76"/>
      <c r="AF195" s="76"/>
      <c r="AG195" s="76"/>
      <c r="AH195" s="97">
        <v>1</v>
      </c>
      <c r="AI195" s="97">
        <v>1</v>
      </c>
      <c r="AJ195" s="73"/>
      <c r="AK195" s="57"/>
      <c r="AL195" s="45"/>
      <c r="AM195" s="45"/>
      <c r="AN195" s="45"/>
    </row>
    <row r="196" spans="1:40" hidden="1" outlineLevel="2" x14ac:dyDescent="0.25">
      <c r="A196" s="45"/>
      <c r="B196" s="54"/>
      <c r="C196" s="47">
        <f t="shared" si="29"/>
        <v>3</v>
      </c>
      <c r="D196" s="73"/>
      <c r="E196" s="70"/>
      <c r="F196" s="70" t="s">
        <v>2816</v>
      </c>
      <c r="G196" s="73"/>
      <c r="H196" s="76" t="s">
        <v>2868</v>
      </c>
      <c r="I196" s="96" t="s">
        <v>2826</v>
      </c>
      <c r="J196" s="96"/>
      <c r="K196" s="97">
        <f>1/0.4-1</f>
        <v>1.5</v>
      </c>
      <c r="L196" s="97">
        <f t="shared" si="32"/>
        <v>1.5</v>
      </c>
      <c r="M196" s="97">
        <f t="shared" si="32"/>
        <v>1.5</v>
      </c>
      <c r="N196" s="97">
        <f t="shared" si="32"/>
        <v>1.5</v>
      </c>
      <c r="O196" s="97">
        <f t="shared" si="32"/>
        <v>1.5</v>
      </c>
      <c r="P196" s="97">
        <f t="shared" si="32"/>
        <v>1.5</v>
      </c>
      <c r="Q196" s="76"/>
      <c r="R196" s="76" t="s">
        <v>2825</v>
      </c>
      <c r="S196" s="76" t="s">
        <v>2825</v>
      </c>
      <c r="T196" s="76"/>
      <c r="U196" s="253">
        <f t="shared" si="33"/>
        <v>1.5</v>
      </c>
      <c r="V196" s="253">
        <f t="shared" si="33"/>
        <v>1.5</v>
      </c>
      <c r="W196" s="253">
        <f t="shared" si="33"/>
        <v>1.5</v>
      </c>
      <c r="X196" s="253">
        <f t="shared" si="33"/>
        <v>1.5</v>
      </c>
      <c r="Y196" s="253">
        <f t="shared" si="33"/>
        <v>1.5</v>
      </c>
      <c r="Z196" s="253">
        <f t="shared" si="33"/>
        <v>1.5</v>
      </c>
      <c r="AA196" s="253">
        <f t="shared" si="33"/>
        <v>1.5</v>
      </c>
      <c r="AB196" s="253">
        <f t="shared" si="33"/>
        <v>1.5</v>
      </c>
      <c r="AC196" s="253">
        <f t="shared" si="33"/>
        <v>1.5</v>
      </c>
      <c r="AD196" s="253">
        <f t="shared" si="33"/>
        <v>1.5</v>
      </c>
      <c r="AE196" s="76"/>
      <c r="AF196" s="76"/>
      <c r="AG196" s="76"/>
      <c r="AH196" s="97">
        <v>1</v>
      </c>
      <c r="AI196" s="97">
        <v>1</v>
      </c>
      <c r="AJ196" s="73"/>
      <c r="AK196" s="57"/>
      <c r="AL196" s="45"/>
      <c r="AM196" s="45"/>
      <c r="AN196" s="45"/>
    </row>
    <row r="197" spans="1:40" hidden="1" outlineLevel="2" x14ac:dyDescent="0.25">
      <c r="A197" s="45"/>
      <c r="B197" s="54"/>
      <c r="C197" s="47">
        <f t="shared" si="29"/>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3"/>
        <v>1.5</v>
      </c>
      <c r="V197" s="253">
        <f t="shared" si="33"/>
        <v>1.5</v>
      </c>
      <c r="W197" s="253">
        <f t="shared" si="33"/>
        <v>1.5</v>
      </c>
      <c r="X197" s="253">
        <f t="shared" si="33"/>
        <v>1.5</v>
      </c>
      <c r="Y197" s="253">
        <f t="shared" si="33"/>
        <v>1.5</v>
      </c>
      <c r="Z197" s="253">
        <f t="shared" si="33"/>
        <v>1.5</v>
      </c>
      <c r="AA197" s="253">
        <f t="shared" si="33"/>
        <v>1.5</v>
      </c>
      <c r="AB197" s="253">
        <f t="shared" si="33"/>
        <v>1.5</v>
      </c>
      <c r="AC197" s="253">
        <f t="shared" si="33"/>
        <v>1.5</v>
      </c>
      <c r="AD197" s="253">
        <f t="shared" si="33"/>
        <v>1.5</v>
      </c>
      <c r="AE197" s="76"/>
      <c r="AF197" s="76"/>
      <c r="AG197" s="76"/>
      <c r="AH197" s="97">
        <v>1</v>
      </c>
      <c r="AI197" s="97">
        <v>1</v>
      </c>
      <c r="AJ197" s="73"/>
      <c r="AK197" s="57"/>
      <c r="AL197" s="45"/>
      <c r="AM197" s="45"/>
      <c r="AN197" s="45"/>
    </row>
    <row r="198" spans="1:40" hidden="1" outlineLevel="2" x14ac:dyDescent="0.25">
      <c r="A198" s="45"/>
      <c r="B198" s="54"/>
      <c r="C198" s="47">
        <f t="shared" si="29"/>
        <v>3</v>
      </c>
      <c r="D198" s="73"/>
      <c r="E198" s="70"/>
      <c r="F198" s="70" t="s">
        <v>2818</v>
      </c>
      <c r="G198" s="73"/>
      <c r="H198" s="76" t="s">
        <v>3190</v>
      </c>
      <c r="I198" s="96" t="s">
        <v>2826</v>
      </c>
      <c r="J198" s="96"/>
      <c r="K198" s="97">
        <f t="shared" ref="K198:P198" si="34">1/0.2-1</f>
        <v>4</v>
      </c>
      <c r="L198" s="97">
        <f t="shared" si="34"/>
        <v>4</v>
      </c>
      <c r="M198" s="97">
        <f t="shared" si="34"/>
        <v>4</v>
      </c>
      <c r="N198" s="97">
        <f t="shared" si="34"/>
        <v>4</v>
      </c>
      <c r="O198" s="97">
        <f t="shared" si="34"/>
        <v>4</v>
      </c>
      <c r="P198" s="97">
        <f t="shared" si="34"/>
        <v>4</v>
      </c>
      <c r="Q198" s="76"/>
      <c r="R198" s="76" t="s">
        <v>3189</v>
      </c>
      <c r="S198" s="76" t="s">
        <v>3189</v>
      </c>
      <c r="T198" s="76"/>
      <c r="U198" s="253">
        <f t="shared" si="33"/>
        <v>4</v>
      </c>
      <c r="V198" s="253">
        <f t="shared" si="33"/>
        <v>4</v>
      </c>
      <c r="W198" s="253">
        <f t="shared" si="33"/>
        <v>4</v>
      </c>
      <c r="X198" s="253">
        <f t="shared" si="33"/>
        <v>4</v>
      </c>
      <c r="Y198" s="253">
        <f t="shared" si="33"/>
        <v>4</v>
      </c>
      <c r="Z198" s="253">
        <f t="shared" si="33"/>
        <v>4</v>
      </c>
      <c r="AA198" s="253">
        <f t="shared" si="33"/>
        <v>4</v>
      </c>
      <c r="AB198" s="253">
        <f t="shared" si="33"/>
        <v>4</v>
      </c>
      <c r="AC198" s="253">
        <f t="shared" si="33"/>
        <v>4</v>
      </c>
      <c r="AD198" s="253">
        <f t="shared" si="33"/>
        <v>4</v>
      </c>
      <c r="AE198" s="76"/>
      <c r="AF198" s="76"/>
      <c r="AG198" s="76"/>
      <c r="AH198" s="97">
        <v>1</v>
      </c>
      <c r="AI198" s="97">
        <v>1</v>
      </c>
      <c r="AJ198" s="73"/>
      <c r="AK198" s="57"/>
      <c r="AL198" s="45"/>
      <c r="AM198" s="45"/>
      <c r="AN198" s="45"/>
    </row>
    <row r="199" spans="1:40" hidden="1" outlineLevel="2" x14ac:dyDescent="0.25">
      <c r="A199" s="45"/>
      <c r="B199" s="54"/>
      <c r="C199" s="47">
        <f t="shared" si="29"/>
        <v>3</v>
      </c>
      <c r="D199" s="73"/>
      <c r="E199" s="70"/>
      <c r="F199" s="70" t="s">
        <v>2821</v>
      </c>
      <c r="G199" s="73"/>
      <c r="H199" s="76" t="s">
        <v>3191</v>
      </c>
      <c r="I199" s="96" t="s">
        <v>2826</v>
      </c>
      <c r="J199" s="96"/>
      <c r="K199" s="97">
        <f t="shared" ref="K199:P199" si="35">1/0.9-1</f>
        <v>0.11111111111111116</v>
      </c>
      <c r="L199" s="97">
        <f t="shared" si="35"/>
        <v>0.11111111111111116</v>
      </c>
      <c r="M199" s="97">
        <f t="shared" si="35"/>
        <v>0.11111111111111116</v>
      </c>
      <c r="N199" s="97">
        <f t="shared" si="35"/>
        <v>0.11111111111111116</v>
      </c>
      <c r="O199" s="97">
        <f t="shared" si="35"/>
        <v>0.11111111111111116</v>
      </c>
      <c r="P199" s="97">
        <f t="shared" si="35"/>
        <v>0.11111111111111116</v>
      </c>
      <c r="Q199" s="76"/>
      <c r="R199" s="76" t="s">
        <v>3189</v>
      </c>
      <c r="S199" s="76" t="s">
        <v>3189</v>
      </c>
      <c r="T199" s="76"/>
      <c r="U199" s="253">
        <f t="shared" si="33"/>
        <v>0.11111111111111116</v>
      </c>
      <c r="V199" s="253">
        <f t="shared" si="33"/>
        <v>0.11111111111111116</v>
      </c>
      <c r="W199" s="253">
        <f t="shared" si="33"/>
        <v>0.11111111111111116</v>
      </c>
      <c r="X199" s="253">
        <f t="shared" si="33"/>
        <v>0.11111111111111116</v>
      </c>
      <c r="Y199" s="253">
        <f t="shared" si="33"/>
        <v>0.11111111111111116</v>
      </c>
      <c r="Z199" s="253">
        <f t="shared" si="33"/>
        <v>0.11111111111111116</v>
      </c>
      <c r="AA199" s="253">
        <f t="shared" si="33"/>
        <v>0.11111111111111116</v>
      </c>
      <c r="AB199" s="253">
        <f t="shared" si="33"/>
        <v>0.11111111111111116</v>
      </c>
      <c r="AC199" s="253">
        <f t="shared" si="33"/>
        <v>0.11111111111111116</v>
      </c>
      <c r="AD199" s="253">
        <f t="shared" si="33"/>
        <v>0.11111111111111116</v>
      </c>
      <c r="AE199" s="76"/>
      <c r="AF199" s="76"/>
      <c r="AG199" s="76"/>
      <c r="AH199" s="97">
        <v>1</v>
      </c>
      <c r="AI199" s="97">
        <v>1</v>
      </c>
      <c r="AJ199" s="73"/>
      <c r="AK199" s="57"/>
      <c r="AL199" s="45"/>
      <c r="AM199" s="45"/>
      <c r="AN199" s="45"/>
    </row>
    <row r="200" spans="1:40" hidden="1" outlineLevel="2" x14ac:dyDescent="0.25">
      <c r="A200" s="45"/>
      <c r="B200" s="54"/>
      <c r="C200" s="47">
        <f t="shared" si="29"/>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3"/>
        <v>0</v>
      </c>
      <c r="V200" s="253">
        <f t="shared" si="33"/>
        <v>0</v>
      </c>
      <c r="W200" s="253">
        <f t="shared" si="33"/>
        <v>0</v>
      </c>
      <c r="X200" s="253">
        <f t="shared" si="33"/>
        <v>0</v>
      </c>
      <c r="Y200" s="253">
        <f t="shared" si="33"/>
        <v>0</v>
      </c>
      <c r="Z200" s="253">
        <f t="shared" si="33"/>
        <v>0</v>
      </c>
      <c r="AA200" s="253">
        <f t="shared" si="33"/>
        <v>0</v>
      </c>
      <c r="AB200" s="253">
        <f t="shared" si="33"/>
        <v>0</v>
      </c>
      <c r="AC200" s="253">
        <f t="shared" si="33"/>
        <v>0</v>
      </c>
      <c r="AD200" s="253">
        <f t="shared" si="33"/>
        <v>0</v>
      </c>
      <c r="AE200" s="76"/>
      <c r="AF200" s="76"/>
      <c r="AG200" s="76"/>
      <c r="AH200" s="97">
        <v>1</v>
      </c>
      <c r="AI200" s="97">
        <v>1</v>
      </c>
      <c r="AJ200" s="73"/>
      <c r="AK200" s="57"/>
      <c r="AL200" s="45"/>
      <c r="AM200" s="45"/>
      <c r="AN200" s="45"/>
    </row>
    <row r="201" spans="1:40" hidden="1" outlineLevel="2" x14ac:dyDescent="0.25">
      <c r="A201" s="45"/>
      <c r="B201" s="54"/>
      <c r="C201" s="47">
        <f t="shared" si="29"/>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3"/>
        <v>0</v>
      </c>
      <c r="V201" s="253">
        <f t="shared" si="33"/>
        <v>0</v>
      </c>
      <c r="W201" s="253">
        <f t="shared" si="33"/>
        <v>0</v>
      </c>
      <c r="X201" s="253">
        <f t="shared" si="33"/>
        <v>0</v>
      </c>
      <c r="Y201" s="253">
        <f t="shared" si="33"/>
        <v>0</v>
      </c>
      <c r="Z201" s="253">
        <f t="shared" si="33"/>
        <v>0</v>
      </c>
      <c r="AA201" s="253">
        <f t="shared" si="33"/>
        <v>0</v>
      </c>
      <c r="AB201" s="253">
        <f t="shared" si="33"/>
        <v>0</v>
      </c>
      <c r="AC201" s="253">
        <f t="shared" si="33"/>
        <v>0</v>
      </c>
      <c r="AD201" s="253">
        <f t="shared" si="33"/>
        <v>0</v>
      </c>
      <c r="AE201" s="76"/>
      <c r="AF201" s="76"/>
      <c r="AG201" s="76"/>
      <c r="AH201" s="97">
        <v>1</v>
      </c>
      <c r="AI201" s="97">
        <v>1</v>
      </c>
      <c r="AJ201" s="73"/>
      <c r="AK201" s="57"/>
      <c r="AL201" s="45"/>
      <c r="AM201" s="45"/>
      <c r="AN201" s="45"/>
    </row>
    <row r="202" spans="1:40" hidden="1" outlineLevel="2" x14ac:dyDescent="0.25">
      <c r="A202" s="45"/>
      <c r="B202" s="54"/>
      <c r="C202" s="47">
        <f t="shared" si="29"/>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3"/>
        <v>0</v>
      </c>
      <c r="V202" s="253">
        <f t="shared" si="33"/>
        <v>0</v>
      </c>
      <c r="W202" s="253">
        <f t="shared" si="33"/>
        <v>0</v>
      </c>
      <c r="X202" s="253">
        <f t="shared" si="33"/>
        <v>0</v>
      </c>
      <c r="Y202" s="253">
        <f t="shared" si="33"/>
        <v>0</v>
      </c>
      <c r="Z202" s="253">
        <f t="shared" si="33"/>
        <v>0</v>
      </c>
      <c r="AA202" s="253">
        <f t="shared" si="33"/>
        <v>0</v>
      </c>
      <c r="AB202" s="253">
        <f t="shared" si="33"/>
        <v>0</v>
      </c>
      <c r="AC202" s="253">
        <f t="shared" si="33"/>
        <v>0</v>
      </c>
      <c r="AD202" s="253">
        <f t="shared" si="33"/>
        <v>0</v>
      </c>
      <c r="AE202" s="76"/>
      <c r="AF202" s="76"/>
      <c r="AG202" s="76"/>
      <c r="AH202" s="97">
        <v>1</v>
      </c>
      <c r="AI202" s="97">
        <v>1</v>
      </c>
      <c r="AJ202" s="73"/>
      <c r="AK202" s="57"/>
      <c r="AL202" s="45"/>
      <c r="AM202" s="45"/>
      <c r="AN202" s="45"/>
    </row>
    <row r="203" spans="1:40" hidden="1" outlineLevel="2" x14ac:dyDescent="0.25">
      <c r="A203" s="45"/>
      <c r="B203" s="54"/>
      <c r="C203" s="47">
        <f t="shared" si="29"/>
        <v>3</v>
      </c>
      <c r="D203" s="73"/>
      <c r="E203" s="70"/>
      <c r="F203" s="70" t="s">
        <v>3244</v>
      </c>
      <c r="G203" s="73"/>
      <c r="H203" s="76" t="s">
        <v>3252</v>
      </c>
      <c r="I203" s="96" t="s">
        <v>626</v>
      </c>
      <c r="J203" s="96"/>
      <c r="K203" s="281">
        <f>K$179 / 0.7</f>
        <v>0.57142857142857151</v>
      </c>
      <c r="L203" s="281">
        <f t="shared" ref="L203:L209" si="36">K203</f>
        <v>0.57142857142857151</v>
      </c>
      <c r="M203" s="76"/>
      <c r="N203" s="76"/>
      <c r="O203" s="76"/>
      <c r="P203" s="76"/>
      <c r="Q203" s="76"/>
      <c r="R203" s="76" t="s">
        <v>2828</v>
      </c>
      <c r="S203" s="76"/>
      <c r="T203" s="76"/>
      <c r="U203" s="253">
        <f t="shared" si="33"/>
        <v>0.57142857142857151</v>
      </c>
      <c r="V203" s="253">
        <f t="shared" si="33"/>
        <v>0.57142857142857151</v>
      </c>
      <c r="W203" s="253">
        <f t="shared" si="33"/>
        <v>0.57142857142857151</v>
      </c>
      <c r="X203" s="253">
        <f t="shared" si="33"/>
        <v>0.57142857142857151</v>
      </c>
      <c r="Y203" s="253">
        <f t="shared" si="33"/>
        <v>0.57142857142857151</v>
      </c>
      <c r="Z203" s="253">
        <f t="shared" si="33"/>
        <v>0.57142857142857151</v>
      </c>
      <c r="AA203" s="253">
        <f t="shared" si="33"/>
        <v>0.57142857142857151</v>
      </c>
      <c r="AB203" s="253">
        <f t="shared" si="33"/>
        <v>0.57142857142857151</v>
      </c>
      <c r="AC203" s="253">
        <f t="shared" si="33"/>
        <v>0.57142857142857151</v>
      </c>
      <c r="AD203" s="253">
        <f t="shared" si="33"/>
        <v>0.57142857142857151</v>
      </c>
      <c r="AE203" s="76"/>
      <c r="AF203" s="76"/>
      <c r="AG203" s="76"/>
      <c r="AH203" s="97">
        <v>1</v>
      </c>
      <c r="AI203" s="97">
        <v>1</v>
      </c>
      <c r="AJ203" s="73"/>
      <c r="AK203" s="57"/>
      <c r="AL203" s="45"/>
      <c r="AM203" s="45"/>
      <c r="AN203" s="45"/>
    </row>
    <row r="204" spans="1:40" hidden="1" outlineLevel="2" x14ac:dyDescent="0.25">
      <c r="A204" s="45"/>
      <c r="B204" s="54"/>
      <c r="C204" s="47">
        <f t="shared" si="29"/>
        <v>3</v>
      </c>
      <c r="D204" s="73"/>
      <c r="E204" s="70"/>
      <c r="F204" s="70" t="s">
        <v>3245</v>
      </c>
      <c r="G204" s="73"/>
      <c r="H204" s="76" t="s">
        <v>3253</v>
      </c>
      <c r="I204" s="96" t="s">
        <v>626</v>
      </c>
      <c r="J204" s="96"/>
      <c r="K204" s="281">
        <f>K$180 / 0.7</f>
        <v>2.8571428571428574E-2</v>
      </c>
      <c r="L204" s="281">
        <f t="shared" si="36"/>
        <v>2.8571428571428574E-2</v>
      </c>
      <c r="M204" s="76"/>
      <c r="N204" s="76"/>
      <c r="O204" s="76"/>
      <c r="P204" s="76"/>
      <c r="Q204" s="76"/>
      <c r="R204" s="76" t="s">
        <v>2828</v>
      </c>
      <c r="S204" s="76"/>
      <c r="T204" s="76"/>
      <c r="U204" s="253">
        <f t="shared" si="33"/>
        <v>2.8571428571428574E-2</v>
      </c>
      <c r="V204" s="253">
        <f t="shared" si="33"/>
        <v>2.8571428571428574E-2</v>
      </c>
      <c r="W204" s="253">
        <f t="shared" si="33"/>
        <v>2.8571428571428574E-2</v>
      </c>
      <c r="X204" s="253">
        <f t="shared" si="33"/>
        <v>2.8571428571428574E-2</v>
      </c>
      <c r="Y204" s="253">
        <f t="shared" si="33"/>
        <v>2.8571428571428574E-2</v>
      </c>
      <c r="Z204" s="253">
        <f t="shared" si="33"/>
        <v>2.8571428571428574E-2</v>
      </c>
      <c r="AA204" s="253">
        <f t="shared" si="33"/>
        <v>2.8571428571428574E-2</v>
      </c>
      <c r="AB204" s="253">
        <f t="shared" si="33"/>
        <v>2.8571428571428574E-2</v>
      </c>
      <c r="AC204" s="253">
        <f t="shared" si="33"/>
        <v>2.8571428571428574E-2</v>
      </c>
      <c r="AD204" s="253">
        <f t="shared" si="33"/>
        <v>2.8571428571428574E-2</v>
      </c>
      <c r="AE204" s="76"/>
      <c r="AF204" s="76"/>
      <c r="AG204" s="76"/>
      <c r="AH204" s="97">
        <v>1</v>
      </c>
      <c r="AI204" s="97">
        <v>1</v>
      </c>
      <c r="AJ204" s="73"/>
      <c r="AK204" s="57"/>
      <c r="AL204" s="45"/>
      <c r="AM204" s="45"/>
      <c r="AN204" s="45"/>
    </row>
    <row r="205" spans="1:40" hidden="1" outlineLevel="2" x14ac:dyDescent="0.25">
      <c r="A205" s="45"/>
      <c r="B205" s="54"/>
      <c r="C205" s="47">
        <f t="shared" si="29"/>
        <v>3</v>
      </c>
      <c r="D205" s="73"/>
      <c r="E205" s="70"/>
      <c r="F205" s="70" t="s">
        <v>3246</v>
      </c>
      <c r="G205" s="73"/>
      <c r="H205" s="76" t="s">
        <v>3254</v>
      </c>
      <c r="I205" s="96" t="s">
        <v>626</v>
      </c>
      <c r="J205" s="96"/>
      <c r="K205" s="281">
        <f>K$182 / 0.7</f>
        <v>0.19000000000000003</v>
      </c>
      <c r="L205" s="281">
        <f t="shared" si="36"/>
        <v>0.19000000000000003</v>
      </c>
      <c r="M205" s="76"/>
      <c r="N205" s="76"/>
      <c r="O205" s="76"/>
      <c r="P205" s="76"/>
      <c r="Q205" s="76"/>
      <c r="R205" s="76" t="s">
        <v>2828</v>
      </c>
      <c r="S205" s="76"/>
      <c r="T205" s="76"/>
      <c r="U205" s="253">
        <f t="shared" ref="U205:AD212" si="37">INDEX($K205:$Q205,1,U$43)</f>
        <v>0.19000000000000003</v>
      </c>
      <c r="V205" s="253">
        <f t="shared" si="37"/>
        <v>0.19000000000000003</v>
      </c>
      <c r="W205" s="253">
        <f t="shared" si="37"/>
        <v>0.19000000000000003</v>
      </c>
      <c r="X205" s="253">
        <f t="shared" si="37"/>
        <v>0.19000000000000003</v>
      </c>
      <c r="Y205" s="253">
        <f t="shared" si="37"/>
        <v>0.19000000000000003</v>
      </c>
      <c r="Z205" s="253">
        <f t="shared" si="37"/>
        <v>0.19000000000000003</v>
      </c>
      <c r="AA205" s="253">
        <f t="shared" si="37"/>
        <v>0.19000000000000003</v>
      </c>
      <c r="AB205" s="253">
        <f t="shared" si="37"/>
        <v>0.19000000000000003</v>
      </c>
      <c r="AC205" s="253">
        <f t="shared" si="37"/>
        <v>0.19000000000000003</v>
      </c>
      <c r="AD205" s="253">
        <f t="shared" si="37"/>
        <v>0.19000000000000003</v>
      </c>
      <c r="AE205" s="76"/>
      <c r="AF205" s="76"/>
      <c r="AG205" s="76"/>
      <c r="AH205" s="97">
        <v>1</v>
      </c>
      <c r="AI205" s="97">
        <v>1</v>
      </c>
      <c r="AJ205" s="73"/>
      <c r="AK205" s="57"/>
      <c r="AL205" s="45"/>
      <c r="AM205" s="45"/>
      <c r="AN205" s="45"/>
    </row>
    <row r="206" spans="1:40" hidden="1" outlineLevel="2" x14ac:dyDescent="0.25">
      <c r="A206" s="45"/>
      <c r="B206" s="54"/>
      <c r="C206" s="47">
        <f t="shared" si="29"/>
        <v>3</v>
      </c>
      <c r="D206" s="73"/>
      <c r="E206" s="70"/>
      <c r="F206" s="70" t="s">
        <v>3247</v>
      </c>
      <c r="G206" s="73"/>
      <c r="H206" s="76" t="s">
        <v>3255</v>
      </c>
      <c r="I206" s="96" t="s">
        <v>626</v>
      </c>
      <c r="J206" s="96"/>
      <c r="K206" s="281">
        <f>1/(1+K$194)</f>
        <v>0.69930069930069938</v>
      </c>
      <c r="L206" s="281">
        <f t="shared" si="36"/>
        <v>0.69930069930069938</v>
      </c>
      <c r="M206" s="76"/>
      <c r="N206" s="76"/>
      <c r="O206" s="76"/>
      <c r="P206" s="76"/>
      <c r="Q206" s="76"/>
      <c r="R206" s="76" t="s">
        <v>3259</v>
      </c>
      <c r="S206" s="76"/>
      <c r="T206" s="76"/>
      <c r="U206" s="253">
        <f t="shared" si="37"/>
        <v>0.69930069930069938</v>
      </c>
      <c r="V206" s="253">
        <f t="shared" si="37"/>
        <v>0.69930069930069938</v>
      </c>
      <c r="W206" s="253">
        <f t="shared" si="37"/>
        <v>0.69930069930069938</v>
      </c>
      <c r="X206" s="253">
        <f t="shared" si="37"/>
        <v>0.69930069930069938</v>
      </c>
      <c r="Y206" s="253">
        <f t="shared" si="37"/>
        <v>0.69930069930069938</v>
      </c>
      <c r="Z206" s="253">
        <f t="shared" si="37"/>
        <v>0.69930069930069938</v>
      </c>
      <c r="AA206" s="253">
        <f t="shared" si="37"/>
        <v>0.69930069930069938</v>
      </c>
      <c r="AB206" s="253">
        <f t="shared" si="37"/>
        <v>0.69930069930069938</v>
      </c>
      <c r="AC206" s="253">
        <f t="shared" si="37"/>
        <v>0.69930069930069938</v>
      </c>
      <c r="AD206" s="253">
        <f t="shared" si="37"/>
        <v>0.69930069930069938</v>
      </c>
      <c r="AE206" s="76"/>
      <c r="AF206" s="76"/>
      <c r="AG206" s="76"/>
      <c r="AH206" s="97">
        <v>1</v>
      </c>
      <c r="AI206" s="97">
        <v>1</v>
      </c>
      <c r="AJ206" s="73"/>
      <c r="AK206" s="57"/>
      <c r="AL206" s="45"/>
      <c r="AM206" s="45"/>
      <c r="AN206" s="45"/>
    </row>
    <row r="207" spans="1:40" hidden="1" outlineLevel="2" x14ac:dyDescent="0.25">
      <c r="A207" s="45"/>
      <c r="B207" s="54"/>
      <c r="C207" s="47">
        <f t="shared" si="29"/>
        <v>3</v>
      </c>
      <c r="D207" s="73"/>
      <c r="E207" s="70"/>
      <c r="F207" s="70" t="s">
        <v>3249</v>
      </c>
      <c r="G207" s="73"/>
      <c r="H207" s="76" t="s">
        <v>3256</v>
      </c>
      <c r="I207" s="96" t="s">
        <v>626</v>
      </c>
      <c r="J207" s="96"/>
      <c r="K207" s="258">
        <v>1</v>
      </c>
      <c r="L207" s="258">
        <f t="shared" si="36"/>
        <v>1</v>
      </c>
      <c r="M207" s="76"/>
      <c r="N207" s="76"/>
      <c r="O207" s="76"/>
      <c r="P207" s="76"/>
      <c r="Q207" s="76"/>
      <c r="R207" s="76" t="s">
        <v>3259</v>
      </c>
      <c r="S207" s="76"/>
      <c r="T207" s="76"/>
      <c r="U207" s="253">
        <f t="shared" si="37"/>
        <v>1</v>
      </c>
      <c r="V207" s="253">
        <f t="shared" si="37"/>
        <v>1</v>
      </c>
      <c r="W207" s="253">
        <f t="shared" si="37"/>
        <v>1</v>
      </c>
      <c r="X207" s="253">
        <f t="shared" si="37"/>
        <v>1</v>
      </c>
      <c r="Y207" s="253">
        <f t="shared" si="37"/>
        <v>1</v>
      </c>
      <c r="Z207" s="253">
        <f t="shared" si="37"/>
        <v>1</v>
      </c>
      <c r="AA207" s="253">
        <f t="shared" si="37"/>
        <v>1</v>
      </c>
      <c r="AB207" s="253">
        <f t="shared" si="37"/>
        <v>1</v>
      </c>
      <c r="AC207" s="253">
        <f t="shared" si="37"/>
        <v>1</v>
      </c>
      <c r="AD207" s="253">
        <f t="shared" si="37"/>
        <v>1</v>
      </c>
      <c r="AE207" s="76"/>
      <c r="AF207" s="76"/>
      <c r="AG207" s="76"/>
      <c r="AH207" s="97">
        <v>1</v>
      </c>
      <c r="AI207" s="97">
        <v>1</v>
      </c>
      <c r="AJ207" s="73"/>
      <c r="AK207" s="57"/>
      <c r="AL207" s="45"/>
      <c r="AM207" s="45"/>
      <c r="AN207" s="45"/>
    </row>
    <row r="208" spans="1:40" hidden="1" outlineLevel="2" x14ac:dyDescent="0.25">
      <c r="A208" s="45"/>
      <c r="B208" s="54"/>
      <c r="C208" s="47">
        <f t="shared" si="29"/>
        <v>3</v>
      </c>
      <c r="D208" s="73"/>
      <c r="E208" s="70"/>
      <c r="F208" s="70" t="s">
        <v>3248</v>
      </c>
      <c r="G208" s="73"/>
      <c r="H208" s="76" t="s">
        <v>3257</v>
      </c>
      <c r="I208" s="96" t="s">
        <v>626</v>
      </c>
      <c r="J208" s="96"/>
      <c r="K208" s="281">
        <f>1/(1+K$195)</f>
        <v>0.4</v>
      </c>
      <c r="L208" s="281">
        <f t="shared" si="36"/>
        <v>0.4</v>
      </c>
      <c r="M208" s="76"/>
      <c r="N208" s="76"/>
      <c r="O208" s="76"/>
      <c r="P208" s="76"/>
      <c r="Q208" s="76"/>
      <c r="R208" s="76" t="s">
        <v>3259</v>
      </c>
      <c r="S208" s="76"/>
      <c r="T208" s="76"/>
      <c r="U208" s="253">
        <f t="shared" si="37"/>
        <v>0.4</v>
      </c>
      <c r="V208" s="253">
        <f t="shared" si="37"/>
        <v>0.4</v>
      </c>
      <c r="W208" s="253">
        <f t="shared" si="37"/>
        <v>0.4</v>
      </c>
      <c r="X208" s="253">
        <f t="shared" si="37"/>
        <v>0.4</v>
      </c>
      <c r="Y208" s="253">
        <f t="shared" si="37"/>
        <v>0.4</v>
      </c>
      <c r="Z208" s="253">
        <f t="shared" si="37"/>
        <v>0.4</v>
      </c>
      <c r="AA208" s="253">
        <f t="shared" si="37"/>
        <v>0.4</v>
      </c>
      <c r="AB208" s="253">
        <f t="shared" si="37"/>
        <v>0.4</v>
      </c>
      <c r="AC208" s="253">
        <f t="shared" si="37"/>
        <v>0.4</v>
      </c>
      <c r="AD208" s="253">
        <f t="shared" si="37"/>
        <v>0.4</v>
      </c>
      <c r="AE208" s="76"/>
      <c r="AF208" s="76"/>
      <c r="AG208" s="76"/>
      <c r="AH208" s="97">
        <v>1</v>
      </c>
      <c r="AI208" s="97">
        <v>1</v>
      </c>
      <c r="AJ208" s="73"/>
      <c r="AK208" s="57"/>
      <c r="AL208" s="45"/>
      <c r="AM208" s="45"/>
      <c r="AN208" s="45"/>
    </row>
    <row r="209" spans="1:40" hidden="1" outlineLevel="2" x14ac:dyDescent="0.25">
      <c r="A209" s="45"/>
      <c r="B209" s="54"/>
      <c r="C209" s="47">
        <f t="shared" si="29"/>
        <v>3</v>
      </c>
      <c r="D209" s="73"/>
      <c r="E209" s="70"/>
      <c r="F209" s="70" t="s">
        <v>3250</v>
      </c>
      <c r="G209" s="73"/>
      <c r="H209" s="76" t="s">
        <v>3258</v>
      </c>
      <c r="I209" s="96" t="s">
        <v>626</v>
      </c>
      <c r="J209" s="96"/>
      <c r="K209" s="258">
        <v>1</v>
      </c>
      <c r="L209" s="258">
        <f t="shared" si="36"/>
        <v>1</v>
      </c>
      <c r="M209" s="76"/>
      <c r="N209" s="76"/>
      <c r="O209" s="76"/>
      <c r="P209" s="76"/>
      <c r="Q209" s="76"/>
      <c r="R209" s="76" t="s">
        <v>3259</v>
      </c>
      <c r="S209" s="76"/>
      <c r="T209" s="76"/>
      <c r="U209" s="253">
        <f t="shared" si="37"/>
        <v>1</v>
      </c>
      <c r="V209" s="253">
        <f t="shared" si="37"/>
        <v>1</v>
      </c>
      <c r="W209" s="253">
        <f t="shared" si="37"/>
        <v>1</v>
      </c>
      <c r="X209" s="253">
        <f t="shared" si="37"/>
        <v>1</v>
      </c>
      <c r="Y209" s="253">
        <f t="shared" si="37"/>
        <v>1</v>
      </c>
      <c r="Z209" s="253">
        <f t="shared" si="37"/>
        <v>1</v>
      </c>
      <c r="AA209" s="253">
        <f t="shared" si="37"/>
        <v>1</v>
      </c>
      <c r="AB209" s="253">
        <f t="shared" si="37"/>
        <v>1</v>
      </c>
      <c r="AC209" s="253">
        <f t="shared" si="37"/>
        <v>1</v>
      </c>
      <c r="AD209" s="253">
        <f t="shared" si="37"/>
        <v>1</v>
      </c>
      <c r="AE209" s="76"/>
      <c r="AF209" s="76"/>
      <c r="AG209" s="76"/>
      <c r="AH209" s="97">
        <v>1</v>
      </c>
      <c r="AI209" s="97">
        <v>1</v>
      </c>
      <c r="AJ209" s="73"/>
      <c r="AK209" s="57"/>
      <c r="AL209" s="45"/>
      <c r="AM209" s="45"/>
      <c r="AN209" s="45"/>
    </row>
    <row r="210" spans="1:40" hidden="1" outlineLevel="2" x14ac:dyDescent="0.25">
      <c r="A210" s="45"/>
      <c r="B210" s="54"/>
      <c r="C210" s="47">
        <f t="shared" si="29"/>
        <v>3</v>
      </c>
      <c r="D210" s="73"/>
      <c r="E210" s="70"/>
      <c r="F210" s="70" t="s">
        <v>3251</v>
      </c>
      <c r="G210" s="73"/>
      <c r="H210" s="76" t="s">
        <v>3261</v>
      </c>
      <c r="I210" s="96" t="s">
        <v>502</v>
      </c>
      <c r="J210" s="96"/>
      <c r="K210" s="97">
        <v>0.7</v>
      </c>
      <c r="L210" s="97">
        <v>0.7</v>
      </c>
      <c r="M210" s="97">
        <v>0.7</v>
      </c>
      <c r="N210" s="97">
        <v>0.7</v>
      </c>
      <c r="O210" s="97">
        <v>0.7</v>
      </c>
      <c r="P210" s="97">
        <v>0.7</v>
      </c>
      <c r="Q210" s="76"/>
      <c r="R210" s="76" t="s">
        <v>2828</v>
      </c>
      <c r="S210" s="76" t="s">
        <v>2828</v>
      </c>
      <c r="T210" s="76"/>
      <c r="U210" s="253">
        <f t="shared" si="37"/>
        <v>0.7</v>
      </c>
      <c r="V210" s="253">
        <f t="shared" si="37"/>
        <v>0.7</v>
      </c>
      <c r="W210" s="253">
        <f t="shared" si="37"/>
        <v>0.7</v>
      </c>
      <c r="X210" s="253">
        <f t="shared" si="37"/>
        <v>0.7</v>
      </c>
      <c r="Y210" s="253">
        <f t="shared" si="37"/>
        <v>0.7</v>
      </c>
      <c r="Z210" s="253">
        <f t="shared" si="37"/>
        <v>0.7</v>
      </c>
      <c r="AA210" s="253">
        <f t="shared" si="37"/>
        <v>0.7</v>
      </c>
      <c r="AB210" s="253">
        <f t="shared" si="37"/>
        <v>0.7</v>
      </c>
      <c r="AC210" s="253">
        <f t="shared" si="37"/>
        <v>0.7</v>
      </c>
      <c r="AD210" s="253">
        <f t="shared" si="37"/>
        <v>0.7</v>
      </c>
      <c r="AE210" s="76"/>
      <c r="AF210" s="76"/>
      <c r="AG210" s="76"/>
      <c r="AH210" s="97">
        <v>1</v>
      </c>
      <c r="AI210" s="97">
        <v>1</v>
      </c>
      <c r="AJ210" s="73"/>
      <c r="AK210" s="57"/>
      <c r="AL210" s="45"/>
      <c r="AM210" s="45"/>
      <c r="AN210" s="45"/>
    </row>
    <row r="211" spans="1:40" hidden="1" outlineLevel="2" x14ac:dyDescent="0.25">
      <c r="A211" s="45"/>
      <c r="B211" s="54"/>
      <c r="C211" s="47">
        <f t="shared" si="29"/>
        <v>3</v>
      </c>
      <c r="D211" s="73"/>
      <c r="E211" s="70"/>
      <c r="F211" s="70" t="s">
        <v>3260</v>
      </c>
      <c r="G211" s="73"/>
      <c r="H211" s="76" t="s">
        <v>3277</v>
      </c>
      <c r="I211" s="96" t="s">
        <v>626</v>
      </c>
      <c r="J211" s="96"/>
      <c r="K211" s="281">
        <f>0.448*K$175</f>
        <v>0.224</v>
      </c>
      <c r="L211" s="281">
        <f>K211</f>
        <v>0.224</v>
      </c>
      <c r="M211" s="76"/>
      <c r="N211" s="76"/>
      <c r="O211" s="76"/>
      <c r="P211" s="76"/>
      <c r="Q211" s="76"/>
      <c r="R211" s="76" t="s">
        <v>3279</v>
      </c>
      <c r="S211" s="76"/>
      <c r="T211" s="76"/>
      <c r="U211" s="253">
        <f t="shared" si="37"/>
        <v>0.224</v>
      </c>
      <c r="V211" s="253">
        <f t="shared" si="37"/>
        <v>0.224</v>
      </c>
      <c r="W211" s="253">
        <f t="shared" si="37"/>
        <v>0.224</v>
      </c>
      <c r="X211" s="253">
        <f t="shared" si="37"/>
        <v>0.224</v>
      </c>
      <c r="Y211" s="253">
        <f t="shared" si="37"/>
        <v>0.224</v>
      </c>
      <c r="Z211" s="253">
        <f t="shared" si="37"/>
        <v>0.224</v>
      </c>
      <c r="AA211" s="253">
        <f t="shared" si="37"/>
        <v>0.224</v>
      </c>
      <c r="AB211" s="253">
        <f t="shared" si="37"/>
        <v>0.224</v>
      </c>
      <c r="AC211" s="253">
        <f t="shared" si="37"/>
        <v>0.224</v>
      </c>
      <c r="AD211" s="253">
        <f t="shared" si="37"/>
        <v>0.224</v>
      </c>
      <c r="AE211" s="76"/>
      <c r="AF211" s="76"/>
      <c r="AG211" s="76"/>
      <c r="AH211" s="97">
        <v>1</v>
      </c>
      <c r="AI211" s="97">
        <v>1</v>
      </c>
      <c r="AJ211" s="73"/>
      <c r="AK211" s="57"/>
      <c r="AL211" s="45"/>
      <c r="AM211" s="45"/>
      <c r="AN211" s="45"/>
    </row>
    <row r="212" spans="1:40" hidden="1" outlineLevel="2" x14ac:dyDescent="0.25">
      <c r="A212" s="45"/>
      <c r="B212" s="54"/>
      <c r="C212" s="47">
        <f t="shared" si="29"/>
        <v>3</v>
      </c>
      <c r="D212" s="73"/>
      <c r="E212" s="70"/>
      <c r="F212" s="70" t="s">
        <v>3276</v>
      </c>
      <c r="G212" s="73"/>
      <c r="H212" s="76" t="s">
        <v>3278</v>
      </c>
      <c r="I212" s="96" t="s">
        <v>626</v>
      </c>
      <c r="J212" s="96"/>
      <c r="K212" s="281">
        <f>0.448*K$176</f>
        <v>8.9600000000000009E-3</v>
      </c>
      <c r="L212" s="281">
        <f>K212</f>
        <v>8.9600000000000009E-3</v>
      </c>
      <c r="M212" s="76"/>
      <c r="N212" s="76"/>
      <c r="O212" s="76"/>
      <c r="P212" s="76"/>
      <c r="Q212" s="76"/>
      <c r="R212" s="76" t="s">
        <v>3279</v>
      </c>
      <c r="S212" s="76"/>
      <c r="T212" s="76"/>
      <c r="U212" s="253">
        <f t="shared" si="37"/>
        <v>8.9600000000000009E-3</v>
      </c>
      <c r="V212" s="253">
        <f t="shared" si="37"/>
        <v>8.9600000000000009E-3</v>
      </c>
      <c r="W212" s="253">
        <f t="shared" si="37"/>
        <v>8.9600000000000009E-3</v>
      </c>
      <c r="X212" s="253">
        <f t="shared" si="37"/>
        <v>8.9600000000000009E-3</v>
      </c>
      <c r="Y212" s="253">
        <f t="shared" si="37"/>
        <v>8.9600000000000009E-3</v>
      </c>
      <c r="Z212" s="253">
        <f t="shared" si="37"/>
        <v>8.9600000000000009E-3</v>
      </c>
      <c r="AA212" s="253">
        <f t="shared" si="37"/>
        <v>8.9600000000000009E-3</v>
      </c>
      <c r="AB212" s="253">
        <f t="shared" si="37"/>
        <v>8.9600000000000009E-3</v>
      </c>
      <c r="AC212" s="253">
        <f t="shared" si="37"/>
        <v>8.9600000000000009E-3</v>
      </c>
      <c r="AD212" s="253">
        <f t="shared" si="37"/>
        <v>8.9600000000000009E-3</v>
      </c>
      <c r="AE212" s="76"/>
      <c r="AF212" s="76"/>
      <c r="AG212" s="76"/>
      <c r="AH212" s="97">
        <v>1</v>
      </c>
      <c r="AI212" s="97">
        <v>1</v>
      </c>
      <c r="AJ212" s="73"/>
      <c r="AK212" s="57"/>
      <c r="AL212" s="45"/>
      <c r="AM212" s="45"/>
      <c r="AN212" s="45"/>
    </row>
    <row r="213" spans="1:40" hidden="1"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8">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9">INDEX($K214:$Q214,1,U$43)</f>
        <v>25</v>
      </c>
      <c r="V214" s="253">
        <f t="shared" si="39"/>
        <v>25</v>
      </c>
      <c r="W214" s="253">
        <f t="shared" si="39"/>
        <v>25</v>
      </c>
      <c r="X214" s="253">
        <f t="shared" si="39"/>
        <v>25</v>
      </c>
      <c r="Y214" s="253">
        <f t="shared" si="39"/>
        <v>25</v>
      </c>
      <c r="Z214" s="253">
        <f t="shared" si="39"/>
        <v>25</v>
      </c>
      <c r="AA214" s="253">
        <f t="shared" si="39"/>
        <v>25</v>
      </c>
      <c r="AB214" s="253">
        <f t="shared" si="39"/>
        <v>25</v>
      </c>
      <c r="AC214" s="253">
        <f t="shared" si="39"/>
        <v>25</v>
      </c>
      <c r="AD214" s="253">
        <f t="shared" si="39"/>
        <v>25</v>
      </c>
      <c r="AE214" s="76"/>
      <c r="AF214" s="76"/>
      <c r="AG214" s="76"/>
      <c r="AH214" s="97">
        <v>1</v>
      </c>
      <c r="AI214" s="97">
        <v>1</v>
      </c>
      <c r="AJ214" s="73"/>
      <c r="AK214" s="57"/>
      <c r="AL214" s="45"/>
      <c r="AM214" s="45"/>
      <c r="AN214" s="45"/>
    </row>
    <row r="215" spans="1:40" hidden="1" outlineLevel="2" x14ac:dyDescent="0.25">
      <c r="A215" s="45"/>
      <c r="B215" s="54"/>
      <c r="C215" s="47">
        <f t="shared" si="38"/>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9"/>
        <v>0.09</v>
      </c>
      <c r="V215" s="253">
        <f t="shared" si="39"/>
        <v>0.09</v>
      </c>
      <c r="W215" s="253">
        <f t="shared" si="39"/>
        <v>0.09</v>
      </c>
      <c r="X215" s="253">
        <f t="shared" si="39"/>
        <v>0.09</v>
      </c>
      <c r="Y215" s="253">
        <f t="shared" si="39"/>
        <v>0.09</v>
      </c>
      <c r="Z215" s="253">
        <f t="shared" si="39"/>
        <v>0.09</v>
      </c>
      <c r="AA215" s="253">
        <f t="shared" si="39"/>
        <v>0.09</v>
      </c>
      <c r="AB215" s="253">
        <f t="shared" si="39"/>
        <v>0.09</v>
      </c>
      <c r="AC215" s="253">
        <f t="shared" si="39"/>
        <v>0.09</v>
      </c>
      <c r="AD215" s="253">
        <f t="shared" si="39"/>
        <v>0.09</v>
      </c>
      <c r="AE215" s="76"/>
      <c r="AF215" s="76"/>
      <c r="AG215" s="76"/>
      <c r="AH215" s="97">
        <v>1</v>
      </c>
      <c r="AI215" s="97">
        <v>1</v>
      </c>
      <c r="AJ215" s="73"/>
      <c r="AK215" s="57"/>
      <c r="AL215" s="45"/>
      <c r="AM215" s="45"/>
      <c r="AN215" s="45"/>
    </row>
    <row r="216" spans="1:40" hidden="1" outlineLevel="2" x14ac:dyDescent="0.25">
      <c r="A216" s="45"/>
      <c r="B216" s="54"/>
      <c r="C216" s="47">
        <f t="shared" si="38"/>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9"/>
        <v>0.26</v>
      </c>
      <c r="V216" s="253">
        <f t="shared" si="39"/>
        <v>0.26</v>
      </c>
      <c r="W216" s="253">
        <f t="shared" si="39"/>
        <v>0.26</v>
      </c>
      <c r="X216" s="253">
        <f t="shared" si="39"/>
        <v>0.26</v>
      </c>
      <c r="Y216" s="253">
        <f t="shared" si="39"/>
        <v>0.26</v>
      </c>
      <c r="Z216" s="253">
        <f t="shared" si="39"/>
        <v>0.26</v>
      </c>
      <c r="AA216" s="253">
        <f t="shared" si="39"/>
        <v>0.26</v>
      </c>
      <c r="AB216" s="253">
        <f t="shared" si="39"/>
        <v>0.26</v>
      </c>
      <c r="AC216" s="253">
        <f t="shared" si="39"/>
        <v>0.26</v>
      </c>
      <c r="AD216" s="253">
        <f t="shared" si="39"/>
        <v>0.26</v>
      </c>
      <c r="AE216" s="76"/>
      <c r="AF216" s="76"/>
      <c r="AG216" s="76"/>
      <c r="AH216" s="97">
        <v>1</v>
      </c>
      <c r="AI216" s="97">
        <v>1</v>
      </c>
      <c r="AJ216" s="73"/>
      <c r="AK216" s="57"/>
      <c r="AL216" s="45"/>
      <c r="AM216" s="45"/>
      <c r="AN216" s="45"/>
    </row>
    <row r="217" spans="1:40" hidden="1" outlineLevel="2" x14ac:dyDescent="0.25">
      <c r="A217" s="45"/>
      <c r="B217" s="54"/>
      <c r="C217" s="47">
        <f t="shared" si="38"/>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9"/>
        <v>8.0000000000000007E-5</v>
      </c>
      <c r="V217" s="253">
        <f t="shared" si="39"/>
        <v>8.0000000000000007E-5</v>
      </c>
      <c r="W217" s="253">
        <f t="shared" si="39"/>
        <v>8.0000000000000007E-5</v>
      </c>
      <c r="X217" s="253">
        <f t="shared" si="39"/>
        <v>8.0000000000000007E-5</v>
      </c>
      <c r="Y217" s="253">
        <f t="shared" si="39"/>
        <v>8.0000000000000007E-5</v>
      </c>
      <c r="Z217" s="253">
        <f t="shared" si="39"/>
        <v>8.0000000000000007E-5</v>
      </c>
      <c r="AA217" s="253">
        <f t="shared" si="39"/>
        <v>8.0000000000000007E-5</v>
      </c>
      <c r="AB217" s="253">
        <f t="shared" si="39"/>
        <v>8.0000000000000007E-5</v>
      </c>
      <c r="AC217" s="253">
        <f t="shared" si="39"/>
        <v>8.0000000000000007E-5</v>
      </c>
      <c r="AD217" s="253">
        <f t="shared" si="39"/>
        <v>8.0000000000000007E-5</v>
      </c>
      <c r="AE217" s="76"/>
      <c r="AF217" s="76"/>
      <c r="AG217" s="76"/>
      <c r="AH217" s="97">
        <v>1</v>
      </c>
      <c r="AI217" s="97">
        <v>1</v>
      </c>
      <c r="AJ217" s="73"/>
      <c r="AK217" s="57"/>
      <c r="AL217" s="45"/>
      <c r="AM217" s="45"/>
      <c r="AN217" s="45"/>
    </row>
    <row r="218" spans="1:40" hidden="1" outlineLevel="2" x14ac:dyDescent="0.25">
      <c r="A218" s="45"/>
      <c r="B218" s="54"/>
      <c r="C218" s="47">
        <f t="shared" si="38"/>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9"/>
        <v>0.84</v>
      </c>
      <c r="V218" s="253">
        <f t="shared" si="39"/>
        <v>0.84</v>
      </c>
      <c r="W218" s="253">
        <f t="shared" si="39"/>
        <v>0.84</v>
      </c>
      <c r="X218" s="253">
        <f t="shared" si="39"/>
        <v>0.84</v>
      </c>
      <c r="Y218" s="253">
        <f t="shared" si="39"/>
        <v>0.84</v>
      </c>
      <c r="Z218" s="253">
        <f t="shared" si="39"/>
        <v>0.84</v>
      </c>
      <c r="AA218" s="253">
        <f t="shared" si="39"/>
        <v>0.84</v>
      </c>
      <c r="AB218" s="253">
        <f t="shared" si="39"/>
        <v>0.84</v>
      </c>
      <c r="AC218" s="253">
        <f t="shared" si="39"/>
        <v>0.84</v>
      </c>
      <c r="AD218" s="253">
        <f t="shared" si="39"/>
        <v>0.84</v>
      </c>
      <c r="AE218" s="76"/>
      <c r="AF218" s="76"/>
      <c r="AG218" s="76"/>
      <c r="AH218" s="97">
        <v>1</v>
      </c>
      <c r="AI218" s="97">
        <v>1</v>
      </c>
      <c r="AJ218" s="73"/>
      <c r="AK218" s="57"/>
      <c r="AL218" s="45"/>
      <c r="AM218" s="45"/>
      <c r="AN218" s="45"/>
    </row>
    <row r="219" spans="1:40" hidden="1" outlineLevel="2" x14ac:dyDescent="0.25">
      <c r="A219" s="45"/>
      <c r="B219" s="54"/>
      <c r="C219" s="47">
        <f t="shared" si="38"/>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9"/>
        <v>0.23</v>
      </c>
      <c r="V219" s="253">
        <f t="shared" si="39"/>
        <v>0.23</v>
      </c>
      <c r="W219" s="253">
        <f t="shared" si="39"/>
        <v>0.23</v>
      </c>
      <c r="X219" s="253">
        <f t="shared" si="39"/>
        <v>0.23</v>
      </c>
      <c r="Y219" s="253">
        <f t="shared" si="39"/>
        <v>0.23</v>
      </c>
      <c r="Z219" s="253">
        <f t="shared" si="39"/>
        <v>0.23</v>
      </c>
      <c r="AA219" s="253">
        <f t="shared" si="39"/>
        <v>0.23</v>
      </c>
      <c r="AB219" s="253">
        <f t="shared" si="39"/>
        <v>0.23</v>
      </c>
      <c r="AC219" s="253">
        <f t="shared" si="39"/>
        <v>0.23</v>
      </c>
      <c r="AD219" s="253">
        <f t="shared" si="39"/>
        <v>0.23</v>
      </c>
      <c r="AE219" s="76"/>
      <c r="AF219" s="76"/>
      <c r="AG219" s="76"/>
      <c r="AH219" s="97">
        <v>1</v>
      </c>
      <c r="AI219" s="97">
        <v>1</v>
      </c>
      <c r="AJ219" s="73"/>
      <c r="AK219" s="57"/>
      <c r="AL219" s="45"/>
      <c r="AM219" s="45"/>
      <c r="AN219" s="45"/>
    </row>
    <row r="220" spans="1:40" hidden="1" outlineLevel="2" x14ac:dyDescent="0.25">
      <c r="A220" s="45"/>
      <c r="B220" s="54"/>
      <c r="C220" s="47">
        <f t="shared" si="38"/>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9"/>
        <v>0.02</v>
      </c>
      <c r="V220" s="253">
        <f t="shared" si="39"/>
        <v>0.02</v>
      </c>
      <c r="W220" s="253">
        <f t="shared" si="39"/>
        <v>0.02</v>
      </c>
      <c r="X220" s="253">
        <f t="shared" si="39"/>
        <v>0.02</v>
      </c>
      <c r="Y220" s="253">
        <f t="shared" si="39"/>
        <v>0.02</v>
      </c>
      <c r="Z220" s="253">
        <f t="shared" si="39"/>
        <v>0.02</v>
      </c>
      <c r="AA220" s="253">
        <f t="shared" si="39"/>
        <v>0.02</v>
      </c>
      <c r="AB220" s="253">
        <f t="shared" si="39"/>
        <v>0.02</v>
      </c>
      <c r="AC220" s="253">
        <f t="shared" si="39"/>
        <v>0.02</v>
      </c>
      <c r="AD220" s="253">
        <f t="shared" si="39"/>
        <v>0.02</v>
      </c>
      <c r="AE220" s="76"/>
      <c r="AF220" s="76"/>
      <c r="AG220" s="76"/>
      <c r="AH220" s="97">
        <v>1</v>
      </c>
      <c r="AI220" s="97">
        <v>1</v>
      </c>
      <c r="AJ220" s="73"/>
      <c r="AK220" s="57"/>
      <c r="AL220" s="45"/>
      <c r="AM220" s="45"/>
      <c r="AN220" s="45"/>
    </row>
    <row r="221" spans="1:40" hidden="1" outlineLevel="2" x14ac:dyDescent="0.25">
      <c r="A221" s="45"/>
      <c r="B221" s="54"/>
      <c r="C221" s="47">
        <f t="shared" si="38"/>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9"/>
        <v>0.9</v>
      </c>
      <c r="V221" s="253">
        <f t="shared" si="39"/>
        <v>0.9</v>
      </c>
      <c r="W221" s="253">
        <f t="shared" si="39"/>
        <v>0.9</v>
      </c>
      <c r="X221" s="253">
        <f t="shared" si="39"/>
        <v>0.9</v>
      </c>
      <c r="Y221" s="253">
        <f t="shared" si="39"/>
        <v>0.9</v>
      </c>
      <c r="Z221" s="253">
        <f t="shared" si="39"/>
        <v>0.9</v>
      </c>
      <c r="AA221" s="253">
        <f t="shared" si="39"/>
        <v>0.9</v>
      </c>
      <c r="AB221" s="253">
        <f t="shared" si="39"/>
        <v>0.9</v>
      </c>
      <c r="AC221" s="253">
        <f t="shared" si="39"/>
        <v>0.9</v>
      </c>
      <c r="AD221" s="253">
        <f t="shared" si="39"/>
        <v>0.9</v>
      </c>
      <c r="AE221" s="76"/>
      <c r="AF221" s="76"/>
      <c r="AG221" s="76"/>
      <c r="AH221" s="97">
        <v>1</v>
      </c>
      <c r="AI221" s="97">
        <v>1</v>
      </c>
      <c r="AJ221" s="73"/>
      <c r="AK221" s="57"/>
      <c r="AL221" s="45"/>
      <c r="AM221" s="45"/>
      <c r="AN221" s="45"/>
    </row>
    <row r="222" spans="1:40" hidden="1" outlineLevel="2" x14ac:dyDescent="0.25">
      <c r="A222" s="45"/>
      <c r="B222" s="54"/>
      <c r="C222" s="47">
        <f t="shared" si="38"/>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9"/>
        <v>5.7000000000000003E-5</v>
      </c>
      <c r="V222" s="253">
        <f t="shared" si="39"/>
        <v>5.7000000000000003E-5</v>
      </c>
      <c r="W222" s="253">
        <f t="shared" si="39"/>
        <v>5.7000000000000003E-5</v>
      </c>
      <c r="X222" s="253">
        <f t="shared" si="39"/>
        <v>5.7000000000000003E-5</v>
      </c>
      <c r="Y222" s="253">
        <f t="shared" si="39"/>
        <v>5.7000000000000003E-5</v>
      </c>
      <c r="Z222" s="253">
        <f t="shared" si="39"/>
        <v>5.7000000000000003E-5</v>
      </c>
      <c r="AA222" s="253">
        <f t="shared" si="39"/>
        <v>5.7000000000000003E-5</v>
      </c>
      <c r="AB222" s="253">
        <f t="shared" si="39"/>
        <v>5.7000000000000003E-5</v>
      </c>
      <c r="AC222" s="253">
        <f t="shared" si="39"/>
        <v>5.7000000000000003E-5</v>
      </c>
      <c r="AD222" s="253">
        <f t="shared" si="39"/>
        <v>5.7000000000000003E-5</v>
      </c>
      <c r="AE222" s="76"/>
      <c r="AF222" s="76"/>
      <c r="AG222" s="76"/>
      <c r="AH222" s="97">
        <v>1</v>
      </c>
      <c r="AI222" s="97">
        <v>1</v>
      </c>
      <c r="AJ222" s="73"/>
      <c r="AK222" s="57"/>
      <c r="AL222" s="45"/>
      <c r="AM222" s="45"/>
      <c r="AN222" s="45"/>
    </row>
    <row r="223" spans="1:40" hidden="1" outlineLevel="2" x14ac:dyDescent="0.25">
      <c r="A223" s="45"/>
      <c r="B223" s="54"/>
      <c r="C223" s="47">
        <f t="shared" si="38"/>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9"/>
        <v>0.16</v>
      </c>
      <c r="V223" s="253">
        <f t="shared" si="39"/>
        <v>0.16</v>
      </c>
      <c r="W223" s="253">
        <f t="shared" si="39"/>
        <v>0.16</v>
      </c>
      <c r="X223" s="253">
        <f t="shared" si="39"/>
        <v>0.16</v>
      </c>
      <c r="Y223" s="253">
        <f t="shared" si="39"/>
        <v>0.16</v>
      </c>
      <c r="Z223" s="253">
        <f t="shared" si="39"/>
        <v>0.16</v>
      </c>
      <c r="AA223" s="253">
        <f t="shared" si="39"/>
        <v>0.16</v>
      </c>
      <c r="AB223" s="253">
        <f t="shared" si="39"/>
        <v>0.16</v>
      </c>
      <c r="AC223" s="253">
        <f t="shared" si="39"/>
        <v>0.16</v>
      </c>
      <c r="AD223" s="253">
        <f t="shared" si="39"/>
        <v>0.16</v>
      </c>
      <c r="AE223" s="76"/>
      <c r="AF223" s="76"/>
      <c r="AG223" s="76"/>
      <c r="AH223" s="97">
        <v>1</v>
      </c>
      <c r="AI223" s="97">
        <v>1</v>
      </c>
      <c r="AJ223" s="73"/>
      <c r="AK223" s="57"/>
      <c r="AL223" s="45"/>
      <c r="AM223" s="45"/>
      <c r="AN223" s="45"/>
    </row>
    <row r="224" spans="1:40" hidden="1" outlineLevel="2" x14ac:dyDescent="0.25">
      <c r="A224" s="45"/>
      <c r="B224" s="54"/>
      <c r="C224" s="47">
        <f t="shared" si="38"/>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9"/>
        <v>1.52E-2</v>
      </c>
      <c r="V224" s="253">
        <f t="shared" si="39"/>
        <v>1.52E-2</v>
      </c>
      <c r="W224" s="253">
        <f t="shared" si="39"/>
        <v>1.52E-2</v>
      </c>
      <c r="X224" s="253">
        <f t="shared" si="39"/>
        <v>1.52E-2</v>
      </c>
      <c r="Y224" s="253">
        <f t="shared" si="39"/>
        <v>1.52E-2</v>
      </c>
      <c r="Z224" s="253">
        <f t="shared" si="39"/>
        <v>1.52E-2</v>
      </c>
      <c r="AA224" s="253">
        <f t="shared" si="39"/>
        <v>1.52E-2</v>
      </c>
      <c r="AB224" s="253">
        <f t="shared" si="39"/>
        <v>1.52E-2</v>
      </c>
      <c r="AC224" s="253">
        <f t="shared" si="39"/>
        <v>1.52E-2</v>
      </c>
      <c r="AD224" s="253">
        <f t="shared" si="39"/>
        <v>1.52E-2</v>
      </c>
      <c r="AE224" s="76"/>
      <c r="AF224" s="76"/>
      <c r="AG224" s="76"/>
      <c r="AH224" s="97">
        <v>1</v>
      </c>
      <c r="AI224" s="97">
        <v>1</v>
      </c>
      <c r="AJ224" s="73"/>
      <c r="AK224" s="57"/>
      <c r="AL224" s="45"/>
      <c r="AM224" s="45"/>
      <c r="AN224" s="45"/>
    </row>
    <row r="225" spans="1:40" hidden="1" outlineLevel="2" x14ac:dyDescent="0.25">
      <c r="A225" s="45"/>
      <c r="B225" s="54"/>
      <c r="C225" s="47">
        <f t="shared" si="38"/>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9"/>
        <v>4.6000000000000001E-4</v>
      </c>
      <c r="V225" s="253">
        <f t="shared" si="39"/>
        <v>4.6000000000000001E-4</v>
      </c>
      <c r="W225" s="253">
        <f t="shared" si="39"/>
        <v>4.6000000000000001E-4</v>
      </c>
      <c r="X225" s="253">
        <f t="shared" si="39"/>
        <v>4.6000000000000001E-4</v>
      </c>
      <c r="Y225" s="253">
        <f t="shared" si="39"/>
        <v>4.6000000000000001E-4</v>
      </c>
      <c r="Z225" s="253">
        <f t="shared" si="39"/>
        <v>4.6000000000000001E-4</v>
      </c>
      <c r="AA225" s="253">
        <f t="shared" si="39"/>
        <v>4.6000000000000001E-4</v>
      </c>
      <c r="AB225" s="253">
        <f t="shared" si="39"/>
        <v>4.6000000000000001E-4</v>
      </c>
      <c r="AC225" s="253">
        <f t="shared" si="39"/>
        <v>4.6000000000000001E-4</v>
      </c>
      <c r="AD225" s="253">
        <f t="shared" si="39"/>
        <v>4.6000000000000001E-4</v>
      </c>
      <c r="AE225" s="76"/>
      <c r="AF225" s="76"/>
      <c r="AG225" s="76"/>
      <c r="AH225" s="97">
        <v>1</v>
      </c>
      <c r="AI225" s="97">
        <v>1</v>
      </c>
      <c r="AJ225" s="73"/>
      <c r="AK225" s="57"/>
      <c r="AL225" s="45"/>
      <c r="AM225" s="45"/>
      <c r="AN225" s="45"/>
    </row>
    <row r="226" spans="1:40" hidden="1" outlineLevel="2" x14ac:dyDescent="0.25">
      <c r="A226" s="45"/>
      <c r="B226" s="54"/>
      <c r="C226" s="47">
        <f t="shared" si="38"/>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9"/>
        <v>1.47E-4</v>
      </c>
      <c r="V226" s="253">
        <f t="shared" si="39"/>
        <v>1.47E-4</v>
      </c>
      <c r="W226" s="253">
        <f t="shared" si="39"/>
        <v>1.47E-4</v>
      </c>
      <c r="X226" s="253">
        <f t="shared" si="39"/>
        <v>1.47E-4</v>
      </c>
      <c r="Y226" s="253">
        <f t="shared" si="39"/>
        <v>1.47E-4</v>
      </c>
      <c r="Z226" s="253">
        <f t="shared" si="39"/>
        <v>1.47E-4</v>
      </c>
      <c r="AA226" s="253">
        <f t="shared" si="39"/>
        <v>1.47E-4</v>
      </c>
      <c r="AB226" s="253">
        <f t="shared" si="39"/>
        <v>1.47E-4</v>
      </c>
      <c r="AC226" s="253">
        <f t="shared" si="39"/>
        <v>1.47E-4</v>
      </c>
      <c r="AD226" s="253">
        <f t="shared" si="39"/>
        <v>1.47E-4</v>
      </c>
      <c r="AE226" s="76"/>
      <c r="AF226" s="76"/>
      <c r="AG226" s="76"/>
      <c r="AH226" s="97">
        <v>1</v>
      </c>
      <c r="AI226" s="97">
        <v>1</v>
      </c>
      <c r="AJ226" s="73"/>
      <c r="AK226" s="57"/>
      <c r="AL226" s="45"/>
      <c r="AM226" s="45"/>
      <c r="AN226" s="45"/>
    </row>
    <row r="227" spans="1:40" hidden="1" outlineLevel="2" x14ac:dyDescent="0.25">
      <c r="A227" s="45"/>
      <c r="B227" s="54"/>
      <c r="C227" s="47">
        <f t="shared" si="38"/>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9"/>
        <v>3.375E-3</v>
      </c>
      <c r="V227" s="253">
        <f t="shared" si="39"/>
        <v>3.375E-3</v>
      </c>
      <c r="W227" s="253">
        <f t="shared" si="39"/>
        <v>3.375E-3</v>
      </c>
      <c r="X227" s="253">
        <f t="shared" si="39"/>
        <v>3.375E-3</v>
      </c>
      <c r="Y227" s="253">
        <f t="shared" si="39"/>
        <v>3.375E-3</v>
      </c>
      <c r="Z227" s="253">
        <f t="shared" si="39"/>
        <v>3.375E-3</v>
      </c>
      <c r="AA227" s="253">
        <f t="shared" si="39"/>
        <v>3.375E-3</v>
      </c>
      <c r="AB227" s="253">
        <f t="shared" si="39"/>
        <v>3.375E-3</v>
      </c>
      <c r="AC227" s="253">
        <f t="shared" si="39"/>
        <v>3.375E-3</v>
      </c>
      <c r="AD227" s="253">
        <f t="shared" si="39"/>
        <v>3.375E-3</v>
      </c>
      <c r="AE227" s="76"/>
      <c r="AF227" s="76"/>
      <c r="AG227" s="76"/>
      <c r="AH227" s="97">
        <v>1</v>
      </c>
      <c r="AI227" s="97">
        <v>1</v>
      </c>
      <c r="AJ227" s="73"/>
      <c r="AK227" s="57"/>
      <c r="AL227" s="45"/>
      <c r="AM227" s="45"/>
      <c r="AN227" s="45"/>
    </row>
    <row r="228" spans="1:40" hidden="1" outlineLevel="2" collapsed="1" x14ac:dyDescent="0.25">
      <c r="A228" s="45"/>
      <c r="B228" s="54"/>
      <c r="C228" s="47">
        <f t="shared" si="38"/>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9"/>
        <v>0</v>
      </c>
      <c r="V228" s="253">
        <f t="shared" si="39"/>
        <v>0</v>
      </c>
      <c r="W228" s="253">
        <f t="shared" si="39"/>
        <v>0</v>
      </c>
      <c r="X228" s="253">
        <f t="shared" si="39"/>
        <v>0</v>
      </c>
      <c r="Y228" s="253">
        <f t="shared" si="39"/>
        <v>0</v>
      </c>
      <c r="Z228" s="253">
        <f t="shared" si="39"/>
        <v>0</v>
      </c>
      <c r="AA228" s="253">
        <f t="shared" si="39"/>
        <v>0</v>
      </c>
      <c r="AB228" s="253">
        <f t="shared" si="39"/>
        <v>0</v>
      </c>
      <c r="AC228" s="253">
        <f t="shared" si="39"/>
        <v>0</v>
      </c>
      <c r="AD228" s="253">
        <f t="shared" si="39"/>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40">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1">INDEX($K230:$Q230,1,U$43)</f>
        <v>2.5999999999999999E-3</v>
      </c>
      <c r="V230" s="253">
        <f t="shared" si="41"/>
        <v>2.5999999999999999E-3</v>
      </c>
      <c r="W230" s="253">
        <f t="shared" si="41"/>
        <v>2.5999999999999999E-3</v>
      </c>
      <c r="X230" s="253">
        <f t="shared" si="41"/>
        <v>2.5999999999999999E-3</v>
      </c>
      <c r="Y230" s="253">
        <f t="shared" si="41"/>
        <v>2.5999999999999999E-3</v>
      </c>
      <c r="Z230" s="253">
        <f t="shared" si="41"/>
        <v>2.5999999999999999E-3</v>
      </c>
      <c r="AA230" s="253">
        <f t="shared" si="41"/>
        <v>2.5999999999999999E-3</v>
      </c>
      <c r="AB230" s="253">
        <f t="shared" si="41"/>
        <v>2.5999999999999999E-3</v>
      </c>
      <c r="AC230" s="253">
        <f t="shared" si="41"/>
        <v>2.5999999999999999E-3</v>
      </c>
      <c r="AD230" s="253">
        <f t="shared" si="41"/>
        <v>2.5999999999999999E-3</v>
      </c>
      <c r="AE230" s="76"/>
      <c r="AF230" s="76"/>
      <c r="AG230" s="76"/>
      <c r="AH230" s="97">
        <v>1</v>
      </c>
      <c r="AI230" s="97">
        <v>1</v>
      </c>
      <c r="AJ230" s="73"/>
      <c r="AK230" s="57"/>
      <c r="AL230" s="45"/>
      <c r="AM230" s="45"/>
      <c r="AN230" s="45"/>
    </row>
    <row r="231" spans="1:40" hidden="1" outlineLevel="2" x14ac:dyDescent="0.25">
      <c r="A231" s="45"/>
      <c r="B231" s="54"/>
      <c r="C231" s="47">
        <f t="shared" si="40"/>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1"/>
        <v>40</v>
      </c>
      <c r="V231" s="253">
        <f t="shared" si="41"/>
        <v>40</v>
      </c>
      <c r="W231" s="253">
        <f t="shared" si="41"/>
        <v>40</v>
      </c>
      <c r="X231" s="253">
        <f t="shared" si="41"/>
        <v>40</v>
      </c>
      <c r="Y231" s="253">
        <f t="shared" si="41"/>
        <v>40</v>
      </c>
      <c r="Z231" s="253">
        <f t="shared" si="41"/>
        <v>40</v>
      </c>
      <c r="AA231" s="253">
        <f t="shared" si="41"/>
        <v>40</v>
      </c>
      <c r="AB231" s="253">
        <f t="shared" si="41"/>
        <v>40</v>
      </c>
      <c r="AC231" s="253">
        <f t="shared" si="41"/>
        <v>40</v>
      </c>
      <c r="AD231" s="253">
        <f t="shared" si="41"/>
        <v>40</v>
      </c>
      <c r="AE231" s="76"/>
      <c r="AF231" s="76"/>
      <c r="AG231" s="76"/>
      <c r="AH231" s="97">
        <v>1</v>
      </c>
      <c r="AI231" s="97">
        <v>1</v>
      </c>
      <c r="AJ231" s="73"/>
      <c r="AK231" s="57"/>
      <c r="AL231" s="45"/>
      <c r="AM231" s="45"/>
      <c r="AN231" s="45"/>
    </row>
    <row r="232" spans="1:40" hidden="1" outlineLevel="2" x14ac:dyDescent="0.25">
      <c r="A232" s="45"/>
      <c r="B232" s="54"/>
      <c r="C232" s="47">
        <f t="shared" si="40"/>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1"/>
        <v>100</v>
      </c>
      <c r="V232" s="253">
        <f t="shared" si="41"/>
        <v>100</v>
      </c>
      <c r="W232" s="253">
        <f t="shared" si="41"/>
        <v>100</v>
      </c>
      <c r="X232" s="253">
        <f t="shared" si="41"/>
        <v>100</v>
      </c>
      <c r="Y232" s="253">
        <f t="shared" si="41"/>
        <v>100</v>
      </c>
      <c r="Z232" s="253">
        <f t="shared" si="41"/>
        <v>100</v>
      </c>
      <c r="AA232" s="253">
        <f t="shared" si="41"/>
        <v>100</v>
      </c>
      <c r="AB232" s="253">
        <f t="shared" si="41"/>
        <v>100</v>
      </c>
      <c r="AC232" s="253">
        <f t="shared" si="41"/>
        <v>100</v>
      </c>
      <c r="AD232" s="253">
        <f t="shared" si="41"/>
        <v>100</v>
      </c>
      <c r="AE232" s="76"/>
      <c r="AF232" s="76"/>
      <c r="AG232" s="76"/>
      <c r="AH232" s="97">
        <v>1</v>
      </c>
      <c r="AI232" s="97">
        <v>1</v>
      </c>
      <c r="AJ232" s="73"/>
      <c r="AK232" s="57"/>
      <c r="AL232" s="45"/>
      <c r="AM232" s="45"/>
      <c r="AN232" s="45"/>
    </row>
    <row r="233" spans="1:40" hidden="1" outlineLevel="2" x14ac:dyDescent="0.25">
      <c r="A233" s="45"/>
      <c r="B233" s="54"/>
      <c r="C233" s="47">
        <f t="shared" si="40"/>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1"/>
        <v>100</v>
      </c>
      <c r="V233" s="253">
        <f t="shared" si="41"/>
        <v>100</v>
      </c>
      <c r="W233" s="253">
        <f t="shared" si="41"/>
        <v>100</v>
      </c>
      <c r="X233" s="253">
        <f t="shared" si="41"/>
        <v>100</v>
      </c>
      <c r="Y233" s="253">
        <f t="shared" si="41"/>
        <v>100</v>
      </c>
      <c r="Z233" s="253">
        <f t="shared" si="41"/>
        <v>100</v>
      </c>
      <c r="AA233" s="253">
        <f t="shared" si="41"/>
        <v>100</v>
      </c>
      <c r="AB233" s="253">
        <f t="shared" si="41"/>
        <v>100</v>
      </c>
      <c r="AC233" s="253">
        <f t="shared" si="41"/>
        <v>100</v>
      </c>
      <c r="AD233" s="253">
        <f t="shared" si="41"/>
        <v>100</v>
      </c>
      <c r="AE233" s="76"/>
      <c r="AF233" s="76"/>
      <c r="AG233" s="76"/>
      <c r="AH233" s="97">
        <v>1</v>
      </c>
      <c r="AI233" s="97">
        <v>1</v>
      </c>
      <c r="AJ233" s="73"/>
      <c r="AK233" s="57"/>
      <c r="AL233" s="45"/>
      <c r="AM233" s="45"/>
      <c r="AN233" s="45"/>
    </row>
    <row r="234" spans="1:40" hidden="1" outlineLevel="2" x14ac:dyDescent="0.25">
      <c r="A234" s="45"/>
      <c r="B234" s="54"/>
      <c r="C234" s="47">
        <f t="shared" si="40"/>
        <v>3</v>
      </c>
      <c r="D234" s="73"/>
      <c r="E234" s="70"/>
      <c r="F234" s="70" t="s">
        <v>2832</v>
      </c>
      <c r="G234" s="73"/>
      <c r="H234" s="76" t="s">
        <v>3194</v>
      </c>
      <c r="I234" s="96" t="s">
        <v>2835</v>
      </c>
      <c r="J234" s="96"/>
      <c r="K234" s="97">
        <v>0</v>
      </c>
      <c r="L234" s="97">
        <v>0</v>
      </c>
      <c r="M234" s="97">
        <v>0</v>
      </c>
      <c r="N234" s="97">
        <v>0</v>
      </c>
      <c r="O234" s="97">
        <v>0</v>
      </c>
      <c r="P234" s="97">
        <v>0</v>
      </c>
      <c r="Q234" s="76"/>
      <c r="R234" s="76" t="s">
        <v>3200</v>
      </c>
      <c r="S234" s="76" t="s">
        <v>3200</v>
      </c>
      <c r="T234" s="76"/>
      <c r="U234" s="253">
        <f t="shared" si="41"/>
        <v>0</v>
      </c>
      <c r="V234" s="253">
        <f t="shared" si="41"/>
        <v>0</v>
      </c>
      <c r="W234" s="253">
        <f t="shared" si="41"/>
        <v>0</v>
      </c>
      <c r="X234" s="253">
        <f t="shared" si="41"/>
        <v>0</v>
      </c>
      <c r="Y234" s="253">
        <f t="shared" si="41"/>
        <v>0</v>
      </c>
      <c r="Z234" s="253">
        <f t="shared" si="41"/>
        <v>0</v>
      </c>
      <c r="AA234" s="253">
        <f t="shared" si="41"/>
        <v>0</v>
      </c>
      <c r="AB234" s="253">
        <f t="shared" si="41"/>
        <v>0</v>
      </c>
      <c r="AC234" s="253">
        <f t="shared" si="41"/>
        <v>0</v>
      </c>
      <c r="AD234" s="253">
        <f t="shared" si="41"/>
        <v>0</v>
      </c>
      <c r="AE234" s="76"/>
      <c r="AF234" s="76"/>
      <c r="AG234" s="76"/>
      <c r="AH234" s="97">
        <v>1</v>
      </c>
      <c r="AI234" s="97">
        <v>1</v>
      </c>
      <c r="AJ234" s="73"/>
      <c r="AK234" s="57"/>
      <c r="AL234" s="45"/>
      <c r="AM234" s="45"/>
      <c r="AN234" s="45"/>
    </row>
    <row r="235" spans="1:40" hidden="1" outlineLevel="2" x14ac:dyDescent="0.25">
      <c r="A235" s="45"/>
      <c r="B235" s="54"/>
      <c r="C235" s="47">
        <f t="shared" si="40"/>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3200</v>
      </c>
      <c r="S235" s="76" t="s">
        <v>3200</v>
      </c>
      <c r="T235" s="76"/>
      <c r="U235" s="253">
        <f t="shared" si="41"/>
        <v>1.9E-2</v>
      </c>
      <c r="V235" s="253">
        <f t="shared" si="41"/>
        <v>1.9E-2</v>
      </c>
      <c r="W235" s="253">
        <f t="shared" si="41"/>
        <v>1.9E-2</v>
      </c>
      <c r="X235" s="253">
        <f t="shared" si="41"/>
        <v>1.9E-2</v>
      </c>
      <c r="Y235" s="253">
        <f t="shared" si="41"/>
        <v>1.9E-2</v>
      </c>
      <c r="Z235" s="253">
        <f t="shared" si="41"/>
        <v>1.9E-2</v>
      </c>
      <c r="AA235" s="253">
        <f t="shared" si="41"/>
        <v>1.9E-2</v>
      </c>
      <c r="AB235" s="253">
        <f t="shared" si="41"/>
        <v>1.9E-2</v>
      </c>
      <c r="AC235" s="253">
        <f t="shared" si="41"/>
        <v>1.9E-2</v>
      </c>
      <c r="AD235" s="253">
        <f t="shared" si="41"/>
        <v>1.9E-2</v>
      </c>
      <c r="AE235" s="76"/>
      <c r="AF235" s="76"/>
      <c r="AG235" s="76"/>
      <c r="AH235" s="97">
        <v>1</v>
      </c>
      <c r="AI235" s="97">
        <v>1</v>
      </c>
      <c r="AJ235" s="73"/>
      <c r="AK235" s="57"/>
      <c r="AL235" s="45"/>
      <c r="AM235" s="45"/>
      <c r="AN235" s="45"/>
    </row>
    <row r="236" spans="1:40" hidden="1" outlineLevel="2" x14ac:dyDescent="0.25">
      <c r="A236" s="45"/>
      <c r="B236" s="54"/>
      <c r="C236" s="47">
        <f t="shared" si="40"/>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3200</v>
      </c>
      <c r="S236" s="76" t="s">
        <v>3200</v>
      </c>
      <c r="T236" s="76"/>
      <c r="U236" s="253">
        <f t="shared" si="41"/>
        <v>0.185</v>
      </c>
      <c r="V236" s="253">
        <f t="shared" si="41"/>
        <v>0.185</v>
      </c>
      <c r="W236" s="253">
        <f t="shared" si="41"/>
        <v>0.185</v>
      </c>
      <c r="X236" s="253">
        <f t="shared" si="41"/>
        <v>0.185</v>
      </c>
      <c r="Y236" s="253">
        <f t="shared" si="41"/>
        <v>0.185</v>
      </c>
      <c r="Z236" s="253">
        <f t="shared" si="41"/>
        <v>0.185</v>
      </c>
      <c r="AA236" s="253">
        <f t="shared" si="41"/>
        <v>0.185</v>
      </c>
      <c r="AB236" s="253">
        <f t="shared" si="41"/>
        <v>0.185</v>
      </c>
      <c r="AC236" s="253">
        <f t="shared" si="41"/>
        <v>0.185</v>
      </c>
      <c r="AD236" s="253">
        <f t="shared" si="41"/>
        <v>0.185</v>
      </c>
      <c r="AE236" s="76"/>
      <c r="AF236" s="76"/>
      <c r="AG236" s="76"/>
      <c r="AH236" s="97">
        <v>1</v>
      </c>
      <c r="AI236" s="97">
        <v>1</v>
      </c>
      <c r="AJ236" s="73"/>
      <c r="AK236" s="57"/>
      <c r="AL236" s="45"/>
      <c r="AM236" s="45"/>
      <c r="AN236" s="45"/>
    </row>
    <row r="237" spans="1:40" hidden="1" outlineLevel="2" x14ac:dyDescent="0.25">
      <c r="A237" s="45"/>
      <c r="B237" s="54"/>
      <c r="C237" s="47">
        <f t="shared" si="40"/>
        <v>3</v>
      </c>
      <c r="D237" s="73"/>
      <c r="E237" s="70"/>
      <c r="F237" s="70" t="s">
        <v>3195</v>
      </c>
      <c r="G237" s="73"/>
      <c r="H237" s="76" t="s">
        <v>662</v>
      </c>
      <c r="I237" s="96" t="s">
        <v>502</v>
      </c>
      <c r="J237" s="96"/>
      <c r="K237" s="97">
        <v>0.106</v>
      </c>
      <c r="L237" s="97">
        <v>0.106</v>
      </c>
      <c r="M237" s="97">
        <v>0.106</v>
      </c>
      <c r="N237" s="97">
        <v>0.106</v>
      </c>
      <c r="O237" s="97">
        <v>0.106</v>
      </c>
      <c r="P237" s="97">
        <v>0.106</v>
      </c>
      <c r="Q237" s="76"/>
      <c r="R237" s="76" t="s">
        <v>3199</v>
      </c>
      <c r="S237" s="76" t="s">
        <v>3199</v>
      </c>
      <c r="T237" s="76"/>
      <c r="U237" s="253">
        <f t="shared" si="41"/>
        <v>0.106</v>
      </c>
      <c r="V237" s="253">
        <f t="shared" si="41"/>
        <v>0.106</v>
      </c>
      <c r="W237" s="253">
        <f t="shared" si="41"/>
        <v>0.106</v>
      </c>
      <c r="X237" s="253">
        <f t="shared" si="41"/>
        <v>0.106</v>
      </c>
      <c r="Y237" s="253">
        <f t="shared" si="41"/>
        <v>0.106</v>
      </c>
      <c r="Z237" s="253">
        <f t="shared" si="41"/>
        <v>0.106</v>
      </c>
      <c r="AA237" s="253">
        <f t="shared" si="41"/>
        <v>0.106</v>
      </c>
      <c r="AB237" s="253">
        <f t="shared" si="41"/>
        <v>0.106</v>
      </c>
      <c r="AC237" s="253">
        <f t="shared" si="41"/>
        <v>0.106</v>
      </c>
      <c r="AD237" s="253">
        <f t="shared" si="41"/>
        <v>0.106</v>
      </c>
      <c r="AE237" s="76"/>
      <c r="AF237" s="76"/>
      <c r="AG237" s="76"/>
      <c r="AH237" s="97">
        <v>1</v>
      </c>
      <c r="AI237" s="97">
        <v>1</v>
      </c>
      <c r="AJ237" s="73"/>
      <c r="AK237" s="57"/>
      <c r="AL237" s="45"/>
      <c r="AM237" s="45"/>
      <c r="AN237" s="45"/>
    </row>
    <row r="238" spans="1:40" hidden="1" outlineLevel="2" x14ac:dyDescent="0.25">
      <c r="A238" s="45"/>
      <c r="B238" s="54"/>
      <c r="C238" s="47">
        <f t="shared" si="40"/>
        <v>3</v>
      </c>
      <c r="D238" s="73"/>
      <c r="E238" s="70"/>
      <c r="F238" s="70" t="s">
        <v>3196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3199</v>
      </c>
      <c r="S238" s="76" t="s">
        <v>3199</v>
      </c>
      <c r="T238" s="76"/>
      <c r="U238" s="253">
        <f t="shared" si="41"/>
        <v>0.14699999999999999</v>
      </c>
      <c r="V238" s="253">
        <f t="shared" si="41"/>
        <v>0.14699999999999999</v>
      </c>
      <c r="W238" s="253">
        <f t="shared" si="41"/>
        <v>0.14699999999999999</v>
      </c>
      <c r="X238" s="253">
        <f t="shared" si="41"/>
        <v>0.14699999999999999</v>
      </c>
      <c r="Y238" s="253">
        <f t="shared" si="41"/>
        <v>0.14699999999999999</v>
      </c>
      <c r="Z238" s="253">
        <f t="shared" si="41"/>
        <v>0.14699999999999999</v>
      </c>
      <c r="AA238" s="253">
        <f t="shared" si="41"/>
        <v>0.14699999999999999</v>
      </c>
      <c r="AB238" s="253">
        <f t="shared" si="41"/>
        <v>0.14699999999999999</v>
      </c>
      <c r="AC238" s="253">
        <f t="shared" si="41"/>
        <v>0.14699999999999999</v>
      </c>
      <c r="AD238" s="253">
        <f t="shared" si="41"/>
        <v>0.14699999999999999</v>
      </c>
      <c r="AE238" s="76"/>
      <c r="AF238" s="76"/>
      <c r="AG238" s="76"/>
      <c r="AH238" s="97">
        <v>1</v>
      </c>
      <c r="AI238" s="97">
        <v>1</v>
      </c>
      <c r="AJ238" s="73"/>
      <c r="AK238" s="57"/>
      <c r="AL238" s="45"/>
      <c r="AM238" s="45"/>
      <c r="AN238" s="45"/>
    </row>
    <row r="239" spans="1:40" hidden="1" outlineLevel="2" x14ac:dyDescent="0.25">
      <c r="A239" s="45"/>
      <c r="B239" s="54"/>
      <c r="C239" s="47">
        <f t="shared" si="40"/>
        <v>3</v>
      </c>
      <c r="D239" s="73"/>
      <c r="E239" s="70"/>
      <c r="F239" s="70" t="s">
        <v>3198</v>
      </c>
      <c r="G239" s="73"/>
      <c r="H239" s="76" t="s">
        <v>667</v>
      </c>
      <c r="I239" s="96" t="s">
        <v>529</v>
      </c>
      <c r="J239" s="96"/>
      <c r="K239" s="97">
        <f t="shared" ref="K239:P239" si="42">0.04/365</f>
        <v>1.0958904109589041E-4</v>
      </c>
      <c r="L239" s="97">
        <f t="shared" si="42"/>
        <v>1.0958904109589041E-4</v>
      </c>
      <c r="M239" s="97">
        <f t="shared" si="42"/>
        <v>1.0958904109589041E-4</v>
      </c>
      <c r="N239" s="97">
        <f t="shared" si="42"/>
        <v>1.0958904109589041E-4</v>
      </c>
      <c r="O239" s="97">
        <f t="shared" si="42"/>
        <v>1.0958904109589041E-4</v>
      </c>
      <c r="P239" s="97">
        <f t="shared" si="42"/>
        <v>1.0958904109589041E-4</v>
      </c>
      <c r="Q239" s="76"/>
      <c r="R239" s="76" t="s">
        <v>3199</v>
      </c>
      <c r="S239" s="76" t="s">
        <v>3199</v>
      </c>
      <c r="T239" s="76"/>
      <c r="U239" s="253">
        <f t="shared" si="41"/>
        <v>1.0958904109589041E-4</v>
      </c>
      <c r="V239" s="253">
        <f t="shared" si="41"/>
        <v>1.0958904109589041E-4</v>
      </c>
      <c r="W239" s="253">
        <f t="shared" si="41"/>
        <v>1.0958904109589041E-4</v>
      </c>
      <c r="X239" s="253">
        <f t="shared" si="41"/>
        <v>1.0958904109589041E-4</v>
      </c>
      <c r="Y239" s="253">
        <f t="shared" si="41"/>
        <v>1.0958904109589041E-4</v>
      </c>
      <c r="Z239" s="253">
        <f t="shared" si="41"/>
        <v>1.0958904109589041E-4</v>
      </c>
      <c r="AA239" s="253">
        <f t="shared" si="41"/>
        <v>1.0958904109589041E-4</v>
      </c>
      <c r="AB239" s="253">
        <f t="shared" si="41"/>
        <v>1.0958904109589041E-4</v>
      </c>
      <c r="AC239" s="253">
        <f t="shared" si="41"/>
        <v>1.0958904109589041E-4</v>
      </c>
      <c r="AD239" s="253">
        <f t="shared" si="41"/>
        <v>1.0958904109589041E-4</v>
      </c>
      <c r="AE239" s="76"/>
      <c r="AF239" s="76"/>
      <c r="AG239" s="76"/>
      <c r="AH239" s="97">
        <v>1</v>
      </c>
      <c r="AI239" s="97">
        <v>1</v>
      </c>
      <c r="AJ239" s="73"/>
      <c r="AK239" s="57"/>
      <c r="AL239" s="45"/>
      <c r="AM239" s="45"/>
      <c r="AN239" s="45"/>
    </row>
    <row r="240" spans="1:40" hidden="1" outlineLevel="2" x14ac:dyDescent="0.25">
      <c r="A240" s="45"/>
      <c r="B240" s="54"/>
      <c r="C240" s="47">
        <f t="shared" si="40"/>
        <v>3</v>
      </c>
      <c r="D240" s="73"/>
      <c r="E240" s="70"/>
      <c r="F240" s="70" t="s">
        <v>3197</v>
      </c>
      <c r="G240" s="73"/>
      <c r="H240" s="76" t="s">
        <v>671</v>
      </c>
      <c r="I240" s="96" t="s">
        <v>502</v>
      </c>
      <c r="J240" s="96"/>
      <c r="K240" s="97">
        <v>0.39</v>
      </c>
      <c r="L240" s="97">
        <v>0.39</v>
      </c>
      <c r="M240" s="97">
        <v>0.39</v>
      </c>
      <c r="N240" s="97">
        <v>0.39</v>
      </c>
      <c r="O240" s="97">
        <v>0.39</v>
      </c>
      <c r="P240" s="97">
        <v>0.39</v>
      </c>
      <c r="Q240" s="76"/>
      <c r="R240" s="76" t="s">
        <v>3199</v>
      </c>
      <c r="S240" s="76" t="s">
        <v>3199</v>
      </c>
      <c r="T240" s="76"/>
      <c r="U240" s="253">
        <f t="shared" si="41"/>
        <v>0.39</v>
      </c>
      <c r="V240" s="253">
        <f t="shared" si="41"/>
        <v>0.39</v>
      </c>
      <c r="W240" s="253">
        <f t="shared" si="41"/>
        <v>0.39</v>
      </c>
      <c r="X240" s="253">
        <f t="shared" si="41"/>
        <v>0.39</v>
      </c>
      <c r="Y240" s="253">
        <f t="shared" si="41"/>
        <v>0.39</v>
      </c>
      <c r="Z240" s="253">
        <f t="shared" si="41"/>
        <v>0.39</v>
      </c>
      <c r="AA240" s="253">
        <f t="shared" si="41"/>
        <v>0.39</v>
      </c>
      <c r="AB240" s="253">
        <f t="shared" si="41"/>
        <v>0.39</v>
      </c>
      <c r="AC240" s="253">
        <f t="shared" si="41"/>
        <v>0.39</v>
      </c>
      <c r="AD240" s="253">
        <f t="shared" si="41"/>
        <v>0.39</v>
      </c>
      <c r="AE240" s="76"/>
      <c r="AF240" s="76"/>
      <c r="AG240" s="76"/>
      <c r="AH240" s="97">
        <v>1</v>
      </c>
      <c r="AI240" s="97">
        <v>1</v>
      </c>
      <c r="AJ240" s="73"/>
      <c r="AK240" s="57"/>
      <c r="AL240" s="45"/>
      <c r="AM240" s="45"/>
      <c r="AN240" s="45"/>
    </row>
    <row r="241" spans="1:40" hidden="1"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3">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4">INDEX($K243:$Q243,1,U$43)</f>
        <v>0.3</v>
      </c>
      <c r="V243" s="253">
        <f t="shared" si="44"/>
        <v>0.3</v>
      </c>
      <c r="W243" s="253">
        <f t="shared" si="44"/>
        <v>0.3</v>
      </c>
      <c r="X243" s="253">
        <f t="shared" si="44"/>
        <v>0.3</v>
      </c>
      <c r="Y243" s="253">
        <f t="shared" si="44"/>
        <v>0.3</v>
      </c>
      <c r="Z243" s="253">
        <f t="shared" si="44"/>
        <v>0.3</v>
      </c>
      <c r="AA243" s="253">
        <f t="shared" si="44"/>
        <v>0.3</v>
      </c>
      <c r="AB243" s="253">
        <f t="shared" si="44"/>
        <v>0.3</v>
      </c>
      <c r="AC243" s="253">
        <f t="shared" si="44"/>
        <v>0.3</v>
      </c>
      <c r="AD243" s="253">
        <f t="shared" si="44"/>
        <v>0.3</v>
      </c>
      <c r="AE243" s="76"/>
      <c r="AF243" s="76"/>
      <c r="AG243" s="76"/>
      <c r="AH243" s="97">
        <v>1</v>
      </c>
      <c r="AI243" s="97">
        <v>1</v>
      </c>
      <c r="AJ243" s="73"/>
      <c r="AK243" s="57"/>
      <c r="AL243" s="45"/>
      <c r="AM243" s="45"/>
      <c r="AN243" s="45"/>
    </row>
    <row r="244" spans="1:40" hidden="1" outlineLevel="2" x14ac:dyDescent="0.25">
      <c r="A244" s="45"/>
      <c r="B244" s="54"/>
      <c r="C244" s="47">
        <f t="shared" si="43"/>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4"/>
        <v>0.25</v>
      </c>
      <c r="V244" s="253">
        <f t="shared" si="44"/>
        <v>0.25</v>
      </c>
      <c r="W244" s="253">
        <f t="shared" si="44"/>
        <v>0.25</v>
      </c>
      <c r="X244" s="253">
        <f t="shared" si="44"/>
        <v>0.25</v>
      </c>
      <c r="Y244" s="253">
        <f t="shared" si="44"/>
        <v>0.25</v>
      </c>
      <c r="Z244" s="253">
        <f t="shared" si="44"/>
        <v>0.25</v>
      </c>
      <c r="AA244" s="253">
        <f t="shared" si="44"/>
        <v>0.25</v>
      </c>
      <c r="AB244" s="253">
        <f t="shared" si="44"/>
        <v>0.25</v>
      </c>
      <c r="AC244" s="253">
        <f t="shared" si="44"/>
        <v>0.25</v>
      </c>
      <c r="AD244" s="253">
        <f t="shared" si="44"/>
        <v>0.25</v>
      </c>
      <c r="AE244" s="76"/>
      <c r="AF244" s="76"/>
      <c r="AG244" s="76"/>
      <c r="AH244" s="97">
        <v>1</v>
      </c>
      <c r="AI244" s="97">
        <v>1</v>
      </c>
      <c r="AJ244" s="73"/>
      <c r="AK244" s="57"/>
      <c r="AL244" s="45"/>
      <c r="AM244" s="45"/>
      <c r="AN244" s="45"/>
    </row>
    <row r="245" spans="1:40" hidden="1" outlineLevel="2" x14ac:dyDescent="0.25">
      <c r="A245" s="45"/>
      <c r="B245" s="54"/>
      <c r="C245" s="47">
        <f t="shared" si="43"/>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4"/>
        <v>0.1</v>
      </c>
      <c r="V245" s="253">
        <f t="shared" si="44"/>
        <v>0.1</v>
      </c>
      <c r="W245" s="253">
        <f t="shared" si="44"/>
        <v>0.1</v>
      </c>
      <c r="X245" s="253">
        <f t="shared" si="44"/>
        <v>0.1</v>
      </c>
      <c r="Y245" s="253">
        <f t="shared" si="44"/>
        <v>0.1</v>
      </c>
      <c r="Z245" s="253">
        <f t="shared" si="44"/>
        <v>0.1</v>
      </c>
      <c r="AA245" s="253">
        <f t="shared" si="44"/>
        <v>0.1</v>
      </c>
      <c r="AB245" s="253">
        <f t="shared" si="44"/>
        <v>0.1</v>
      </c>
      <c r="AC245" s="253">
        <f t="shared" si="44"/>
        <v>0.1</v>
      </c>
      <c r="AD245" s="253">
        <f t="shared" si="44"/>
        <v>0.1</v>
      </c>
      <c r="AE245" s="76"/>
      <c r="AF245" s="76"/>
      <c r="AG245" s="76"/>
      <c r="AH245" s="97">
        <v>1</v>
      </c>
      <c r="AI245" s="97">
        <v>1</v>
      </c>
      <c r="AJ245" s="73"/>
      <c r="AK245" s="57"/>
      <c r="AL245" s="45"/>
      <c r="AM245" s="45"/>
      <c r="AN245" s="45"/>
    </row>
    <row r="246" spans="1:40" hidden="1" outlineLevel="2" x14ac:dyDescent="0.25">
      <c r="A246" s="45"/>
      <c r="B246" s="54"/>
      <c r="C246" s="47">
        <f t="shared" si="43"/>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4"/>
        <v>7.0000000000000001E-3</v>
      </c>
      <c r="V246" s="253">
        <f t="shared" si="44"/>
        <v>7.0000000000000001E-3</v>
      </c>
      <c r="W246" s="253">
        <f t="shared" si="44"/>
        <v>7.0000000000000001E-3</v>
      </c>
      <c r="X246" s="253">
        <f t="shared" si="44"/>
        <v>7.0000000000000001E-3</v>
      </c>
      <c r="Y246" s="253">
        <f t="shared" si="44"/>
        <v>7.0000000000000001E-3</v>
      </c>
      <c r="Z246" s="253">
        <f t="shared" si="44"/>
        <v>7.0000000000000001E-3</v>
      </c>
      <c r="AA246" s="253">
        <f t="shared" si="44"/>
        <v>7.0000000000000001E-3</v>
      </c>
      <c r="AB246" s="253">
        <f t="shared" si="44"/>
        <v>7.0000000000000001E-3</v>
      </c>
      <c r="AC246" s="253">
        <f t="shared" si="44"/>
        <v>7.0000000000000001E-3</v>
      </c>
      <c r="AD246" s="253">
        <f t="shared" si="44"/>
        <v>7.0000000000000001E-3</v>
      </c>
      <c r="AE246" s="76"/>
      <c r="AF246" s="76"/>
      <c r="AG246" s="76"/>
      <c r="AH246" s="97">
        <v>1</v>
      </c>
      <c r="AI246" s="97">
        <v>1</v>
      </c>
      <c r="AJ246" s="73"/>
      <c r="AK246" s="57"/>
      <c r="AL246" s="45"/>
      <c r="AM246" s="45"/>
      <c r="AN246" s="45"/>
    </row>
    <row r="247" spans="1:40" hidden="1" outlineLevel="2" x14ac:dyDescent="0.25">
      <c r="A247" s="45"/>
      <c r="B247" s="54"/>
      <c r="C247" s="47">
        <f t="shared" si="43"/>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4"/>
        <v>5.0000000000000001E-3</v>
      </c>
      <c r="V247" s="253">
        <f t="shared" si="44"/>
        <v>5.0000000000000001E-3</v>
      </c>
      <c r="W247" s="253">
        <f t="shared" si="44"/>
        <v>5.0000000000000001E-3</v>
      </c>
      <c r="X247" s="253">
        <f t="shared" si="44"/>
        <v>5.0000000000000001E-3</v>
      </c>
      <c r="Y247" s="253">
        <f t="shared" si="44"/>
        <v>5.0000000000000001E-3</v>
      </c>
      <c r="Z247" s="253">
        <f t="shared" si="44"/>
        <v>5.0000000000000001E-3</v>
      </c>
      <c r="AA247" s="253">
        <f t="shared" si="44"/>
        <v>5.0000000000000001E-3</v>
      </c>
      <c r="AB247" s="253">
        <f t="shared" si="44"/>
        <v>5.0000000000000001E-3</v>
      </c>
      <c r="AC247" s="253">
        <f t="shared" si="44"/>
        <v>5.0000000000000001E-3</v>
      </c>
      <c r="AD247" s="253">
        <f t="shared" si="44"/>
        <v>5.0000000000000001E-3</v>
      </c>
      <c r="AE247" s="76"/>
      <c r="AF247" s="76"/>
      <c r="AG247" s="76"/>
      <c r="AH247" s="97">
        <v>1</v>
      </c>
      <c r="AI247" s="97">
        <v>1</v>
      </c>
      <c r="AJ247" s="73"/>
      <c r="AK247" s="57"/>
      <c r="AL247" s="45"/>
      <c r="AM247" s="45"/>
      <c r="AN247" s="45"/>
    </row>
    <row r="248" spans="1:40" hidden="1" outlineLevel="2" x14ac:dyDescent="0.25">
      <c r="A248" s="45"/>
      <c r="B248" s="54"/>
      <c r="C248" s="47">
        <f t="shared" si="43"/>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4"/>
        <v>0.35</v>
      </c>
      <c r="V248" s="253">
        <f t="shared" si="44"/>
        <v>0.35</v>
      </c>
      <c r="W248" s="253">
        <f t="shared" si="44"/>
        <v>0.35</v>
      </c>
      <c r="X248" s="253">
        <f t="shared" si="44"/>
        <v>0.35</v>
      </c>
      <c r="Y248" s="253">
        <f t="shared" si="44"/>
        <v>0.35</v>
      </c>
      <c r="Z248" s="253">
        <f t="shared" si="44"/>
        <v>0.35</v>
      </c>
      <c r="AA248" s="253">
        <f t="shared" si="44"/>
        <v>0.35</v>
      </c>
      <c r="AB248" s="253">
        <f t="shared" si="44"/>
        <v>0.35</v>
      </c>
      <c r="AC248" s="253">
        <f t="shared" si="44"/>
        <v>0.35</v>
      </c>
      <c r="AD248" s="253">
        <f t="shared" si="44"/>
        <v>0.35</v>
      </c>
      <c r="AE248" s="76"/>
      <c r="AF248" s="76"/>
      <c r="AG248" s="76"/>
      <c r="AH248" s="97">
        <v>1</v>
      </c>
      <c r="AI248" s="97">
        <v>1</v>
      </c>
      <c r="AJ248" s="73"/>
      <c r="AK248" s="57"/>
      <c r="AL248" s="45"/>
      <c r="AM248" s="45"/>
      <c r="AN248" s="45"/>
    </row>
    <row r="249" spans="1:40" hidden="1" outlineLevel="2" x14ac:dyDescent="0.25">
      <c r="A249" s="45"/>
      <c r="B249" s="54"/>
      <c r="C249" s="47">
        <f t="shared" si="43"/>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4"/>
        <v>0.1</v>
      </c>
      <c r="V249" s="253">
        <f t="shared" si="44"/>
        <v>0.1</v>
      </c>
      <c r="W249" s="253">
        <f t="shared" si="44"/>
        <v>0.1</v>
      </c>
      <c r="X249" s="253">
        <f t="shared" si="44"/>
        <v>0.1</v>
      </c>
      <c r="Y249" s="253">
        <f t="shared" si="44"/>
        <v>0.1</v>
      </c>
      <c r="Z249" s="253">
        <f t="shared" si="44"/>
        <v>0.1</v>
      </c>
      <c r="AA249" s="253">
        <f t="shared" si="44"/>
        <v>0.1</v>
      </c>
      <c r="AB249" s="253">
        <f t="shared" si="44"/>
        <v>0.1</v>
      </c>
      <c r="AC249" s="253">
        <f t="shared" si="44"/>
        <v>0.1</v>
      </c>
      <c r="AD249" s="253">
        <f t="shared" si="44"/>
        <v>0.1</v>
      </c>
      <c r="AE249" s="76"/>
      <c r="AF249" s="76"/>
      <c r="AG249" s="76"/>
      <c r="AH249" s="97">
        <v>1</v>
      </c>
      <c r="AI249" s="97">
        <v>1</v>
      </c>
      <c r="AJ249" s="73"/>
      <c r="AK249" s="57"/>
      <c r="AL249" s="45"/>
      <c r="AM249" s="45"/>
      <c r="AN249" s="45"/>
    </row>
    <row r="250" spans="1:40" hidden="1"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5">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6">INDEX($K252:$Q252,1,U$43)</f>
        <v>0.05</v>
      </c>
      <c r="V252" s="253">
        <f t="shared" si="46"/>
        <v>0.05</v>
      </c>
      <c r="W252" s="253">
        <f t="shared" si="46"/>
        <v>0.05</v>
      </c>
      <c r="X252" s="253">
        <f t="shared" si="46"/>
        <v>0.05</v>
      </c>
      <c r="Y252" s="253">
        <f t="shared" si="46"/>
        <v>0.05</v>
      </c>
      <c r="Z252" s="253">
        <f t="shared" si="46"/>
        <v>0.05</v>
      </c>
      <c r="AA252" s="253">
        <f t="shared" si="46"/>
        <v>0.05</v>
      </c>
      <c r="AB252" s="253">
        <f t="shared" si="46"/>
        <v>0.05</v>
      </c>
      <c r="AC252" s="253">
        <f t="shared" si="46"/>
        <v>0.05</v>
      </c>
      <c r="AD252" s="253">
        <f t="shared" si="46"/>
        <v>0.05</v>
      </c>
      <c r="AE252" s="76"/>
      <c r="AF252" s="76"/>
      <c r="AG252" s="76"/>
      <c r="AH252" s="97">
        <v>1</v>
      </c>
      <c r="AI252" s="97">
        <v>1</v>
      </c>
      <c r="AJ252" s="73"/>
      <c r="AK252" s="57"/>
      <c r="AL252" s="45"/>
      <c r="AM252" s="45"/>
      <c r="AN252" s="45"/>
    </row>
    <row r="253" spans="1:40" hidden="1" outlineLevel="2" x14ac:dyDescent="0.25">
      <c r="A253" s="45"/>
      <c r="B253" s="54"/>
      <c r="C253" s="47">
        <f t="shared" si="45"/>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6"/>
        <v>0.85</v>
      </c>
      <c r="V253" s="253">
        <f t="shared" si="46"/>
        <v>0.85</v>
      </c>
      <c r="W253" s="253">
        <f t="shared" si="46"/>
        <v>0.85</v>
      </c>
      <c r="X253" s="253">
        <f t="shared" si="46"/>
        <v>0.85</v>
      </c>
      <c r="Y253" s="253">
        <f t="shared" si="46"/>
        <v>0.85</v>
      </c>
      <c r="Z253" s="253">
        <f t="shared" si="46"/>
        <v>0.85</v>
      </c>
      <c r="AA253" s="253">
        <f t="shared" si="46"/>
        <v>0.85</v>
      </c>
      <c r="AB253" s="253">
        <f t="shared" si="46"/>
        <v>0.85</v>
      </c>
      <c r="AC253" s="253">
        <f t="shared" si="46"/>
        <v>0.85</v>
      </c>
      <c r="AD253" s="253">
        <f t="shared" si="46"/>
        <v>0.85</v>
      </c>
      <c r="AE253" s="76"/>
      <c r="AF253" s="76"/>
      <c r="AG253" s="76"/>
      <c r="AH253" s="97">
        <v>1</v>
      </c>
      <c r="AI253" s="97">
        <v>1</v>
      </c>
      <c r="AJ253" s="73"/>
      <c r="AK253" s="57"/>
      <c r="AL253" s="45"/>
      <c r="AM253" s="45"/>
      <c r="AN253" s="45"/>
    </row>
    <row r="254" spans="1:40" hidden="1" outlineLevel="2" x14ac:dyDescent="0.25">
      <c r="A254" s="45"/>
      <c r="B254" s="54"/>
      <c r="C254" s="47">
        <f t="shared" si="45"/>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6"/>
        <v>5.5</v>
      </c>
      <c r="V254" s="253">
        <f t="shared" si="46"/>
        <v>5.5</v>
      </c>
      <c r="W254" s="253">
        <f t="shared" si="46"/>
        <v>5.5</v>
      </c>
      <c r="X254" s="253">
        <f t="shared" si="46"/>
        <v>5.5</v>
      </c>
      <c r="Y254" s="253">
        <f t="shared" si="46"/>
        <v>5.5</v>
      </c>
      <c r="Z254" s="253">
        <f t="shared" si="46"/>
        <v>5.5</v>
      </c>
      <c r="AA254" s="253">
        <f t="shared" si="46"/>
        <v>5.5</v>
      </c>
      <c r="AB254" s="253">
        <f t="shared" si="46"/>
        <v>5.5</v>
      </c>
      <c r="AC254" s="253">
        <f t="shared" si="46"/>
        <v>5.5</v>
      </c>
      <c r="AD254" s="253">
        <f t="shared" si="46"/>
        <v>5.5</v>
      </c>
      <c r="AE254" s="76"/>
      <c r="AF254" s="76"/>
      <c r="AG254" s="76"/>
      <c r="AH254" s="97">
        <v>1</v>
      </c>
      <c r="AI254" s="97">
        <v>1</v>
      </c>
      <c r="AJ254" s="73"/>
      <c r="AK254" s="57"/>
      <c r="AL254" s="45"/>
      <c r="AM254" s="45"/>
      <c r="AN254" s="45"/>
    </row>
    <row r="255" spans="1:40" hidden="1" outlineLevel="2" x14ac:dyDescent="0.25">
      <c r="A255" s="45"/>
      <c r="B255" s="54"/>
      <c r="C255" s="47">
        <f t="shared" si="45"/>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6"/>
        <v>0.17799999999999999</v>
      </c>
      <c r="V255" s="253">
        <f t="shared" si="46"/>
        <v>0.17799999999999999</v>
      </c>
      <c r="W255" s="253">
        <f t="shared" si="46"/>
        <v>0.17799999999999999</v>
      </c>
      <c r="X255" s="253">
        <f t="shared" si="46"/>
        <v>0.17799999999999999</v>
      </c>
      <c r="Y255" s="253">
        <f t="shared" si="46"/>
        <v>0.17799999999999999</v>
      </c>
      <c r="Z255" s="253">
        <f t="shared" si="46"/>
        <v>0.17799999999999999</v>
      </c>
      <c r="AA255" s="253">
        <f t="shared" si="46"/>
        <v>0.17799999999999999</v>
      </c>
      <c r="AB255" s="253">
        <f t="shared" si="46"/>
        <v>0.17799999999999999</v>
      </c>
      <c r="AC255" s="253">
        <f t="shared" si="46"/>
        <v>0.17799999999999999</v>
      </c>
      <c r="AD255" s="253">
        <f t="shared" si="46"/>
        <v>0.17799999999999999</v>
      </c>
      <c r="AE255" s="76"/>
      <c r="AF255" s="76"/>
      <c r="AG255" s="76"/>
      <c r="AH255" s="97">
        <v>1</v>
      </c>
      <c r="AI255" s="97">
        <v>1</v>
      </c>
      <c r="AJ255" s="73"/>
      <c r="AK255" s="57"/>
      <c r="AL255" s="45"/>
      <c r="AM255" s="45"/>
      <c r="AN255" s="45"/>
    </row>
    <row r="256" spans="1:40" hidden="1" outlineLevel="2" x14ac:dyDescent="0.25">
      <c r="A256" s="45"/>
      <c r="B256" s="54"/>
      <c r="C256" s="47">
        <f t="shared" si="45"/>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6"/>
        <v>0.92</v>
      </c>
      <c r="V256" s="253">
        <f t="shared" si="46"/>
        <v>0.92</v>
      </c>
      <c r="W256" s="253">
        <f t="shared" si="46"/>
        <v>0.92</v>
      </c>
      <c r="X256" s="253">
        <f t="shared" si="46"/>
        <v>0.92</v>
      </c>
      <c r="Y256" s="253">
        <f t="shared" si="46"/>
        <v>0.92</v>
      </c>
      <c r="Z256" s="253">
        <f t="shared" si="46"/>
        <v>0.92</v>
      </c>
      <c r="AA256" s="253">
        <f t="shared" si="46"/>
        <v>0.92</v>
      </c>
      <c r="AB256" s="253">
        <f t="shared" si="46"/>
        <v>0.92</v>
      </c>
      <c r="AC256" s="253">
        <f t="shared" si="46"/>
        <v>0.92</v>
      </c>
      <c r="AD256" s="253">
        <f t="shared" si="46"/>
        <v>0.92</v>
      </c>
      <c r="AE256" s="76"/>
      <c r="AF256" s="76"/>
      <c r="AG256" s="76"/>
      <c r="AH256" s="97">
        <v>1</v>
      </c>
      <c r="AI256" s="97">
        <v>1</v>
      </c>
      <c r="AJ256" s="73"/>
      <c r="AK256" s="57"/>
      <c r="AL256" s="45"/>
      <c r="AM256" s="45"/>
      <c r="AN256" s="45"/>
    </row>
    <row r="257" spans="1:40" hidden="1" outlineLevel="2" x14ac:dyDescent="0.25">
      <c r="A257" s="45"/>
      <c r="B257" s="54"/>
      <c r="C257" s="47">
        <f t="shared" si="45"/>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6"/>
        <v>1</v>
      </c>
      <c r="V257" s="253">
        <f t="shared" si="46"/>
        <v>1</v>
      </c>
      <c r="W257" s="253">
        <f t="shared" si="46"/>
        <v>1</v>
      </c>
      <c r="X257" s="253">
        <f t="shared" si="46"/>
        <v>1</v>
      </c>
      <c r="Y257" s="253">
        <f t="shared" si="46"/>
        <v>1</v>
      </c>
      <c r="Z257" s="253">
        <f t="shared" si="46"/>
        <v>1</v>
      </c>
      <c r="AA257" s="253">
        <f t="shared" si="46"/>
        <v>1</v>
      </c>
      <c r="AB257" s="253">
        <f t="shared" si="46"/>
        <v>1</v>
      </c>
      <c r="AC257" s="253">
        <f t="shared" si="46"/>
        <v>1</v>
      </c>
      <c r="AD257" s="253">
        <f t="shared" si="46"/>
        <v>1</v>
      </c>
      <c r="AE257" s="76"/>
      <c r="AF257" s="76"/>
      <c r="AG257" s="76"/>
      <c r="AH257" s="97">
        <v>1</v>
      </c>
      <c r="AI257" s="97">
        <v>1</v>
      </c>
      <c r="AJ257" s="73"/>
      <c r="AK257" s="57"/>
      <c r="AL257" s="45"/>
      <c r="AM257" s="45"/>
      <c r="AN257" s="45"/>
    </row>
    <row r="258" spans="1:40" hidden="1" outlineLevel="2" x14ac:dyDescent="0.25">
      <c r="A258" s="45"/>
      <c r="B258" s="54"/>
      <c r="C258" s="47">
        <f t="shared" si="45"/>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6"/>
        <v>0.6</v>
      </c>
      <c r="V258" s="253">
        <f t="shared" si="46"/>
        <v>0.6</v>
      </c>
      <c r="W258" s="253">
        <f t="shared" si="46"/>
        <v>0.6</v>
      </c>
      <c r="X258" s="253">
        <f t="shared" si="46"/>
        <v>0.6</v>
      </c>
      <c r="Y258" s="253">
        <f t="shared" si="46"/>
        <v>0.6</v>
      </c>
      <c r="Z258" s="253">
        <f t="shared" si="46"/>
        <v>0.6</v>
      </c>
      <c r="AA258" s="253">
        <f t="shared" si="46"/>
        <v>0.6</v>
      </c>
      <c r="AB258" s="253">
        <f t="shared" si="46"/>
        <v>0.6</v>
      </c>
      <c r="AC258" s="253">
        <f t="shared" si="46"/>
        <v>0.6</v>
      </c>
      <c r="AD258" s="253">
        <f t="shared" si="46"/>
        <v>0.6</v>
      </c>
      <c r="AE258" s="76"/>
      <c r="AF258" s="76"/>
      <c r="AG258" s="76"/>
      <c r="AH258" s="97">
        <v>1</v>
      </c>
      <c r="AI258" s="97">
        <v>1</v>
      </c>
      <c r="AJ258" s="73"/>
      <c r="AK258" s="57"/>
      <c r="AL258" s="45"/>
      <c r="AM258" s="45"/>
      <c r="AN258" s="45"/>
    </row>
    <row r="259" spans="1:40" hidden="1" outlineLevel="2" x14ac:dyDescent="0.25">
      <c r="A259" s="45"/>
      <c r="B259" s="54"/>
      <c r="C259" s="47">
        <f t="shared" si="45"/>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6"/>
        <v>0.25</v>
      </c>
      <c r="V259" s="253">
        <f t="shared" si="46"/>
        <v>0.25</v>
      </c>
      <c r="W259" s="253">
        <f t="shared" si="46"/>
        <v>0.25</v>
      </c>
      <c r="X259" s="253">
        <f t="shared" si="46"/>
        <v>0.25</v>
      </c>
      <c r="Y259" s="253">
        <f t="shared" si="46"/>
        <v>0.25</v>
      </c>
      <c r="Z259" s="253">
        <f t="shared" si="46"/>
        <v>0.25</v>
      </c>
      <c r="AA259" s="253">
        <f t="shared" si="46"/>
        <v>0.25</v>
      </c>
      <c r="AB259" s="253">
        <f t="shared" si="46"/>
        <v>0.25</v>
      </c>
      <c r="AC259" s="253">
        <f t="shared" si="46"/>
        <v>0.25</v>
      </c>
      <c r="AD259" s="253">
        <f t="shared" si="46"/>
        <v>0.25</v>
      </c>
      <c r="AE259" s="76"/>
      <c r="AF259" s="76"/>
      <c r="AG259" s="76"/>
      <c r="AH259" s="97">
        <v>1</v>
      </c>
      <c r="AI259" s="97">
        <v>1</v>
      </c>
      <c r="AJ259" s="73"/>
      <c r="AK259" s="57"/>
      <c r="AL259" s="45"/>
      <c r="AM259" s="45"/>
      <c r="AN259" s="45"/>
    </row>
    <row r="260" spans="1:40" hidden="1" outlineLevel="2" x14ac:dyDescent="0.25">
      <c r="A260" s="45"/>
      <c r="B260" s="54"/>
      <c r="C260" s="47">
        <f t="shared" si="45"/>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6"/>
        <v>0.9</v>
      </c>
      <c r="V260" s="253">
        <f t="shared" si="46"/>
        <v>0.9</v>
      </c>
      <c r="W260" s="253">
        <f t="shared" si="46"/>
        <v>0.9</v>
      </c>
      <c r="X260" s="253">
        <f t="shared" si="46"/>
        <v>0.9</v>
      </c>
      <c r="Y260" s="253">
        <f t="shared" si="46"/>
        <v>0.9</v>
      </c>
      <c r="Z260" s="253">
        <f t="shared" si="46"/>
        <v>0.9</v>
      </c>
      <c r="AA260" s="253">
        <f t="shared" si="46"/>
        <v>0.9</v>
      </c>
      <c r="AB260" s="253">
        <f t="shared" si="46"/>
        <v>0.9</v>
      </c>
      <c r="AC260" s="253">
        <f t="shared" si="46"/>
        <v>0.9</v>
      </c>
      <c r="AD260" s="253">
        <f t="shared" si="46"/>
        <v>0.9</v>
      </c>
      <c r="AE260" s="76"/>
      <c r="AF260" s="76"/>
      <c r="AG260" s="76"/>
      <c r="AH260" s="97">
        <v>1</v>
      </c>
      <c r="AI260" s="97">
        <v>1</v>
      </c>
      <c r="AJ260" s="73"/>
      <c r="AK260" s="57"/>
      <c r="AL260" s="45"/>
      <c r="AM260" s="45"/>
      <c r="AN260" s="45"/>
    </row>
    <row r="261" spans="1:40" hidden="1"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7">INDEX($K262:$Q262,1,U$43)</f>
        <v>90</v>
      </c>
      <c r="V262" s="253">
        <f t="shared" si="47"/>
        <v>90</v>
      </c>
      <c r="W262" s="253">
        <f t="shared" si="47"/>
        <v>90</v>
      </c>
      <c r="X262" s="253">
        <f t="shared" si="47"/>
        <v>90</v>
      </c>
      <c r="Y262" s="253">
        <f t="shared" si="47"/>
        <v>90</v>
      </c>
      <c r="Z262" s="253">
        <f t="shared" si="47"/>
        <v>90</v>
      </c>
      <c r="AA262" s="253">
        <f t="shared" si="47"/>
        <v>90</v>
      </c>
      <c r="AB262" s="253">
        <f t="shared" si="47"/>
        <v>90</v>
      </c>
      <c r="AC262" s="253">
        <f t="shared" si="47"/>
        <v>90</v>
      </c>
      <c r="AD262" s="253">
        <f t="shared" si="47"/>
        <v>90</v>
      </c>
      <c r="AE262" s="76"/>
      <c r="AF262" s="76"/>
      <c r="AG262" s="76"/>
      <c r="AH262" s="97">
        <v>1</v>
      </c>
      <c r="AI262" s="97">
        <v>1</v>
      </c>
      <c r="AJ262" s="73"/>
      <c r="AK262" s="57"/>
      <c r="AL262" s="45"/>
      <c r="AM262" s="45"/>
      <c r="AN262" s="45"/>
    </row>
    <row r="263" spans="1:40" hidden="1" outlineLevel="2" x14ac:dyDescent="0.25">
      <c r="A263" s="45"/>
      <c r="B263" s="54"/>
      <c r="C263" s="47">
        <f t="shared" ref="C263:C275" si="48">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7"/>
        <v>150</v>
      </c>
      <c r="V263" s="253">
        <f t="shared" si="47"/>
        <v>150</v>
      </c>
      <c r="W263" s="253">
        <f t="shared" si="47"/>
        <v>150</v>
      </c>
      <c r="X263" s="253">
        <f t="shared" si="47"/>
        <v>150</v>
      </c>
      <c r="Y263" s="253">
        <f t="shared" si="47"/>
        <v>150</v>
      </c>
      <c r="Z263" s="253">
        <f t="shared" si="47"/>
        <v>150</v>
      </c>
      <c r="AA263" s="253">
        <f t="shared" si="47"/>
        <v>150</v>
      </c>
      <c r="AB263" s="253">
        <f t="shared" si="47"/>
        <v>150</v>
      </c>
      <c r="AC263" s="253">
        <f t="shared" si="47"/>
        <v>150</v>
      </c>
      <c r="AD263" s="253">
        <f t="shared" si="47"/>
        <v>150</v>
      </c>
      <c r="AE263" s="76"/>
      <c r="AF263" s="76"/>
      <c r="AG263" s="76"/>
      <c r="AH263" s="97">
        <v>1</v>
      </c>
      <c r="AI263" s="97">
        <v>1</v>
      </c>
      <c r="AJ263" s="73"/>
      <c r="AK263" s="57"/>
      <c r="AL263" s="45"/>
      <c r="AM263" s="45"/>
      <c r="AN263" s="45"/>
    </row>
    <row r="264" spans="1:40" hidden="1" outlineLevel="2" x14ac:dyDescent="0.25">
      <c r="A264" s="45"/>
      <c r="B264" s="54"/>
      <c r="C264" s="47">
        <f t="shared" si="48"/>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7"/>
        <v>1.304</v>
      </c>
      <c r="V264" s="253">
        <f t="shared" si="47"/>
        <v>1.304</v>
      </c>
      <c r="W264" s="253">
        <f t="shared" si="47"/>
        <v>1.304</v>
      </c>
      <c r="X264" s="253">
        <f t="shared" si="47"/>
        <v>1.304</v>
      </c>
      <c r="Y264" s="253">
        <f t="shared" si="47"/>
        <v>1.304</v>
      </c>
      <c r="Z264" s="253">
        <f t="shared" si="47"/>
        <v>1.304</v>
      </c>
      <c r="AA264" s="253">
        <f t="shared" si="47"/>
        <v>1.304</v>
      </c>
      <c r="AB264" s="253">
        <f t="shared" si="47"/>
        <v>1.304</v>
      </c>
      <c r="AC264" s="253">
        <f t="shared" si="47"/>
        <v>1.304</v>
      </c>
      <c r="AD264" s="253">
        <f t="shared" si="47"/>
        <v>1.304</v>
      </c>
      <c r="AE264" s="76"/>
      <c r="AF264" s="76"/>
      <c r="AG264" s="76"/>
      <c r="AH264" s="97">
        <v>1</v>
      </c>
      <c r="AI264" s="97">
        <v>1</v>
      </c>
      <c r="AJ264" s="73"/>
      <c r="AK264" s="57"/>
      <c r="AL264" s="45"/>
      <c r="AM264" s="45"/>
      <c r="AN264" s="45"/>
    </row>
    <row r="265" spans="1:40" hidden="1" outlineLevel="2" x14ac:dyDescent="0.25">
      <c r="A265" s="45"/>
      <c r="B265" s="54"/>
      <c r="C265" s="47">
        <f t="shared" si="48"/>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7"/>
        <v>2.625</v>
      </c>
      <c r="V265" s="253">
        <f t="shared" si="47"/>
        <v>2.625</v>
      </c>
      <c r="W265" s="253">
        <f t="shared" si="47"/>
        <v>2.625</v>
      </c>
      <c r="X265" s="253">
        <f t="shared" si="47"/>
        <v>2.625</v>
      </c>
      <c r="Y265" s="253">
        <f t="shared" si="47"/>
        <v>2.625</v>
      </c>
      <c r="Z265" s="253">
        <f t="shared" si="47"/>
        <v>2.625</v>
      </c>
      <c r="AA265" s="253">
        <f t="shared" si="47"/>
        <v>2.625</v>
      </c>
      <c r="AB265" s="253">
        <f t="shared" si="47"/>
        <v>2.625</v>
      </c>
      <c r="AC265" s="253">
        <f t="shared" si="47"/>
        <v>2.625</v>
      </c>
      <c r="AD265" s="253">
        <f t="shared" si="47"/>
        <v>2.625</v>
      </c>
      <c r="AE265" s="76"/>
      <c r="AF265" s="76"/>
      <c r="AG265" s="76"/>
      <c r="AH265" s="97">
        <v>1</v>
      </c>
      <c r="AI265" s="97">
        <v>1</v>
      </c>
      <c r="AJ265" s="73"/>
      <c r="AK265" s="57"/>
      <c r="AL265" s="45"/>
      <c r="AM265" s="45"/>
      <c r="AN265" s="45"/>
    </row>
    <row r="266" spans="1:40" hidden="1" outlineLevel="2" x14ac:dyDescent="0.25">
      <c r="A266" s="45"/>
      <c r="B266" s="54"/>
      <c r="C266" s="47">
        <f t="shared" si="48"/>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7"/>
        <v>0.33</v>
      </c>
      <c r="V266" s="253">
        <f t="shared" si="47"/>
        <v>0.33</v>
      </c>
      <c r="W266" s="253">
        <f t="shared" si="47"/>
        <v>0.33</v>
      </c>
      <c r="X266" s="253">
        <f t="shared" si="47"/>
        <v>0.33</v>
      </c>
      <c r="Y266" s="253">
        <f t="shared" si="47"/>
        <v>0.33</v>
      </c>
      <c r="Z266" s="253">
        <f t="shared" si="47"/>
        <v>0.33</v>
      </c>
      <c r="AA266" s="253">
        <f t="shared" si="47"/>
        <v>0.33</v>
      </c>
      <c r="AB266" s="253">
        <f t="shared" si="47"/>
        <v>0.33</v>
      </c>
      <c r="AC266" s="253">
        <f t="shared" si="47"/>
        <v>0.33</v>
      </c>
      <c r="AD266" s="253">
        <f t="shared" si="47"/>
        <v>0.33</v>
      </c>
      <c r="AE266" s="76"/>
      <c r="AF266" s="76"/>
      <c r="AG266" s="76"/>
      <c r="AH266" s="97">
        <v>1</v>
      </c>
      <c r="AI266" s="97">
        <v>1</v>
      </c>
      <c r="AJ266" s="73"/>
      <c r="AK266" s="57"/>
      <c r="AL266" s="45"/>
      <c r="AM266" s="45"/>
      <c r="AN266" s="45"/>
    </row>
    <row r="267" spans="1:40" hidden="1" outlineLevel="2" x14ac:dyDescent="0.25">
      <c r="A267" s="45"/>
      <c r="B267" s="54"/>
      <c r="C267" s="47">
        <f t="shared" si="48"/>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7"/>
        <v>1.43</v>
      </c>
      <c r="V267" s="253">
        <f t="shared" si="47"/>
        <v>1.43</v>
      </c>
      <c r="W267" s="253">
        <f t="shared" si="47"/>
        <v>1.43</v>
      </c>
      <c r="X267" s="253">
        <f t="shared" si="47"/>
        <v>1.43</v>
      </c>
      <c r="Y267" s="253">
        <f t="shared" si="47"/>
        <v>1.43</v>
      </c>
      <c r="Z267" s="253">
        <f t="shared" si="47"/>
        <v>1.43</v>
      </c>
      <c r="AA267" s="253">
        <f t="shared" si="47"/>
        <v>1.43</v>
      </c>
      <c r="AB267" s="253">
        <f t="shared" si="47"/>
        <v>1.43</v>
      </c>
      <c r="AC267" s="253">
        <f t="shared" si="47"/>
        <v>1.43</v>
      </c>
      <c r="AD267" s="253">
        <f t="shared" si="47"/>
        <v>1.43</v>
      </c>
      <c r="AE267" s="76"/>
      <c r="AF267" s="76"/>
      <c r="AG267" s="76"/>
      <c r="AH267" s="97">
        <v>1</v>
      </c>
      <c r="AI267" s="97">
        <v>1</v>
      </c>
      <c r="AJ267" s="73"/>
      <c r="AK267" s="57"/>
      <c r="AL267" s="45"/>
      <c r="AM267" s="45"/>
      <c r="AN267" s="45"/>
    </row>
    <row r="268" spans="1:40" hidden="1" outlineLevel="2" x14ac:dyDescent="0.25">
      <c r="A268" s="45"/>
      <c r="B268" s="54"/>
      <c r="C268" s="47">
        <f t="shared" si="48"/>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7"/>
        <v>3.38</v>
      </c>
      <c r="V268" s="253">
        <f t="shared" si="47"/>
        <v>3.38</v>
      </c>
      <c r="W268" s="253">
        <f t="shared" si="47"/>
        <v>3.38</v>
      </c>
      <c r="X268" s="253">
        <f t="shared" si="47"/>
        <v>3.38</v>
      </c>
      <c r="Y268" s="253">
        <f t="shared" si="47"/>
        <v>3.38</v>
      </c>
      <c r="Z268" s="253">
        <f t="shared" si="47"/>
        <v>3.38</v>
      </c>
      <c r="AA268" s="253">
        <f t="shared" si="47"/>
        <v>3.38</v>
      </c>
      <c r="AB268" s="253">
        <f t="shared" si="47"/>
        <v>3.38</v>
      </c>
      <c r="AC268" s="253">
        <f t="shared" si="47"/>
        <v>3.38</v>
      </c>
      <c r="AD268" s="253">
        <f t="shared" si="47"/>
        <v>3.38</v>
      </c>
      <c r="AE268" s="76"/>
      <c r="AF268" s="76"/>
      <c r="AG268" s="76"/>
      <c r="AH268" s="97">
        <v>1</v>
      </c>
      <c r="AI268" s="97">
        <v>1</v>
      </c>
      <c r="AJ268" s="73"/>
      <c r="AK268" s="57"/>
      <c r="AL268" s="45"/>
      <c r="AM268" s="45"/>
      <c r="AN268" s="45"/>
    </row>
    <row r="269" spans="1:40" hidden="1" outlineLevel="2" x14ac:dyDescent="0.25">
      <c r="A269" s="45"/>
      <c r="B269" s="54"/>
      <c r="C269" s="47">
        <f t="shared" si="48"/>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7"/>
        <v>0.91</v>
      </c>
      <c r="V269" s="253">
        <f t="shared" si="47"/>
        <v>0.91</v>
      </c>
      <c r="W269" s="253">
        <f t="shared" si="47"/>
        <v>0.91</v>
      </c>
      <c r="X269" s="253">
        <f t="shared" si="47"/>
        <v>0.91</v>
      </c>
      <c r="Y269" s="253">
        <f t="shared" si="47"/>
        <v>0.91</v>
      </c>
      <c r="Z269" s="253">
        <f t="shared" si="47"/>
        <v>0.91</v>
      </c>
      <c r="AA269" s="253">
        <f t="shared" si="47"/>
        <v>0.91</v>
      </c>
      <c r="AB269" s="253">
        <f t="shared" si="47"/>
        <v>0.91</v>
      </c>
      <c r="AC269" s="253">
        <f t="shared" si="47"/>
        <v>0.91</v>
      </c>
      <c r="AD269" s="253">
        <f t="shared" si="47"/>
        <v>0.91</v>
      </c>
      <c r="AE269" s="76"/>
      <c r="AF269" s="76"/>
      <c r="AG269" s="76"/>
      <c r="AH269" s="97">
        <v>1</v>
      </c>
      <c r="AI269" s="97">
        <v>1</v>
      </c>
      <c r="AJ269" s="73"/>
      <c r="AK269" s="57"/>
      <c r="AL269" s="45"/>
      <c r="AM269" s="45"/>
      <c r="AN269" s="45"/>
    </row>
    <row r="270" spans="1:40" hidden="1" outlineLevel="2" x14ac:dyDescent="0.25">
      <c r="A270" s="45"/>
      <c r="B270" s="54"/>
      <c r="C270" s="47">
        <f t="shared" si="48"/>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7"/>
        <v>4.33</v>
      </c>
      <c r="V270" s="253">
        <f t="shared" si="47"/>
        <v>4.33</v>
      </c>
      <c r="W270" s="253">
        <f t="shared" si="47"/>
        <v>4.33</v>
      </c>
      <c r="X270" s="253">
        <f t="shared" si="47"/>
        <v>4.33</v>
      </c>
      <c r="Y270" s="253">
        <f t="shared" si="47"/>
        <v>4.33</v>
      </c>
      <c r="Z270" s="253">
        <f t="shared" si="47"/>
        <v>4.33</v>
      </c>
      <c r="AA270" s="253">
        <f t="shared" si="47"/>
        <v>4.33</v>
      </c>
      <c r="AB270" s="253">
        <f t="shared" si="47"/>
        <v>4.33</v>
      </c>
      <c r="AC270" s="253">
        <f t="shared" si="47"/>
        <v>4.33</v>
      </c>
      <c r="AD270" s="253">
        <f t="shared" si="47"/>
        <v>4.33</v>
      </c>
      <c r="AE270" s="76"/>
      <c r="AF270" s="76"/>
      <c r="AG270" s="76"/>
      <c r="AH270" s="97">
        <v>1</v>
      </c>
      <c r="AI270" s="97">
        <v>1</v>
      </c>
      <c r="AJ270" s="73"/>
      <c r="AK270" s="57"/>
      <c r="AL270" s="45"/>
      <c r="AM270" s="45"/>
      <c r="AN270" s="45"/>
    </row>
    <row r="271" spans="1:40" hidden="1" outlineLevel="2" x14ac:dyDescent="0.25">
      <c r="A271" s="45"/>
      <c r="B271" s="54"/>
      <c r="C271" s="47">
        <f t="shared" si="48"/>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7"/>
        <v>4.37</v>
      </c>
      <c r="V271" s="253">
        <f t="shared" si="47"/>
        <v>4.37</v>
      </c>
      <c r="W271" s="253">
        <f t="shared" si="47"/>
        <v>4.37</v>
      </c>
      <c r="X271" s="253">
        <f t="shared" si="47"/>
        <v>4.37</v>
      </c>
      <c r="Y271" s="253">
        <f t="shared" si="47"/>
        <v>4.37</v>
      </c>
      <c r="Z271" s="253">
        <f t="shared" si="47"/>
        <v>4.37</v>
      </c>
      <c r="AA271" s="253">
        <f t="shared" si="47"/>
        <v>4.37</v>
      </c>
      <c r="AB271" s="253">
        <f t="shared" si="47"/>
        <v>4.37</v>
      </c>
      <c r="AC271" s="253">
        <f t="shared" si="47"/>
        <v>4.37</v>
      </c>
      <c r="AD271" s="253">
        <f t="shared" si="47"/>
        <v>4.37</v>
      </c>
      <c r="AE271" s="76"/>
      <c r="AF271" s="76"/>
      <c r="AG271" s="76"/>
      <c r="AH271" s="97">
        <v>1</v>
      </c>
      <c r="AI271" s="97">
        <v>1</v>
      </c>
      <c r="AJ271" s="73"/>
      <c r="AK271" s="57"/>
      <c r="AL271" s="45"/>
      <c r="AM271" s="45"/>
      <c r="AN271" s="45"/>
    </row>
    <row r="272" spans="1:40" hidden="1" outlineLevel="2" x14ac:dyDescent="0.25">
      <c r="A272" s="45"/>
      <c r="B272" s="54"/>
      <c r="C272" s="47">
        <f t="shared" si="48"/>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7"/>
        <v>0.96499999999999997</v>
      </c>
      <c r="V272" s="253">
        <f t="shared" si="47"/>
        <v>0.96499999999999997</v>
      </c>
      <c r="W272" s="253">
        <f t="shared" si="47"/>
        <v>0.96499999999999997</v>
      </c>
      <c r="X272" s="253">
        <f t="shared" si="47"/>
        <v>0.96499999999999997</v>
      </c>
      <c r="Y272" s="253">
        <f t="shared" si="47"/>
        <v>0.96499999999999997</v>
      </c>
      <c r="Z272" s="253">
        <f t="shared" si="47"/>
        <v>0.96499999999999997</v>
      </c>
      <c r="AA272" s="253">
        <f t="shared" si="47"/>
        <v>0.96499999999999997</v>
      </c>
      <c r="AB272" s="253">
        <f t="shared" si="47"/>
        <v>0.96499999999999997</v>
      </c>
      <c r="AC272" s="253">
        <f t="shared" si="47"/>
        <v>0.96499999999999997</v>
      </c>
      <c r="AD272" s="253">
        <f t="shared" si="47"/>
        <v>0.96499999999999997</v>
      </c>
      <c r="AE272" s="76"/>
      <c r="AF272" s="76"/>
      <c r="AG272" s="76"/>
      <c r="AH272" s="97">
        <v>1</v>
      </c>
      <c r="AI272" s="97">
        <v>1</v>
      </c>
      <c r="AJ272" s="73"/>
      <c r="AK272" s="57"/>
      <c r="AL272" s="45"/>
      <c r="AM272" s="45"/>
      <c r="AN272" s="45"/>
    </row>
    <row r="273" spans="1:40" hidden="1" outlineLevel="2" x14ac:dyDescent="0.25">
      <c r="A273" s="45"/>
      <c r="B273" s="54"/>
      <c r="C273" s="47">
        <f t="shared" si="48"/>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7"/>
        <v>0.14499999999999999</v>
      </c>
      <c r="V273" s="253">
        <f t="shared" si="47"/>
        <v>0.14499999999999999</v>
      </c>
      <c r="W273" s="253">
        <f t="shared" si="47"/>
        <v>0.14499999999999999</v>
      </c>
      <c r="X273" s="253">
        <f t="shared" si="47"/>
        <v>0.14499999999999999</v>
      </c>
      <c r="Y273" s="253">
        <f t="shared" si="47"/>
        <v>0.14499999999999999</v>
      </c>
      <c r="Z273" s="253">
        <f t="shared" si="47"/>
        <v>0.14499999999999999</v>
      </c>
      <c r="AA273" s="253">
        <f t="shared" si="47"/>
        <v>0.14499999999999999</v>
      </c>
      <c r="AB273" s="253">
        <f t="shared" si="47"/>
        <v>0.14499999999999999</v>
      </c>
      <c r="AC273" s="253">
        <f t="shared" si="47"/>
        <v>0.14499999999999999</v>
      </c>
      <c r="AD273" s="253">
        <f t="shared" si="47"/>
        <v>0.14499999999999999</v>
      </c>
      <c r="AE273" s="76"/>
      <c r="AF273" s="76"/>
      <c r="AG273" s="76"/>
      <c r="AH273" s="97">
        <v>1</v>
      </c>
      <c r="AI273" s="97">
        <v>1</v>
      </c>
      <c r="AJ273" s="73"/>
      <c r="AK273" s="57"/>
      <c r="AL273" s="45"/>
      <c r="AM273" s="45"/>
      <c r="AN273" s="45"/>
    </row>
    <row r="274" spans="1:40" hidden="1" outlineLevel="2" x14ac:dyDescent="0.25">
      <c r="A274" s="45"/>
      <c r="B274" s="54"/>
      <c r="C274" s="47">
        <f t="shared" si="48"/>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7"/>
        <v>4.5599999999999996</v>
      </c>
      <c r="V274" s="253">
        <f t="shared" si="47"/>
        <v>4.5599999999999996</v>
      </c>
      <c r="W274" s="253">
        <f t="shared" si="47"/>
        <v>4.5599999999999996</v>
      </c>
      <c r="X274" s="253">
        <f t="shared" si="47"/>
        <v>4.5599999999999996</v>
      </c>
      <c r="Y274" s="253">
        <f t="shared" si="47"/>
        <v>4.5599999999999996</v>
      </c>
      <c r="Z274" s="253">
        <f t="shared" si="47"/>
        <v>4.5599999999999996</v>
      </c>
      <c r="AA274" s="253">
        <f t="shared" si="47"/>
        <v>4.5599999999999996</v>
      </c>
      <c r="AB274" s="253">
        <f t="shared" si="47"/>
        <v>4.5599999999999996</v>
      </c>
      <c r="AC274" s="253">
        <f t="shared" si="47"/>
        <v>4.5599999999999996</v>
      </c>
      <c r="AD274" s="253">
        <f t="shared" si="47"/>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8"/>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7"/>
        <v>0.9</v>
      </c>
      <c r="V275" s="253">
        <f t="shared" si="47"/>
        <v>0.9</v>
      </c>
      <c r="W275" s="253">
        <f t="shared" si="47"/>
        <v>0.9</v>
      </c>
      <c r="X275" s="253">
        <f t="shared" si="47"/>
        <v>0.9</v>
      </c>
      <c r="Y275" s="253">
        <f t="shared" si="47"/>
        <v>0.9</v>
      </c>
      <c r="Z275" s="253">
        <f t="shared" si="47"/>
        <v>0.9</v>
      </c>
      <c r="AA275" s="253">
        <f t="shared" si="47"/>
        <v>0.9</v>
      </c>
      <c r="AB275" s="253">
        <f t="shared" si="47"/>
        <v>0.9</v>
      </c>
      <c r="AC275" s="253">
        <f t="shared" si="47"/>
        <v>0.9</v>
      </c>
      <c r="AD275" s="253">
        <f t="shared" si="47"/>
        <v>0.9</v>
      </c>
      <c r="AE275" s="76"/>
      <c r="AF275" s="76"/>
      <c r="AG275" s="76"/>
      <c r="AH275" s="97">
        <v>1</v>
      </c>
      <c r="AI275" s="97">
        <v>1</v>
      </c>
      <c r="AJ275" s="73"/>
      <c r="AK275" s="57"/>
      <c r="AL275" s="45"/>
      <c r="AM275" s="45"/>
      <c r="AN275" s="45"/>
    </row>
    <row r="276" spans="1:40" hidden="1" outlineLevel="3" x14ac:dyDescent="0.25">
      <c r="A276" s="45"/>
      <c r="B276" s="54"/>
      <c r="C276" s="47">
        <f t="shared" ref="C276:C281" si="49">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9"/>
        <v>4</v>
      </c>
      <c r="D277" s="73"/>
      <c r="E277" s="70" t="s">
        <v>787</v>
      </c>
      <c r="F277" s="70" t="s">
        <v>3272</v>
      </c>
      <c r="G277" s="73"/>
      <c r="H277" s="76" t="s">
        <v>3273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3274</v>
      </c>
      <c r="AG277" s="76"/>
      <c r="AH277" s="76">
        <v>1</v>
      </c>
      <c r="AI277" s="76">
        <v>1</v>
      </c>
      <c r="AJ277" s="73"/>
      <c r="AK277" s="57"/>
      <c r="AL277" s="45"/>
      <c r="AM277" s="45"/>
      <c r="AN277" s="45"/>
    </row>
    <row r="278" spans="1:40" hidden="1" outlineLevel="2" x14ac:dyDescent="0.25">
      <c r="A278" s="45"/>
      <c r="B278" s="54"/>
      <c r="C278" s="47">
        <f t="shared" si="49"/>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50">INDEX($K278:$Q278,1,U$43)</f>
        <v>5.9630000000000001</v>
      </c>
      <c r="V278" s="253">
        <f t="shared" si="50"/>
        <v>5.9630000000000001</v>
      </c>
      <c r="W278" s="253">
        <f t="shared" si="50"/>
        <v>5.9630000000000001</v>
      </c>
      <c r="X278" s="253">
        <f t="shared" si="50"/>
        <v>5.9630000000000001</v>
      </c>
      <c r="Y278" s="253">
        <f t="shared" si="50"/>
        <v>5.9630000000000001</v>
      </c>
      <c r="Z278" s="253">
        <f t="shared" si="50"/>
        <v>5.9630000000000001</v>
      </c>
      <c r="AA278" s="253">
        <f t="shared" si="50"/>
        <v>5.9630000000000001</v>
      </c>
      <c r="AB278" s="253">
        <f t="shared" si="50"/>
        <v>5.9630000000000001</v>
      </c>
      <c r="AC278" s="253">
        <f t="shared" si="50"/>
        <v>5.9630000000000001</v>
      </c>
      <c r="AD278" s="253">
        <f t="shared" si="50"/>
        <v>5.9630000000000001</v>
      </c>
      <c r="AE278" s="76"/>
      <c r="AF278" s="76"/>
      <c r="AG278" s="76"/>
      <c r="AH278" s="97">
        <v>1</v>
      </c>
      <c r="AI278" s="97">
        <v>1</v>
      </c>
      <c r="AJ278" s="73"/>
      <c r="AK278" s="57"/>
      <c r="AL278" s="45"/>
      <c r="AM278" s="45"/>
      <c r="AN278" s="45"/>
    </row>
    <row r="279" spans="1:40" hidden="1" outlineLevel="2" x14ac:dyDescent="0.25">
      <c r="A279" s="45"/>
      <c r="B279" s="54"/>
      <c r="C279" s="47">
        <f t="shared" si="49"/>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50"/>
        <v>11.2</v>
      </c>
      <c r="V279" s="253">
        <f t="shared" si="50"/>
        <v>11.2</v>
      </c>
      <c r="W279" s="253">
        <f t="shared" si="50"/>
        <v>11.2</v>
      </c>
      <c r="X279" s="253">
        <f t="shared" si="50"/>
        <v>11.2</v>
      </c>
      <c r="Y279" s="253">
        <f t="shared" si="50"/>
        <v>11.2</v>
      </c>
      <c r="Z279" s="253">
        <f t="shared" si="50"/>
        <v>11.2</v>
      </c>
      <c r="AA279" s="253">
        <f t="shared" si="50"/>
        <v>11.2</v>
      </c>
      <c r="AB279" s="253">
        <f t="shared" si="50"/>
        <v>11.2</v>
      </c>
      <c r="AC279" s="253">
        <f t="shared" si="50"/>
        <v>11.2</v>
      </c>
      <c r="AD279" s="253">
        <f t="shared" si="50"/>
        <v>11.2</v>
      </c>
      <c r="AE279" s="76"/>
      <c r="AF279" s="76"/>
      <c r="AG279" s="76"/>
      <c r="AH279" s="97">
        <v>1</v>
      </c>
      <c r="AI279" s="97">
        <v>1</v>
      </c>
      <c r="AJ279" s="73"/>
      <c r="AK279" s="57"/>
      <c r="AL279" s="45"/>
      <c r="AM279" s="45"/>
      <c r="AN279" s="45"/>
    </row>
    <row r="280" spans="1:40" hidden="1" outlineLevel="2" x14ac:dyDescent="0.25">
      <c r="A280" s="45"/>
      <c r="B280" s="54"/>
      <c r="C280" s="47">
        <f t="shared" si="49"/>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50"/>
        <v>9.4500000000000001E-3</v>
      </c>
      <c r="V280" s="253">
        <f t="shared" si="50"/>
        <v>9.4500000000000001E-3</v>
      </c>
      <c r="W280" s="253">
        <f t="shared" si="50"/>
        <v>9.4500000000000001E-3</v>
      </c>
      <c r="X280" s="253">
        <f t="shared" si="50"/>
        <v>9.4500000000000001E-3</v>
      </c>
      <c r="Y280" s="253">
        <f t="shared" si="50"/>
        <v>9.4500000000000001E-3</v>
      </c>
      <c r="Z280" s="253">
        <f t="shared" si="50"/>
        <v>9.4500000000000001E-3</v>
      </c>
      <c r="AA280" s="253">
        <f t="shared" si="50"/>
        <v>9.4500000000000001E-3</v>
      </c>
      <c r="AB280" s="253">
        <f t="shared" si="50"/>
        <v>9.4500000000000001E-3</v>
      </c>
      <c r="AC280" s="253">
        <f t="shared" si="50"/>
        <v>9.4500000000000001E-3</v>
      </c>
      <c r="AD280" s="253">
        <f t="shared" si="50"/>
        <v>9.4500000000000001E-3</v>
      </c>
      <c r="AE280" s="76"/>
      <c r="AF280" s="76"/>
      <c r="AG280" s="76"/>
      <c r="AH280" s="97">
        <v>1</v>
      </c>
      <c r="AI280" s="97">
        <v>1</v>
      </c>
      <c r="AJ280" s="73"/>
      <c r="AK280" s="57"/>
      <c r="AL280" s="45"/>
      <c r="AM280" s="45"/>
      <c r="AN280" s="45"/>
    </row>
    <row r="281" spans="1:40" hidden="1" outlineLevel="2" x14ac:dyDescent="0.25">
      <c r="A281" s="45"/>
      <c r="B281" s="54"/>
      <c r="C281" s="47">
        <f t="shared" si="49"/>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50"/>
        <v>0</v>
      </c>
      <c r="V281" s="253">
        <f t="shared" si="50"/>
        <v>0</v>
      </c>
      <c r="W281" s="253">
        <f t="shared" si="50"/>
        <v>0</v>
      </c>
      <c r="X281" s="253">
        <f t="shared" si="50"/>
        <v>0</v>
      </c>
      <c r="Y281" s="253">
        <f t="shared" si="50"/>
        <v>0</v>
      </c>
      <c r="Z281" s="253">
        <f t="shared" si="50"/>
        <v>0</v>
      </c>
      <c r="AA281" s="253">
        <f t="shared" si="50"/>
        <v>0</v>
      </c>
      <c r="AB281" s="253">
        <f t="shared" si="50"/>
        <v>0</v>
      </c>
      <c r="AC281" s="253">
        <f t="shared" si="50"/>
        <v>0</v>
      </c>
      <c r="AD281" s="253">
        <f t="shared" si="50"/>
        <v>0</v>
      </c>
      <c r="AE281" s="76"/>
      <c r="AF281" s="76"/>
      <c r="AG281" s="76"/>
      <c r="AH281" s="97">
        <v>1</v>
      </c>
      <c r="AI281" s="97">
        <v>1</v>
      </c>
      <c r="AJ281" s="73"/>
      <c r="AK281" s="57"/>
      <c r="AL281" s="45"/>
      <c r="AM281" s="45"/>
      <c r="AN281" s="45"/>
    </row>
    <row r="282" spans="1:40" hidden="1" outlineLevel="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outlineLevel="2" x14ac:dyDescent="0.2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3286</v>
      </c>
      <c r="U283" s="97">
        <v>1</v>
      </c>
      <c r="V283" s="97">
        <v>1</v>
      </c>
      <c r="W283" s="631">
        <f>$V283+0.1</f>
        <v>1.1000000000000001</v>
      </c>
      <c r="X283" s="631">
        <f>$V283+0-0.1</f>
        <v>0.9</v>
      </c>
      <c r="Y283" s="631">
        <f t="shared" ref="X283:Y283" si="51">$V283+0</f>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25">
      <c r="A284" s="45"/>
      <c r="B284" s="54"/>
      <c r="C284" s="47">
        <f t="shared" ref="C284:C308" si="52">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3">INDEX($K284:$Q284,1,U$43)</f>
        <v>2</v>
      </c>
      <c r="V284" s="253">
        <f t="shared" si="53"/>
        <v>2</v>
      </c>
      <c r="W284" s="253">
        <f t="shared" si="53"/>
        <v>2</v>
      </c>
      <c r="X284" s="253">
        <f t="shared" si="53"/>
        <v>2</v>
      </c>
      <c r="Y284" s="253">
        <f t="shared" si="53"/>
        <v>2</v>
      </c>
      <c r="Z284" s="253">
        <f t="shared" si="53"/>
        <v>2</v>
      </c>
      <c r="AA284" s="253">
        <f t="shared" si="53"/>
        <v>2</v>
      </c>
      <c r="AB284" s="253">
        <f t="shared" si="53"/>
        <v>2</v>
      </c>
      <c r="AC284" s="253">
        <f t="shared" si="53"/>
        <v>2</v>
      </c>
      <c r="AD284" s="253">
        <f t="shared" si="53"/>
        <v>2</v>
      </c>
      <c r="AE284" s="76"/>
      <c r="AF284" s="76"/>
      <c r="AG284" s="76"/>
      <c r="AH284" s="97">
        <v>1</v>
      </c>
      <c r="AI284" s="97">
        <v>1</v>
      </c>
      <c r="AJ284" s="73"/>
      <c r="AK284" s="57"/>
      <c r="AL284" s="45"/>
      <c r="AM284" s="45"/>
      <c r="AN284" s="45"/>
    </row>
    <row r="285" spans="1:40" hidden="1" outlineLevel="2" x14ac:dyDescent="0.25">
      <c r="A285" s="45"/>
      <c r="B285" s="54"/>
      <c r="C285" s="47">
        <f t="shared" si="52"/>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3"/>
        <v>22</v>
      </c>
      <c r="V285" s="253">
        <f t="shared" si="53"/>
        <v>22</v>
      </c>
      <c r="W285" s="253">
        <f t="shared" si="53"/>
        <v>22</v>
      </c>
      <c r="X285" s="253">
        <f t="shared" si="53"/>
        <v>22</v>
      </c>
      <c r="Y285" s="253">
        <f t="shared" si="53"/>
        <v>22</v>
      </c>
      <c r="Z285" s="253">
        <f t="shared" si="53"/>
        <v>22</v>
      </c>
      <c r="AA285" s="253">
        <f t="shared" si="53"/>
        <v>22</v>
      </c>
      <c r="AB285" s="253">
        <f t="shared" si="53"/>
        <v>22</v>
      </c>
      <c r="AC285" s="253">
        <f t="shared" si="53"/>
        <v>22</v>
      </c>
      <c r="AD285" s="253">
        <f t="shared" si="53"/>
        <v>22</v>
      </c>
      <c r="AE285" s="76"/>
      <c r="AF285" s="76"/>
      <c r="AG285" s="76"/>
      <c r="AH285" s="97">
        <v>1</v>
      </c>
      <c r="AI285" s="97">
        <v>1</v>
      </c>
      <c r="AJ285" s="73"/>
      <c r="AK285" s="57"/>
      <c r="AL285" s="45"/>
      <c r="AM285" s="45"/>
      <c r="AN285" s="45"/>
    </row>
    <row r="286" spans="1:40" hidden="1" outlineLevel="2" x14ac:dyDescent="0.25">
      <c r="A286" s="45"/>
      <c r="B286" s="54"/>
      <c r="C286" s="47">
        <f t="shared" si="52"/>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3"/>
        <v>1</v>
      </c>
      <c r="V286" s="253">
        <f t="shared" si="53"/>
        <v>1</v>
      </c>
      <c r="W286" s="253">
        <f t="shared" si="53"/>
        <v>1</v>
      </c>
      <c r="X286" s="253">
        <f t="shared" si="53"/>
        <v>1</v>
      </c>
      <c r="Y286" s="253">
        <f t="shared" si="53"/>
        <v>1</v>
      </c>
      <c r="Z286" s="253">
        <f t="shared" si="53"/>
        <v>1</v>
      </c>
      <c r="AA286" s="253">
        <f t="shared" si="53"/>
        <v>1</v>
      </c>
      <c r="AB286" s="253">
        <f t="shared" si="53"/>
        <v>1</v>
      </c>
      <c r="AC286" s="253">
        <f t="shared" si="53"/>
        <v>1</v>
      </c>
      <c r="AD286" s="253">
        <f t="shared" si="53"/>
        <v>1</v>
      </c>
      <c r="AE286" s="76"/>
      <c r="AF286" s="76"/>
      <c r="AG286" s="76"/>
      <c r="AH286" s="97">
        <v>1</v>
      </c>
      <c r="AI286" s="97">
        <v>1</v>
      </c>
      <c r="AJ286" s="73"/>
      <c r="AK286" s="57"/>
      <c r="AL286" s="45"/>
      <c r="AM286" s="45"/>
      <c r="AN286" s="45"/>
    </row>
    <row r="287" spans="1:40" hidden="1" outlineLevel="2" x14ac:dyDescent="0.25">
      <c r="A287" s="45"/>
      <c r="B287" s="54"/>
      <c r="C287" s="47">
        <f t="shared" si="52"/>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3"/>
        <v>0</v>
      </c>
      <c r="V287" s="253">
        <f t="shared" si="53"/>
        <v>0</v>
      </c>
      <c r="W287" s="253">
        <f t="shared" si="53"/>
        <v>0</v>
      </c>
      <c r="X287" s="253">
        <f t="shared" si="53"/>
        <v>0</v>
      </c>
      <c r="Y287" s="253">
        <f t="shared" si="53"/>
        <v>0</v>
      </c>
      <c r="Z287" s="253">
        <f t="shared" si="53"/>
        <v>0</v>
      </c>
      <c r="AA287" s="253">
        <f t="shared" si="53"/>
        <v>0</v>
      </c>
      <c r="AB287" s="253">
        <f t="shared" si="53"/>
        <v>0</v>
      </c>
      <c r="AC287" s="253">
        <f t="shared" si="53"/>
        <v>0</v>
      </c>
      <c r="AD287" s="253">
        <f t="shared" si="53"/>
        <v>0</v>
      </c>
      <c r="AE287" s="76"/>
      <c r="AF287" s="76"/>
      <c r="AG287" s="76"/>
      <c r="AH287" s="97">
        <v>1</v>
      </c>
      <c r="AI287" s="97">
        <v>1</v>
      </c>
      <c r="AJ287" s="73"/>
      <c r="AK287" s="57"/>
      <c r="AL287" s="45"/>
      <c r="AM287" s="45"/>
      <c r="AN287" s="45"/>
    </row>
    <row r="288" spans="1:40" hidden="1" outlineLevel="2" x14ac:dyDescent="0.25">
      <c r="A288" s="45"/>
      <c r="B288" s="54"/>
      <c r="C288" s="47">
        <f t="shared" si="52"/>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3"/>
        <v>0.94</v>
      </c>
      <c r="V288" s="253">
        <f t="shared" si="53"/>
        <v>0.94</v>
      </c>
      <c r="W288" s="253">
        <f t="shared" si="53"/>
        <v>0.94</v>
      </c>
      <c r="X288" s="253">
        <f t="shared" si="53"/>
        <v>0.94</v>
      </c>
      <c r="Y288" s="253">
        <f t="shared" si="53"/>
        <v>0.94</v>
      </c>
      <c r="Z288" s="253">
        <f t="shared" si="53"/>
        <v>0.94</v>
      </c>
      <c r="AA288" s="253">
        <f t="shared" si="53"/>
        <v>0.94</v>
      </c>
      <c r="AB288" s="253">
        <f t="shared" si="53"/>
        <v>0.94</v>
      </c>
      <c r="AC288" s="253">
        <f t="shared" si="53"/>
        <v>0.94</v>
      </c>
      <c r="AD288" s="253">
        <f t="shared" si="53"/>
        <v>0.94</v>
      </c>
      <c r="AE288" s="76"/>
      <c r="AF288" s="76"/>
      <c r="AG288" s="76"/>
      <c r="AH288" s="97">
        <v>1</v>
      </c>
      <c r="AI288" s="97">
        <v>1</v>
      </c>
      <c r="AJ288" s="73"/>
      <c r="AK288" s="57"/>
      <c r="AL288" s="45"/>
      <c r="AM288" s="45"/>
      <c r="AN288" s="45"/>
    </row>
    <row r="289" spans="1:40" hidden="1" outlineLevel="2" x14ac:dyDescent="0.25">
      <c r="A289" s="45"/>
      <c r="B289" s="54"/>
      <c r="C289" s="47">
        <f t="shared" si="52"/>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3"/>
        <v>4.7</v>
      </c>
      <c r="V289" s="253">
        <f t="shared" si="53"/>
        <v>4.7</v>
      </c>
      <c r="W289" s="253">
        <f t="shared" si="53"/>
        <v>4.7</v>
      </c>
      <c r="X289" s="253">
        <f t="shared" si="53"/>
        <v>4.7</v>
      </c>
      <c r="Y289" s="253">
        <f t="shared" si="53"/>
        <v>4.7</v>
      </c>
      <c r="Z289" s="253">
        <f t="shared" si="53"/>
        <v>4.7</v>
      </c>
      <c r="AA289" s="253">
        <f t="shared" si="53"/>
        <v>4.7</v>
      </c>
      <c r="AB289" s="253">
        <f t="shared" si="53"/>
        <v>4.7</v>
      </c>
      <c r="AC289" s="253">
        <f t="shared" si="53"/>
        <v>4.7</v>
      </c>
      <c r="AD289" s="253">
        <f t="shared" si="53"/>
        <v>4.7</v>
      </c>
      <c r="AE289" s="76"/>
      <c r="AF289" s="76"/>
      <c r="AG289" s="76"/>
      <c r="AH289" s="97">
        <v>1</v>
      </c>
      <c r="AI289" s="97">
        <v>1</v>
      </c>
      <c r="AJ289" s="73"/>
      <c r="AK289" s="57"/>
      <c r="AL289" s="45"/>
      <c r="AM289" s="45"/>
      <c r="AN289" s="45"/>
    </row>
    <row r="290" spans="1:40" hidden="1" outlineLevel="2" collapsed="1" x14ac:dyDescent="0.25">
      <c r="A290" s="45"/>
      <c r="B290" s="54"/>
      <c r="C290" s="47">
        <f t="shared" si="52"/>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3"/>
        <v>1.17</v>
      </c>
      <c r="V290" s="253">
        <f t="shared" si="53"/>
        <v>1.17</v>
      </c>
      <c r="W290" s="253">
        <f t="shared" si="53"/>
        <v>1.17</v>
      </c>
      <c r="X290" s="253">
        <f t="shared" si="53"/>
        <v>1.17</v>
      </c>
      <c r="Y290" s="253">
        <f t="shared" si="53"/>
        <v>1.17</v>
      </c>
      <c r="Z290" s="253">
        <f t="shared" si="53"/>
        <v>1.17</v>
      </c>
      <c r="AA290" s="253">
        <f t="shared" si="53"/>
        <v>1.17</v>
      </c>
      <c r="AB290" s="253">
        <f t="shared" si="53"/>
        <v>1.17</v>
      </c>
      <c r="AC290" s="253">
        <f t="shared" si="53"/>
        <v>1.17</v>
      </c>
      <c r="AD290" s="253">
        <f t="shared" si="53"/>
        <v>1.17</v>
      </c>
      <c r="AE290" s="76"/>
      <c r="AF290" s="76"/>
      <c r="AG290" s="76"/>
      <c r="AH290" s="97">
        <v>1</v>
      </c>
      <c r="AI290" s="97">
        <v>1</v>
      </c>
      <c r="AJ290" s="73"/>
      <c r="AK290" s="57"/>
      <c r="AL290" s="45"/>
      <c r="AM290" s="45"/>
      <c r="AN290" s="45"/>
    </row>
    <row r="291" spans="1:40" hidden="1" outlineLevel="3" x14ac:dyDescent="0.25">
      <c r="A291" s="45"/>
      <c r="B291" s="54"/>
      <c r="C291" s="47">
        <f t="shared" si="52"/>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2"/>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2"/>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2"/>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2"/>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4">INDEX($K295:$Q295,1,U$43)</f>
        <v>0.3</v>
      </c>
      <c r="V295" s="253">
        <f t="shared" si="54"/>
        <v>0.3</v>
      </c>
      <c r="W295" s="253">
        <f t="shared" si="54"/>
        <v>0.3</v>
      </c>
      <c r="X295" s="253">
        <f t="shared" si="54"/>
        <v>0.3</v>
      </c>
      <c r="Y295" s="253">
        <f t="shared" si="54"/>
        <v>0.3</v>
      </c>
      <c r="Z295" s="253">
        <f t="shared" si="54"/>
        <v>0.3</v>
      </c>
      <c r="AA295" s="253">
        <f t="shared" si="54"/>
        <v>0.3</v>
      </c>
      <c r="AB295" s="253">
        <f t="shared" si="54"/>
        <v>0.3</v>
      </c>
      <c r="AC295" s="253">
        <f t="shared" si="54"/>
        <v>0.3</v>
      </c>
      <c r="AD295" s="253">
        <f t="shared" si="54"/>
        <v>0.3</v>
      </c>
      <c r="AE295" s="76"/>
      <c r="AF295" s="76"/>
      <c r="AG295" s="76"/>
      <c r="AH295" s="97">
        <v>1</v>
      </c>
      <c r="AI295" s="97">
        <v>1</v>
      </c>
      <c r="AJ295" s="73"/>
      <c r="AK295" s="57"/>
      <c r="AL295" s="45"/>
      <c r="AM295" s="45"/>
      <c r="AN295" s="45"/>
    </row>
    <row r="296" spans="1:40" hidden="1" outlineLevel="2" x14ac:dyDescent="0.25">
      <c r="A296" s="45"/>
      <c r="B296" s="54"/>
      <c r="C296" s="47">
        <f t="shared" si="52"/>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4"/>
        <v>0.41</v>
      </c>
      <c r="V296" s="253">
        <f t="shared" si="54"/>
        <v>0.41</v>
      </c>
      <c r="W296" s="253">
        <f t="shared" si="54"/>
        <v>0.41</v>
      </c>
      <c r="X296" s="253">
        <f t="shared" si="54"/>
        <v>0.41</v>
      </c>
      <c r="Y296" s="253">
        <f t="shared" si="54"/>
        <v>0.41</v>
      </c>
      <c r="Z296" s="253">
        <f t="shared" si="54"/>
        <v>0.41</v>
      </c>
      <c r="AA296" s="253">
        <f t="shared" si="54"/>
        <v>0.41</v>
      </c>
      <c r="AB296" s="253">
        <f t="shared" si="54"/>
        <v>0.41</v>
      </c>
      <c r="AC296" s="253">
        <f t="shared" si="54"/>
        <v>0.41</v>
      </c>
      <c r="AD296" s="253">
        <f t="shared" si="54"/>
        <v>0.41</v>
      </c>
      <c r="AE296" s="76"/>
      <c r="AF296" s="76"/>
      <c r="AG296" s="76"/>
      <c r="AH296" s="97">
        <v>1</v>
      </c>
      <c r="AI296" s="97">
        <v>1</v>
      </c>
      <c r="AJ296" s="73"/>
      <c r="AK296" s="57"/>
      <c r="AL296" s="45"/>
      <c r="AM296" s="45"/>
      <c r="AN296" s="45"/>
    </row>
    <row r="297" spans="1:40" hidden="1" outlineLevel="2" x14ac:dyDescent="0.25">
      <c r="A297" s="45"/>
      <c r="B297" s="54"/>
      <c r="C297" s="47">
        <f t="shared" si="52"/>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4"/>
        <v>7.0999999999999994E-2</v>
      </c>
      <c r="V297" s="253">
        <f t="shared" si="54"/>
        <v>7.0999999999999994E-2</v>
      </c>
      <c r="W297" s="253">
        <f t="shared" si="54"/>
        <v>7.0999999999999994E-2</v>
      </c>
      <c r="X297" s="253">
        <f t="shared" si="54"/>
        <v>7.0999999999999994E-2</v>
      </c>
      <c r="Y297" s="253">
        <f t="shared" si="54"/>
        <v>7.0999999999999994E-2</v>
      </c>
      <c r="Z297" s="253">
        <f t="shared" si="54"/>
        <v>7.0999999999999994E-2</v>
      </c>
      <c r="AA297" s="253">
        <f t="shared" si="54"/>
        <v>7.0999999999999994E-2</v>
      </c>
      <c r="AB297" s="253">
        <f t="shared" si="54"/>
        <v>7.0999999999999994E-2</v>
      </c>
      <c r="AC297" s="253">
        <f t="shared" si="54"/>
        <v>7.0999999999999994E-2</v>
      </c>
      <c r="AD297" s="253">
        <f t="shared" si="54"/>
        <v>7.0999999999999994E-2</v>
      </c>
      <c r="AE297" s="76"/>
      <c r="AF297" s="76"/>
      <c r="AG297" s="76"/>
      <c r="AH297" s="97">
        <v>1</v>
      </c>
      <c r="AI297" s="97">
        <v>1</v>
      </c>
      <c r="AJ297" s="73"/>
      <c r="AK297" s="57"/>
      <c r="AL297" s="45"/>
      <c r="AM297" s="45"/>
      <c r="AN297" s="45"/>
    </row>
    <row r="298" spans="1:40" hidden="1" outlineLevel="2" x14ac:dyDescent="0.25">
      <c r="A298" s="45"/>
      <c r="B298" s="54"/>
      <c r="C298" s="47">
        <f t="shared" si="52"/>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4"/>
        <v>4.4999999999999998E-2</v>
      </c>
      <c r="V298" s="253">
        <f t="shared" si="54"/>
        <v>4.4999999999999998E-2</v>
      </c>
      <c r="W298" s="253">
        <f t="shared" si="54"/>
        <v>4.4999999999999998E-2</v>
      </c>
      <c r="X298" s="253">
        <f t="shared" si="54"/>
        <v>4.4999999999999998E-2</v>
      </c>
      <c r="Y298" s="253">
        <f t="shared" si="54"/>
        <v>4.4999999999999998E-2</v>
      </c>
      <c r="Z298" s="253">
        <f t="shared" si="54"/>
        <v>4.4999999999999998E-2</v>
      </c>
      <c r="AA298" s="253">
        <f t="shared" si="54"/>
        <v>4.4999999999999998E-2</v>
      </c>
      <c r="AB298" s="253">
        <f t="shared" si="54"/>
        <v>4.4999999999999998E-2</v>
      </c>
      <c r="AC298" s="253">
        <f t="shared" si="54"/>
        <v>4.4999999999999998E-2</v>
      </c>
      <c r="AD298" s="253">
        <f t="shared" si="54"/>
        <v>4.4999999999999998E-2</v>
      </c>
      <c r="AE298" s="76"/>
      <c r="AF298" s="76"/>
      <c r="AG298" s="76"/>
      <c r="AH298" s="97">
        <v>1</v>
      </c>
      <c r="AI298" s="97">
        <v>1</v>
      </c>
      <c r="AJ298" s="73"/>
      <c r="AK298" s="57"/>
      <c r="AL298" s="45"/>
      <c r="AM298" s="45"/>
      <c r="AN298" s="45"/>
    </row>
    <row r="299" spans="1:40" hidden="1" outlineLevel="2" x14ac:dyDescent="0.25">
      <c r="A299" s="45"/>
      <c r="B299" s="54"/>
      <c r="C299" s="47">
        <f t="shared" si="52"/>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4"/>
        <v>0.7</v>
      </c>
      <c r="V299" s="253">
        <f t="shared" si="54"/>
        <v>0.7</v>
      </c>
      <c r="W299" s="253">
        <f t="shared" si="54"/>
        <v>0.7</v>
      </c>
      <c r="X299" s="253">
        <f t="shared" si="54"/>
        <v>0.7</v>
      </c>
      <c r="Y299" s="253">
        <f t="shared" si="54"/>
        <v>0.7</v>
      </c>
      <c r="Z299" s="253">
        <f t="shared" si="54"/>
        <v>0.7</v>
      </c>
      <c r="AA299" s="253">
        <f t="shared" si="54"/>
        <v>0.7</v>
      </c>
      <c r="AB299" s="253">
        <f t="shared" si="54"/>
        <v>0.7</v>
      </c>
      <c r="AC299" s="253">
        <f t="shared" si="54"/>
        <v>0.7</v>
      </c>
      <c r="AD299" s="253">
        <f t="shared" si="54"/>
        <v>0.7</v>
      </c>
      <c r="AE299" s="76"/>
      <c r="AF299" s="76"/>
      <c r="AG299" s="76"/>
      <c r="AH299" s="97">
        <v>1</v>
      </c>
      <c r="AI299" s="97">
        <v>1</v>
      </c>
      <c r="AJ299" s="73"/>
      <c r="AK299" s="57"/>
      <c r="AL299" s="45"/>
      <c r="AM299" s="45"/>
      <c r="AN299" s="45"/>
    </row>
    <row r="300" spans="1:40" hidden="1" outlineLevel="2" x14ac:dyDescent="0.25">
      <c r="A300" s="45"/>
      <c r="B300" s="54"/>
      <c r="C300" s="47">
        <f t="shared" si="52"/>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4"/>
        <v>0.01</v>
      </c>
      <c r="V300" s="253">
        <f t="shared" si="54"/>
        <v>0.01</v>
      </c>
      <c r="W300" s="253">
        <f t="shared" si="54"/>
        <v>0.01</v>
      </c>
      <c r="X300" s="253">
        <f t="shared" si="54"/>
        <v>0.01</v>
      </c>
      <c r="Y300" s="253">
        <f t="shared" si="54"/>
        <v>0.01</v>
      </c>
      <c r="Z300" s="253">
        <f t="shared" si="54"/>
        <v>0.01</v>
      </c>
      <c r="AA300" s="253">
        <f t="shared" si="54"/>
        <v>0.01</v>
      </c>
      <c r="AB300" s="253">
        <f t="shared" si="54"/>
        <v>0.01</v>
      </c>
      <c r="AC300" s="253">
        <f t="shared" si="54"/>
        <v>0.01</v>
      </c>
      <c r="AD300" s="253">
        <f t="shared" si="54"/>
        <v>0.01</v>
      </c>
      <c r="AE300" s="76"/>
      <c r="AF300" s="76"/>
      <c r="AG300" s="76"/>
      <c r="AH300" s="97">
        <v>1</v>
      </c>
      <c r="AI300" s="97">
        <v>1</v>
      </c>
      <c r="AJ300" s="73"/>
      <c r="AK300" s="57"/>
      <c r="AL300" s="45"/>
      <c r="AM300" s="45"/>
      <c r="AN300" s="45"/>
    </row>
    <row r="301" spans="1:40" hidden="1" outlineLevel="2" x14ac:dyDescent="0.25">
      <c r="A301" s="45"/>
      <c r="B301" s="54"/>
      <c r="C301" s="47">
        <f t="shared" si="52"/>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4"/>
        <v>0.1</v>
      </c>
      <c r="V301" s="253">
        <f t="shared" si="54"/>
        <v>0.1</v>
      </c>
      <c r="W301" s="253">
        <f t="shared" si="54"/>
        <v>0.1</v>
      </c>
      <c r="X301" s="253">
        <f t="shared" si="54"/>
        <v>0.1</v>
      </c>
      <c r="Y301" s="253">
        <f t="shared" si="54"/>
        <v>0.1</v>
      </c>
      <c r="Z301" s="253">
        <f t="shared" si="54"/>
        <v>0.1</v>
      </c>
      <c r="AA301" s="253">
        <f t="shared" si="54"/>
        <v>0.1</v>
      </c>
      <c r="AB301" s="253">
        <f t="shared" si="54"/>
        <v>0.1</v>
      </c>
      <c r="AC301" s="253">
        <f t="shared" si="54"/>
        <v>0.1</v>
      </c>
      <c r="AD301" s="253">
        <f t="shared" si="54"/>
        <v>0.1</v>
      </c>
      <c r="AE301" s="76"/>
      <c r="AF301" s="76"/>
      <c r="AG301" s="76"/>
      <c r="AH301" s="97">
        <v>1</v>
      </c>
      <c r="AI301" s="97">
        <v>1</v>
      </c>
      <c r="AJ301" s="73"/>
      <c r="AK301" s="57"/>
      <c r="AL301" s="45"/>
      <c r="AM301" s="45"/>
      <c r="AN301" s="45"/>
    </row>
    <row r="302" spans="1:40" hidden="1" outlineLevel="2" x14ac:dyDescent="0.25">
      <c r="A302" s="45"/>
      <c r="B302" s="54"/>
      <c r="C302" s="47">
        <f t="shared" si="52"/>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4"/>
        <v>1.6</v>
      </c>
      <c r="V302" s="253">
        <f t="shared" si="54"/>
        <v>1.6</v>
      </c>
      <c r="W302" s="253">
        <f t="shared" si="54"/>
        <v>1.6</v>
      </c>
      <c r="X302" s="253">
        <f t="shared" si="54"/>
        <v>1.6</v>
      </c>
      <c r="Y302" s="253">
        <f t="shared" si="54"/>
        <v>1.6</v>
      </c>
      <c r="Z302" s="253">
        <f t="shared" si="54"/>
        <v>1.6</v>
      </c>
      <c r="AA302" s="253">
        <f t="shared" si="54"/>
        <v>1.6</v>
      </c>
      <c r="AB302" s="253">
        <f t="shared" si="54"/>
        <v>1.6</v>
      </c>
      <c r="AC302" s="253">
        <f t="shared" si="54"/>
        <v>1.6</v>
      </c>
      <c r="AD302" s="253">
        <f t="shared" si="54"/>
        <v>1.6</v>
      </c>
      <c r="AE302" s="76"/>
      <c r="AF302" s="76"/>
      <c r="AG302" s="76"/>
      <c r="AH302" s="97">
        <v>1</v>
      </c>
      <c r="AI302" s="97">
        <v>1</v>
      </c>
      <c r="AJ302" s="73"/>
      <c r="AK302" s="57"/>
      <c r="AL302" s="45"/>
      <c r="AM302" s="45"/>
      <c r="AN302" s="45"/>
    </row>
    <row r="303" spans="1:40" hidden="1" outlineLevel="2" x14ac:dyDescent="0.25">
      <c r="A303" s="45"/>
      <c r="B303" s="54"/>
      <c r="C303" s="47">
        <f t="shared" si="52"/>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4"/>
        <v>4</v>
      </c>
      <c r="V303" s="253">
        <f t="shared" si="54"/>
        <v>4</v>
      </c>
      <c r="W303" s="253">
        <f t="shared" si="54"/>
        <v>4</v>
      </c>
      <c r="X303" s="253">
        <f t="shared" si="54"/>
        <v>4</v>
      </c>
      <c r="Y303" s="253">
        <f t="shared" si="54"/>
        <v>4</v>
      </c>
      <c r="Z303" s="253">
        <f t="shared" si="54"/>
        <v>4</v>
      </c>
      <c r="AA303" s="253">
        <f t="shared" si="54"/>
        <v>4</v>
      </c>
      <c r="AB303" s="253">
        <f t="shared" si="54"/>
        <v>4</v>
      </c>
      <c r="AC303" s="253">
        <f t="shared" si="54"/>
        <v>4</v>
      </c>
      <c r="AD303" s="253">
        <f t="shared" si="54"/>
        <v>4</v>
      </c>
      <c r="AE303" s="76"/>
      <c r="AF303" s="76"/>
      <c r="AG303" s="76"/>
      <c r="AH303" s="97">
        <v>1</v>
      </c>
      <c r="AI303" s="97">
        <v>1</v>
      </c>
      <c r="AJ303" s="73"/>
      <c r="AK303" s="57"/>
      <c r="AL303" s="45"/>
      <c r="AM303" s="45"/>
      <c r="AN303" s="45"/>
    </row>
    <row r="304" spans="1:40" hidden="1" outlineLevel="2" x14ac:dyDescent="0.25">
      <c r="A304" s="45"/>
      <c r="B304" s="54"/>
      <c r="C304" s="47">
        <f t="shared" si="52"/>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4"/>
        <v>8.0000000000000002E-3</v>
      </c>
      <c r="V304" s="253">
        <f t="shared" si="54"/>
        <v>8.0000000000000002E-3</v>
      </c>
      <c r="W304" s="253">
        <f t="shared" si="54"/>
        <v>8.0000000000000002E-3</v>
      </c>
      <c r="X304" s="253">
        <f t="shared" si="54"/>
        <v>8.0000000000000002E-3</v>
      </c>
      <c r="Y304" s="253">
        <f t="shared" si="54"/>
        <v>8.0000000000000002E-3</v>
      </c>
      <c r="Z304" s="253">
        <f t="shared" si="54"/>
        <v>8.0000000000000002E-3</v>
      </c>
      <c r="AA304" s="253">
        <f t="shared" si="54"/>
        <v>8.0000000000000002E-3</v>
      </c>
      <c r="AB304" s="253">
        <f t="shared" si="54"/>
        <v>8.0000000000000002E-3</v>
      </c>
      <c r="AC304" s="253">
        <f t="shared" si="54"/>
        <v>8.0000000000000002E-3</v>
      </c>
      <c r="AD304" s="253">
        <f t="shared" si="54"/>
        <v>8.0000000000000002E-3</v>
      </c>
      <c r="AE304" s="76"/>
      <c r="AF304" s="76"/>
      <c r="AG304" s="76"/>
      <c r="AH304" s="97">
        <v>1</v>
      </c>
      <c r="AI304" s="97">
        <v>1</v>
      </c>
      <c r="AJ304" s="73"/>
      <c r="AK304" s="57"/>
      <c r="AL304" s="45"/>
      <c r="AM304" s="45"/>
      <c r="AN304" s="45"/>
    </row>
    <row r="305" spans="1:40" hidden="1" outlineLevel="2" x14ac:dyDescent="0.25">
      <c r="A305" s="45"/>
      <c r="B305" s="54"/>
      <c r="C305" s="47">
        <f t="shared" si="52"/>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4"/>
        <v>1.2E-2</v>
      </c>
      <c r="V305" s="253">
        <f t="shared" si="54"/>
        <v>1.2E-2</v>
      </c>
      <c r="W305" s="253">
        <f t="shared" si="54"/>
        <v>1.2E-2</v>
      </c>
      <c r="X305" s="253">
        <f t="shared" si="54"/>
        <v>1.2E-2</v>
      </c>
      <c r="Y305" s="253">
        <f t="shared" si="54"/>
        <v>1.2E-2</v>
      </c>
      <c r="Z305" s="253">
        <f t="shared" si="54"/>
        <v>1.2E-2</v>
      </c>
      <c r="AA305" s="253">
        <f t="shared" si="54"/>
        <v>1.2E-2</v>
      </c>
      <c r="AB305" s="253">
        <f t="shared" si="54"/>
        <v>1.2E-2</v>
      </c>
      <c r="AC305" s="253">
        <f t="shared" si="54"/>
        <v>1.2E-2</v>
      </c>
      <c r="AD305" s="253">
        <f t="shared" si="54"/>
        <v>1.2E-2</v>
      </c>
      <c r="AE305" s="76"/>
      <c r="AF305" s="76"/>
      <c r="AG305" s="76"/>
      <c r="AH305" s="97">
        <v>1</v>
      </c>
      <c r="AI305" s="97">
        <v>1</v>
      </c>
      <c r="AJ305" s="73"/>
      <c r="AK305" s="57"/>
      <c r="AL305" s="45"/>
      <c r="AM305" s="45"/>
      <c r="AN305" s="45"/>
    </row>
    <row r="306" spans="1:40" hidden="1" outlineLevel="2" x14ac:dyDescent="0.25">
      <c r="A306" s="45"/>
      <c r="B306" s="54"/>
      <c r="C306" s="47">
        <f t="shared" si="52"/>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4"/>
        <v>3</v>
      </c>
      <c r="V306" s="253">
        <f t="shared" si="54"/>
        <v>3</v>
      </c>
      <c r="W306" s="253">
        <f t="shared" si="54"/>
        <v>3</v>
      </c>
      <c r="X306" s="253">
        <f t="shared" si="54"/>
        <v>3</v>
      </c>
      <c r="Y306" s="253">
        <f t="shared" si="54"/>
        <v>3</v>
      </c>
      <c r="Z306" s="253">
        <f t="shared" si="54"/>
        <v>3</v>
      </c>
      <c r="AA306" s="253">
        <f t="shared" si="54"/>
        <v>3</v>
      </c>
      <c r="AB306" s="253">
        <f t="shared" si="54"/>
        <v>3</v>
      </c>
      <c r="AC306" s="253">
        <f t="shared" si="54"/>
        <v>3</v>
      </c>
      <c r="AD306" s="253">
        <f t="shared" si="54"/>
        <v>3</v>
      </c>
      <c r="AE306" s="76"/>
      <c r="AF306" s="76"/>
      <c r="AG306" s="76"/>
      <c r="AH306" s="97">
        <v>1</v>
      </c>
      <c r="AI306" s="97">
        <v>1</v>
      </c>
      <c r="AJ306" s="73"/>
      <c r="AK306" s="57"/>
      <c r="AL306" s="45"/>
      <c r="AM306" s="45"/>
      <c r="AN306" s="45"/>
    </row>
    <row r="307" spans="1:40" hidden="1" outlineLevel="2" x14ac:dyDescent="0.25">
      <c r="A307" s="45"/>
      <c r="B307" s="54"/>
      <c r="C307" s="47">
        <f t="shared" si="52"/>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4"/>
        <v>0.6</v>
      </c>
      <c r="V307" s="253">
        <f t="shared" si="54"/>
        <v>0.6</v>
      </c>
      <c r="W307" s="253">
        <f t="shared" si="54"/>
        <v>0.6</v>
      </c>
      <c r="X307" s="253">
        <f t="shared" si="54"/>
        <v>0.6</v>
      </c>
      <c r="Y307" s="253">
        <f t="shared" si="54"/>
        <v>0.6</v>
      </c>
      <c r="Z307" s="253">
        <f t="shared" si="54"/>
        <v>0.6</v>
      </c>
      <c r="AA307" s="253">
        <f t="shared" si="54"/>
        <v>0.6</v>
      </c>
      <c r="AB307" s="253">
        <f t="shared" si="54"/>
        <v>0.6</v>
      </c>
      <c r="AC307" s="253">
        <f t="shared" si="54"/>
        <v>0.6</v>
      </c>
      <c r="AD307" s="253">
        <f t="shared" si="54"/>
        <v>0.6</v>
      </c>
      <c r="AE307" s="76"/>
      <c r="AF307" s="76"/>
      <c r="AG307" s="76"/>
      <c r="AH307" s="97">
        <v>1</v>
      </c>
      <c r="AI307" s="97">
        <v>1</v>
      </c>
      <c r="AJ307" s="73"/>
      <c r="AK307" s="57"/>
      <c r="AL307" s="45"/>
      <c r="AM307" s="45"/>
      <c r="AN307" s="45"/>
    </row>
    <row r="308" spans="1:40" hidden="1" outlineLevel="2" x14ac:dyDescent="0.25">
      <c r="A308" s="45"/>
      <c r="B308" s="54"/>
      <c r="C308" s="47">
        <f t="shared" si="52"/>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4"/>
        <v>0.17</v>
      </c>
      <c r="V308" s="253">
        <f t="shared" si="54"/>
        <v>0.17</v>
      </c>
      <c r="W308" s="253">
        <f t="shared" si="54"/>
        <v>0.17</v>
      </c>
      <c r="X308" s="253">
        <f t="shared" si="54"/>
        <v>0.17</v>
      </c>
      <c r="Y308" s="253">
        <f t="shared" si="54"/>
        <v>0.17</v>
      </c>
      <c r="Z308" s="253">
        <f t="shared" si="54"/>
        <v>0.17</v>
      </c>
      <c r="AA308" s="253">
        <f t="shared" si="54"/>
        <v>0.17</v>
      </c>
      <c r="AB308" s="253">
        <f t="shared" si="54"/>
        <v>0.17</v>
      </c>
      <c r="AC308" s="253">
        <f t="shared" si="54"/>
        <v>0.17</v>
      </c>
      <c r="AD308" s="253">
        <f t="shared" si="54"/>
        <v>0.17</v>
      </c>
      <c r="AE308" s="76"/>
      <c r="AF308" s="76"/>
      <c r="AG308" s="76"/>
      <c r="AH308" s="97">
        <v>1</v>
      </c>
      <c r="AI308" s="97">
        <v>1</v>
      </c>
      <c r="AJ308" s="73"/>
      <c r="AK308" s="57"/>
      <c r="AL308" s="45"/>
      <c r="AM308" s="45"/>
      <c r="AN308" s="45"/>
    </row>
    <row r="309" spans="1:40" hidden="1" outlineLevel="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3231</v>
      </c>
      <c r="I310" s="96" t="s">
        <v>3233</v>
      </c>
      <c r="J310" s="96"/>
      <c r="K310" s="97">
        <v>31.7</v>
      </c>
      <c r="L310" s="97">
        <v>31.7</v>
      </c>
      <c r="M310" s="76"/>
      <c r="N310" s="76"/>
      <c r="O310" s="76"/>
      <c r="P310" s="76"/>
      <c r="Q310" s="76"/>
      <c r="R310" s="76" t="s">
        <v>3232</v>
      </c>
      <c r="S310" s="76"/>
      <c r="T310" s="76"/>
      <c r="U310" s="253">
        <f t="shared" ref="U310:AD312" si="55">INDEX($K310:$Q310,1,U$43)</f>
        <v>31.7</v>
      </c>
      <c r="V310" s="253">
        <f t="shared" si="55"/>
        <v>31.7</v>
      </c>
      <c r="W310" s="253">
        <f t="shared" si="55"/>
        <v>31.7</v>
      </c>
      <c r="X310" s="253">
        <f t="shared" si="55"/>
        <v>31.7</v>
      </c>
      <c r="Y310" s="253">
        <f t="shared" si="55"/>
        <v>31.7</v>
      </c>
      <c r="Z310" s="253">
        <f t="shared" si="55"/>
        <v>31.7</v>
      </c>
      <c r="AA310" s="253">
        <f t="shared" si="55"/>
        <v>31.7</v>
      </c>
      <c r="AB310" s="253">
        <f t="shared" si="55"/>
        <v>31.7</v>
      </c>
      <c r="AC310" s="253">
        <f t="shared" si="55"/>
        <v>31.7</v>
      </c>
      <c r="AD310" s="253">
        <f t="shared" si="55"/>
        <v>31.7</v>
      </c>
      <c r="AE310" s="76"/>
      <c r="AF310" s="76"/>
      <c r="AG310" s="76"/>
      <c r="AH310" s="97">
        <v>1</v>
      </c>
      <c r="AI310" s="97">
        <v>1</v>
      </c>
      <c r="AJ310" s="73"/>
      <c r="AK310" s="57"/>
      <c r="AL310" s="45"/>
      <c r="AM310" s="45"/>
      <c r="AN310" s="45"/>
    </row>
    <row r="311" spans="1:40" hidden="1" outlineLevel="2" x14ac:dyDescent="0.25">
      <c r="A311" s="45"/>
      <c r="B311" s="54"/>
      <c r="C311" s="47">
        <f t="shared" ref="C311:C336" si="56">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5"/>
        <v>24</v>
      </c>
      <c r="V311" s="253">
        <f t="shared" si="55"/>
        <v>24</v>
      </c>
      <c r="W311" s="253">
        <f t="shared" si="55"/>
        <v>24</v>
      </c>
      <c r="X311" s="253">
        <f t="shared" si="55"/>
        <v>24</v>
      </c>
      <c r="Y311" s="253">
        <f t="shared" si="55"/>
        <v>24</v>
      </c>
      <c r="Z311" s="253">
        <f t="shared" si="55"/>
        <v>24</v>
      </c>
      <c r="AA311" s="253">
        <f t="shared" si="55"/>
        <v>24</v>
      </c>
      <c r="AB311" s="253">
        <f t="shared" si="55"/>
        <v>24</v>
      </c>
      <c r="AC311" s="253">
        <f t="shared" si="55"/>
        <v>24</v>
      </c>
      <c r="AD311" s="253">
        <f t="shared" si="55"/>
        <v>24</v>
      </c>
      <c r="AE311" s="76"/>
      <c r="AF311" s="76"/>
      <c r="AG311" s="76"/>
      <c r="AH311" s="97">
        <v>1</v>
      </c>
      <c r="AI311" s="97">
        <v>1</v>
      </c>
      <c r="AJ311" s="73"/>
      <c r="AK311" s="57"/>
      <c r="AL311" s="45"/>
      <c r="AM311" s="45"/>
      <c r="AN311" s="45"/>
    </row>
    <row r="312" spans="1:40" hidden="1" outlineLevel="2" x14ac:dyDescent="0.25">
      <c r="A312" s="45"/>
      <c r="B312" s="54"/>
      <c r="C312" s="47">
        <f t="shared" si="56"/>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5"/>
        <v>4.0000000000000001E-3</v>
      </c>
      <c r="V312" s="253">
        <f t="shared" si="55"/>
        <v>4.0000000000000001E-3</v>
      </c>
      <c r="W312" s="253">
        <f t="shared" si="55"/>
        <v>4.0000000000000001E-3</v>
      </c>
      <c r="X312" s="253">
        <f t="shared" si="55"/>
        <v>4.0000000000000001E-3</v>
      </c>
      <c r="Y312" s="253">
        <f t="shared" si="55"/>
        <v>4.0000000000000001E-3</v>
      </c>
      <c r="Z312" s="253">
        <f t="shared" si="55"/>
        <v>4.0000000000000001E-3</v>
      </c>
      <c r="AA312" s="253">
        <f t="shared" si="55"/>
        <v>4.0000000000000001E-3</v>
      </c>
      <c r="AB312" s="253">
        <f t="shared" si="55"/>
        <v>4.0000000000000001E-3</v>
      </c>
      <c r="AC312" s="253">
        <f t="shared" si="55"/>
        <v>4.0000000000000001E-3</v>
      </c>
      <c r="AD312" s="253">
        <f t="shared" si="55"/>
        <v>4.0000000000000001E-3</v>
      </c>
      <c r="AE312" s="76"/>
      <c r="AF312" s="76"/>
      <c r="AG312" s="76"/>
      <c r="AH312" s="97">
        <v>1</v>
      </c>
      <c r="AI312" s="97">
        <v>1</v>
      </c>
      <c r="AJ312" s="73"/>
      <c r="AK312" s="57"/>
      <c r="AL312" s="45"/>
      <c r="AM312" s="45"/>
      <c r="AN312" s="45"/>
    </row>
    <row r="313" spans="1:40" hidden="1" outlineLevel="2" x14ac:dyDescent="0.25">
      <c r="A313" s="45"/>
      <c r="B313" s="54"/>
      <c r="C313" s="47">
        <f t="shared" si="56"/>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25">
      <c r="A314" s="45"/>
      <c r="B314" s="54"/>
      <c r="C314" s="47">
        <f t="shared" si="56"/>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7">INDEX($K314:$Q314,1,U$43)</f>
        <v>0.04</v>
      </c>
      <c r="V314" s="253">
        <f t="shared" si="57"/>
        <v>0.04</v>
      </c>
      <c r="W314" s="253">
        <f t="shared" si="57"/>
        <v>0.04</v>
      </c>
      <c r="X314" s="253">
        <f t="shared" si="57"/>
        <v>0.04</v>
      </c>
      <c r="Y314" s="253">
        <f t="shared" si="57"/>
        <v>0.04</v>
      </c>
      <c r="Z314" s="253">
        <f t="shared" si="57"/>
        <v>0.04</v>
      </c>
      <c r="AA314" s="253">
        <f t="shared" si="57"/>
        <v>0.04</v>
      </c>
      <c r="AB314" s="253">
        <f t="shared" si="57"/>
        <v>0.04</v>
      </c>
      <c r="AC314" s="253">
        <f t="shared" si="57"/>
        <v>0.04</v>
      </c>
      <c r="AD314" s="253">
        <f t="shared" si="57"/>
        <v>0.04</v>
      </c>
      <c r="AE314" s="76"/>
      <c r="AF314" s="76"/>
      <c r="AG314" s="76"/>
      <c r="AH314" s="97">
        <v>1</v>
      </c>
      <c r="AI314" s="97">
        <v>1</v>
      </c>
      <c r="AJ314" s="73"/>
      <c r="AK314" s="57"/>
      <c r="AL314" s="45"/>
      <c r="AM314" s="45"/>
      <c r="AN314" s="45"/>
    </row>
    <row r="315" spans="1:40" hidden="1" outlineLevel="2" x14ac:dyDescent="0.25">
      <c r="A315" s="45"/>
      <c r="B315" s="54"/>
      <c r="C315" s="47">
        <f t="shared" si="56"/>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7"/>
        <v>0.25</v>
      </c>
      <c r="V315" s="253">
        <f t="shared" si="57"/>
        <v>0.25</v>
      </c>
      <c r="W315" s="253">
        <f t="shared" si="57"/>
        <v>0.25</v>
      </c>
      <c r="X315" s="253">
        <f t="shared" si="57"/>
        <v>0.25</v>
      </c>
      <c r="Y315" s="253">
        <f t="shared" si="57"/>
        <v>0.25</v>
      </c>
      <c r="Z315" s="253">
        <f t="shared" si="57"/>
        <v>0.25</v>
      </c>
      <c r="AA315" s="253">
        <f t="shared" si="57"/>
        <v>0.25</v>
      </c>
      <c r="AB315" s="253">
        <f t="shared" si="57"/>
        <v>0.25</v>
      </c>
      <c r="AC315" s="253">
        <f t="shared" si="57"/>
        <v>0.25</v>
      </c>
      <c r="AD315" s="253">
        <f t="shared" si="57"/>
        <v>0.25</v>
      </c>
      <c r="AE315" s="76"/>
      <c r="AF315" s="76"/>
      <c r="AG315" s="76"/>
      <c r="AH315" s="97">
        <v>1</v>
      </c>
      <c r="AI315" s="97">
        <v>1</v>
      </c>
      <c r="AJ315" s="73"/>
      <c r="AK315" s="57"/>
      <c r="AL315" s="45"/>
      <c r="AM315" s="45"/>
      <c r="AN315" s="45"/>
    </row>
    <row r="316" spans="1:40" hidden="1" outlineLevel="2" x14ac:dyDescent="0.25">
      <c r="A316" s="45"/>
      <c r="B316" s="54"/>
      <c r="C316" s="47">
        <f t="shared" si="56"/>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6"/>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8">INDEX($K317:$Q317,1,U$43)</f>
        <v>1.35</v>
      </c>
      <c r="V317" s="253">
        <f t="shared" si="58"/>
        <v>1.35</v>
      </c>
      <c r="W317" s="253">
        <f t="shared" si="58"/>
        <v>1.35</v>
      </c>
      <c r="X317" s="253">
        <f t="shared" si="58"/>
        <v>1.35</v>
      </c>
      <c r="Y317" s="253">
        <f t="shared" si="58"/>
        <v>1.35</v>
      </c>
      <c r="Z317" s="253">
        <f t="shared" si="58"/>
        <v>1.35</v>
      </c>
      <c r="AA317" s="253">
        <f t="shared" si="58"/>
        <v>1.35</v>
      </c>
      <c r="AB317" s="253">
        <f t="shared" si="58"/>
        <v>1.35</v>
      </c>
      <c r="AC317" s="253">
        <f t="shared" si="58"/>
        <v>1.35</v>
      </c>
      <c r="AD317" s="253">
        <f t="shared" si="58"/>
        <v>1.35</v>
      </c>
      <c r="AE317" s="76"/>
      <c r="AF317" s="76"/>
      <c r="AG317" s="76"/>
      <c r="AH317" s="97">
        <v>1</v>
      </c>
      <c r="AI317" s="97">
        <v>1</v>
      </c>
      <c r="AJ317" s="73"/>
      <c r="AK317" s="57"/>
      <c r="AL317" s="45"/>
      <c r="AM317" s="45"/>
      <c r="AN317" s="45"/>
    </row>
    <row r="318" spans="1:40" hidden="1" outlineLevel="2" x14ac:dyDescent="0.25">
      <c r="A318" s="45"/>
      <c r="B318" s="54"/>
      <c r="C318" s="47">
        <f t="shared" si="56"/>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8"/>
        <v>1.6E-2</v>
      </c>
      <c r="V318" s="253">
        <f t="shared" si="58"/>
        <v>1.6E-2</v>
      </c>
      <c r="W318" s="253">
        <f t="shared" si="58"/>
        <v>1.6E-2</v>
      </c>
      <c r="X318" s="253">
        <f t="shared" si="58"/>
        <v>1.6E-2</v>
      </c>
      <c r="Y318" s="253">
        <f t="shared" si="58"/>
        <v>1.6E-2</v>
      </c>
      <c r="Z318" s="253">
        <f t="shared" si="58"/>
        <v>1.6E-2</v>
      </c>
      <c r="AA318" s="253">
        <f t="shared" si="58"/>
        <v>1.6E-2</v>
      </c>
      <c r="AB318" s="253">
        <f t="shared" si="58"/>
        <v>1.6E-2</v>
      </c>
      <c r="AC318" s="253">
        <f t="shared" si="58"/>
        <v>1.6E-2</v>
      </c>
      <c r="AD318" s="253">
        <f t="shared" si="58"/>
        <v>1.6E-2</v>
      </c>
      <c r="AE318" s="76"/>
      <c r="AF318" s="76"/>
      <c r="AG318" s="76"/>
      <c r="AH318" s="97">
        <v>1</v>
      </c>
      <c r="AI318" s="97">
        <v>1</v>
      </c>
      <c r="AJ318" s="73"/>
      <c r="AK318" s="57"/>
      <c r="AL318" s="45"/>
      <c r="AM318" s="45"/>
      <c r="AN318" s="45"/>
    </row>
    <row r="319" spans="1:40" hidden="1" outlineLevel="2" x14ac:dyDescent="0.25">
      <c r="A319" s="45"/>
      <c r="B319" s="54"/>
      <c r="C319" s="47">
        <f t="shared" si="56"/>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8"/>
        <v>1</v>
      </c>
      <c r="V319" s="253">
        <f t="shared" si="58"/>
        <v>1</v>
      </c>
      <c r="W319" s="253">
        <f t="shared" si="58"/>
        <v>1</v>
      </c>
      <c r="X319" s="253">
        <f t="shared" si="58"/>
        <v>1</v>
      </c>
      <c r="Y319" s="253">
        <f t="shared" si="58"/>
        <v>1</v>
      </c>
      <c r="Z319" s="253">
        <f t="shared" si="58"/>
        <v>1</v>
      </c>
      <c r="AA319" s="253">
        <f t="shared" si="58"/>
        <v>1</v>
      </c>
      <c r="AB319" s="253">
        <f t="shared" si="58"/>
        <v>1</v>
      </c>
      <c r="AC319" s="253">
        <f t="shared" si="58"/>
        <v>1</v>
      </c>
      <c r="AD319" s="253">
        <f t="shared" si="58"/>
        <v>1</v>
      </c>
      <c r="AE319" s="76"/>
      <c r="AF319" s="76"/>
      <c r="AG319" s="76"/>
      <c r="AH319" s="97">
        <v>1</v>
      </c>
      <c r="AI319" s="97">
        <v>1</v>
      </c>
      <c r="AJ319" s="73"/>
      <c r="AK319" s="57"/>
      <c r="AL319" s="45"/>
      <c r="AM319" s="45"/>
      <c r="AN319" s="45"/>
    </row>
    <row r="320" spans="1:40" hidden="1" outlineLevel="2" x14ac:dyDescent="0.25">
      <c r="A320" s="45"/>
      <c r="B320" s="54"/>
      <c r="C320" s="47">
        <f t="shared" si="56"/>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8"/>
        <v>1350</v>
      </c>
      <c r="V320" s="253">
        <f t="shared" si="58"/>
        <v>1350</v>
      </c>
      <c r="W320" s="253">
        <f t="shared" si="58"/>
        <v>1350</v>
      </c>
      <c r="X320" s="253">
        <f t="shared" si="58"/>
        <v>1350</v>
      </c>
      <c r="Y320" s="253">
        <f t="shared" si="58"/>
        <v>1350</v>
      </c>
      <c r="Z320" s="253">
        <f t="shared" si="58"/>
        <v>1350</v>
      </c>
      <c r="AA320" s="253">
        <f t="shared" si="58"/>
        <v>1350</v>
      </c>
      <c r="AB320" s="253">
        <f t="shared" si="58"/>
        <v>1350</v>
      </c>
      <c r="AC320" s="253">
        <f t="shared" si="58"/>
        <v>1350</v>
      </c>
      <c r="AD320" s="253">
        <f t="shared" si="58"/>
        <v>1350</v>
      </c>
      <c r="AE320" s="76"/>
      <c r="AF320" s="76"/>
      <c r="AG320" s="76"/>
      <c r="AH320" s="97">
        <v>1</v>
      </c>
      <c r="AI320" s="97">
        <v>1</v>
      </c>
      <c r="AJ320" s="73"/>
      <c r="AK320" s="57"/>
      <c r="AL320" s="45"/>
      <c r="AM320" s="45"/>
      <c r="AN320" s="45"/>
    </row>
    <row r="321" spans="1:40" outlineLevel="2" x14ac:dyDescent="0.25">
      <c r="A321" s="45"/>
      <c r="B321" s="54"/>
      <c r="C321" s="47">
        <f t="shared" si="56"/>
        <v>3</v>
      </c>
      <c r="D321" s="73"/>
      <c r="E321" s="70"/>
      <c r="F321" s="70" t="s">
        <v>871</v>
      </c>
      <c r="G321" s="73"/>
      <c r="H321" s="76" t="s">
        <v>872</v>
      </c>
      <c r="I321" s="96" t="s">
        <v>873</v>
      </c>
      <c r="J321" s="96"/>
      <c r="K321" s="76"/>
      <c r="L321" s="76"/>
      <c r="M321" s="76"/>
      <c r="N321" s="76"/>
      <c r="O321" s="76"/>
      <c r="P321" s="76"/>
      <c r="Q321" s="76"/>
      <c r="R321" s="76"/>
      <c r="S321" s="76"/>
      <c r="T321" s="76" t="s">
        <v>3286</v>
      </c>
      <c r="U321" s="97">
        <v>60000000</v>
      </c>
      <c r="V321" s="97">
        <v>60000000</v>
      </c>
      <c r="W321" s="631">
        <f>$V321+0-2028561.1</f>
        <v>57971438.899999999</v>
      </c>
      <c r="X321" s="631">
        <f>$V321+3859446.48</f>
        <v>63859446.479999997</v>
      </c>
      <c r="Y321" s="631">
        <f>$V321+0-737470.194</f>
        <v>59262529.806000002</v>
      </c>
      <c r="Z321" s="97">
        <f>U321</f>
        <v>60000000</v>
      </c>
      <c r="AA321" s="255">
        <f t="shared" ref="AA321:AC323" si="59">Z321</f>
        <v>60000000</v>
      </c>
      <c r="AB321" s="255">
        <f t="shared" si="59"/>
        <v>60000000</v>
      </c>
      <c r="AC321" s="255">
        <f t="shared" si="59"/>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6"/>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9"/>
        <v>2.5000000000000001E-2</v>
      </c>
      <c r="AB322" s="255">
        <f t="shared" si="59"/>
        <v>2.5000000000000001E-2</v>
      </c>
      <c r="AC322" s="255">
        <f t="shared" si="59"/>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25">
      <c r="A323" s="45"/>
      <c r="B323" s="54"/>
      <c r="C323" s="47">
        <f t="shared" si="56"/>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9"/>
        <v>0.18</v>
      </c>
      <c r="AB323" s="255">
        <f t="shared" si="59"/>
        <v>0.18</v>
      </c>
      <c r="AC323" s="255">
        <f t="shared" si="59"/>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6"/>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6" si="60">INDEX($K324:$Q324,1,U$43)</f>
        <v>0.2</v>
      </c>
      <c r="V324" s="253">
        <f t="shared" si="60"/>
        <v>0.2</v>
      </c>
      <c r="W324" s="253">
        <f t="shared" si="60"/>
        <v>0.2</v>
      </c>
      <c r="X324" s="253">
        <f t="shared" si="60"/>
        <v>0.2</v>
      </c>
      <c r="Y324" s="253">
        <f t="shared" si="60"/>
        <v>0.2</v>
      </c>
      <c r="Z324" s="253">
        <f t="shared" si="60"/>
        <v>0.2</v>
      </c>
      <c r="AA324" s="253">
        <f t="shared" si="60"/>
        <v>0.2</v>
      </c>
      <c r="AB324" s="253">
        <f t="shared" si="60"/>
        <v>0.2</v>
      </c>
      <c r="AC324" s="253">
        <f t="shared" si="60"/>
        <v>0.2</v>
      </c>
      <c r="AD324" s="253">
        <f t="shared" si="60"/>
        <v>0.2</v>
      </c>
      <c r="AE324" s="76"/>
      <c r="AF324" s="76"/>
      <c r="AG324" s="76"/>
      <c r="AH324" s="97">
        <v>1</v>
      </c>
      <c r="AI324" s="97">
        <v>1</v>
      </c>
      <c r="AJ324" s="73"/>
      <c r="AK324" s="57"/>
      <c r="AL324" s="45"/>
      <c r="AM324" s="45"/>
      <c r="AN324" s="45"/>
    </row>
    <row r="325" spans="1:40" hidden="1" outlineLevel="2" x14ac:dyDescent="0.25">
      <c r="A325" s="45"/>
      <c r="B325" s="54"/>
      <c r="C325" s="47">
        <f t="shared" si="56"/>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60"/>
        <v>0.85470085470085477</v>
      </c>
      <c r="V325" s="253">
        <f t="shared" si="60"/>
        <v>0.85470085470085477</v>
      </c>
      <c r="W325" s="253">
        <f t="shared" si="60"/>
        <v>0.85470085470085477</v>
      </c>
      <c r="X325" s="253">
        <f t="shared" si="60"/>
        <v>0.85470085470085477</v>
      </c>
      <c r="Y325" s="253">
        <f t="shared" si="60"/>
        <v>0.85470085470085477</v>
      </c>
      <c r="Z325" s="253">
        <f t="shared" si="60"/>
        <v>0.85470085470085477</v>
      </c>
      <c r="AA325" s="253">
        <f t="shared" si="60"/>
        <v>0.85470085470085477</v>
      </c>
      <c r="AB325" s="253">
        <f t="shared" si="60"/>
        <v>0.85470085470085477</v>
      </c>
      <c r="AC325" s="253">
        <f t="shared" si="60"/>
        <v>0.85470085470085477</v>
      </c>
      <c r="AD325" s="253">
        <f t="shared" si="60"/>
        <v>0.85470085470085477</v>
      </c>
      <c r="AE325" s="76"/>
      <c r="AF325" s="76"/>
      <c r="AG325" s="76"/>
      <c r="AH325" s="97">
        <v>1</v>
      </c>
      <c r="AI325" s="97">
        <v>1</v>
      </c>
      <c r="AJ325" s="73"/>
      <c r="AK325" s="57"/>
      <c r="AL325" s="45"/>
      <c r="AM325" s="45"/>
      <c r="AN325" s="45"/>
    </row>
    <row r="326" spans="1:40" outlineLevel="2" x14ac:dyDescent="0.25">
      <c r="A326" s="45"/>
      <c r="B326" s="54"/>
      <c r="C326" s="47">
        <f t="shared" si="56"/>
        <v>3</v>
      </c>
      <c r="D326" s="73"/>
      <c r="E326" s="70"/>
      <c r="F326" s="70" t="s">
        <v>884</v>
      </c>
      <c r="G326" s="73"/>
      <c r="H326" s="76" t="s">
        <v>885</v>
      </c>
      <c r="I326" s="96" t="s">
        <v>886</v>
      </c>
      <c r="J326" s="96"/>
      <c r="K326" s="97">
        <v>51</v>
      </c>
      <c r="L326" s="97">
        <v>51</v>
      </c>
      <c r="M326" s="76"/>
      <c r="N326" s="76"/>
      <c r="O326" s="76"/>
      <c r="P326" s="76"/>
      <c r="Q326" s="76"/>
      <c r="R326" s="76" t="s">
        <v>887</v>
      </c>
      <c r="S326" s="76"/>
      <c r="T326" s="76" t="s">
        <v>3286</v>
      </c>
      <c r="U326" s="253">
        <f>INDEX($K326:$Q326,1,U$43)</f>
        <v>51</v>
      </c>
      <c r="V326" s="253">
        <f t="shared" si="60"/>
        <v>51</v>
      </c>
      <c r="W326" s="631">
        <f>$V326+0</f>
        <v>51</v>
      </c>
      <c r="X326" s="631">
        <f t="shared" ref="X326:Y326" si="61">$V326+0</f>
        <v>51</v>
      </c>
      <c r="Y326" s="631">
        <f t="shared" si="61"/>
        <v>51</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6"/>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62">Y327</f>
        <v>4.503659223118784E-8</v>
      </c>
      <c r="AA327" s="255">
        <f t="shared" si="62"/>
        <v>4.503659223118784E-8</v>
      </c>
      <c r="AB327" s="255">
        <f t="shared" si="62"/>
        <v>4.503659223118784E-8</v>
      </c>
      <c r="AC327" s="255">
        <f t="shared" si="62"/>
        <v>4.503659223118784E-8</v>
      </c>
      <c r="AD327" s="255">
        <f t="shared" si="62"/>
        <v>4.503659223118784E-8</v>
      </c>
      <c r="AE327" s="76"/>
      <c r="AF327" s="97" t="s">
        <v>2272</v>
      </c>
      <c r="AG327" s="76"/>
      <c r="AH327" s="97">
        <v>1</v>
      </c>
      <c r="AI327" s="97">
        <v>1</v>
      </c>
      <c r="AJ327" s="73"/>
      <c r="AK327" s="57"/>
      <c r="AL327" s="45"/>
      <c r="AM327" s="45"/>
      <c r="AN327" s="45"/>
    </row>
    <row r="328" spans="1:40" hidden="1" outlineLevel="2" x14ac:dyDescent="0.25">
      <c r="A328" s="45"/>
      <c r="B328" s="54"/>
      <c r="C328" s="47">
        <f t="shared" si="56"/>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62"/>
        <v>1095</v>
      </c>
      <c r="AA328" s="255">
        <f t="shared" si="62"/>
        <v>1095</v>
      </c>
      <c r="AB328" s="255">
        <f t="shared" si="62"/>
        <v>1095</v>
      </c>
      <c r="AC328" s="255">
        <f t="shared" si="62"/>
        <v>1095</v>
      </c>
      <c r="AD328" s="255">
        <f t="shared" si="62"/>
        <v>1095</v>
      </c>
      <c r="AE328" s="76"/>
      <c r="AF328" s="97" t="s">
        <v>2272</v>
      </c>
      <c r="AG328" s="76"/>
      <c r="AH328" s="97">
        <v>1</v>
      </c>
      <c r="AI328" s="97">
        <v>1</v>
      </c>
      <c r="AJ328" s="73"/>
      <c r="AK328" s="57"/>
      <c r="AL328" s="45"/>
      <c r="AM328" s="45"/>
      <c r="AN328" s="45"/>
    </row>
    <row r="329" spans="1:40" hidden="1" outlineLevel="2" x14ac:dyDescent="0.25">
      <c r="A329" s="45"/>
      <c r="B329" s="54"/>
      <c r="C329" s="47">
        <f t="shared" si="56"/>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62"/>
        <v>2</v>
      </c>
      <c r="AA329" s="255">
        <f t="shared" si="62"/>
        <v>2</v>
      </c>
      <c r="AB329" s="255">
        <f t="shared" si="62"/>
        <v>2</v>
      </c>
      <c r="AC329" s="255">
        <f t="shared" si="62"/>
        <v>2</v>
      </c>
      <c r="AD329" s="255">
        <f t="shared" si="62"/>
        <v>2</v>
      </c>
      <c r="AE329" s="76"/>
      <c r="AF329" s="76"/>
      <c r="AG329" s="76"/>
      <c r="AH329" s="97">
        <v>1</v>
      </c>
      <c r="AI329" s="97">
        <v>1</v>
      </c>
      <c r="AJ329" s="73"/>
      <c r="AK329" s="57"/>
      <c r="AL329" s="45"/>
      <c r="AM329" s="45"/>
      <c r="AN329" s="45"/>
    </row>
    <row r="330" spans="1:40" hidden="1" outlineLevel="2" x14ac:dyDescent="0.25">
      <c r="A330" s="45"/>
      <c r="B330" s="54"/>
      <c r="C330" s="47">
        <f t="shared" si="56"/>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62"/>
        <v>0.85</v>
      </c>
      <c r="AA330" s="255">
        <f t="shared" si="62"/>
        <v>0.85</v>
      </c>
      <c r="AB330" s="255">
        <f t="shared" si="62"/>
        <v>0.85</v>
      </c>
      <c r="AC330" s="255">
        <f t="shared" si="62"/>
        <v>0.85</v>
      </c>
      <c r="AD330" s="255">
        <f t="shared" si="62"/>
        <v>0.85</v>
      </c>
      <c r="AE330" s="76"/>
      <c r="AF330" s="76"/>
      <c r="AG330" s="76"/>
      <c r="AH330" s="97">
        <v>1</v>
      </c>
      <c r="AI330" s="97">
        <v>1</v>
      </c>
      <c r="AJ330" s="73"/>
      <c r="AK330" s="57"/>
      <c r="AL330" s="45"/>
      <c r="AM330" s="45"/>
      <c r="AN330" s="45"/>
    </row>
    <row r="331" spans="1:40" hidden="1" outlineLevel="2" x14ac:dyDescent="0.25">
      <c r="A331" s="45"/>
      <c r="B331" s="54"/>
      <c r="C331" s="47">
        <f t="shared" si="56"/>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3">0.068/30.4</f>
        <v>2.2368421052631582E-3</v>
      </c>
      <c r="V331" s="97">
        <f t="shared" si="63"/>
        <v>2.2368421052631582E-3</v>
      </c>
      <c r="W331" s="97">
        <f t="shared" si="63"/>
        <v>2.2368421052631582E-3</v>
      </c>
      <c r="X331" s="97">
        <f t="shared" si="63"/>
        <v>2.2368421052631582E-3</v>
      </c>
      <c r="Y331" s="97">
        <f t="shared" si="63"/>
        <v>2.2368421052631582E-3</v>
      </c>
      <c r="Z331" s="97">
        <f t="shared" si="63"/>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25">
      <c r="A332" s="45"/>
      <c r="B332" s="54"/>
      <c r="C332" s="47">
        <f t="shared" si="56"/>
        <v>3</v>
      </c>
      <c r="D332" s="73"/>
      <c r="E332" s="70"/>
      <c r="F332" s="70" t="s">
        <v>3234</v>
      </c>
      <c r="G332" s="73"/>
      <c r="H332" s="76" t="s">
        <v>3235</v>
      </c>
      <c r="I332" s="96"/>
      <c r="J332" s="96"/>
      <c r="K332" s="97">
        <v>1.147</v>
      </c>
      <c r="L332" s="97">
        <v>1.147</v>
      </c>
      <c r="M332" s="76"/>
      <c r="N332" s="76"/>
      <c r="O332" s="76"/>
      <c r="P332" s="76"/>
      <c r="Q332" s="76"/>
      <c r="R332" s="76"/>
      <c r="S332" s="76"/>
      <c r="T332" s="76"/>
      <c r="U332" s="253">
        <f t="shared" ref="U332:AD332" si="64">INDEX($K332:$Q332,1,U$43)</f>
        <v>1.147</v>
      </c>
      <c r="V332" s="253">
        <f t="shared" si="64"/>
        <v>1.147</v>
      </c>
      <c r="W332" s="253">
        <f t="shared" si="64"/>
        <v>1.147</v>
      </c>
      <c r="X332" s="253">
        <f t="shared" si="64"/>
        <v>1.147</v>
      </c>
      <c r="Y332" s="253">
        <f t="shared" si="64"/>
        <v>1.147</v>
      </c>
      <c r="Z332" s="253">
        <f t="shared" si="64"/>
        <v>1.147</v>
      </c>
      <c r="AA332" s="253">
        <f t="shared" si="64"/>
        <v>1.147</v>
      </c>
      <c r="AB332" s="253">
        <f t="shared" si="64"/>
        <v>1.147</v>
      </c>
      <c r="AC332" s="253">
        <f t="shared" si="64"/>
        <v>1.147</v>
      </c>
      <c r="AD332" s="253">
        <f t="shared" si="64"/>
        <v>1.147</v>
      </c>
      <c r="AE332" s="76"/>
      <c r="AF332" s="97" t="s">
        <v>3236</v>
      </c>
      <c r="AG332" s="76"/>
      <c r="AH332" s="97">
        <v>1</v>
      </c>
      <c r="AI332" s="97">
        <v>1</v>
      </c>
      <c r="AJ332" s="73"/>
      <c r="AK332" s="57"/>
      <c r="AL332" s="45"/>
      <c r="AM332" s="45"/>
      <c r="AN332" s="45"/>
    </row>
    <row r="333" spans="1:40" hidden="1" outlineLevel="2" x14ac:dyDescent="0.25">
      <c r="A333" s="45"/>
      <c r="B333" s="54"/>
      <c r="C333" s="47">
        <f t="shared" si="56"/>
        <v>3</v>
      </c>
      <c r="D333" s="73"/>
      <c r="E333" s="70"/>
      <c r="F333" s="70" t="s">
        <v>3290</v>
      </c>
      <c r="G333" s="73"/>
      <c r="H333" s="76" t="s">
        <v>3293</v>
      </c>
      <c r="I333" s="96"/>
      <c r="J333" s="96"/>
      <c r="K333" s="76"/>
      <c r="L333" s="76"/>
      <c r="M333" s="76"/>
      <c r="N333" s="76"/>
      <c r="O333" s="76"/>
      <c r="P333" s="76"/>
      <c r="Q333" s="76"/>
      <c r="R333" s="76"/>
      <c r="S333" s="76"/>
      <c r="T333" s="76"/>
      <c r="U333" s="97">
        <f>1.5*364</f>
        <v>546</v>
      </c>
      <c r="V333" s="97">
        <f t="shared" ref="V333:AD333" si="65">1.5*364</f>
        <v>546</v>
      </c>
      <c r="W333" s="97">
        <f t="shared" si="65"/>
        <v>546</v>
      </c>
      <c r="X333" s="97">
        <f t="shared" si="65"/>
        <v>546</v>
      </c>
      <c r="Y333" s="97">
        <f t="shared" si="65"/>
        <v>546</v>
      </c>
      <c r="Z333" s="97">
        <f t="shared" si="65"/>
        <v>546</v>
      </c>
      <c r="AA333" s="97">
        <f t="shared" si="65"/>
        <v>546</v>
      </c>
      <c r="AB333" s="97">
        <f t="shared" si="65"/>
        <v>546</v>
      </c>
      <c r="AC333" s="97">
        <f t="shared" si="65"/>
        <v>546</v>
      </c>
      <c r="AD333" s="97">
        <f t="shared" si="65"/>
        <v>546</v>
      </c>
      <c r="AE333" s="76"/>
      <c r="AF333" s="97" t="s">
        <v>460</v>
      </c>
      <c r="AG333" s="76"/>
      <c r="AH333" s="97">
        <v>1</v>
      </c>
      <c r="AI333" s="97">
        <v>1</v>
      </c>
      <c r="AJ333" s="73"/>
      <c r="AK333" s="57"/>
      <c r="AL333" s="45"/>
      <c r="AM333" s="45"/>
      <c r="AN333" s="45"/>
    </row>
    <row r="334" spans="1:40" hidden="1" outlineLevel="2" x14ac:dyDescent="0.25">
      <c r="A334" s="45"/>
      <c r="B334" s="54"/>
      <c r="C334" s="47">
        <f t="shared" si="56"/>
        <v>3</v>
      </c>
      <c r="D334" s="73"/>
      <c r="E334" s="70"/>
      <c r="F334" s="70" t="s">
        <v>3292</v>
      </c>
      <c r="G334" s="73"/>
      <c r="H334" s="76" t="s">
        <v>3295</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outlineLevel="2" x14ac:dyDescent="0.25">
      <c r="A335" s="45"/>
      <c r="B335" s="54"/>
      <c r="C335" s="47">
        <f t="shared" si="56"/>
        <v>3</v>
      </c>
      <c r="D335" s="73"/>
      <c r="E335" s="70"/>
      <c r="F335" s="70" t="s">
        <v>3294</v>
      </c>
      <c r="G335" s="73"/>
      <c r="H335" s="76" t="s">
        <v>3298</v>
      </c>
      <c r="I335" s="96"/>
      <c r="J335" s="96"/>
      <c r="K335" s="76"/>
      <c r="L335" s="76"/>
      <c r="M335" s="76"/>
      <c r="N335" s="76"/>
      <c r="O335" s="76"/>
      <c r="P335" s="76"/>
      <c r="Q335" s="76"/>
      <c r="R335" s="76"/>
      <c r="S335" s="76"/>
      <c r="T335" s="76" t="s">
        <v>3286</v>
      </c>
      <c r="U335" s="97">
        <v>0.85</v>
      </c>
      <c r="V335" s="97">
        <v>0.85</v>
      </c>
      <c r="W335" s="631">
        <f>$V335+0-0.0240640676</f>
        <v>0.82593593239999996</v>
      </c>
      <c r="X335" s="631">
        <f>$V335+0.0633302759</f>
        <v>0.91333027589999993</v>
      </c>
      <c r="Y335" s="631">
        <f>$V335+0.00537508446</f>
        <v>0.85537508445999999</v>
      </c>
      <c r="Z335" s="97">
        <v>0.85</v>
      </c>
      <c r="AA335" s="97">
        <v>0.85</v>
      </c>
      <c r="AB335" s="97">
        <v>0.85</v>
      </c>
      <c r="AC335" s="97">
        <v>0.85</v>
      </c>
      <c r="AD335" s="97">
        <v>0.85</v>
      </c>
      <c r="AE335" s="76"/>
      <c r="AF335" s="97" t="s">
        <v>3291</v>
      </c>
      <c r="AG335" s="76"/>
      <c r="AH335" s="97">
        <v>1</v>
      </c>
      <c r="AI335" s="97">
        <v>1</v>
      </c>
      <c r="AJ335" s="73"/>
      <c r="AK335" s="57"/>
      <c r="AL335" s="45"/>
      <c r="AM335" s="45"/>
      <c r="AN335" s="45"/>
    </row>
    <row r="336" spans="1:40" outlineLevel="2" x14ac:dyDescent="0.25">
      <c r="A336" s="45"/>
      <c r="B336" s="54"/>
      <c r="C336" s="47">
        <f t="shared" si="56"/>
        <v>3</v>
      </c>
      <c r="D336" s="73"/>
      <c r="E336" s="70"/>
      <c r="F336" s="70" t="s">
        <v>3297</v>
      </c>
      <c r="G336" s="73"/>
      <c r="H336" s="76" t="s">
        <v>3299</v>
      </c>
      <c r="I336" s="96"/>
      <c r="J336" s="96"/>
      <c r="K336" s="76"/>
      <c r="L336" s="76"/>
      <c r="M336" s="76"/>
      <c r="N336" s="76"/>
      <c r="O336" s="76"/>
      <c r="P336" s="76"/>
      <c r="Q336" s="76"/>
      <c r="R336" s="76"/>
      <c r="S336" s="76"/>
      <c r="T336" s="76" t="s">
        <v>3286</v>
      </c>
      <c r="U336" s="97">
        <v>1</v>
      </c>
      <c r="V336" s="97">
        <v>1</v>
      </c>
      <c r="W336" s="631">
        <f>$V336+0.13745363</f>
        <v>1.13745363</v>
      </c>
      <c r="X336" s="631">
        <f>$V336+0.0497716206</f>
        <v>1.0497716206000001</v>
      </c>
      <c r="Y336" s="631">
        <f>$V336+0.127165124</f>
        <v>1.127165124</v>
      </c>
      <c r="Z336" s="97">
        <v>1</v>
      </c>
      <c r="AA336" s="97">
        <v>1</v>
      </c>
      <c r="AB336" s="97">
        <v>1</v>
      </c>
      <c r="AC336" s="97">
        <v>1</v>
      </c>
      <c r="AD336" s="97">
        <v>1</v>
      </c>
      <c r="AE336" s="76"/>
      <c r="AF336" s="97" t="s">
        <v>460</v>
      </c>
      <c r="AG336" s="76"/>
      <c r="AH336" s="97">
        <v>1</v>
      </c>
      <c r="AI336" s="97">
        <v>1</v>
      </c>
      <c r="AJ336" s="73"/>
      <c r="AK336" s="57"/>
      <c r="AL336" s="45"/>
      <c r="AM336" s="45"/>
      <c r="AN336" s="45"/>
    </row>
    <row r="337" spans="1:40" hidden="1"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6">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7">INDEX($K339:$Q339,1,U$43)</f>
        <v>0.09</v>
      </c>
      <c r="V339" s="253">
        <f t="shared" si="67"/>
        <v>0.09</v>
      </c>
      <c r="W339" s="253">
        <f t="shared" si="67"/>
        <v>0.09</v>
      </c>
      <c r="X339" s="253">
        <f t="shared" si="67"/>
        <v>0.09</v>
      </c>
      <c r="Y339" s="253">
        <f t="shared" si="67"/>
        <v>0.09</v>
      </c>
      <c r="Z339" s="253">
        <f t="shared" si="67"/>
        <v>0.09</v>
      </c>
      <c r="AA339" s="253">
        <f t="shared" si="67"/>
        <v>0.09</v>
      </c>
      <c r="AB339" s="253">
        <f t="shared" si="67"/>
        <v>0.09</v>
      </c>
      <c r="AC339" s="253">
        <f t="shared" si="67"/>
        <v>0.09</v>
      </c>
      <c r="AD339" s="253">
        <f t="shared" si="67"/>
        <v>0.09</v>
      </c>
      <c r="AE339" s="76"/>
      <c r="AF339" s="76"/>
      <c r="AG339" s="76"/>
      <c r="AH339" s="97">
        <v>1</v>
      </c>
      <c r="AI339" s="97">
        <v>1</v>
      </c>
      <c r="AJ339" s="73"/>
      <c r="AK339" s="57"/>
      <c r="AL339" s="45"/>
      <c r="AM339" s="45"/>
      <c r="AN339" s="45"/>
    </row>
    <row r="340" spans="1:40" hidden="1" outlineLevel="2" x14ac:dyDescent="0.25">
      <c r="A340" s="45"/>
      <c r="B340" s="54"/>
      <c r="C340" s="47">
        <f t="shared" si="66"/>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7"/>
        <v>4.0999999999999996</v>
      </c>
      <c r="V340" s="253">
        <f t="shared" si="67"/>
        <v>4.0999999999999996</v>
      </c>
      <c r="W340" s="253">
        <f t="shared" si="67"/>
        <v>4.0999999999999996</v>
      </c>
      <c r="X340" s="253">
        <f t="shared" si="67"/>
        <v>4.0999999999999996</v>
      </c>
      <c r="Y340" s="253">
        <f t="shared" si="67"/>
        <v>4.0999999999999996</v>
      </c>
      <c r="Z340" s="253">
        <f t="shared" si="67"/>
        <v>4.0999999999999996</v>
      </c>
      <c r="AA340" s="253">
        <f t="shared" si="67"/>
        <v>4.0999999999999996</v>
      </c>
      <c r="AB340" s="253">
        <f t="shared" si="67"/>
        <v>4.0999999999999996</v>
      </c>
      <c r="AC340" s="253">
        <f t="shared" si="67"/>
        <v>4.0999999999999996</v>
      </c>
      <c r="AD340" s="253">
        <f t="shared" si="67"/>
        <v>4.0999999999999996</v>
      </c>
      <c r="AE340" s="76"/>
      <c r="AF340" s="76"/>
      <c r="AG340" s="76"/>
      <c r="AH340" s="97">
        <v>1</v>
      </c>
      <c r="AI340" s="97">
        <v>1</v>
      </c>
      <c r="AJ340" s="73"/>
      <c r="AK340" s="57"/>
      <c r="AL340" s="45"/>
      <c r="AM340" s="45"/>
      <c r="AN340" s="45"/>
    </row>
    <row r="341" spans="1:40" hidden="1" outlineLevel="2" x14ac:dyDescent="0.25">
      <c r="A341" s="45"/>
      <c r="B341" s="54"/>
      <c r="C341" s="47">
        <f t="shared" si="66"/>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7"/>
        <v>1.3</v>
      </c>
      <c r="V341" s="253">
        <f t="shared" si="67"/>
        <v>1.3</v>
      </c>
      <c r="W341" s="253">
        <f t="shared" si="67"/>
        <v>1.3</v>
      </c>
      <c r="X341" s="253">
        <f t="shared" si="67"/>
        <v>1.3</v>
      </c>
      <c r="Y341" s="253">
        <f t="shared" si="67"/>
        <v>1.3</v>
      </c>
      <c r="Z341" s="253">
        <f t="shared" si="67"/>
        <v>1.3</v>
      </c>
      <c r="AA341" s="253">
        <f t="shared" si="67"/>
        <v>1.3</v>
      </c>
      <c r="AB341" s="253">
        <f t="shared" si="67"/>
        <v>1.3</v>
      </c>
      <c r="AC341" s="253">
        <f t="shared" si="67"/>
        <v>1.3</v>
      </c>
      <c r="AD341" s="253">
        <f t="shared" si="67"/>
        <v>1.3</v>
      </c>
      <c r="AE341" s="76"/>
      <c r="AF341" s="76"/>
      <c r="AG341" s="76"/>
      <c r="AH341" s="97">
        <v>1</v>
      </c>
      <c r="AI341" s="97">
        <v>1</v>
      </c>
      <c r="AJ341" s="73"/>
      <c r="AK341" s="57"/>
      <c r="AL341" s="45"/>
      <c r="AM341" s="45"/>
      <c r="AN341" s="45"/>
    </row>
    <row r="342" spans="1:40" hidden="1" outlineLevel="2" x14ac:dyDescent="0.25">
      <c r="A342" s="45"/>
      <c r="B342" s="54"/>
      <c r="C342" s="47">
        <f t="shared" si="66"/>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7"/>
        <v>0.5</v>
      </c>
      <c r="V342" s="253">
        <f t="shared" si="67"/>
        <v>0.5</v>
      </c>
      <c r="W342" s="253">
        <f t="shared" si="67"/>
        <v>0.5</v>
      </c>
      <c r="X342" s="253">
        <f t="shared" si="67"/>
        <v>0.5</v>
      </c>
      <c r="Y342" s="253">
        <f t="shared" si="67"/>
        <v>0.5</v>
      </c>
      <c r="Z342" s="253">
        <f t="shared" si="67"/>
        <v>0.5</v>
      </c>
      <c r="AA342" s="253">
        <f t="shared" si="67"/>
        <v>0.5</v>
      </c>
      <c r="AB342" s="253">
        <f t="shared" si="67"/>
        <v>0.5</v>
      </c>
      <c r="AC342" s="253">
        <f t="shared" si="67"/>
        <v>0.5</v>
      </c>
      <c r="AD342" s="253">
        <f t="shared" si="67"/>
        <v>0.5</v>
      </c>
      <c r="AE342" s="76"/>
      <c r="AF342" s="76"/>
      <c r="AG342" s="76"/>
      <c r="AH342" s="97">
        <v>1</v>
      </c>
      <c r="AI342" s="97">
        <v>1</v>
      </c>
      <c r="AJ342" s="73"/>
      <c r="AK342" s="57"/>
      <c r="AL342" s="45"/>
      <c r="AM342" s="45"/>
      <c r="AN342" s="45"/>
    </row>
    <row r="343" spans="1:40" hidden="1" outlineLevel="2" x14ac:dyDescent="0.25">
      <c r="A343" s="45"/>
      <c r="B343" s="54"/>
      <c r="C343" s="47">
        <f t="shared" si="66"/>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7"/>
        <v>0.7</v>
      </c>
      <c r="V343" s="253">
        <f t="shared" si="67"/>
        <v>0.7</v>
      </c>
      <c r="W343" s="253">
        <f t="shared" si="67"/>
        <v>0.7</v>
      </c>
      <c r="X343" s="253">
        <f t="shared" si="67"/>
        <v>0.7</v>
      </c>
      <c r="Y343" s="253">
        <f t="shared" si="67"/>
        <v>0.7</v>
      </c>
      <c r="Z343" s="253">
        <f t="shared" si="67"/>
        <v>0.7</v>
      </c>
      <c r="AA343" s="253">
        <f t="shared" si="67"/>
        <v>0.7</v>
      </c>
      <c r="AB343" s="253">
        <f t="shared" si="67"/>
        <v>0.7</v>
      </c>
      <c r="AC343" s="253">
        <f t="shared" si="67"/>
        <v>0.7</v>
      </c>
      <c r="AD343" s="253">
        <f t="shared" si="67"/>
        <v>0.7</v>
      </c>
      <c r="AE343" s="76"/>
      <c r="AF343" s="76"/>
      <c r="AG343" s="76"/>
      <c r="AH343" s="97">
        <v>1</v>
      </c>
      <c r="AI343" s="97">
        <v>1</v>
      </c>
      <c r="AJ343" s="73"/>
      <c r="AK343" s="57"/>
      <c r="AL343" s="45"/>
      <c r="AM343" s="45"/>
      <c r="AN343" s="45"/>
    </row>
    <row r="344" spans="1:40" hidden="1" outlineLevel="2" x14ac:dyDescent="0.25">
      <c r="A344" s="45"/>
      <c r="B344" s="54"/>
      <c r="C344" s="47">
        <f t="shared" si="66"/>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7"/>
        <v>0.15</v>
      </c>
      <c r="V344" s="253">
        <f t="shared" si="67"/>
        <v>0.15</v>
      </c>
      <c r="W344" s="253">
        <f t="shared" si="67"/>
        <v>0.15</v>
      </c>
      <c r="X344" s="253">
        <f t="shared" si="67"/>
        <v>0.15</v>
      </c>
      <c r="Y344" s="253">
        <f t="shared" si="67"/>
        <v>0.15</v>
      </c>
      <c r="Z344" s="253">
        <f t="shared" si="67"/>
        <v>0.15</v>
      </c>
      <c r="AA344" s="253">
        <f t="shared" si="67"/>
        <v>0.15</v>
      </c>
      <c r="AB344" s="253">
        <f t="shared" si="67"/>
        <v>0.15</v>
      </c>
      <c r="AC344" s="253">
        <f t="shared" si="67"/>
        <v>0.15</v>
      </c>
      <c r="AD344" s="253">
        <f t="shared" si="67"/>
        <v>0.15</v>
      </c>
      <c r="AE344" s="76"/>
      <c r="AF344" s="76"/>
      <c r="AG344" s="76"/>
      <c r="AH344" s="97">
        <v>1</v>
      </c>
      <c r="AI344" s="97">
        <v>1</v>
      </c>
      <c r="AJ344" s="73"/>
      <c r="AK344" s="57"/>
      <c r="AL344" s="45"/>
      <c r="AM344" s="45"/>
      <c r="AN344" s="45"/>
    </row>
    <row r="345" spans="1:40" hidden="1" outlineLevel="2" x14ac:dyDescent="0.25">
      <c r="A345" s="45"/>
      <c r="B345" s="54"/>
      <c r="C345" s="47">
        <f t="shared" si="66"/>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7"/>
        <v>0.48099999999999998</v>
      </c>
      <c r="V345" s="253">
        <f t="shared" si="67"/>
        <v>0.48099999999999998</v>
      </c>
      <c r="W345" s="253">
        <f t="shared" si="67"/>
        <v>0.48099999999999998</v>
      </c>
      <c r="X345" s="253">
        <f t="shared" si="67"/>
        <v>0.48099999999999998</v>
      </c>
      <c r="Y345" s="253">
        <f t="shared" si="67"/>
        <v>0.48099999999999998</v>
      </c>
      <c r="Z345" s="253">
        <f t="shared" si="67"/>
        <v>0.48099999999999998</v>
      </c>
      <c r="AA345" s="253">
        <f t="shared" si="67"/>
        <v>0.48099999999999998</v>
      </c>
      <c r="AB345" s="253">
        <f t="shared" si="67"/>
        <v>0.48099999999999998</v>
      </c>
      <c r="AC345" s="253">
        <f t="shared" si="67"/>
        <v>0.48099999999999998</v>
      </c>
      <c r="AD345" s="253">
        <f t="shared" si="67"/>
        <v>0.48099999999999998</v>
      </c>
      <c r="AE345" s="76"/>
      <c r="AF345" s="76"/>
      <c r="AG345" s="76"/>
      <c r="AH345" s="97">
        <v>1</v>
      </c>
      <c r="AI345" s="97">
        <v>1</v>
      </c>
      <c r="AJ345" s="73"/>
      <c r="AK345" s="57"/>
      <c r="AL345" s="45"/>
      <c r="AM345" s="45"/>
      <c r="AN345" s="45"/>
    </row>
    <row r="346" spans="1:40" hidden="1" outlineLevel="2" x14ac:dyDescent="0.25">
      <c r="A346" s="45"/>
      <c r="B346" s="54"/>
      <c r="C346" s="47">
        <f t="shared" si="66"/>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7"/>
        <v>0.61899999999999999</v>
      </c>
      <c r="V346" s="253">
        <f t="shared" si="67"/>
        <v>0.61899999999999999</v>
      </c>
      <c r="W346" s="253">
        <f t="shared" si="67"/>
        <v>0.61899999999999999</v>
      </c>
      <c r="X346" s="253">
        <f t="shared" si="67"/>
        <v>0.61899999999999999</v>
      </c>
      <c r="Y346" s="253">
        <f t="shared" si="67"/>
        <v>0.61899999999999999</v>
      </c>
      <c r="Z346" s="253">
        <f t="shared" si="67"/>
        <v>0.61899999999999999</v>
      </c>
      <c r="AA346" s="253">
        <f t="shared" si="67"/>
        <v>0.61899999999999999</v>
      </c>
      <c r="AB346" s="253">
        <f t="shared" si="67"/>
        <v>0.61899999999999999</v>
      </c>
      <c r="AC346" s="253">
        <f t="shared" si="67"/>
        <v>0.61899999999999999</v>
      </c>
      <c r="AD346" s="253">
        <f t="shared" si="67"/>
        <v>0.61899999999999999</v>
      </c>
      <c r="AE346" s="76"/>
      <c r="AF346" s="76"/>
      <c r="AG346" s="76"/>
      <c r="AH346" s="97">
        <v>1</v>
      </c>
      <c r="AI346" s="97">
        <v>1</v>
      </c>
      <c r="AJ346" s="73"/>
      <c r="AK346" s="57"/>
      <c r="AL346" s="45"/>
      <c r="AM346" s="45"/>
      <c r="AN346" s="45"/>
    </row>
    <row r="347" spans="1:40" hidden="1" outlineLevel="2" x14ac:dyDescent="0.25">
      <c r="A347" s="45"/>
      <c r="B347" s="54"/>
      <c r="C347" s="47">
        <f t="shared" si="66"/>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7"/>
        <v>1.41</v>
      </c>
      <c r="V347" s="253">
        <f t="shared" si="67"/>
        <v>1.41</v>
      </c>
      <c r="W347" s="253">
        <f t="shared" si="67"/>
        <v>1.41</v>
      </c>
      <c r="X347" s="253">
        <f t="shared" si="67"/>
        <v>1.41</v>
      </c>
      <c r="Y347" s="253">
        <f t="shared" si="67"/>
        <v>1.41</v>
      </c>
      <c r="Z347" s="253">
        <f t="shared" si="67"/>
        <v>1.41</v>
      </c>
      <c r="AA347" s="253">
        <f t="shared" si="67"/>
        <v>1.41</v>
      </c>
      <c r="AB347" s="253">
        <f t="shared" si="67"/>
        <v>1.41</v>
      </c>
      <c r="AC347" s="253">
        <f t="shared" si="67"/>
        <v>1.41</v>
      </c>
      <c r="AD347" s="253">
        <f t="shared" si="67"/>
        <v>1.41</v>
      </c>
      <c r="AE347" s="76"/>
      <c r="AF347" s="76"/>
      <c r="AG347" s="76"/>
      <c r="AH347" s="97">
        <v>1</v>
      </c>
      <c r="AI347" s="97">
        <v>1</v>
      </c>
      <c r="AJ347" s="73"/>
      <c r="AK347" s="57"/>
      <c r="AL347" s="45"/>
      <c r="AM347" s="45"/>
      <c r="AN347" s="45"/>
    </row>
    <row r="348" spans="1:40" hidden="1" outlineLevel="2" x14ac:dyDescent="0.25">
      <c r="A348" s="45"/>
      <c r="B348" s="54"/>
      <c r="C348" s="47">
        <f t="shared" si="66"/>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7"/>
        <v>0.32200000000000001</v>
      </c>
      <c r="V348" s="253">
        <f t="shared" si="67"/>
        <v>0.32200000000000001</v>
      </c>
      <c r="W348" s="253">
        <f t="shared" si="67"/>
        <v>0.32200000000000001</v>
      </c>
      <c r="X348" s="253">
        <f t="shared" si="67"/>
        <v>0.32200000000000001</v>
      </c>
      <c r="Y348" s="253">
        <f t="shared" si="67"/>
        <v>0.32200000000000001</v>
      </c>
      <c r="Z348" s="253">
        <f t="shared" si="67"/>
        <v>0.32200000000000001</v>
      </c>
      <c r="AA348" s="253">
        <f t="shared" si="67"/>
        <v>0.32200000000000001</v>
      </c>
      <c r="AB348" s="253">
        <f t="shared" si="67"/>
        <v>0.32200000000000001</v>
      </c>
      <c r="AC348" s="253">
        <f t="shared" si="67"/>
        <v>0.32200000000000001</v>
      </c>
      <c r="AD348" s="253">
        <f t="shared" si="67"/>
        <v>0.32200000000000001</v>
      </c>
      <c r="AE348" s="76"/>
      <c r="AF348" s="76"/>
      <c r="AG348" s="76"/>
      <c r="AH348" s="97">
        <v>1</v>
      </c>
      <c r="AI348" s="97">
        <v>1</v>
      </c>
      <c r="AJ348" s="73"/>
      <c r="AK348" s="57"/>
      <c r="AL348" s="45"/>
      <c r="AM348" s="45"/>
      <c r="AN348" s="45"/>
    </row>
    <row r="349" spans="1:40" hidden="1" outlineLevel="2" x14ac:dyDescent="0.25">
      <c r="A349" s="45"/>
      <c r="B349" s="54"/>
      <c r="C349" s="47">
        <f t="shared" si="66"/>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8">INDEX($K349:$Q349,1,U$43)</f>
        <v>39</v>
      </c>
      <c r="V349" s="253">
        <f t="shared" si="68"/>
        <v>39</v>
      </c>
      <c r="W349" s="253">
        <f t="shared" si="68"/>
        <v>39</v>
      </c>
      <c r="X349" s="253">
        <f t="shared" si="68"/>
        <v>39</v>
      </c>
      <c r="Y349" s="253">
        <f t="shared" si="68"/>
        <v>39</v>
      </c>
      <c r="Z349" s="253">
        <f t="shared" si="68"/>
        <v>39</v>
      </c>
      <c r="AA349" s="253">
        <f t="shared" si="68"/>
        <v>39</v>
      </c>
      <c r="AB349" s="253">
        <f t="shared" si="68"/>
        <v>39</v>
      </c>
      <c r="AC349" s="253">
        <f t="shared" si="68"/>
        <v>39</v>
      </c>
      <c r="AD349" s="253">
        <f t="shared" si="68"/>
        <v>39</v>
      </c>
      <c r="AE349" s="76"/>
      <c r="AF349" s="76"/>
      <c r="AG349" s="76"/>
      <c r="AH349" s="97">
        <v>1</v>
      </c>
      <c r="AI349" s="97">
        <v>1</v>
      </c>
      <c r="AJ349" s="73"/>
      <c r="AK349" s="57"/>
      <c r="AL349" s="45"/>
      <c r="AM349" s="45"/>
      <c r="AN349" s="45"/>
    </row>
    <row r="350" spans="1:40" hidden="1" outlineLevel="2" x14ac:dyDescent="0.25">
      <c r="A350" s="45"/>
      <c r="B350" s="54"/>
      <c r="C350" s="47">
        <f t="shared" si="66"/>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8"/>
        <v>1.3</v>
      </c>
      <c r="V350" s="253">
        <f t="shared" si="68"/>
        <v>1.3</v>
      </c>
      <c r="W350" s="253">
        <f t="shared" si="68"/>
        <v>1.3</v>
      </c>
      <c r="X350" s="253">
        <f t="shared" si="68"/>
        <v>1.3</v>
      </c>
      <c r="Y350" s="253">
        <f t="shared" si="68"/>
        <v>1.3</v>
      </c>
      <c r="Z350" s="253">
        <f t="shared" si="68"/>
        <v>1.3</v>
      </c>
      <c r="AA350" s="253">
        <f t="shared" si="68"/>
        <v>1.3</v>
      </c>
      <c r="AB350" s="253">
        <f t="shared" si="68"/>
        <v>1.3</v>
      </c>
      <c r="AC350" s="253">
        <f t="shared" si="68"/>
        <v>1.3</v>
      </c>
      <c r="AD350" s="253">
        <f t="shared" si="68"/>
        <v>1.3</v>
      </c>
      <c r="AE350" s="76"/>
      <c r="AF350" s="76"/>
      <c r="AG350" s="76"/>
      <c r="AH350" s="97">
        <v>1</v>
      </c>
      <c r="AI350" s="97">
        <v>1</v>
      </c>
      <c r="AJ350" s="73"/>
      <c r="AK350" s="57"/>
      <c r="AL350" s="45"/>
      <c r="AM350" s="45"/>
      <c r="AN350" s="45"/>
    </row>
    <row r="351" spans="1:40" hidden="1" outlineLevel="2" x14ac:dyDescent="0.25">
      <c r="A351" s="45"/>
      <c r="B351" s="54"/>
      <c r="C351" s="47">
        <f t="shared" si="66"/>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8"/>
        <v>5</v>
      </c>
      <c r="V351" s="253">
        <f t="shared" si="68"/>
        <v>5</v>
      </c>
      <c r="W351" s="253">
        <f t="shared" si="68"/>
        <v>5</v>
      </c>
      <c r="X351" s="253">
        <f t="shared" si="68"/>
        <v>5</v>
      </c>
      <c r="Y351" s="253">
        <f t="shared" si="68"/>
        <v>5</v>
      </c>
      <c r="Z351" s="253">
        <f t="shared" si="68"/>
        <v>5</v>
      </c>
      <c r="AA351" s="253">
        <f t="shared" si="68"/>
        <v>5</v>
      </c>
      <c r="AB351" s="253">
        <f t="shared" si="68"/>
        <v>5</v>
      </c>
      <c r="AC351" s="253">
        <f t="shared" si="68"/>
        <v>5</v>
      </c>
      <c r="AD351" s="253">
        <f t="shared" si="68"/>
        <v>5</v>
      </c>
      <c r="AE351" s="76"/>
      <c r="AF351" s="76"/>
      <c r="AG351" s="76"/>
      <c r="AH351" s="97">
        <v>1</v>
      </c>
      <c r="AI351" s="97">
        <v>1</v>
      </c>
      <c r="AJ351" s="73"/>
      <c r="AK351" s="57"/>
      <c r="AL351" s="45"/>
      <c r="AM351" s="45"/>
      <c r="AN351" s="45"/>
    </row>
    <row r="352" spans="1:40" hidden="1" outlineLevel="2" x14ac:dyDescent="0.25">
      <c r="A352" s="45"/>
      <c r="B352" s="54"/>
      <c r="C352" s="47">
        <f t="shared" si="66"/>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8"/>
        <v>0.15</v>
      </c>
      <c r="V352" s="253">
        <f t="shared" si="68"/>
        <v>0.15</v>
      </c>
      <c r="W352" s="253">
        <f t="shared" si="68"/>
        <v>0.15</v>
      </c>
      <c r="X352" s="253">
        <f t="shared" si="68"/>
        <v>0.15</v>
      </c>
      <c r="Y352" s="253">
        <f t="shared" si="68"/>
        <v>0.15</v>
      </c>
      <c r="Z352" s="253">
        <f t="shared" si="68"/>
        <v>0.15</v>
      </c>
      <c r="AA352" s="253">
        <f t="shared" si="68"/>
        <v>0.15</v>
      </c>
      <c r="AB352" s="253">
        <f t="shared" si="68"/>
        <v>0.15</v>
      </c>
      <c r="AC352" s="253">
        <f t="shared" si="68"/>
        <v>0.15</v>
      </c>
      <c r="AD352" s="253">
        <f t="shared" si="68"/>
        <v>0.15</v>
      </c>
      <c r="AE352" s="76"/>
      <c r="AF352" s="76"/>
      <c r="AG352" s="76"/>
      <c r="AH352" s="97">
        <v>1</v>
      </c>
      <c r="AI352" s="97">
        <v>1</v>
      </c>
      <c r="AJ352" s="73"/>
      <c r="AK352" s="57"/>
      <c r="AL352" s="45"/>
      <c r="AM352" s="45"/>
      <c r="AN352" s="45"/>
    </row>
    <row r="353" spans="1:40" hidden="1" outlineLevel="2" x14ac:dyDescent="0.25">
      <c r="A353" s="45"/>
      <c r="B353" s="54"/>
      <c r="C353" s="47">
        <f t="shared" si="66"/>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8"/>
        <v>10</v>
      </c>
      <c r="V353" s="253">
        <f t="shared" si="68"/>
        <v>10</v>
      </c>
      <c r="W353" s="253">
        <f t="shared" si="68"/>
        <v>10</v>
      </c>
      <c r="X353" s="253">
        <f t="shared" si="68"/>
        <v>10</v>
      </c>
      <c r="Y353" s="253">
        <f t="shared" si="68"/>
        <v>10</v>
      </c>
      <c r="Z353" s="253">
        <f t="shared" si="68"/>
        <v>10</v>
      </c>
      <c r="AA353" s="253">
        <f t="shared" si="68"/>
        <v>10</v>
      </c>
      <c r="AB353" s="253">
        <f t="shared" si="68"/>
        <v>10</v>
      </c>
      <c r="AC353" s="253">
        <f t="shared" si="68"/>
        <v>10</v>
      </c>
      <c r="AD353" s="253">
        <f t="shared" si="68"/>
        <v>10</v>
      </c>
      <c r="AE353" s="76"/>
      <c r="AF353" s="76"/>
      <c r="AG353" s="76"/>
      <c r="AH353" s="97">
        <v>1</v>
      </c>
      <c r="AI353" s="97">
        <v>1</v>
      </c>
      <c r="AJ353" s="73"/>
      <c r="AK353" s="57"/>
      <c r="AL353" s="45"/>
      <c r="AM353" s="45"/>
      <c r="AN353" s="45"/>
    </row>
    <row r="354" spans="1:40" hidden="1" outlineLevel="2" x14ac:dyDescent="0.25">
      <c r="A354" s="45"/>
      <c r="B354" s="54"/>
      <c r="C354" s="47">
        <f t="shared" si="66"/>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8"/>
        <v>0.38</v>
      </c>
      <c r="V354" s="253">
        <f t="shared" si="68"/>
        <v>0.38</v>
      </c>
      <c r="W354" s="253">
        <f t="shared" si="68"/>
        <v>0.38</v>
      </c>
      <c r="X354" s="253">
        <f t="shared" si="68"/>
        <v>0.38</v>
      </c>
      <c r="Y354" s="253">
        <f t="shared" si="68"/>
        <v>0.38</v>
      </c>
      <c r="Z354" s="253">
        <f t="shared" si="68"/>
        <v>0.38</v>
      </c>
      <c r="AA354" s="253">
        <f t="shared" si="68"/>
        <v>0.38</v>
      </c>
      <c r="AB354" s="253">
        <f t="shared" si="68"/>
        <v>0.38</v>
      </c>
      <c r="AC354" s="253">
        <f t="shared" si="68"/>
        <v>0.38</v>
      </c>
      <c r="AD354" s="253">
        <f t="shared" si="68"/>
        <v>0.38</v>
      </c>
      <c r="AE354" s="76"/>
      <c r="AF354" s="76"/>
      <c r="AG354" s="76"/>
      <c r="AH354" s="97">
        <v>1</v>
      </c>
      <c r="AI354" s="97">
        <v>1</v>
      </c>
      <c r="AJ354" s="73"/>
      <c r="AK354" s="57"/>
      <c r="AL354" s="45"/>
      <c r="AM354" s="45"/>
      <c r="AN354" s="45"/>
    </row>
    <row r="355" spans="1:40" hidden="1" outlineLevel="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9">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70">INDEX($K357:$Q357,1,U$43)</f>
        <v>0.6</v>
      </c>
      <c r="V357" s="253">
        <f t="shared" si="70"/>
        <v>0.6</v>
      </c>
      <c r="W357" s="253">
        <f t="shared" si="70"/>
        <v>0.6</v>
      </c>
      <c r="X357" s="253">
        <f t="shared" si="70"/>
        <v>0.6</v>
      </c>
      <c r="Y357" s="253">
        <f t="shared" si="70"/>
        <v>0.6</v>
      </c>
      <c r="Z357" s="253">
        <f t="shared" si="70"/>
        <v>0.6</v>
      </c>
      <c r="AA357" s="253">
        <f t="shared" si="70"/>
        <v>0.6</v>
      </c>
      <c r="AB357" s="253">
        <f t="shared" si="70"/>
        <v>0.6</v>
      </c>
      <c r="AC357" s="253">
        <f t="shared" si="70"/>
        <v>0.6</v>
      </c>
      <c r="AD357" s="253">
        <f t="shared" si="70"/>
        <v>0.6</v>
      </c>
      <c r="AE357" s="76"/>
      <c r="AF357" s="76"/>
      <c r="AG357" s="76"/>
      <c r="AH357" s="97">
        <v>1</v>
      </c>
      <c r="AI357" s="97">
        <v>1</v>
      </c>
      <c r="AJ357" s="73"/>
      <c r="AK357" s="57"/>
      <c r="AL357" s="45"/>
      <c r="AM357" s="45"/>
      <c r="AN357" s="45"/>
    </row>
    <row r="358" spans="1:40" hidden="1" outlineLevel="2" x14ac:dyDescent="0.25">
      <c r="A358" s="45"/>
      <c r="B358" s="54"/>
      <c r="C358" s="47">
        <f t="shared" si="69"/>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70"/>
        <v>0.7</v>
      </c>
      <c r="V358" s="253">
        <f t="shared" si="70"/>
        <v>0.7</v>
      </c>
      <c r="W358" s="253">
        <f t="shared" si="70"/>
        <v>0.7</v>
      </c>
      <c r="X358" s="253">
        <f t="shared" si="70"/>
        <v>0.7</v>
      </c>
      <c r="Y358" s="253">
        <f t="shared" si="70"/>
        <v>0.7</v>
      </c>
      <c r="Z358" s="253">
        <f t="shared" si="70"/>
        <v>0.7</v>
      </c>
      <c r="AA358" s="253">
        <f t="shared" si="70"/>
        <v>0.7</v>
      </c>
      <c r="AB358" s="253">
        <f t="shared" si="70"/>
        <v>0.7</v>
      </c>
      <c r="AC358" s="253">
        <f t="shared" si="70"/>
        <v>0.7</v>
      </c>
      <c r="AD358" s="253">
        <f t="shared" si="70"/>
        <v>0.7</v>
      </c>
      <c r="AE358" s="76"/>
      <c r="AF358" s="76"/>
      <c r="AG358" s="76"/>
      <c r="AH358" s="97">
        <v>1</v>
      </c>
      <c r="AI358" s="97">
        <v>1</v>
      </c>
      <c r="AJ358" s="73"/>
      <c r="AK358" s="57"/>
      <c r="AL358" s="45"/>
      <c r="AM358" s="45"/>
      <c r="AN358" s="45"/>
    </row>
    <row r="359" spans="1:40" hidden="1" outlineLevel="2" x14ac:dyDescent="0.25">
      <c r="A359" s="45"/>
      <c r="B359" s="54"/>
      <c r="C359" s="47">
        <f t="shared" si="69"/>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70"/>
        <v>0.8</v>
      </c>
      <c r="V359" s="253">
        <f t="shared" si="70"/>
        <v>0.8</v>
      </c>
      <c r="W359" s="253">
        <f t="shared" si="70"/>
        <v>0.8</v>
      </c>
      <c r="X359" s="253">
        <f t="shared" si="70"/>
        <v>0.8</v>
      </c>
      <c r="Y359" s="253">
        <f t="shared" si="70"/>
        <v>0.8</v>
      </c>
      <c r="Z359" s="253">
        <f t="shared" si="70"/>
        <v>0.8</v>
      </c>
      <c r="AA359" s="253">
        <f t="shared" si="70"/>
        <v>0.8</v>
      </c>
      <c r="AB359" s="253">
        <f t="shared" si="70"/>
        <v>0.8</v>
      </c>
      <c r="AC359" s="253">
        <f t="shared" si="70"/>
        <v>0.8</v>
      </c>
      <c r="AD359" s="253">
        <f t="shared" si="70"/>
        <v>0.8</v>
      </c>
      <c r="AE359" s="76"/>
      <c r="AF359" s="76"/>
      <c r="AG359" s="76"/>
      <c r="AH359" s="97">
        <v>1</v>
      </c>
      <c r="AI359" s="97">
        <v>1</v>
      </c>
      <c r="AJ359" s="73"/>
      <c r="AK359" s="57"/>
      <c r="AL359" s="45"/>
      <c r="AM359" s="45"/>
      <c r="AN359" s="45"/>
    </row>
    <row r="360" spans="1:40" hidden="1" outlineLevel="2" x14ac:dyDescent="0.25">
      <c r="A360" s="45"/>
      <c r="B360" s="54"/>
      <c r="C360" s="47">
        <f t="shared" si="69"/>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70"/>
        <v>6</v>
      </c>
      <c r="V360" s="253">
        <f t="shared" si="70"/>
        <v>6</v>
      </c>
      <c r="W360" s="253">
        <f t="shared" si="70"/>
        <v>6</v>
      </c>
      <c r="X360" s="253">
        <f t="shared" si="70"/>
        <v>6</v>
      </c>
      <c r="Y360" s="253">
        <f t="shared" si="70"/>
        <v>6</v>
      </c>
      <c r="Z360" s="253">
        <f t="shared" si="70"/>
        <v>6</v>
      </c>
      <c r="AA360" s="253">
        <f t="shared" si="70"/>
        <v>6</v>
      </c>
      <c r="AB360" s="253">
        <f t="shared" si="70"/>
        <v>6</v>
      </c>
      <c r="AC360" s="253">
        <f t="shared" si="70"/>
        <v>6</v>
      </c>
      <c r="AD360" s="253">
        <f t="shared" si="70"/>
        <v>6</v>
      </c>
      <c r="AE360" s="76"/>
      <c r="AF360" s="76"/>
      <c r="AG360" s="76"/>
      <c r="AH360" s="97">
        <v>1</v>
      </c>
      <c r="AI360" s="97">
        <v>1</v>
      </c>
      <c r="AJ360" s="73"/>
      <c r="AK360" s="57"/>
      <c r="AL360" s="45"/>
      <c r="AM360" s="45"/>
      <c r="AN360" s="45"/>
    </row>
    <row r="361" spans="1:40" hidden="1" outlineLevel="2" x14ac:dyDescent="0.25">
      <c r="A361" s="45"/>
      <c r="B361" s="54"/>
      <c r="C361" s="47">
        <f t="shared" si="69"/>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70"/>
        <v>0.4</v>
      </c>
      <c r="V361" s="253">
        <f t="shared" si="70"/>
        <v>0.4</v>
      </c>
      <c r="W361" s="253">
        <f t="shared" si="70"/>
        <v>0.4</v>
      </c>
      <c r="X361" s="253">
        <f t="shared" si="70"/>
        <v>0.4</v>
      </c>
      <c r="Y361" s="253">
        <f t="shared" si="70"/>
        <v>0.4</v>
      </c>
      <c r="Z361" s="253">
        <f t="shared" si="70"/>
        <v>0.4</v>
      </c>
      <c r="AA361" s="253">
        <f t="shared" si="70"/>
        <v>0.4</v>
      </c>
      <c r="AB361" s="253">
        <f t="shared" si="70"/>
        <v>0.4</v>
      </c>
      <c r="AC361" s="253">
        <f t="shared" si="70"/>
        <v>0.4</v>
      </c>
      <c r="AD361" s="253">
        <f t="shared" si="70"/>
        <v>0.4</v>
      </c>
      <c r="AE361" s="76"/>
      <c r="AF361" s="76"/>
      <c r="AG361" s="76"/>
      <c r="AH361" s="97">
        <v>1</v>
      </c>
      <c r="AI361" s="97">
        <v>1</v>
      </c>
      <c r="AJ361" s="73"/>
      <c r="AK361" s="57"/>
      <c r="AL361" s="45"/>
      <c r="AM361" s="45"/>
      <c r="AN361" s="45"/>
    </row>
    <row r="362" spans="1:40" hidden="1" outlineLevel="2" x14ac:dyDescent="0.25">
      <c r="A362" s="45"/>
      <c r="B362" s="54"/>
      <c r="C362" s="47">
        <f t="shared" si="69"/>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70"/>
        <v>0.9</v>
      </c>
      <c r="V362" s="253">
        <f t="shared" si="70"/>
        <v>0.9</v>
      </c>
      <c r="W362" s="253">
        <f t="shared" si="70"/>
        <v>0.9</v>
      </c>
      <c r="X362" s="253">
        <f t="shared" si="70"/>
        <v>0.9</v>
      </c>
      <c r="Y362" s="253">
        <f t="shared" si="70"/>
        <v>0.9</v>
      </c>
      <c r="Z362" s="253">
        <f t="shared" si="70"/>
        <v>0.9</v>
      </c>
      <c r="AA362" s="253">
        <f t="shared" si="70"/>
        <v>0.9</v>
      </c>
      <c r="AB362" s="253">
        <f t="shared" si="70"/>
        <v>0.9</v>
      </c>
      <c r="AC362" s="253">
        <f t="shared" si="70"/>
        <v>0.9</v>
      </c>
      <c r="AD362" s="253">
        <f t="shared" si="70"/>
        <v>0.9</v>
      </c>
      <c r="AE362" s="76"/>
      <c r="AF362" s="76"/>
      <c r="AG362" s="76"/>
      <c r="AH362" s="97">
        <v>1</v>
      </c>
      <c r="AI362" s="97">
        <v>1</v>
      </c>
      <c r="AJ362" s="73"/>
      <c r="AK362" s="57"/>
      <c r="AL362" s="45"/>
      <c r="AM362" s="45"/>
      <c r="AN362" s="45"/>
    </row>
    <row r="363" spans="1:40" hidden="1" outlineLevel="2" x14ac:dyDescent="0.25">
      <c r="A363" s="45"/>
      <c r="B363" s="54"/>
      <c r="C363" s="47">
        <f t="shared" si="69"/>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70"/>
        <v>0.97</v>
      </c>
      <c r="V363" s="253">
        <f t="shared" si="70"/>
        <v>0.97</v>
      </c>
      <c r="W363" s="253">
        <f t="shared" si="70"/>
        <v>0.97</v>
      </c>
      <c r="X363" s="253">
        <f t="shared" si="70"/>
        <v>0.97</v>
      </c>
      <c r="Y363" s="253">
        <f t="shared" si="70"/>
        <v>0.97</v>
      </c>
      <c r="Z363" s="253">
        <f t="shared" si="70"/>
        <v>0.97</v>
      </c>
      <c r="AA363" s="253">
        <f t="shared" si="70"/>
        <v>0.97</v>
      </c>
      <c r="AB363" s="253">
        <f t="shared" si="70"/>
        <v>0.97</v>
      </c>
      <c r="AC363" s="253">
        <f t="shared" si="70"/>
        <v>0.97</v>
      </c>
      <c r="AD363" s="253">
        <f t="shared" si="70"/>
        <v>0.97</v>
      </c>
      <c r="AE363" s="76"/>
      <c r="AF363" s="76"/>
      <c r="AG363" s="76"/>
      <c r="AH363" s="97">
        <v>1</v>
      </c>
      <c r="AI363" s="97">
        <v>1</v>
      </c>
      <c r="AJ363" s="73"/>
      <c r="AK363" s="57"/>
      <c r="AL363" s="45"/>
      <c r="AM363" s="45"/>
      <c r="AN363" s="45"/>
    </row>
    <row r="364" spans="1:40" outlineLevel="2" x14ac:dyDescent="0.25">
      <c r="A364" s="45"/>
      <c r="B364" s="54"/>
      <c r="C364" s="47">
        <f t="shared" si="69"/>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3286</v>
      </c>
      <c r="U364" s="253">
        <f t="shared" ref="U364:V371" si="71">INDEX($K364:$Q364,1,U$43)</f>
        <v>27</v>
      </c>
      <c r="V364" s="253">
        <f t="shared" si="71"/>
        <v>27</v>
      </c>
      <c r="W364" s="631">
        <f>$V364+2</f>
        <v>29</v>
      </c>
      <c r="X364" s="631">
        <f>$V364+0-2</f>
        <v>25</v>
      </c>
      <c r="Y364" s="631">
        <f t="shared" ref="X364:Y364" si="72">$V364+0</f>
        <v>27</v>
      </c>
      <c r="Z364" s="253">
        <f t="shared" ref="Y364:Z371" si="73">INDEX($K364:$Q364,1,Z$43)</f>
        <v>27</v>
      </c>
      <c r="AA364" s="370">
        <f>INDEX($K364:$Q364,1,AA$43)-(20.3-AA365)</f>
        <v>17.7</v>
      </c>
      <c r="AB364" s="253">
        <f t="shared" ref="AB364:AC371" si="74">INDEX($K364:$Q364,1,AB$43)</f>
        <v>27</v>
      </c>
      <c r="AC364" s="253">
        <f t="shared" si="74"/>
        <v>27</v>
      </c>
      <c r="AD364" s="370">
        <f>INDEX($K364:$Q364,1,AD$43)-(20.3-11)</f>
        <v>17.7</v>
      </c>
      <c r="AE364" s="312"/>
      <c r="AF364" s="97" t="s">
        <v>2354</v>
      </c>
      <c r="AG364" s="76"/>
      <c r="AH364" s="97">
        <v>1</v>
      </c>
      <c r="AI364" s="97">
        <v>1</v>
      </c>
      <c r="AJ364" s="73"/>
      <c r="AK364" s="57"/>
      <c r="AL364" s="45"/>
      <c r="AM364" s="45"/>
      <c r="AN364" s="45"/>
    </row>
    <row r="365" spans="1:40" outlineLevel="2" x14ac:dyDescent="0.25">
      <c r="A365" s="45"/>
      <c r="B365" s="54"/>
      <c r="C365" s="47">
        <f t="shared" si="69"/>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3286</v>
      </c>
      <c r="U365" s="253">
        <f t="shared" si="71"/>
        <v>20.3</v>
      </c>
      <c r="V365" s="253">
        <f t="shared" si="71"/>
        <v>20.3</v>
      </c>
      <c r="W365" s="613">
        <f>INDEX($K365:$Q365,1,W$43)-(INDEX($K364:$Q364,1,W$43)-W364)</f>
        <v>22.3</v>
      </c>
      <c r="X365" s="613">
        <f>INDEX($K365:$Q365,1,X$43)-(INDEX($K364:$Q364,1,X$43)-X364)</f>
        <v>18.3</v>
      </c>
      <c r="Y365" s="613">
        <f>INDEX($K365:$Q365,1,Y$43)-(INDEX($K364:$Q364,1,Y$43)-Y364)</f>
        <v>20.3</v>
      </c>
      <c r="Z365" s="253">
        <f t="shared" si="73"/>
        <v>20.3</v>
      </c>
      <c r="AA365" s="370">
        <v>11</v>
      </c>
      <c r="AB365" s="253">
        <f t="shared" si="74"/>
        <v>20.3</v>
      </c>
      <c r="AC365" s="253">
        <f t="shared" si="74"/>
        <v>20.3</v>
      </c>
      <c r="AD365" s="370">
        <v>11</v>
      </c>
      <c r="AE365" s="312"/>
      <c r="AF365" s="97" t="s">
        <v>2354</v>
      </c>
      <c r="AG365" s="76"/>
      <c r="AH365" s="97">
        <v>1</v>
      </c>
      <c r="AI365" s="97">
        <v>1</v>
      </c>
      <c r="AJ365" s="73"/>
      <c r="AK365" s="57"/>
      <c r="AL365" s="45"/>
      <c r="AM365" s="45"/>
      <c r="AN365" s="45"/>
    </row>
    <row r="366" spans="1:40" hidden="1" outlineLevel="2" x14ac:dyDescent="0.25">
      <c r="A366" s="45"/>
      <c r="B366" s="54"/>
      <c r="C366" s="47">
        <f t="shared" si="69"/>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71"/>
        <v>2</v>
      </c>
      <c r="V366" s="253">
        <f t="shared" si="71"/>
        <v>2</v>
      </c>
      <c r="W366" s="253">
        <f t="shared" ref="W366:X371" si="75">INDEX($K366:$Q366,1,W$43)</f>
        <v>2</v>
      </c>
      <c r="X366" s="253">
        <f t="shared" si="75"/>
        <v>2</v>
      </c>
      <c r="Y366" s="253">
        <f t="shared" si="73"/>
        <v>2</v>
      </c>
      <c r="Z366" s="253">
        <f t="shared" si="73"/>
        <v>2</v>
      </c>
      <c r="AA366" s="253">
        <f t="shared" ref="AA366:AA371" si="76">INDEX($K366:$Q366,1,AA$43)</f>
        <v>2</v>
      </c>
      <c r="AB366" s="253">
        <f t="shared" si="74"/>
        <v>2</v>
      </c>
      <c r="AC366" s="253">
        <f t="shared" si="74"/>
        <v>2</v>
      </c>
      <c r="AD366" s="253">
        <f t="shared" ref="AD366:AD371" si="77">INDEX($K366:$Q366,1,AD$43)</f>
        <v>2</v>
      </c>
      <c r="AE366" s="76"/>
      <c r="AF366" s="76"/>
      <c r="AG366" s="76"/>
      <c r="AH366" s="97">
        <v>1</v>
      </c>
      <c r="AI366" s="97">
        <v>1</v>
      </c>
      <c r="AJ366" s="73"/>
      <c r="AK366" s="57"/>
      <c r="AL366" s="45"/>
      <c r="AM366" s="45"/>
      <c r="AN366" s="45"/>
    </row>
    <row r="367" spans="1:40" hidden="1" outlineLevel="2" x14ac:dyDescent="0.25">
      <c r="A367" s="45"/>
      <c r="B367" s="54"/>
      <c r="C367" s="47">
        <f t="shared" si="69"/>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71"/>
        <v>13.8</v>
      </c>
      <c r="V367" s="253">
        <f t="shared" si="71"/>
        <v>13.8</v>
      </c>
      <c r="W367" s="253">
        <f t="shared" si="75"/>
        <v>13.8</v>
      </c>
      <c r="X367" s="253">
        <f t="shared" si="75"/>
        <v>13.8</v>
      </c>
      <c r="Y367" s="253">
        <f t="shared" si="73"/>
        <v>13.8</v>
      </c>
      <c r="Z367" s="253">
        <f t="shared" si="73"/>
        <v>13.8</v>
      </c>
      <c r="AA367" s="253">
        <f t="shared" si="76"/>
        <v>13.8</v>
      </c>
      <c r="AB367" s="253">
        <f t="shared" si="74"/>
        <v>13.8</v>
      </c>
      <c r="AC367" s="253">
        <f t="shared" si="74"/>
        <v>13.8</v>
      </c>
      <c r="AD367" s="253">
        <f t="shared" si="77"/>
        <v>13.8</v>
      </c>
      <c r="AE367" s="76"/>
      <c r="AF367" s="76"/>
      <c r="AG367" s="76"/>
      <c r="AH367" s="97">
        <v>1</v>
      </c>
      <c r="AI367" s="97">
        <v>1</v>
      </c>
      <c r="AJ367" s="73"/>
      <c r="AK367" s="57"/>
      <c r="AL367" s="45"/>
      <c r="AM367" s="45"/>
      <c r="AN367" s="45"/>
    </row>
    <row r="368" spans="1:40" hidden="1" outlineLevel="2" x14ac:dyDescent="0.25">
      <c r="A368" s="45"/>
      <c r="B368" s="54"/>
      <c r="C368" s="47">
        <f t="shared" si="69"/>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71"/>
        <v>7.1999999999999995E-2</v>
      </c>
      <c r="V368" s="253">
        <f t="shared" si="71"/>
        <v>7.1999999999999995E-2</v>
      </c>
      <c r="W368" s="253">
        <f t="shared" si="75"/>
        <v>7.1999999999999995E-2</v>
      </c>
      <c r="X368" s="253">
        <f t="shared" si="75"/>
        <v>7.1999999999999995E-2</v>
      </c>
      <c r="Y368" s="253">
        <f t="shared" si="73"/>
        <v>7.1999999999999995E-2</v>
      </c>
      <c r="Z368" s="253">
        <f t="shared" si="73"/>
        <v>7.1999999999999995E-2</v>
      </c>
      <c r="AA368" s="253">
        <f t="shared" si="76"/>
        <v>7.1999999999999995E-2</v>
      </c>
      <c r="AB368" s="253">
        <f t="shared" si="74"/>
        <v>7.1999999999999995E-2</v>
      </c>
      <c r="AC368" s="253">
        <f t="shared" si="74"/>
        <v>7.1999999999999995E-2</v>
      </c>
      <c r="AD368" s="253">
        <f t="shared" si="77"/>
        <v>7.1999999999999995E-2</v>
      </c>
      <c r="AE368" s="76"/>
      <c r="AF368" s="76"/>
      <c r="AG368" s="76"/>
      <c r="AH368" s="97">
        <v>1</v>
      </c>
      <c r="AI368" s="97">
        <v>1</v>
      </c>
      <c r="AJ368" s="73"/>
      <c r="AK368" s="57"/>
      <c r="AL368" s="45"/>
      <c r="AM368" s="45"/>
      <c r="AN368" s="45"/>
    </row>
    <row r="369" spans="1:40" hidden="1" outlineLevel="2" x14ac:dyDescent="0.25">
      <c r="A369" s="45"/>
      <c r="B369" s="54"/>
      <c r="C369" s="47">
        <f t="shared" si="69"/>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71"/>
        <v>0.14000000000000001</v>
      </c>
      <c r="V369" s="253">
        <f t="shared" si="71"/>
        <v>0.14000000000000001</v>
      </c>
      <c r="W369" s="253">
        <f t="shared" si="75"/>
        <v>0.14000000000000001</v>
      </c>
      <c r="X369" s="253">
        <f t="shared" si="75"/>
        <v>0.14000000000000001</v>
      </c>
      <c r="Y369" s="253">
        <f t="shared" si="73"/>
        <v>0.14000000000000001</v>
      </c>
      <c r="Z369" s="253">
        <f t="shared" si="73"/>
        <v>0.14000000000000001</v>
      </c>
      <c r="AA369" s="253">
        <f t="shared" si="76"/>
        <v>0.14000000000000001</v>
      </c>
      <c r="AB369" s="253">
        <f t="shared" si="74"/>
        <v>0.14000000000000001</v>
      </c>
      <c r="AC369" s="253">
        <f t="shared" si="74"/>
        <v>0.14000000000000001</v>
      </c>
      <c r="AD369" s="253">
        <f t="shared" si="77"/>
        <v>0.14000000000000001</v>
      </c>
      <c r="AE369" s="76"/>
      <c r="AF369" s="76"/>
      <c r="AG369" s="76"/>
      <c r="AH369" s="97">
        <v>1</v>
      </c>
      <c r="AI369" s="97">
        <v>1</v>
      </c>
      <c r="AJ369" s="73"/>
      <c r="AK369" s="57"/>
      <c r="AL369" s="45"/>
      <c r="AM369" s="45"/>
      <c r="AN369" s="45"/>
    </row>
    <row r="370" spans="1:40" hidden="1" outlineLevel="2" x14ac:dyDescent="0.25">
      <c r="A370" s="45"/>
      <c r="B370" s="54"/>
      <c r="C370" s="47">
        <f t="shared" si="69"/>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71"/>
        <v>8.0000000000000002E-3</v>
      </c>
      <c r="V370" s="253">
        <f t="shared" si="71"/>
        <v>8.0000000000000002E-3</v>
      </c>
      <c r="W370" s="253">
        <f t="shared" si="75"/>
        <v>8.0000000000000002E-3</v>
      </c>
      <c r="X370" s="253">
        <f t="shared" si="75"/>
        <v>8.0000000000000002E-3</v>
      </c>
      <c r="Y370" s="253">
        <f t="shared" si="73"/>
        <v>8.0000000000000002E-3</v>
      </c>
      <c r="Z370" s="253">
        <f t="shared" si="73"/>
        <v>8.0000000000000002E-3</v>
      </c>
      <c r="AA370" s="253">
        <f t="shared" si="76"/>
        <v>8.0000000000000002E-3</v>
      </c>
      <c r="AB370" s="253">
        <f t="shared" si="74"/>
        <v>8.0000000000000002E-3</v>
      </c>
      <c r="AC370" s="253">
        <f t="shared" si="74"/>
        <v>8.0000000000000002E-3</v>
      </c>
      <c r="AD370" s="253">
        <f t="shared" si="77"/>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9"/>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71"/>
        <v>0.115</v>
      </c>
      <c r="V371" s="253">
        <f t="shared" si="71"/>
        <v>0.115</v>
      </c>
      <c r="W371" s="253">
        <f t="shared" si="75"/>
        <v>0.115</v>
      </c>
      <c r="X371" s="253">
        <f t="shared" si="75"/>
        <v>0.115</v>
      </c>
      <c r="Y371" s="253">
        <f t="shared" si="73"/>
        <v>0.115</v>
      </c>
      <c r="Z371" s="253">
        <f t="shared" si="73"/>
        <v>0.115</v>
      </c>
      <c r="AA371" s="253">
        <f t="shared" si="76"/>
        <v>0.115</v>
      </c>
      <c r="AB371" s="253">
        <f t="shared" si="74"/>
        <v>0.115</v>
      </c>
      <c r="AC371" s="253">
        <f t="shared" si="74"/>
        <v>0.115</v>
      </c>
      <c r="AD371" s="253">
        <f t="shared" si="77"/>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8">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9">INDEX($K374:$Q374,1,U$43)</f>
        <v>1.0900000000000001</v>
      </c>
      <c r="V374" s="253">
        <f t="shared" si="79"/>
        <v>1.0900000000000001</v>
      </c>
      <c r="W374" s="253">
        <f t="shared" si="79"/>
        <v>1.0900000000000001</v>
      </c>
      <c r="X374" s="253">
        <f t="shared" si="79"/>
        <v>1.0900000000000001</v>
      </c>
      <c r="Y374" s="253">
        <f t="shared" si="79"/>
        <v>1.0900000000000001</v>
      </c>
      <c r="Z374" s="253">
        <f t="shared" si="79"/>
        <v>1.0900000000000001</v>
      </c>
      <c r="AA374" s="253">
        <f t="shared" si="79"/>
        <v>1.0900000000000001</v>
      </c>
      <c r="AB374" s="253">
        <f t="shared" si="79"/>
        <v>1.0900000000000001</v>
      </c>
      <c r="AC374" s="253">
        <f t="shared" si="79"/>
        <v>1.0900000000000001</v>
      </c>
      <c r="AD374" s="253">
        <f t="shared" si="79"/>
        <v>1.0900000000000001</v>
      </c>
      <c r="AE374" s="76"/>
      <c r="AF374" s="76"/>
      <c r="AG374" s="76"/>
      <c r="AH374" s="97">
        <v>1</v>
      </c>
      <c r="AI374" s="97">
        <v>1</v>
      </c>
      <c r="AJ374" s="73"/>
      <c r="AK374" s="57"/>
      <c r="AL374" s="45"/>
      <c r="AM374" s="45"/>
      <c r="AN374" s="45"/>
    </row>
    <row r="375" spans="1:40" hidden="1" outlineLevel="2" x14ac:dyDescent="0.25">
      <c r="A375" s="45"/>
      <c r="B375" s="54"/>
      <c r="C375" s="47">
        <f t="shared" si="78"/>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8"/>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80">INDEX($K376:$Q376,1,U$43)</f>
        <v>39.6</v>
      </c>
      <c r="V376" s="253">
        <f t="shared" si="80"/>
        <v>39.6</v>
      </c>
      <c r="W376" s="253">
        <f t="shared" si="80"/>
        <v>39.6</v>
      </c>
      <c r="X376" s="253">
        <f t="shared" si="80"/>
        <v>39.6</v>
      </c>
      <c r="Y376" s="253">
        <f t="shared" si="80"/>
        <v>39.6</v>
      </c>
      <c r="Z376" s="253">
        <f t="shared" si="80"/>
        <v>39.6</v>
      </c>
      <c r="AA376" s="253">
        <f t="shared" si="80"/>
        <v>39.6</v>
      </c>
      <c r="AB376" s="253">
        <f t="shared" si="80"/>
        <v>39.6</v>
      </c>
      <c r="AC376" s="253">
        <f t="shared" si="80"/>
        <v>39.6</v>
      </c>
      <c r="AD376" s="253">
        <f t="shared" si="80"/>
        <v>39.6</v>
      </c>
      <c r="AE376" s="76"/>
      <c r="AF376" s="76"/>
      <c r="AG376" s="76"/>
      <c r="AH376" s="97">
        <v>1</v>
      </c>
      <c r="AI376" s="97">
        <v>1</v>
      </c>
      <c r="AJ376" s="73"/>
      <c r="AK376" s="57"/>
      <c r="AL376" s="45"/>
      <c r="AM376" s="45"/>
      <c r="AN376" s="45"/>
    </row>
    <row r="377" spans="1:40" hidden="1" outlineLevel="2" x14ac:dyDescent="0.25">
      <c r="A377" s="45"/>
      <c r="B377" s="54"/>
      <c r="C377" s="47">
        <f t="shared" si="78"/>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80"/>
        <v>23.8</v>
      </c>
      <c r="V377" s="253">
        <f t="shared" si="80"/>
        <v>23.8</v>
      </c>
      <c r="W377" s="253">
        <f t="shared" si="80"/>
        <v>23.8</v>
      </c>
      <c r="X377" s="253">
        <f t="shared" si="80"/>
        <v>23.8</v>
      </c>
      <c r="Y377" s="253">
        <f t="shared" si="80"/>
        <v>23.8</v>
      </c>
      <c r="Z377" s="253">
        <f t="shared" si="80"/>
        <v>23.8</v>
      </c>
      <c r="AA377" s="253">
        <f t="shared" si="80"/>
        <v>23.8</v>
      </c>
      <c r="AB377" s="253">
        <f t="shared" si="80"/>
        <v>23.8</v>
      </c>
      <c r="AC377" s="253">
        <f t="shared" si="80"/>
        <v>23.8</v>
      </c>
      <c r="AD377" s="253">
        <f t="shared" si="80"/>
        <v>23.8</v>
      </c>
      <c r="AE377" s="76"/>
      <c r="AF377" s="76"/>
      <c r="AG377" s="76"/>
      <c r="AH377" s="97">
        <v>1</v>
      </c>
      <c r="AI377" s="97">
        <v>1</v>
      </c>
      <c r="AJ377" s="73"/>
      <c r="AK377" s="57"/>
      <c r="AL377" s="45"/>
      <c r="AM377" s="45"/>
      <c r="AN377" s="45"/>
    </row>
    <row r="378" spans="1:40" hidden="1" outlineLevel="2" x14ac:dyDescent="0.25">
      <c r="A378" s="45"/>
      <c r="B378" s="54"/>
      <c r="C378" s="47">
        <f t="shared" si="78"/>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80"/>
        <v>23.8</v>
      </c>
      <c r="V378" s="253">
        <f t="shared" si="80"/>
        <v>23.8</v>
      </c>
      <c r="W378" s="253">
        <f t="shared" si="80"/>
        <v>23.8</v>
      </c>
      <c r="X378" s="253">
        <f t="shared" si="80"/>
        <v>23.8</v>
      </c>
      <c r="Y378" s="253">
        <f t="shared" si="80"/>
        <v>23.8</v>
      </c>
      <c r="Z378" s="253">
        <f t="shared" si="80"/>
        <v>23.8</v>
      </c>
      <c r="AA378" s="253">
        <f t="shared" si="80"/>
        <v>23.8</v>
      </c>
      <c r="AB378" s="253">
        <f t="shared" si="80"/>
        <v>23.8</v>
      </c>
      <c r="AC378" s="253">
        <f t="shared" si="80"/>
        <v>23.8</v>
      </c>
      <c r="AD378" s="253">
        <f t="shared" si="80"/>
        <v>23.8</v>
      </c>
      <c r="AE378" s="76"/>
      <c r="AF378" s="76"/>
      <c r="AG378" s="76"/>
      <c r="AH378" s="97">
        <v>1</v>
      </c>
      <c r="AI378" s="97">
        <v>1</v>
      </c>
      <c r="AJ378" s="73"/>
      <c r="AK378" s="57"/>
      <c r="AL378" s="45"/>
      <c r="AM378" s="45"/>
      <c r="AN378" s="45"/>
    </row>
    <row r="379" spans="1:40" hidden="1" outlineLevel="2" x14ac:dyDescent="0.25">
      <c r="A379" s="45"/>
      <c r="B379" s="54"/>
      <c r="C379" s="47">
        <f t="shared" si="78"/>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80"/>
        <v>23.8</v>
      </c>
      <c r="V379" s="253">
        <f t="shared" si="80"/>
        <v>23.8</v>
      </c>
      <c r="W379" s="253">
        <f t="shared" si="80"/>
        <v>23.8</v>
      </c>
      <c r="X379" s="253">
        <f t="shared" si="80"/>
        <v>23.8</v>
      </c>
      <c r="Y379" s="253">
        <f t="shared" si="80"/>
        <v>23.8</v>
      </c>
      <c r="Z379" s="253">
        <f t="shared" si="80"/>
        <v>23.8</v>
      </c>
      <c r="AA379" s="253">
        <f t="shared" si="80"/>
        <v>23.8</v>
      </c>
      <c r="AB379" s="253">
        <f t="shared" si="80"/>
        <v>23.8</v>
      </c>
      <c r="AC379" s="253">
        <f t="shared" si="80"/>
        <v>23.8</v>
      </c>
      <c r="AD379" s="253">
        <f t="shared" si="80"/>
        <v>23.8</v>
      </c>
      <c r="AE379" s="76"/>
      <c r="AF379" s="76"/>
      <c r="AG379" s="76"/>
      <c r="AH379" s="97">
        <v>1</v>
      </c>
      <c r="AI379" s="97">
        <v>1</v>
      </c>
      <c r="AJ379" s="73"/>
      <c r="AK379" s="57"/>
      <c r="AL379" s="45"/>
      <c r="AM379" s="45"/>
      <c r="AN379" s="45"/>
    </row>
    <row r="380" spans="1:40" hidden="1" outlineLevel="2" x14ac:dyDescent="0.25">
      <c r="A380" s="45"/>
      <c r="B380" s="54"/>
      <c r="C380" s="47">
        <f t="shared" si="78"/>
        <v>3</v>
      </c>
      <c r="D380" s="73"/>
      <c r="E380" s="70"/>
      <c r="F380" s="70" t="s">
        <v>2798</v>
      </c>
      <c r="G380" s="73"/>
      <c r="H380" s="76" t="s">
        <v>2812</v>
      </c>
      <c r="I380" s="96" t="s">
        <v>2963</v>
      </c>
      <c r="J380" s="96"/>
      <c r="K380" s="76"/>
      <c r="L380" s="76"/>
      <c r="M380" s="76"/>
      <c r="N380" s="76"/>
      <c r="O380" s="76"/>
      <c r="P380" s="76"/>
      <c r="Q380" s="76"/>
      <c r="R380" s="76"/>
      <c r="S380" s="76"/>
      <c r="T380" s="76"/>
      <c r="U380" s="253">
        <f t="shared" si="80"/>
        <v>0</v>
      </c>
      <c r="V380" s="253">
        <f t="shared" si="80"/>
        <v>0</v>
      </c>
      <c r="W380" s="253">
        <f t="shared" si="80"/>
        <v>0</v>
      </c>
      <c r="X380" s="253">
        <f t="shared" si="80"/>
        <v>0</v>
      </c>
      <c r="Y380" s="253">
        <f t="shared" si="80"/>
        <v>0</v>
      </c>
      <c r="Z380" s="253">
        <f t="shared" si="80"/>
        <v>0</v>
      </c>
      <c r="AA380" s="253">
        <f t="shared" si="80"/>
        <v>0</v>
      </c>
      <c r="AB380" s="253">
        <f t="shared" si="80"/>
        <v>0</v>
      </c>
      <c r="AC380" s="253">
        <f t="shared" si="80"/>
        <v>0</v>
      </c>
      <c r="AD380" s="253">
        <f t="shared" si="80"/>
        <v>0</v>
      </c>
      <c r="AE380" s="76"/>
      <c r="AF380" s="76"/>
      <c r="AG380" s="76"/>
      <c r="AH380" s="76">
        <v>1</v>
      </c>
      <c r="AI380" s="76">
        <v>1</v>
      </c>
      <c r="AJ380" s="73"/>
      <c r="AK380" s="57"/>
      <c r="AL380" s="45"/>
      <c r="AM380" s="45"/>
      <c r="AN380" s="45"/>
    </row>
    <row r="381" spans="1:40" hidden="1" outlineLevel="2" x14ac:dyDescent="0.25">
      <c r="A381" s="45"/>
      <c r="B381" s="54"/>
      <c r="C381" s="47">
        <f t="shared" si="78"/>
        <v>3</v>
      </c>
      <c r="D381" s="73"/>
      <c r="E381" s="70"/>
      <c r="F381" s="70" t="s">
        <v>2799</v>
      </c>
      <c r="G381" s="73"/>
      <c r="H381" s="76" t="s">
        <v>2813</v>
      </c>
      <c r="I381" s="96" t="s">
        <v>2963</v>
      </c>
      <c r="J381" s="96"/>
      <c r="K381" s="76"/>
      <c r="L381" s="76"/>
      <c r="M381" s="76"/>
      <c r="N381" s="76"/>
      <c r="O381" s="76"/>
      <c r="P381" s="76"/>
      <c r="Q381" s="76"/>
      <c r="R381" s="76"/>
      <c r="S381" s="76"/>
      <c r="T381" s="76"/>
      <c r="U381" s="253">
        <f t="shared" si="80"/>
        <v>0</v>
      </c>
      <c r="V381" s="253">
        <f t="shared" si="80"/>
        <v>0</v>
      </c>
      <c r="W381" s="253">
        <f t="shared" si="80"/>
        <v>0</v>
      </c>
      <c r="X381" s="253">
        <f t="shared" si="80"/>
        <v>0</v>
      </c>
      <c r="Y381" s="253">
        <f t="shared" si="80"/>
        <v>0</v>
      </c>
      <c r="Z381" s="253">
        <f t="shared" si="80"/>
        <v>0</v>
      </c>
      <c r="AA381" s="253">
        <f t="shared" si="80"/>
        <v>0</v>
      </c>
      <c r="AB381" s="253">
        <f t="shared" si="80"/>
        <v>0</v>
      </c>
      <c r="AC381" s="253">
        <f t="shared" si="80"/>
        <v>0</v>
      </c>
      <c r="AD381" s="253">
        <f t="shared" si="80"/>
        <v>0</v>
      </c>
      <c r="AE381" s="76"/>
      <c r="AF381" s="76"/>
      <c r="AG381" s="76"/>
      <c r="AH381" s="76">
        <v>1</v>
      </c>
      <c r="AI381" s="76">
        <v>1</v>
      </c>
      <c r="AJ381" s="73"/>
      <c r="AK381" s="57"/>
      <c r="AL381" s="45"/>
      <c r="AM381" s="45"/>
      <c r="AN381" s="45"/>
    </row>
    <row r="382" spans="1:40" hidden="1" outlineLevel="2" x14ac:dyDescent="0.25">
      <c r="A382" s="45"/>
      <c r="B382" s="54"/>
      <c r="C382" s="47">
        <f t="shared" si="78"/>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80"/>
        <v>1</v>
      </c>
      <c r="V382" s="253">
        <f t="shared" si="80"/>
        <v>1</v>
      </c>
      <c r="W382" s="253">
        <f t="shared" si="80"/>
        <v>1</v>
      </c>
      <c r="X382" s="253">
        <f t="shared" si="80"/>
        <v>1</v>
      </c>
      <c r="Y382" s="253">
        <f t="shared" si="80"/>
        <v>1</v>
      </c>
      <c r="Z382" s="253">
        <f t="shared" si="80"/>
        <v>1</v>
      </c>
      <c r="AA382" s="253">
        <f t="shared" si="80"/>
        <v>1</v>
      </c>
      <c r="AB382" s="253">
        <f t="shared" si="80"/>
        <v>1</v>
      </c>
      <c r="AC382" s="253">
        <f t="shared" si="80"/>
        <v>1</v>
      </c>
      <c r="AD382" s="253">
        <f t="shared" si="80"/>
        <v>1</v>
      </c>
      <c r="AE382" s="76"/>
      <c r="AF382" s="76"/>
      <c r="AG382" s="76"/>
      <c r="AH382" s="97">
        <v>1</v>
      </c>
      <c r="AI382" s="97">
        <v>1</v>
      </c>
      <c r="AJ382" s="73"/>
      <c r="AK382" s="57"/>
      <c r="AL382" s="45"/>
      <c r="AM382" s="45"/>
      <c r="AN382" s="45"/>
    </row>
    <row r="383" spans="1:40" hidden="1" outlineLevel="2" x14ac:dyDescent="0.25">
      <c r="A383" s="45"/>
      <c r="B383" s="54"/>
      <c r="C383" s="47">
        <f t="shared" si="78"/>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80"/>
        <v>0.21</v>
      </c>
      <c r="V383" s="253">
        <f t="shared" si="80"/>
        <v>0.21</v>
      </c>
      <c r="W383" s="253">
        <f t="shared" si="80"/>
        <v>0.21</v>
      </c>
      <c r="X383" s="253">
        <f t="shared" si="80"/>
        <v>0.21</v>
      </c>
      <c r="Y383" s="253">
        <f t="shared" si="80"/>
        <v>0.21</v>
      </c>
      <c r="Z383" s="253">
        <f t="shared" si="80"/>
        <v>0.21</v>
      </c>
      <c r="AA383" s="253">
        <f t="shared" si="80"/>
        <v>0.21</v>
      </c>
      <c r="AB383" s="253">
        <f t="shared" si="80"/>
        <v>0.21</v>
      </c>
      <c r="AC383" s="253">
        <f t="shared" si="80"/>
        <v>0.21</v>
      </c>
      <c r="AD383" s="253">
        <f t="shared" si="80"/>
        <v>0.21</v>
      </c>
      <c r="AE383" s="76"/>
      <c r="AF383" s="76"/>
      <c r="AG383" s="76"/>
      <c r="AH383" s="97">
        <v>1</v>
      </c>
      <c r="AI383" s="97">
        <v>1</v>
      </c>
      <c r="AJ383" s="73"/>
      <c r="AK383" s="57"/>
      <c r="AL383" s="45"/>
      <c r="AM383" s="45"/>
      <c r="AN383" s="45"/>
    </row>
    <row r="384" spans="1:40" hidden="1" outlineLevel="2" x14ac:dyDescent="0.25">
      <c r="A384" s="45"/>
      <c r="B384" s="54"/>
      <c r="C384" s="47">
        <f t="shared" si="78"/>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80"/>
        <v>0.157</v>
      </c>
      <c r="V384" s="253">
        <f t="shared" si="80"/>
        <v>0.157</v>
      </c>
      <c r="W384" s="253">
        <f t="shared" si="80"/>
        <v>0.157</v>
      </c>
      <c r="X384" s="253">
        <f t="shared" si="80"/>
        <v>0.157</v>
      </c>
      <c r="Y384" s="253">
        <f t="shared" si="80"/>
        <v>0.157</v>
      </c>
      <c r="Z384" s="253">
        <f t="shared" si="80"/>
        <v>0.157</v>
      </c>
      <c r="AA384" s="253">
        <f t="shared" si="80"/>
        <v>0.157</v>
      </c>
      <c r="AB384" s="253">
        <f t="shared" si="80"/>
        <v>0.157</v>
      </c>
      <c r="AC384" s="253">
        <f t="shared" si="80"/>
        <v>0.157</v>
      </c>
      <c r="AD384" s="253">
        <f t="shared" si="80"/>
        <v>0.157</v>
      </c>
      <c r="AE384" s="76"/>
      <c r="AF384" s="76"/>
      <c r="AG384" s="76"/>
      <c r="AH384" s="97">
        <v>1</v>
      </c>
      <c r="AI384" s="97">
        <v>1</v>
      </c>
      <c r="AJ384" s="73"/>
      <c r="AK384" s="57"/>
      <c r="AL384" s="45"/>
      <c r="AM384" s="45"/>
      <c r="AN384" s="45"/>
    </row>
    <row r="385" spans="1:40" hidden="1" outlineLevel="2" x14ac:dyDescent="0.25">
      <c r="A385" s="45"/>
      <c r="B385" s="54"/>
      <c r="C385" s="47">
        <f t="shared" si="78"/>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80"/>
        <v>0.85</v>
      </c>
      <c r="V385" s="253">
        <f t="shared" si="80"/>
        <v>0.85</v>
      </c>
      <c r="W385" s="253">
        <f t="shared" si="80"/>
        <v>0.85</v>
      </c>
      <c r="X385" s="253">
        <f t="shared" si="80"/>
        <v>0.85</v>
      </c>
      <c r="Y385" s="253">
        <f t="shared" si="80"/>
        <v>0.85</v>
      </c>
      <c r="Z385" s="253">
        <f t="shared" si="80"/>
        <v>0.85</v>
      </c>
      <c r="AA385" s="253">
        <f t="shared" si="80"/>
        <v>0.85</v>
      </c>
      <c r="AB385" s="253">
        <f t="shared" si="80"/>
        <v>0.85</v>
      </c>
      <c r="AC385" s="253">
        <f t="shared" si="80"/>
        <v>0.85</v>
      </c>
      <c r="AD385" s="253">
        <f t="shared" si="80"/>
        <v>0.85</v>
      </c>
      <c r="AE385" s="76"/>
      <c r="AF385" s="76"/>
      <c r="AG385" s="76"/>
      <c r="AH385" s="97">
        <v>1</v>
      </c>
      <c r="AI385" s="97">
        <v>1</v>
      </c>
      <c r="AJ385" s="73"/>
      <c r="AK385" s="57"/>
      <c r="AL385" s="45"/>
      <c r="AM385" s="45"/>
      <c r="AN385" s="45"/>
    </row>
    <row r="386" spans="1:40" hidden="1" outlineLevel="2" x14ac:dyDescent="0.25">
      <c r="A386" s="45"/>
      <c r="B386" s="54"/>
      <c r="C386" s="47">
        <f t="shared" si="78"/>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81">INDEX($K386:$Q386,1,U$43)</f>
        <v>0</v>
      </c>
      <c r="V386" s="253">
        <f t="shared" si="81"/>
        <v>0</v>
      </c>
      <c r="W386" s="253">
        <f t="shared" si="81"/>
        <v>0</v>
      </c>
      <c r="X386" s="253">
        <f t="shared" si="81"/>
        <v>0</v>
      </c>
      <c r="Y386" s="253">
        <f t="shared" si="81"/>
        <v>0</v>
      </c>
      <c r="Z386" s="253">
        <f t="shared" si="81"/>
        <v>0</v>
      </c>
      <c r="AA386" s="253">
        <f t="shared" si="81"/>
        <v>0</v>
      </c>
      <c r="AB386" s="253">
        <f t="shared" si="81"/>
        <v>0</v>
      </c>
      <c r="AC386" s="253">
        <f t="shared" si="81"/>
        <v>0</v>
      </c>
      <c r="AD386" s="253">
        <f t="shared" si="81"/>
        <v>0</v>
      </c>
      <c r="AE386" s="76"/>
      <c r="AF386" s="76"/>
      <c r="AG386" s="76"/>
      <c r="AH386" s="76">
        <v>1</v>
      </c>
      <c r="AI386" s="76">
        <v>1</v>
      </c>
      <c r="AJ386" s="73"/>
      <c r="AK386" s="57"/>
      <c r="AL386" s="45"/>
      <c r="AM386" s="45"/>
      <c r="AN386" s="45"/>
    </row>
    <row r="387" spans="1:40" hidden="1" outlineLevel="2" x14ac:dyDescent="0.25">
      <c r="A387" s="45"/>
      <c r="B387" s="54"/>
      <c r="C387" s="47">
        <f t="shared" si="78"/>
        <v>3</v>
      </c>
      <c r="D387" s="73"/>
      <c r="E387" s="70"/>
      <c r="F387" s="70" t="s">
        <v>2839</v>
      </c>
      <c r="G387" s="73"/>
      <c r="H387" s="76" t="s">
        <v>2813</v>
      </c>
      <c r="I387" s="96" t="s">
        <v>502</v>
      </c>
      <c r="J387" s="96"/>
      <c r="K387" s="76"/>
      <c r="L387" s="76"/>
      <c r="M387" s="76"/>
      <c r="N387" s="76"/>
      <c r="O387" s="76"/>
      <c r="P387" s="76"/>
      <c r="Q387" s="76"/>
      <c r="R387" s="76"/>
      <c r="S387" s="76"/>
      <c r="T387" s="76"/>
      <c r="U387" s="253">
        <f t="shared" si="81"/>
        <v>0</v>
      </c>
      <c r="V387" s="253">
        <f t="shared" si="81"/>
        <v>0</v>
      </c>
      <c r="W387" s="253">
        <f t="shared" si="81"/>
        <v>0</v>
      </c>
      <c r="X387" s="253">
        <f t="shared" si="81"/>
        <v>0</v>
      </c>
      <c r="Y387" s="253">
        <f t="shared" si="81"/>
        <v>0</v>
      </c>
      <c r="Z387" s="253">
        <f t="shared" si="81"/>
        <v>0</v>
      </c>
      <c r="AA387" s="253">
        <f t="shared" si="81"/>
        <v>0</v>
      </c>
      <c r="AB387" s="253">
        <f t="shared" si="81"/>
        <v>0</v>
      </c>
      <c r="AC387" s="253">
        <f t="shared" si="81"/>
        <v>0</v>
      </c>
      <c r="AD387" s="253">
        <f t="shared" si="81"/>
        <v>0</v>
      </c>
      <c r="AE387" s="76"/>
      <c r="AF387" s="76"/>
      <c r="AG387" s="76"/>
      <c r="AH387" s="76">
        <v>1</v>
      </c>
      <c r="AI387" s="76">
        <v>1</v>
      </c>
      <c r="AJ387" s="73"/>
      <c r="AK387" s="57"/>
      <c r="AL387" s="45"/>
      <c r="AM387" s="45"/>
      <c r="AN387" s="45"/>
    </row>
    <row r="388" spans="1:40" hidden="1" outlineLevel="2" x14ac:dyDescent="0.25">
      <c r="A388" s="45"/>
      <c r="B388" s="54"/>
      <c r="C388" s="47">
        <f t="shared" si="78"/>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81"/>
        <v>0.22600000000000001</v>
      </c>
      <c r="V388" s="253">
        <f t="shared" si="81"/>
        <v>0.22600000000000001</v>
      </c>
      <c r="W388" s="253">
        <f t="shared" si="81"/>
        <v>0.22600000000000001</v>
      </c>
      <c r="X388" s="253">
        <f t="shared" si="81"/>
        <v>0.22600000000000001</v>
      </c>
      <c r="Y388" s="253">
        <f t="shared" si="81"/>
        <v>0.22600000000000001</v>
      </c>
      <c r="Z388" s="253">
        <f t="shared" si="81"/>
        <v>0.22600000000000001</v>
      </c>
      <c r="AA388" s="253">
        <f t="shared" si="81"/>
        <v>0.22600000000000001</v>
      </c>
      <c r="AB388" s="253">
        <f t="shared" si="81"/>
        <v>0.22600000000000001</v>
      </c>
      <c r="AC388" s="253">
        <f t="shared" si="81"/>
        <v>0.22600000000000001</v>
      </c>
      <c r="AD388" s="253">
        <f t="shared" si="81"/>
        <v>0.22600000000000001</v>
      </c>
      <c r="AE388" s="76"/>
      <c r="AF388" s="76"/>
      <c r="AG388" s="76"/>
      <c r="AH388" s="97">
        <v>1</v>
      </c>
      <c r="AI388" s="97">
        <v>1</v>
      </c>
      <c r="AJ388" s="73"/>
      <c r="AK388" s="57"/>
      <c r="AL388" s="45"/>
      <c r="AM388" s="45"/>
      <c r="AN388" s="45"/>
    </row>
    <row r="389" spans="1:40" hidden="1" outlineLevel="2" x14ac:dyDescent="0.25">
      <c r="A389" s="45"/>
      <c r="B389" s="54"/>
      <c r="C389" s="47">
        <f t="shared" si="78"/>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81"/>
        <v>0.05</v>
      </c>
      <c r="V389" s="253">
        <f t="shared" si="81"/>
        <v>0.05</v>
      </c>
      <c r="W389" s="253">
        <f t="shared" si="81"/>
        <v>0.05</v>
      </c>
      <c r="X389" s="253">
        <f t="shared" si="81"/>
        <v>0.05</v>
      </c>
      <c r="Y389" s="253">
        <f t="shared" si="81"/>
        <v>0.05</v>
      </c>
      <c r="Z389" s="253">
        <f t="shared" si="81"/>
        <v>0.05</v>
      </c>
      <c r="AA389" s="253">
        <f t="shared" si="81"/>
        <v>0.05</v>
      </c>
      <c r="AB389" s="253">
        <f t="shared" si="81"/>
        <v>0.05</v>
      </c>
      <c r="AC389" s="253">
        <f t="shared" si="81"/>
        <v>0.05</v>
      </c>
      <c r="AD389" s="253">
        <f t="shared" si="81"/>
        <v>0.05</v>
      </c>
      <c r="AE389" s="76"/>
      <c r="AF389" s="76"/>
      <c r="AG389" s="76"/>
      <c r="AH389" s="97">
        <v>1</v>
      </c>
      <c r="AI389" s="97">
        <v>1</v>
      </c>
      <c r="AJ389" s="73"/>
      <c r="AK389" s="57"/>
      <c r="AL389" s="45"/>
      <c r="AM389" s="45"/>
      <c r="AN389" s="45"/>
    </row>
    <row r="390" spans="1:40" hidden="1" outlineLevel="2" x14ac:dyDescent="0.25">
      <c r="A390" s="45"/>
      <c r="B390" s="54"/>
      <c r="C390" s="47">
        <f t="shared" si="78"/>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81"/>
        <v>0.24859999999999999</v>
      </c>
      <c r="V390" s="253">
        <f t="shared" si="81"/>
        <v>0.24859999999999999</v>
      </c>
      <c r="W390" s="253">
        <f t="shared" si="81"/>
        <v>0.24859999999999999</v>
      </c>
      <c r="X390" s="253">
        <f t="shared" si="81"/>
        <v>0.24859999999999999</v>
      </c>
      <c r="Y390" s="253">
        <f t="shared" si="81"/>
        <v>0.24859999999999999</v>
      </c>
      <c r="Z390" s="253">
        <f t="shared" si="81"/>
        <v>0.24859999999999999</v>
      </c>
      <c r="AA390" s="253">
        <f t="shared" si="81"/>
        <v>0.24859999999999999</v>
      </c>
      <c r="AB390" s="253">
        <f t="shared" si="81"/>
        <v>0.24859999999999999</v>
      </c>
      <c r="AC390" s="253">
        <f t="shared" si="81"/>
        <v>0.24859999999999999</v>
      </c>
      <c r="AD390" s="253">
        <f t="shared" si="81"/>
        <v>0.24859999999999999</v>
      </c>
      <c r="AE390" s="76"/>
      <c r="AF390" s="76"/>
      <c r="AG390" s="76"/>
      <c r="AH390" s="97">
        <v>1</v>
      </c>
      <c r="AI390" s="97">
        <v>1</v>
      </c>
      <c r="AJ390" s="73"/>
      <c r="AK390" s="57"/>
      <c r="AL390" s="45"/>
      <c r="AM390" s="45"/>
      <c r="AN390" s="45"/>
    </row>
    <row r="391" spans="1:40" hidden="1" outlineLevel="2" x14ac:dyDescent="0.25">
      <c r="A391" s="45"/>
      <c r="B391" s="54"/>
      <c r="C391" s="47">
        <f t="shared" si="78"/>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81"/>
        <v>0.67600000000000005</v>
      </c>
      <c r="V391" s="253">
        <f t="shared" si="81"/>
        <v>0.67600000000000005</v>
      </c>
      <c r="W391" s="253">
        <f t="shared" si="81"/>
        <v>0.67600000000000005</v>
      </c>
      <c r="X391" s="253">
        <f t="shared" si="81"/>
        <v>0.67600000000000005</v>
      </c>
      <c r="Y391" s="253">
        <f t="shared" si="81"/>
        <v>0.67600000000000005</v>
      </c>
      <c r="Z391" s="253">
        <f t="shared" si="81"/>
        <v>0.67600000000000005</v>
      </c>
      <c r="AA391" s="253">
        <f t="shared" si="81"/>
        <v>0.67600000000000005</v>
      </c>
      <c r="AB391" s="253">
        <f t="shared" si="81"/>
        <v>0.67600000000000005</v>
      </c>
      <c r="AC391" s="253">
        <f t="shared" si="81"/>
        <v>0.67600000000000005</v>
      </c>
      <c r="AD391" s="253">
        <f t="shared" si="81"/>
        <v>0.67600000000000005</v>
      </c>
      <c r="AE391" s="76"/>
      <c r="AF391" s="76"/>
      <c r="AG391" s="76"/>
      <c r="AH391" s="97">
        <v>1</v>
      </c>
      <c r="AI391" s="97">
        <v>1</v>
      </c>
      <c r="AJ391" s="73"/>
      <c r="AK391" s="57"/>
      <c r="AL391" s="45"/>
      <c r="AM391" s="45"/>
      <c r="AN391" s="45"/>
    </row>
    <row r="392" spans="1:40" hidden="1" outlineLevel="2" x14ac:dyDescent="0.25">
      <c r="A392" s="45"/>
      <c r="B392" s="54"/>
      <c r="C392" s="47">
        <f t="shared" si="78"/>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81"/>
        <v>2.0609999999999999</v>
      </c>
      <c r="V392" s="253">
        <f t="shared" si="81"/>
        <v>2.0609999999999999</v>
      </c>
      <c r="W392" s="253">
        <f t="shared" si="81"/>
        <v>2.0609999999999999</v>
      </c>
      <c r="X392" s="253">
        <f t="shared" si="81"/>
        <v>2.0609999999999999</v>
      </c>
      <c r="Y392" s="253">
        <f t="shared" si="81"/>
        <v>2.0609999999999999</v>
      </c>
      <c r="Z392" s="253">
        <f t="shared" si="81"/>
        <v>2.0609999999999999</v>
      </c>
      <c r="AA392" s="253">
        <f t="shared" si="81"/>
        <v>2.0609999999999999</v>
      </c>
      <c r="AB392" s="253">
        <f t="shared" si="81"/>
        <v>2.0609999999999999</v>
      </c>
      <c r="AC392" s="253">
        <f t="shared" si="81"/>
        <v>2.0609999999999999</v>
      </c>
      <c r="AD392" s="253">
        <f t="shared" si="81"/>
        <v>2.0609999999999999</v>
      </c>
      <c r="AE392" s="76"/>
      <c r="AF392" s="76"/>
      <c r="AG392" s="76"/>
      <c r="AH392" s="97">
        <v>1</v>
      </c>
      <c r="AI392" s="97">
        <v>1</v>
      </c>
      <c r="AJ392" s="73"/>
      <c r="AK392" s="57"/>
      <c r="AL392" s="45"/>
      <c r="AM392" s="45"/>
      <c r="AN392" s="45"/>
    </row>
    <row r="393" spans="1:40" hidden="1" outlineLevel="2" x14ac:dyDescent="0.25">
      <c r="A393" s="45"/>
      <c r="B393" s="54"/>
      <c r="C393" s="47">
        <f t="shared" si="78"/>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81"/>
        <v>-0.53</v>
      </c>
      <c r="V393" s="253">
        <f t="shared" si="81"/>
        <v>-0.53</v>
      </c>
      <c r="W393" s="253">
        <f t="shared" si="81"/>
        <v>-0.53</v>
      </c>
      <c r="X393" s="253">
        <f t="shared" si="81"/>
        <v>-0.53</v>
      </c>
      <c r="Y393" s="253">
        <f t="shared" si="81"/>
        <v>-0.53</v>
      </c>
      <c r="Z393" s="253">
        <f t="shared" si="81"/>
        <v>-0.53</v>
      </c>
      <c r="AA393" s="253">
        <f t="shared" si="81"/>
        <v>-0.53</v>
      </c>
      <c r="AB393" s="253">
        <f t="shared" si="81"/>
        <v>-0.53</v>
      </c>
      <c r="AC393" s="253">
        <f t="shared" si="81"/>
        <v>-0.53</v>
      </c>
      <c r="AD393" s="253">
        <f t="shared" si="81"/>
        <v>-0.53</v>
      </c>
      <c r="AE393" s="76"/>
      <c r="AF393" s="76"/>
      <c r="AG393" s="76"/>
      <c r="AH393" s="97">
        <v>1</v>
      </c>
      <c r="AI393" s="97">
        <v>1</v>
      </c>
      <c r="AJ393" s="73"/>
      <c r="AK393" s="57"/>
      <c r="AL393" s="45"/>
      <c r="AM393" s="45"/>
      <c r="AN393" s="45"/>
    </row>
    <row r="394" spans="1:40" hidden="1" outlineLevel="2" x14ac:dyDescent="0.25">
      <c r="A394" s="45"/>
      <c r="B394" s="54"/>
      <c r="C394" s="47">
        <f t="shared" si="78"/>
        <v>3</v>
      </c>
      <c r="D394" s="73"/>
      <c r="E394" s="70"/>
      <c r="F394" s="70" t="s">
        <v>3240</v>
      </c>
      <c r="G394" s="73"/>
      <c r="H394" s="76" t="s">
        <v>3263</v>
      </c>
      <c r="I394" s="96" t="s">
        <v>502</v>
      </c>
      <c r="J394" s="96"/>
      <c r="K394" s="281">
        <v>0.1</v>
      </c>
      <c r="L394" s="281">
        <v>0.1</v>
      </c>
      <c r="M394" s="281">
        <v>0.1</v>
      </c>
      <c r="N394" s="281">
        <v>0.1</v>
      </c>
      <c r="O394" s="281">
        <v>0.1</v>
      </c>
      <c r="P394" s="281">
        <v>0.1</v>
      </c>
      <c r="Q394" s="76"/>
      <c r="R394" s="76" t="s">
        <v>3241</v>
      </c>
      <c r="S394" s="76" t="s">
        <v>3241</v>
      </c>
      <c r="T394" s="76"/>
      <c r="U394" s="253">
        <f t="shared" si="81"/>
        <v>0.1</v>
      </c>
      <c r="V394" s="253">
        <f t="shared" si="81"/>
        <v>0.1</v>
      </c>
      <c r="W394" s="253">
        <f t="shared" si="81"/>
        <v>0.1</v>
      </c>
      <c r="X394" s="253">
        <f t="shared" si="81"/>
        <v>0.1</v>
      </c>
      <c r="Y394" s="253">
        <f t="shared" si="81"/>
        <v>0.1</v>
      </c>
      <c r="Z394" s="253">
        <f t="shared" si="81"/>
        <v>0.1</v>
      </c>
      <c r="AA394" s="253">
        <f t="shared" si="81"/>
        <v>0.1</v>
      </c>
      <c r="AB394" s="253">
        <f t="shared" si="81"/>
        <v>0.1</v>
      </c>
      <c r="AC394" s="253">
        <f t="shared" si="81"/>
        <v>0.1</v>
      </c>
      <c r="AD394" s="253">
        <f t="shared" si="81"/>
        <v>0.1</v>
      </c>
      <c r="AE394" s="76"/>
      <c r="AF394" s="76"/>
      <c r="AG394" s="76"/>
      <c r="AH394" s="97">
        <v>1</v>
      </c>
      <c r="AI394" s="97">
        <v>1</v>
      </c>
      <c r="AJ394" s="73"/>
      <c r="AK394" s="57"/>
      <c r="AL394" s="45"/>
      <c r="AM394" s="45"/>
      <c r="AN394" s="45"/>
    </row>
    <row r="395" spans="1:40" hidden="1" outlineLevel="2" x14ac:dyDescent="0.25">
      <c r="A395" s="45"/>
      <c r="B395" s="54"/>
      <c r="C395" s="47">
        <f t="shared" si="78"/>
        <v>3</v>
      </c>
      <c r="D395" s="73"/>
      <c r="E395" s="70"/>
      <c r="F395" s="70" t="s">
        <v>3265</v>
      </c>
      <c r="G395" s="73"/>
      <c r="H395" s="76" t="s">
        <v>3262</v>
      </c>
      <c r="I395" s="96" t="s">
        <v>502</v>
      </c>
      <c r="J395" s="96"/>
      <c r="K395" s="281">
        <f t="shared" ref="K395:P395" si="82">(K394*K$383*K$377) / (K394*K$383*K$377 + (1-K394)*K$384*K$378)</f>
        <v>0.12939001848428835</v>
      </c>
      <c r="L395" s="281">
        <f t="shared" si="82"/>
        <v>0.12939001848428835</v>
      </c>
      <c r="M395" s="281">
        <f t="shared" si="82"/>
        <v>0.12939001848428835</v>
      </c>
      <c r="N395" s="281">
        <f t="shared" si="82"/>
        <v>0.12939001848428835</v>
      </c>
      <c r="O395" s="281">
        <f t="shared" si="82"/>
        <v>0.12939001848428835</v>
      </c>
      <c r="P395" s="281">
        <f t="shared" si="82"/>
        <v>0.12939001848428835</v>
      </c>
      <c r="Q395" s="76"/>
      <c r="R395" s="76" t="s">
        <v>3264</v>
      </c>
      <c r="S395" s="76" t="s">
        <v>3241</v>
      </c>
      <c r="T395" s="76"/>
      <c r="U395" s="253">
        <f t="shared" si="81"/>
        <v>0.12939001848428835</v>
      </c>
      <c r="V395" s="253">
        <f t="shared" si="81"/>
        <v>0.12939001848428835</v>
      </c>
      <c r="W395" s="253">
        <f t="shared" si="81"/>
        <v>0.12939001848428835</v>
      </c>
      <c r="X395" s="253">
        <f t="shared" si="81"/>
        <v>0.12939001848428835</v>
      </c>
      <c r="Y395" s="253">
        <f t="shared" si="81"/>
        <v>0.12939001848428835</v>
      </c>
      <c r="Z395" s="253">
        <f t="shared" si="81"/>
        <v>0.12939001848428835</v>
      </c>
      <c r="AA395" s="253">
        <f t="shared" si="81"/>
        <v>0.12939001848428835</v>
      </c>
      <c r="AB395" s="253">
        <f t="shared" si="81"/>
        <v>0.12939001848428835</v>
      </c>
      <c r="AC395" s="253">
        <f t="shared" si="81"/>
        <v>0.12939001848428835</v>
      </c>
      <c r="AD395" s="253">
        <f t="shared" si="81"/>
        <v>0.12939001848428835</v>
      </c>
      <c r="AE395" s="76"/>
      <c r="AF395" s="76"/>
      <c r="AG395" s="76"/>
      <c r="AH395" s="97">
        <v>1</v>
      </c>
      <c r="AI395" s="97">
        <v>1</v>
      </c>
      <c r="AJ395" s="73"/>
      <c r="AK395" s="57"/>
      <c r="AL395" s="45"/>
      <c r="AM395" s="45"/>
      <c r="AN395" s="45"/>
    </row>
    <row r="396" spans="1:40" hidden="1"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83">INDEX($K398:$Q398,1,U$43)</f>
        <v>1.84E-2</v>
      </c>
      <c r="V398" s="253">
        <f t="shared" si="83"/>
        <v>1.84E-2</v>
      </c>
      <c r="W398" s="253">
        <f t="shared" si="83"/>
        <v>1.84E-2</v>
      </c>
      <c r="X398" s="253">
        <f t="shared" si="83"/>
        <v>1.84E-2</v>
      </c>
      <c r="Y398" s="253">
        <f t="shared" si="83"/>
        <v>1.84E-2</v>
      </c>
      <c r="Z398" s="253">
        <f t="shared" si="83"/>
        <v>1.84E-2</v>
      </c>
      <c r="AA398" s="253">
        <f t="shared" si="83"/>
        <v>1.84E-2</v>
      </c>
      <c r="AB398" s="253">
        <f t="shared" si="83"/>
        <v>1.84E-2</v>
      </c>
      <c r="AC398" s="253">
        <f t="shared" si="83"/>
        <v>1.84E-2</v>
      </c>
      <c r="AD398" s="253">
        <f t="shared" si="83"/>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83"/>
        <v>13</v>
      </c>
      <c r="V399" s="253">
        <f t="shared" si="83"/>
        <v>13</v>
      </c>
      <c r="W399" s="253">
        <f t="shared" si="83"/>
        <v>13</v>
      </c>
      <c r="X399" s="253">
        <f t="shared" si="83"/>
        <v>13</v>
      </c>
      <c r="Y399" s="253">
        <f t="shared" si="83"/>
        <v>13</v>
      </c>
      <c r="Z399" s="253">
        <f t="shared" si="83"/>
        <v>13</v>
      </c>
      <c r="AA399" s="253">
        <f t="shared" si="83"/>
        <v>13</v>
      </c>
      <c r="AB399" s="253">
        <f t="shared" si="83"/>
        <v>13</v>
      </c>
      <c r="AC399" s="253">
        <f t="shared" si="83"/>
        <v>13</v>
      </c>
      <c r="AD399" s="253">
        <f t="shared" si="83"/>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83"/>
        <v>7.52</v>
      </c>
      <c r="V400" s="253">
        <f t="shared" si="83"/>
        <v>7.52</v>
      </c>
      <c r="W400" s="253">
        <f t="shared" si="83"/>
        <v>7.52</v>
      </c>
      <c r="X400" s="253">
        <f t="shared" si="83"/>
        <v>7.52</v>
      </c>
      <c r="Y400" s="253">
        <f t="shared" si="83"/>
        <v>7.52</v>
      </c>
      <c r="Z400" s="253">
        <f t="shared" si="83"/>
        <v>7.52</v>
      </c>
      <c r="AA400" s="253">
        <f t="shared" si="83"/>
        <v>7.52</v>
      </c>
      <c r="AB400" s="253">
        <f t="shared" si="83"/>
        <v>7.52</v>
      </c>
      <c r="AC400" s="253">
        <f t="shared" si="83"/>
        <v>7.52</v>
      </c>
      <c r="AD400" s="253">
        <f t="shared" si="83"/>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83"/>
        <v>23.7</v>
      </c>
      <c r="V401" s="253">
        <f t="shared" si="83"/>
        <v>23.7</v>
      </c>
      <c r="W401" s="253">
        <f t="shared" si="83"/>
        <v>23.7</v>
      </c>
      <c r="X401" s="253">
        <f t="shared" si="83"/>
        <v>23.7</v>
      </c>
      <c r="Y401" s="253">
        <f t="shared" si="83"/>
        <v>23.7</v>
      </c>
      <c r="Z401" s="253">
        <f t="shared" si="83"/>
        <v>23.7</v>
      </c>
      <c r="AA401" s="253">
        <f t="shared" si="83"/>
        <v>23.7</v>
      </c>
      <c r="AB401" s="253">
        <f t="shared" si="83"/>
        <v>23.7</v>
      </c>
      <c r="AC401" s="253">
        <f t="shared" si="83"/>
        <v>23.7</v>
      </c>
      <c r="AD401" s="253">
        <f t="shared" si="83"/>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83"/>
        <v>3.36</v>
      </c>
      <c r="V402" s="253">
        <f t="shared" si="83"/>
        <v>3.36</v>
      </c>
      <c r="W402" s="253">
        <f t="shared" si="83"/>
        <v>3.36</v>
      </c>
      <c r="X402" s="253">
        <f t="shared" si="83"/>
        <v>3.36</v>
      </c>
      <c r="Y402" s="253">
        <f t="shared" si="83"/>
        <v>3.36</v>
      </c>
      <c r="Z402" s="253">
        <f t="shared" si="83"/>
        <v>3.36</v>
      </c>
      <c r="AA402" s="253">
        <f t="shared" si="83"/>
        <v>3.36</v>
      </c>
      <c r="AB402" s="253">
        <f t="shared" si="83"/>
        <v>3.36</v>
      </c>
      <c r="AC402" s="253">
        <f t="shared" si="83"/>
        <v>3.36</v>
      </c>
      <c r="AD402" s="253">
        <f t="shared" si="83"/>
        <v>3.36</v>
      </c>
      <c r="AE402" s="76"/>
      <c r="AF402" s="76"/>
      <c r="AG402" s="76"/>
      <c r="AH402" s="97">
        <v>1</v>
      </c>
      <c r="AI402" s="97">
        <v>1</v>
      </c>
      <c r="AJ402" s="73"/>
      <c r="AK402" s="57"/>
      <c r="AL402" s="45"/>
      <c r="AM402" s="45"/>
      <c r="AN402" s="45"/>
    </row>
    <row r="403" spans="1:40" hidden="1"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4">INDEX($K405:$Q405,1,U$43)</f>
        <v>9.375E-2</v>
      </c>
      <c r="V405" s="253">
        <f t="shared" si="84"/>
        <v>9.375E-2</v>
      </c>
      <c r="W405" s="253">
        <f t="shared" si="84"/>
        <v>9.375E-2</v>
      </c>
      <c r="X405" s="253">
        <f t="shared" si="84"/>
        <v>9.375E-2</v>
      </c>
      <c r="Y405" s="253">
        <f t="shared" si="84"/>
        <v>9.375E-2</v>
      </c>
      <c r="Z405" s="253">
        <f t="shared" si="84"/>
        <v>0.20499999999999999</v>
      </c>
      <c r="AA405" s="253">
        <f t="shared" si="84"/>
        <v>0.20499999999999999</v>
      </c>
      <c r="AB405" s="253">
        <f t="shared" si="84"/>
        <v>0.20499999999999999</v>
      </c>
      <c r="AC405" s="253">
        <f t="shared" si="84"/>
        <v>0.20499999999999999</v>
      </c>
      <c r="AD405" s="253">
        <f t="shared" si="84"/>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5">INDEX($K408:$Q408,1,U$43)</f>
        <v>17</v>
      </c>
      <c r="V408" s="253">
        <f t="shared" si="85"/>
        <v>17</v>
      </c>
      <c r="W408" s="253">
        <f t="shared" si="85"/>
        <v>17</v>
      </c>
      <c r="X408" s="253">
        <f t="shared" si="85"/>
        <v>17</v>
      </c>
      <c r="Y408" s="253">
        <f t="shared" si="85"/>
        <v>17</v>
      </c>
      <c r="Z408" s="253">
        <f t="shared" si="85"/>
        <v>17</v>
      </c>
      <c r="AA408" s="253">
        <f t="shared" si="85"/>
        <v>17</v>
      </c>
      <c r="AB408" s="253">
        <f t="shared" si="85"/>
        <v>17</v>
      </c>
      <c r="AC408" s="253">
        <f t="shared" si="85"/>
        <v>17</v>
      </c>
      <c r="AD408" s="253">
        <f t="shared" si="85"/>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3801</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hidden="1" outlineLevel="2" x14ac:dyDescent="0.25">
      <c r="A410" s="45"/>
      <c r="B410" s="54"/>
      <c r="C410" s="47">
        <f>INT($C$29)+2</f>
        <v>3</v>
      </c>
      <c r="D410" s="73"/>
      <c r="E410" s="70"/>
      <c r="F410" s="70" t="s">
        <v>3800</v>
      </c>
      <c r="G410" s="73"/>
      <c r="H410" s="76" t="s">
        <v>3802</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hidden="1" outlineLevel="1" x14ac:dyDescent="0.2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2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outlineLevel="2" x14ac:dyDescent="0.2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3286</v>
      </c>
      <c r="U413" s="253">
        <f t="shared" ref="U413:V415" si="86">INDEX($K413:$Q413,1,U$43)</f>
        <v>8.219178082191781E-5</v>
      </c>
      <c r="V413" s="253">
        <f t="shared" si="86"/>
        <v>8.219178082191781E-5</v>
      </c>
      <c r="W413" s="631">
        <f>$V413+0.0000125079514</f>
        <v>9.4699732221917806E-5</v>
      </c>
      <c r="X413" s="631">
        <f>$V413+0.0000141787381</f>
        <v>9.6370518921917806E-5</v>
      </c>
      <c r="Y413" s="631">
        <f>$V413+0.000000370578334</f>
        <v>8.2562359155917815E-5</v>
      </c>
      <c r="Z413" s="253">
        <f t="shared" ref="Y413:AD415" si="87">INDEX($K413:$Q413,1,Z$43)</f>
        <v>8.219178082191781E-5</v>
      </c>
      <c r="AA413" s="253">
        <f t="shared" si="87"/>
        <v>8.219178082191781E-5</v>
      </c>
      <c r="AB413" s="253">
        <f t="shared" si="87"/>
        <v>8.219178082191781E-5</v>
      </c>
      <c r="AC413" s="253">
        <f t="shared" si="87"/>
        <v>8.219178082191781E-5</v>
      </c>
      <c r="AD413" s="253">
        <f t="shared" si="87"/>
        <v>8.219178082191781E-5</v>
      </c>
      <c r="AE413" s="76"/>
      <c r="AF413" s="76"/>
      <c r="AG413" s="76"/>
      <c r="AH413" s="97">
        <v>1</v>
      </c>
      <c r="AI413" s="97">
        <v>1</v>
      </c>
      <c r="AJ413" s="73"/>
      <c r="AK413" s="57"/>
      <c r="AL413" s="45"/>
      <c r="AM413" s="45"/>
      <c r="AN413" s="45"/>
    </row>
    <row r="414" spans="1:40" hidden="1" outlineLevel="2" x14ac:dyDescent="0.2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6"/>
        <v>0.3</v>
      </c>
      <c r="V414" s="253">
        <f t="shared" si="86"/>
        <v>0.3</v>
      </c>
      <c r="W414" s="253">
        <f>INDEX($K414:$Q414,1,W$43)</f>
        <v>0.3</v>
      </c>
      <c r="X414" s="253">
        <f>INDEX($K414:$Q414,1,X$43)</f>
        <v>0.3</v>
      </c>
      <c r="Y414" s="253">
        <f t="shared" si="87"/>
        <v>0.3</v>
      </c>
      <c r="Z414" s="253">
        <f t="shared" si="87"/>
        <v>0.3</v>
      </c>
      <c r="AA414" s="253">
        <f t="shared" si="87"/>
        <v>0.3</v>
      </c>
      <c r="AB414" s="253">
        <f t="shared" si="87"/>
        <v>0.3</v>
      </c>
      <c r="AC414" s="253">
        <f t="shared" si="87"/>
        <v>0.3</v>
      </c>
      <c r="AD414" s="253">
        <f t="shared" si="87"/>
        <v>0.3</v>
      </c>
      <c r="AE414" s="76"/>
      <c r="AF414" s="76"/>
      <c r="AG414" s="76"/>
      <c r="AH414" s="97">
        <v>1</v>
      </c>
      <c r="AI414" s="97">
        <v>1</v>
      </c>
      <c r="AJ414" s="73"/>
      <c r="AK414" s="57"/>
      <c r="AL414" s="45"/>
      <c r="AM414" s="45"/>
      <c r="AN414" s="45"/>
    </row>
    <row r="415" spans="1:40" hidden="1" outlineLevel="2" collapsed="1" x14ac:dyDescent="0.2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6"/>
        <v>0.6</v>
      </c>
      <c r="V415" s="253">
        <f t="shared" si="86"/>
        <v>0.6</v>
      </c>
      <c r="W415" s="253">
        <f>INDEX($K415:$Q415,1,W$43)</f>
        <v>0.6</v>
      </c>
      <c r="X415" s="253">
        <f>INDEX($K415:$Q415,1,X$43)</f>
        <v>0.6</v>
      </c>
      <c r="Y415" s="253">
        <f t="shared" si="87"/>
        <v>0.6</v>
      </c>
      <c r="Z415" s="253">
        <f t="shared" si="87"/>
        <v>0.6</v>
      </c>
      <c r="AA415" s="253">
        <f t="shared" si="87"/>
        <v>0.6</v>
      </c>
      <c r="AB415" s="253">
        <f t="shared" si="87"/>
        <v>0.6</v>
      </c>
      <c r="AC415" s="253">
        <f t="shared" si="87"/>
        <v>0.6</v>
      </c>
      <c r="AD415" s="253">
        <f t="shared" si="87"/>
        <v>0.6</v>
      </c>
      <c r="AE415" s="76"/>
      <c r="AF415" s="76"/>
      <c r="AG415" s="76"/>
      <c r="AH415" s="97">
        <v>1</v>
      </c>
      <c r="AI415" s="97">
        <v>1</v>
      </c>
      <c r="AJ415" s="73"/>
      <c r="AK415" s="57"/>
      <c r="AL415" s="45"/>
      <c r="AM415" s="45"/>
      <c r="AN415" s="45"/>
    </row>
    <row r="416" spans="1:40" hidden="1" outlineLevel="3" x14ac:dyDescent="0.2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2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2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2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2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25">
      <c r="A424" s="45"/>
      <c r="B424" s="54"/>
      <c r="C424" s="47">
        <f t="shared" ref="C424:C438" si="88">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9">INDEX($K424:$Q424,1,U$43)</f>
        <v>0.1</v>
      </c>
      <c r="V424" s="253">
        <f t="shared" si="89"/>
        <v>0.1</v>
      </c>
      <c r="W424" s="253">
        <f t="shared" si="89"/>
        <v>0.1</v>
      </c>
      <c r="X424" s="253">
        <f t="shared" si="89"/>
        <v>0.1</v>
      </c>
      <c r="Y424" s="253">
        <f t="shared" si="89"/>
        <v>0.1</v>
      </c>
      <c r="Z424" s="253">
        <f t="shared" si="89"/>
        <v>0.1</v>
      </c>
      <c r="AA424" s="253">
        <f t="shared" si="89"/>
        <v>0.1</v>
      </c>
      <c r="AB424" s="253">
        <f t="shared" si="89"/>
        <v>0.1</v>
      </c>
      <c r="AC424" s="253">
        <f t="shared" si="89"/>
        <v>0.1</v>
      </c>
      <c r="AD424" s="253">
        <f t="shared" si="89"/>
        <v>0.1</v>
      </c>
      <c r="AE424" s="76"/>
      <c r="AF424" s="76"/>
      <c r="AG424" s="76"/>
      <c r="AH424" s="97">
        <v>1</v>
      </c>
      <c r="AI424" s="97">
        <v>1</v>
      </c>
      <c r="AJ424" s="73"/>
      <c r="AK424" s="57"/>
      <c r="AL424" s="45"/>
      <c r="AM424" s="45"/>
      <c r="AN424" s="45"/>
    </row>
    <row r="425" spans="1:40" hidden="1" outlineLevel="2" x14ac:dyDescent="0.25">
      <c r="A425" s="45"/>
      <c r="B425" s="54"/>
      <c r="C425" s="47">
        <f t="shared" si="88"/>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90">0.1/365</f>
        <v>2.7397260273972606E-4</v>
      </c>
      <c r="V425" s="97">
        <f t="shared" si="90"/>
        <v>2.7397260273972606E-4</v>
      </c>
      <c r="W425" s="97">
        <f t="shared" si="90"/>
        <v>2.7397260273972606E-4</v>
      </c>
      <c r="X425" s="97">
        <f t="shared" si="90"/>
        <v>2.7397260273972606E-4</v>
      </c>
      <c r="Y425" s="97">
        <f t="shared" si="90"/>
        <v>2.7397260273972606E-4</v>
      </c>
      <c r="Z425" s="97">
        <f t="shared" si="90"/>
        <v>2.7397260273972606E-4</v>
      </c>
      <c r="AA425" s="97">
        <f t="shared" si="90"/>
        <v>2.7397260273972606E-4</v>
      </c>
      <c r="AB425" s="97">
        <f t="shared" si="90"/>
        <v>2.7397260273972606E-4</v>
      </c>
      <c r="AC425" s="97">
        <f t="shared" si="90"/>
        <v>2.7397260273972606E-4</v>
      </c>
      <c r="AD425" s="97">
        <f t="shared" si="90"/>
        <v>2.7397260273972606E-4</v>
      </c>
      <c r="AE425" s="76"/>
      <c r="AF425" s="97" t="s">
        <v>1025</v>
      </c>
      <c r="AG425" s="76"/>
      <c r="AH425" s="97">
        <v>1</v>
      </c>
      <c r="AI425" s="97">
        <v>1</v>
      </c>
      <c r="AJ425" s="73"/>
      <c r="AK425" s="57"/>
      <c r="AL425" s="45"/>
      <c r="AM425" s="45"/>
      <c r="AN425" s="45"/>
    </row>
    <row r="426" spans="1:40" hidden="1" outlineLevel="2" x14ac:dyDescent="0.25">
      <c r="A426" s="45"/>
      <c r="B426" s="54"/>
      <c r="C426" s="47">
        <f t="shared" si="88"/>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91">INDEX($K426:$Q426,1,U$43)</f>
        <v>300</v>
      </c>
      <c r="V426" s="253">
        <f t="shared" si="91"/>
        <v>300</v>
      </c>
      <c r="W426" s="253">
        <f t="shared" si="91"/>
        <v>300</v>
      </c>
      <c r="X426" s="253">
        <f t="shared" si="91"/>
        <v>300</v>
      </c>
      <c r="Y426" s="253">
        <f t="shared" si="91"/>
        <v>300</v>
      </c>
      <c r="Z426" s="253">
        <f t="shared" si="91"/>
        <v>300</v>
      </c>
      <c r="AA426" s="253">
        <f t="shared" si="91"/>
        <v>300</v>
      </c>
      <c r="AB426" s="253">
        <f t="shared" si="91"/>
        <v>300</v>
      </c>
      <c r="AC426" s="253">
        <f t="shared" si="91"/>
        <v>300</v>
      </c>
      <c r="AD426" s="253">
        <f t="shared" si="91"/>
        <v>300</v>
      </c>
      <c r="AE426" s="76"/>
      <c r="AF426" s="76"/>
      <c r="AG426" s="76"/>
      <c r="AH426" s="97">
        <v>1</v>
      </c>
      <c r="AI426" s="97">
        <v>1</v>
      </c>
      <c r="AJ426" s="73"/>
      <c r="AK426" s="57"/>
      <c r="AL426" s="45"/>
      <c r="AM426" s="45"/>
      <c r="AN426" s="45"/>
    </row>
    <row r="427" spans="1:40" hidden="1" outlineLevel="2" x14ac:dyDescent="0.25">
      <c r="A427" s="45"/>
      <c r="B427" s="54"/>
      <c r="C427" s="47">
        <f t="shared" si="88"/>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91"/>
        <v>365</v>
      </c>
      <c r="V427" s="253">
        <f t="shared" si="91"/>
        <v>365</v>
      </c>
      <c r="W427" s="253">
        <f t="shared" si="91"/>
        <v>365</v>
      </c>
      <c r="X427" s="253">
        <f t="shared" si="91"/>
        <v>365</v>
      </c>
      <c r="Y427" s="253">
        <f t="shared" si="91"/>
        <v>365</v>
      </c>
      <c r="Z427" s="253">
        <f t="shared" si="91"/>
        <v>365</v>
      </c>
      <c r="AA427" s="253">
        <f t="shared" si="91"/>
        <v>365</v>
      </c>
      <c r="AB427" s="253">
        <f t="shared" si="91"/>
        <v>365</v>
      </c>
      <c r="AC427" s="253">
        <f t="shared" si="91"/>
        <v>365</v>
      </c>
      <c r="AD427" s="253">
        <f t="shared" si="91"/>
        <v>365</v>
      </c>
      <c r="AE427" s="76"/>
      <c r="AF427" s="76"/>
      <c r="AG427" s="76"/>
      <c r="AH427" s="97">
        <v>1</v>
      </c>
      <c r="AI427" s="97">
        <v>1</v>
      </c>
      <c r="AJ427" s="73"/>
      <c r="AK427" s="57"/>
      <c r="AL427" s="45"/>
      <c r="AM427" s="45"/>
      <c r="AN427" s="45"/>
    </row>
    <row r="428" spans="1:40" hidden="1" outlineLevel="2" x14ac:dyDescent="0.25">
      <c r="A428" s="45"/>
      <c r="B428" s="54"/>
      <c r="C428" s="47">
        <f t="shared" si="88"/>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91"/>
        <v>0.2</v>
      </c>
      <c r="V428" s="253">
        <f t="shared" si="91"/>
        <v>0.2</v>
      </c>
      <c r="W428" s="253">
        <f t="shared" si="91"/>
        <v>0.2</v>
      </c>
      <c r="X428" s="253">
        <f t="shared" si="91"/>
        <v>0.2</v>
      </c>
      <c r="Y428" s="253">
        <f t="shared" si="91"/>
        <v>0.2</v>
      </c>
      <c r="Z428" s="253">
        <f t="shared" si="91"/>
        <v>0.2</v>
      </c>
      <c r="AA428" s="253">
        <f t="shared" si="91"/>
        <v>0.2</v>
      </c>
      <c r="AB428" s="253">
        <f t="shared" si="91"/>
        <v>0.2</v>
      </c>
      <c r="AC428" s="253">
        <f t="shared" si="91"/>
        <v>0.2</v>
      </c>
      <c r="AD428" s="253">
        <f t="shared" si="91"/>
        <v>0.2</v>
      </c>
      <c r="AE428" s="76"/>
      <c r="AF428" s="76"/>
      <c r="AG428" s="76"/>
      <c r="AH428" s="97">
        <v>1</v>
      </c>
      <c r="AI428" s="97">
        <v>1</v>
      </c>
      <c r="AJ428" s="73"/>
      <c r="AK428" s="57"/>
      <c r="AL428" s="45"/>
      <c r="AM428" s="45"/>
      <c r="AN428" s="45"/>
    </row>
    <row r="429" spans="1:40" hidden="1" outlineLevel="2" x14ac:dyDescent="0.25">
      <c r="A429" s="45"/>
      <c r="B429" s="54"/>
      <c r="C429" s="47">
        <f t="shared" si="88"/>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91"/>
        <v>0.5</v>
      </c>
      <c r="V429" s="253">
        <f t="shared" si="91"/>
        <v>0.5</v>
      </c>
      <c r="W429" s="253">
        <f t="shared" si="91"/>
        <v>0.5</v>
      </c>
      <c r="X429" s="253">
        <f t="shared" si="91"/>
        <v>0.5</v>
      </c>
      <c r="Y429" s="253">
        <f t="shared" si="91"/>
        <v>0.5</v>
      </c>
      <c r="Z429" s="253">
        <f t="shared" si="91"/>
        <v>0.5</v>
      </c>
      <c r="AA429" s="253">
        <f t="shared" si="91"/>
        <v>0.5</v>
      </c>
      <c r="AB429" s="253">
        <f t="shared" si="91"/>
        <v>0.5</v>
      </c>
      <c r="AC429" s="253">
        <f t="shared" si="91"/>
        <v>0.5</v>
      </c>
      <c r="AD429" s="253">
        <f t="shared" si="91"/>
        <v>0.5</v>
      </c>
      <c r="AE429" s="76"/>
      <c r="AF429" s="76"/>
      <c r="AG429" s="76"/>
      <c r="AH429" s="97">
        <v>1</v>
      </c>
      <c r="AI429" s="97">
        <v>1</v>
      </c>
      <c r="AJ429" s="73"/>
      <c r="AK429" s="57"/>
      <c r="AL429" s="45"/>
      <c r="AM429" s="45"/>
      <c r="AN429" s="45"/>
    </row>
    <row r="430" spans="1:40" hidden="1" outlineLevel="2" x14ac:dyDescent="0.25">
      <c r="A430" s="45"/>
      <c r="B430" s="54"/>
      <c r="C430" s="47">
        <f t="shared" si="88"/>
        <v>3</v>
      </c>
      <c r="D430" s="73"/>
      <c r="E430" s="70"/>
      <c r="F430" s="70" t="s">
        <v>1034</v>
      </c>
      <c r="G430" s="73"/>
      <c r="H430" s="76" t="s">
        <v>1035</v>
      </c>
      <c r="I430" s="96" t="s">
        <v>502</v>
      </c>
      <c r="J430" s="96"/>
      <c r="K430" s="118">
        <v>0.1</v>
      </c>
      <c r="L430" s="97"/>
      <c r="M430" s="76"/>
      <c r="N430" s="76"/>
      <c r="O430" s="76"/>
      <c r="P430" s="76"/>
      <c r="Q430" s="76"/>
      <c r="R430" s="76"/>
      <c r="S430" s="76"/>
      <c r="T430" s="76"/>
      <c r="U430" s="253">
        <f t="shared" si="91"/>
        <v>0.1</v>
      </c>
      <c r="V430" s="253">
        <f t="shared" si="91"/>
        <v>0.1</v>
      </c>
      <c r="W430" s="253">
        <f t="shared" si="91"/>
        <v>0.1</v>
      </c>
      <c r="X430" s="253">
        <f t="shared" si="91"/>
        <v>0.1</v>
      </c>
      <c r="Y430" s="253">
        <f t="shared" si="91"/>
        <v>0.1</v>
      </c>
      <c r="Z430" s="253">
        <f t="shared" si="91"/>
        <v>0</v>
      </c>
      <c r="AA430" s="253">
        <f t="shared" si="91"/>
        <v>0</v>
      </c>
      <c r="AB430" s="253">
        <f t="shared" si="91"/>
        <v>0</v>
      </c>
      <c r="AC430" s="253">
        <f t="shared" si="91"/>
        <v>0</v>
      </c>
      <c r="AD430" s="253">
        <f t="shared" si="91"/>
        <v>0</v>
      </c>
      <c r="AE430" s="76"/>
      <c r="AF430" s="76"/>
      <c r="AG430" s="76"/>
      <c r="AH430" s="97">
        <v>1</v>
      </c>
      <c r="AI430" s="97">
        <v>1</v>
      </c>
      <c r="AJ430" s="73"/>
      <c r="AK430" s="57"/>
      <c r="AL430" s="45"/>
      <c r="AM430" s="45"/>
      <c r="AN430" s="45"/>
    </row>
    <row r="431" spans="1:40" hidden="1" outlineLevel="2" x14ac:dyDescent="0.25">
      <c r="A431" s="45"/>
      <c r="B431" s="54"/>
      <c r="C431" s="47">
        <f t="shared" si="88"/>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91"/>
        <v>0.03</v>
      </c>
      <c r="V431" s="253">
        <f t="shared" si="91"/>
        <v>0.03</v>
      </c>
      <c r="W431" s="253">
        <f t="shared" si="91"/>
        <v>0.03</v>
      </c>
      <c r="X431" s="253">
        <f t="shared" si="91"/>
        <v>0.03</v>
      </c>
      <c r="Y431" s="253">
        <f t="shared" si="91"/>
        <v>0.03</v>
      </c>
      <c r="Z431" s="253">
        <f t="shared" si="91"/>
        <v>0</v>
      </c>
      <c r="AA431" s="253">
        <f t="shared" si="91"/>
        <v>0</v>
      </c>
      <c r="AB431" s="253">
        <f t="shared" si="91"/>
        <v>0</v>
      </c>
      <c r="AC431" s="253">
        <f t="shared" si="91"/>
        <v>0</v>
      </c>
      <c r="AD431" s="253">
        <f t="shared" si="91"/>
        <v>0</v>
      </c>
      <c r="AE431" s="76"/>
      <c r="AF431" s="76"/>
      <c r="AG431" s="76"/>
      <c r="AH431" s="97">
        <v>1</v>
      </c>
      <c r="AI431" s="97">
        <v>1</v>
      </c>
      <c r="AJ431" s="73"/>
      <c r="AK431" s="57"/>
      <c r="AL431" s="45"/>
      <c r="AM431" s="45"/>
      <c r="AN431" s="45"/>
    </row>
    <row r="432" spans="1:40" hidden="1" outlineLevel="2" x14ac:dyDescent="0.25">
      <c r="A432" s="45"/>
      <c r="B432" s="54"/>
      <c r="C432" s="47">
        <f t="shared" si="88"/>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91"/>
        <v>0.01</v>
      </c>
      <c r="V432" s="253">
        <f t="shared" si="91"/>
        <v>0.01</v>
      </c>
      <c r="W432" s="253">
        <f t="shared" si="91"/>
        <v>0.01</v>
      </c>
      <c r="X432" s="253">
        <f t="shared" si="91"/>
        <v>0.01</v>
      </c>
      <c r="Y432" s="253">
        <f t="shared" si="91"/>
        <v>0.01</v>
      </c>
      <c r="Z432" s="253">
        <f t="shared" si="91"/>
        <v>0</v>
      </c>
      <c r="AA432" s="253">
        <f t="shared" si="91"/>
        <v>0</v>
      </c>
      <c r="AB432" s="253">
        <f t="shared" si="91"/>
        <v>0</v>
      </c>
      <c r="AC432" s="253">
        <f t="shared" si="91"/>
        <v>0</v>
      </c>
      <c r="AD432" s="253">
        <f t="shared" si="91"/>
        <v>0</v>
      </c>
      <c r="AE432" s="76"/>
      <c r="AF432" s="76"/>
      <c r="AG432" s="76"/>
      <c r="AH432" s="97">
        <v>1</v>
      </c>
      <c r="AI432" s="97">
        <v>1</v>
      </c>
      <c r="AJ432" s="73"/>
      <c r="AK432" s="57"/>
      <c r="AL432" s="45"/>
      <c r="AM432" s="45"/>
      <c r="AN432" s="45"/>
    </row>
    <row r="433" spans="1:40" hidden="1" outlineLevel="2" x14ac:dyDescent="0.25">
      <c r="A433" s="45"/>
      <c r="B433" s="54"/>
      <c r="C433" s="47">
        <f t="shared" si="88"/>
        <v>3</v>
      </c>
      <c r="D433" s="73"/>
      <c r="E433" s="70"/>
      <c r="F433" s="70" t="s">
        <v>1040</v>
      </c>
      <c r="G433" s="73"/>
      <c r="H433" s="76" t="s">
        <v>1041</v>
      </c>
      <c r="I433" s="96" t="s">
        <v>502</v>
      </c>
      <c r="J433" s="96"/>
      <c r="K433" s="118">
        <v>0</v>
      </c>
      <c r="L433" s="97"/>
      <c r="M433" s="76"/>
      <c r="N433" s="76"/>
      <c r="O433" s="76"/>
      <c r="P433" s="76"/>
      <c r="Q433" s="76"/>
      <c r="R433" s="76"/>
      <c r="S433" s="76"/>
      <c r="T433" s="76"/>
      <c r="U433" s="253">
        <f t="shared" si="91"/>
        <v>0</v>
      </c>
      <c r="V433" s="253">
        <f t="shared" si="91"/>
        <v>0</v>
      </c>
      <c r="W433" s="253">
        <f t="shared" si="91"/>
        <v>0</v>
      </c>
      <c r="X433" s="253">
        <f t="shared" si="91"/>
        <v>0</v>
      </c>
      <c r="Y433" s="253">
        <f t="shared" si="91"/>
        <v>0</v>
      </c>
      <c r="Z433" s="253">
        <f t="shared" si="91"/>
        <v>0</v>
      </c>
      <c r="AA433" s="253">
        <f t="shared" si="91"/>
        <v>0</v>
      </c>
      <c r="AB433" s="253">
        <f t="shared" si="91"/>
        <v>0</v>
      </c>
      <c r="AC433" s="253">
        <f t="shared" si="91"/>
        <v>0</v>
      </c>
      <c r="AD433" s="253">
        <f t="shared" si="91"/>
        <v>0</v>
      </c>
      <c r="AE433" s="76"/>
      <c r="AF433" s="76"/>
      <c r="AG433" s="76"/>
      <c r="AH433" s="97">
        <v>1</v>
      </c>
      <c r="AI433" s="97">
        <v>1</v>
      </c>
      <c r="AJ433" s="73"/>
      <c r="AK433" s="57"/>
      <c r="AL433" s="45"/>
      <c r="AM433" s="45"/>
      <c r="AN433" s="45"/>
    </row>
    <row r="434" spans="1:40" hidden="1" outlineLevel="2" x14ac:dyDescent="0.25">
      <c r="A434" s="45"/>
      <c r="B434" s="54"/>
      <c r="C434" s="47">
        <f t="shared" si="88"/>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92">0.1/365</f>
        <v>2.7397260273972606E-4</v>
      </c>
      <c r="V434" s="97">
        <f t="shared" si="92"/>
        <v>2.7397260273972606E-4</v>
      </c>
      <c r="W434" s="97">
        <f t="shared" si="92"/>
        <v>2.7397260273972606E-4</v>
      </c>
      <c r="X434" s="97">
        <f t="shared" si="92"/>
        <v>2.7397260273972606E-4</v>
      </c>
      <c r="Y434" s="97">
        <f t="shared" si="92"/>
        <v>2.7397260273972606E-4</v>
      </c>
      <c r="Z434" s="97">
        <f t="shared" si="92"/>
        <v>2.7397260273972606E-4</v>
      </c>
      <c r="AA434" s="97">
        <f t="shared" si="92"/>
        <v>2.7397260273972606E-4</v>
      </c>
      <c r="AB434" s="97">
        <f t="shared" si="92"/>
        <v>2.7397260273972606E-4</v>
      </c>
      <c r="AC434" s="97">
        <f t="shared" si="92"/>
        <v>2.7397260273972606E-4</v>
      </c>
      <c r="AD434" s="97">
        <f t="shared" si="92"/>
        <v>2.7397260273972606E-4</v>
      </c>
      <c r="AE434" s="76"/>
      <c r="AF434" s="97" t="s">
        <v>1025</v>
      </c>
      <c r="AG434" s="76"/>
      <c r="AH434" s="97">
        <v>1</v>
      </c>
      <c r="AI434" s="97">
        <v>1</v>
      </c>
      <c r="AJ434" s="73"/>
      <c r="AK434" s="57"/>
      <c r="AL434" s="45"/>
      <c r="AM434" s="45"/>
      <c r="AN434" s="45"/>
    </row>
    <row r="435" spans="1:40" hidden="1" outlineLevel="2" x14ac:dyDescent="0.25">
      <c r="A435" s="45"/>
      <c r="B435" s="54"/>
      <c r="C435" s="47">
        <f t="shared" si="88"/>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25">
      <c r="A436" s="45"/>
      <c r="B436" s="54"/>
      <c r="C436" s="47">
        <f t="shared" si="88"/>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25">
      <c r="A437" s="45"/>
      <c r="B437" s="54"/>
      <c r="C437" s="47">
        <f t="shared" si="88"/>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25">
      <c r="A438" s="45"/>
      <c r="B438" s="54"/>
      <c r="C438" s="47">
        <f t="shared" si="88"/>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hidden="1" outlineLevel="1" collapsed="1" x14ac:dyDescent="0.2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25">
      <c r="A440" s="45"/>
      <c r="B440" s="54"/>
      <c r="C440" s="47">
        <f t="shared" ref="C440:C471" si="93">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25">
      <c r="A441" s="45"/>
      <c r="B441" s="54"/>
      <c r="C441" s="47">
        <f t="shared" si="93"/>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25">
      <c r="A442" s="45"/>
      <c r="B442" s="54"/>
      <c r="C442" s="47">
        <f t="shared" si="93"/>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25">
      <c r="A443" s="45"/>
      <c r="B443" s="54"/>
      <c r="C443" s="47">
        <f t="shared" si="93"/>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collapsed="1" x14ac:dyDescent="0.25">
      <c r="A444" s="45"/>
      <c r="B444" s="54"/>
      <c r="C444" s="47">
        <f t="shared" si="93"/>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25">
      <c r="A445" s="45"/>
      <c r="B445" s="54"/>
      <c r="C445" s="47">
        <f t="shared" si="93"/>
        <v>3</v>
      </c>
      <c r="D445" s="73"/>
      <c r="E445" s="70"/>
      <c r="F445" s="70" t="s">
        <v>1050</v>
      </c>
      <c r="G445" s="73"/>
      <c r="H445" s="76" t="s">
        <v>2247</v>
      </c>
      <c r="I445" s="96"/>
      <c r="J445" s="96"/>
      <c r="K445" s="76"/>
      <c r="L445" s="76"/>
      <c r="M445" s="76"/>
      <c r="N445" s="76"/>
      <c r="O445" s="76"/>
      <c r="P445" s="76"/>
      <c r="Q445" s="76"/>
      <c r="R445" s="76"/>
      <c r="S445" s="76"/>
      <c r="T445" s="76"/>
      <c r="U445" s="261">
        <f t="shared" ref="U445:AD445" si="94">U444</f>
        <v>0.33</v>
      </c>
      <c r="V445" s="261">
        <f t="shared" si="94"/>
        <v>0.33</v>
      </c>
      <c r="W445" s="261">
        <f t="shared" si="94"/>
        <v>0.33</v>
      </c>
      <c r="X445" s="261">
        <f t="shared" si="94"/>
        <v>0.33</v>
      </c>
      <c r="Y445" s="261">
        <f t="shared" si="94"/>
        <v>0.33</v>
      </c>
      <c r="Z445" s="261">
        <f t="shared" si="94"/>
        <v>0.33</v>
      </c>
      <c r="AA445" s="261">
        <f t="shared" si="94"/>
        <v>0.33</v>
      </c>
      <c r="AB445" s="261">
        <f t="shared" si="94"/>
        <v>0.33</v>
      </c>
      <c r="AC445" s="261">
        <f t="shared" si="94"/>
        <v>0.33</v>
      </c>
      <c r="AD445" s="261">
        <f t="shared" si="94"/>
        <v>0.33</v>
      </c>
      <c r="AE445" s="76"/>
      <c r="AF445" s="76"/>
      <c r="AG445" s="76"/>
      <c r="AH445" s="261">
        <f t="shared" ref="AH445:AI445" si="95">AH444</f>
        <v>1</v>
      </c>
      <c r="AI445" s="261">
        <f t="shared" si="95"/>
        <v>1</v>
      </c>
      <c r="AJ445" s="73"/>
      <c r="AK445" s="57"/>
      <c r="AL445" s="45"/>
      <c r="AM445" s="45"/>
      <c r="AN445" s="45"/>
    </row>
    <row r="446" spans="1:40" hidden="1" outlineLevel="3" x14ac:dyDescent="0.25">
      <c r="A446" s="45"/>
      <c r="B446" s="54"/>
      <c r="C446" s="47">
        <f t="shared" si="93"/>
        <v>3</v>
      </c>
      <c r="D446" s="73"/>
      <c r="E446" s="70"/>
      <c r="F446" s="70" t="s">
        <v>1051</v>
      </c>
      <c r="G446" s="73"/>
      <c r="H446" s="76" t="s">
        <v>2248</v>
      </c>
      <c r="I446" s="96"/>
      <c r="J446" s="96"/>
      <c r="K446" s="76"/>
      <c r="L446" s="76"/>
      <c r="M446" s="76"/>
      <c r="N446" s="76"/>
      <c r="O446" s="76"/>
      <c r="P446" s="76"/>
      <c r="Q446" s="76"/>
      <c r="R446" s="76"/>
      <c r="S446" s="76"/>
      <c r="T446" s="76"/>
      <c r="U446" s="261">
        <f t="shared" ref="U446:AD446" si="96">U445</f>
        <v>0.33</v>
      </c>
      <c r="V446" s="261">
        <f t="shared" si="96"/>
        <v>0.33</v>
      </c>
      <c r="W446" s="261">
        <f t="shared" si="96"/>
        <v>0.33</v>
      </c>
      <c r="X446" s="261">
        <f t="shared" si="96"/>
        <v>0.33</v>
      </c>
      <c r="Y446" s="261">
        <f t="shared" si="96"/>
        <v>0.33</v>
      </c>
      <c r="Z446" s="261">
        <f t="shared" si="96"/>
        <v>0.33</v>
      </c>
      <c r="AA446" s="261">
        <f t="shared" si="96"/>
        <v>0.33</v>
      </c>
      <c r="AB446" s="261">
        <f t="shared" si="96"/>
        <v>0.33</v>
      </c>
      <c r="AC446" s="261">
        <f t="shared" si="96"/>
        <v>0.33</v>
      </c>
      <c r="AD446" s="261">
        <f t="shared" si="96"/>
        <v>0.33</v>
      </c>
      <c r="AE446" s="76"/>
      <c r="AF446" s="76"/>
      <c r="AG446" s="76"/>
      <c r="AH446" s="261">
        <f t="shared" ref="AH446:AI446" si="97">AH445</f>
        <v>1</v>
      </c>
      <c r="AI446" s="261">
        <f t="shared" si="97"/>
        <v>1</v>
      </c>
      <c r="AJ446" s="73"/>
      <c r="AK446" s="57"/>
      <c r="AL446" s="45"/>
      <c r="AM446" s="45"/>
      <c r="AN446" s="45"/>
    </row>
    <row r="447" spans="1:40" hidden="1" outlineLevel="3" x14ac:dyDescent="0.25">
      <c r="A447" s="45"/>
      <c r="B447" s="54"/>
      <c r="C447" s="47">
        <f t="shared" si="93"/>
        <v>3</v>
      </c>
      <c r="D447" s="73"/>
      <c r="E447" s="70"/>
      <c r="F447" s="70" t="s">
        <v>1052</v>
      </c>
      <c r="G447" s="73"/>
      <c r="H447" s="76" t="s">
        <v>2249</v>
      </c>
      <c r="I447" s="96"/>
      <c r="J447" s="96"/>
      <c r="K447" s="76"/>
      <c r="L447" s="76"/>
      <c r="M447" s="76"/>
      <c r="N447" s="76"/>
      <c r="O447" s="76"/>
      <c r="P447" s="76"/>
      <c r="Q447" s="76"/>
      <c r="R447" s="76"/>
      <c r="S447" s="76"/>
      <c r="T447" s="76"/>
      <c r="U447" s="261">
        <f t="shared" ref="U447:AD447" si="98">U446</f>
        <v>0.33</v>
      </c>
      <c r="V447" s="261">
        <f t="shared" si="98"/>
        <v>0.33</v>
      </c>
      <c r="W447" s="261">
        <f t="shared" si="98"/>
        <v>0.33</v>
      </c>
      <c r="X447" s="261">
        <f t="shared" si="98"/>
        <v>0.33</v>
      </c>
      <c r="Y447" s="261">
        <f t="shared" si="98"/>
        <v>0.33</v>
      </c>
      <c r="Z447" s="261">
        <f t="shared" si="98"/>
        <v>0.33</v>
      </c>
      <c r="AA447" s="261">
        <f t="shared" si="98"/>
        <v>0.33</v>
      </c>
      <c r="AB447" s="261">
        <f t="shared" si="98"/>
        <v>0.33</v>
      </c>
      <c r="AC447" s="261">
        <f t="shared" si="98"/>
        <v>0.33</v>
      </c>
      <c r="AD447" s="261">
        <f t="shared" si="98"/>
        <v>0.33</v>
      </c>
      <c r="AE447" s="76"/>
      <c r="AF447" s="76"/>
      <c r="AG447" s="76"/>
      <c r="AH447" s="261">
        <f t="shared" ref="AH447:AI447" si="99">AH446</f>
        <v>1</v>
      </c>
      <c r="AI447" s="261">
        <f t="shared" si="99"/>
        <v>1</v>
      </c>
      <c r="AJ447" s="73"/>
      <c r="AK447" s="57"/>
      <c r="AL447" s="45"/>
      <c r="AM447" s="45"/>
      <c r="AN447" s="45"/>
    </row>
    <row r="448" spans="1:40" hidden="1" outlineLevel="3" x14ac:dyDescent="0.25">
      <c r="A448" s="45"/>
      <c r="B448" s="54"/>
      <c r="C448" s="47">
        <f t="shared" si="93"/>
        <v>3</v>
      </c>
      <c r="D448" s="73"/>
      <c r="E448" s="70"/>
      <c r="F448" s="70" t="s">
        <v>1053</v>
      </c>
      <c r="G448" s="73"/>
      <c r="H448" s="76" t="s">
        <v>3475</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93"/>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93"/>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93"/>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93"/>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93"/>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93"/>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93"/>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93"/>
        <v>3</v>
      </c>
      <c r="D456" s="73"/>
      <c r="E456" s="70"/>
      <c r="F456" s="70" t="s">
        <v>1061</v>
      </c>
      <c r="G456" s="73"/>
      <c r="H456" s="76" t="s">
        <v>3479</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93"/>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93"/>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93"/>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93"/>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93"/>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93"/>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25">
      <c r="A463" s="45"/>
      <c r="B463" s="54"/>
      <c r="C463" s="47">
        <f t="shared" si="93"/>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93"/>
        <v>3</v>
      </c>
      <c r="D464" s="73"/>
      <c r="E464" s="70"/>
      <c r="F464" s="70" t="s">
        <v>1069</v>
      </c>
      <c r="G464" s="73"/>
      <c r="H464" s="76" t="s">
        <v>3476</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93"/>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93"/>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93"/>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93"/>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93"/>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93"/>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93"/>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ref="C472:C503" si="100">INT($C$29)+2</f>
        <v>3</v>
      </c>
      <c r="D472" s="73"/>
      <c r="E472" s="70"/>
      <c r="F472" s="70" t="s">
        <v>1077</v>
      </c>
      <c r="G472" s="73"/>
      <c r="H472" s="76" t="s">
        <v>3477</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100"/>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100"/>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100"/>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100"/>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100"/>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100"/>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100"/>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100"/>
        <v>3</v>
      </c>
      <c r="D480" s="73"/>
      <c r="E480" s="70"/>
      <c r="F480" s="70" t="s">
        <v>1085</v>
      </c>
      <c r="G480" s="73"/>
      <c r="H480" s="76" t="s">
        <v>3478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100"/>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100"/>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100"/>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100"/>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100"/>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100"/>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100"/>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100"/>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100"/>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100"/>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100"/>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100"/>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100"/>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100"/>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100"/>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100"/>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100"/>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100"/>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100"/>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100"/>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100"/>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100"/>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100"/>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25">
      <c r="A504" s="45"/>
      <c r="B504" s="54"/>
      <c r="C504" s="47">
        <f t="shared" ref="C504:C535" si="101">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25">
      <c r="A505" s="45"/>
      <c r="B505" s="54"/>
      <c r="C505" s="47">
        <f t="shared" si="101"/>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collapsed="1" x14ac:dyDescent="0.25">
      <c r="A506" s="45"/>
      <c r="B506" s="54"/>
      <c r="C506" s="47">
        <f t="shared" si="101"/>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25">
      <c r="A507" s="45"/>
      <c r="B507" s="54"/>
      <c r="C507" s="47">
        <f t="shared" si="101"/>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101"/>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101"/>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101"/>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25">
      <c r="A511" s="45"/>
      <c r="B511" s="54"/>
      <c r="C511" s="47">
        <f t="shared" si="101"/>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101"/>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101"/>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101"/>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101"/>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101"/>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101"/>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101"/>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101"/>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101"/>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101"/>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101"/>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101"/>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101"/>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101"/>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101"/>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101"/>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101"/>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101"/>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101"/>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101"/>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101"/>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101"/>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101"/>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101"/>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25">
      <c r="A536" s="45"/>
      <c r="B536" s="54"/>
      <c r="C536" s="47">
        <f t="shared" ref="C536:C567" si="102">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103">Y536</f>
        <v>-0.2</v>
      </c>
      <c r="AA536" s="255">
        <f t="shared" si="103"/>
        <v>-0.2</v>
      </c>
      <c r="AB536" s="255">
        <f t="shared" si="103"/>
        <v>-0.2</v>
      </c>
      <c r="AC536" s="255">
        <f t="shared" si="103"/>
        <v>-0.2</v>
      </c>
      <c r="AD536" s="255">
        <f t="shared" si="103"/>
        <v>-0.2</v>
      </c>
      <c r="AE536" s="76"/>
      <c r="AF536" s="97" t="s">
        <v>1145</v>
      </c>
      <c r="AG536" s="76"/>
      <c r="AH536" s="97">
        <v>1</v>
      </c>
      <c r="AI536" s="97">
        <v>1</v>
      </c>
      <c r="AJ536" s="73"/>
      <c r="AK536" s="57"/>
      <c r="AL536" s="45"/>
      <c r="AM536" s="45"/>
      <c r="AN536" s="45"/>
    </row>
    <row r="537" spans="1:40" hidden="1" outlineLevel="2" x14ac:dyDescent="0.25">
      <c r="A537" s="45"/>
      <c r="B537" s="54"/>
      <c r="C537" s="47">
        <f t="shared" si="102"/>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103"/>
        <v>-0.1</v>
      </c>
      <c r="AA537" s="255">
        <f t="shared" si="103"/>
        <v>-0.1</v>
      </c>
      <c r="AB537" s="255">
        <f t="shared" si="103"/>
        <v>-0.1</v>
      </c>
      <c r="AC537" s="255">
        <f t="shared" si="103"/>
        <v>-0.1</v>
      </c>
      <c r="AD537" s="255">
        <f t="shared" si="103"/>
        <v>-0.1</v>
      </c>
      <c r="AE537" s="76"/>
      <c r="AF537" s="97" t="s">
        <v>2568</v>
      </c>
      <c r="AG537" s="76"/>
      <c r="AH537" s="97">
        <v>1</v>
      </c>
      <c r="AI537" s="97">
        <v>1</v>
      </c>
      <c r="AJ537" s="73"/>
      <c r="AK537" s="57"/>
      <c r="AL537" s="45"/>
      <c r="AM537" s="45"/>
      <c r="AN537" s="45"/>
    </row>
    <row r="538" spans="1:40" hidden="1" outlineLevel="2" x14ac:dyDescent="0.25">
      <c r="A538" s="45"/>
      <c r="B538" s="54"/>
      <c r="C538" s="47">
        <f t="shared" si="102"/>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103"/>
        <v>0</v>
      </c>
      <c r="AA538" s="255">
        <f t="shared" si="103"/>
        <v>0</v>
      </c>
      <c r="AB538" s="255">
        <f t="shared" si="103"/>
        <v>0</v>
      </c>
      <c r="AC538" s="255">
        <f t="shared" si="103"/>
        <v>0</v>
      </c>
      <c r="AD538" s="255">
        <f t="shared" si="103"/>
        <v>0</v>
      </c>
      <c r="AE538" s="76"/>
      <c r="AF538" s="97"/>
      <c r="AG538" s="76"/>
      <c r="AH538" s="97">
        <v>1</v>
      </c>
      <c r="AI538" s="97">
        <v>1</v>
      </c>
      <c r="AJ538" s="73"/>
      <c r="AK538" s="57"/>
      <c r="AL538" s="45"/>
      <c r="AM538" s="45"/>
      <c r="AN538" s="45"/>
    </row>
    <row r="539" spans="1:40" hidden="1" outlineLevel="2" x14ac:dyDescent="0.25">
      <c r="A539" s="45"/>
      <c r="B539" s="54"/>
      <c r="C539" s="47">
        <f t="shared" si="102"/>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103"/>
        <v>0</v>
      </c>
      <c r="AA539" s="255">
        <f t="shared" si="103"/>
        <v>0</v>
      </c>
      <c r="AB539" s="255">
        <f t="shared" si="103"/>
        <v>0</v>
      </c>
      <c r="AC539" s="255">
        <f t="shared" si="103"/>
        <v>0</v>
      </c>
      <c r="AD539" s="255">
        <f t="shared" si="103"/>
        <v>0</v>
      </c>
      <c r="AE539" s="76"/>
      <c r="AF539" s="97"/>
      <c r="AG539" s="76"/>
      <c r="AH539" s="97">
        <v>1</v>
      </c>
      <c r="AI539" s="97">
        <v>1</v>
      </c>
      <c r="AJ539" s="73"/>
      <c r="AK539" s="57"/>
      <c r="AL539" s="45"/>
      <c r="AM539" s="45"/>
      <c r="AN539" s="45"/>
    </row>
    <row r="540" spans="1:40" hidden="1" outlineLevel="2" collapsed="1" x14ac:dyDescent="0.25">
      <c r="A540" s="45"/>
      <c r="B540" s="54"/>
      <c r="C540" s="47">
        <f t="shared" si="102"/>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103"/>
        <v>0</v>
      </c>
      <c r="AA540" s="255">
        <f t="shared" si="103"/>
        <v>0</v>
      </c>
      <c r="AB540" s="255">
        <f t="shared" si="103"/>
        <v>0</v>
      </c>
      <c r="AC540" s="255">
        <f t="shared" si="103"/>
        <v>0</v>
      </c>
      <c r="AD540" s="255">
        <f t="shared" si="103"/>
        <v>0</v>
      </c>
      <c r="AE540" s="76"/>
      <c r="AF540" s="97"/>
      <c r="AG540" s="76"/>
      <c r="AH540" s="97">
        <v>1</v>
      </c>
      <c r="AI540" s="97">
        <v>1</v>
      </c>
      <c r="AJ540" s="73"/>
      <c r="AK540" s="57"/>
      <c r="AL540" s="45"/>
      <c r="AM540" s="45"/>
      <c r="AN540" s="45"/>
    </row>
    <row r="541" spans="1:40" hidden="1" outlineLevel="3" x14ac:dyDescent="0.25">
      <c r="A541" s="45"/>
      <c r="B541" s="54"/>
      <c r="C541" s="47">
        <f t="shared" si="102"/>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4">U540</f>
        <v>0</v>
      </c>
      <c r="V541" s="261">
        <f t="shared" si="104"/>
        <v>0</v>
      </c>
      <c r="W541" s="261">
        <f t="shared" si="104"/>
        <v>0</v>
      </c>
      <c r="X541" s="261">
        <f t="shared" si="104"/>
        <v>0</v>
      </c>
      <c r="Y541" s="261">
        <f t="shared" si="104"/>
        <v>0</v>
      </c>
      <c r="Z541" s="261">
        <f t="shared" si="104"/>
        <v>0</v>
      </c>
      <c r="AA541" s="261">
        <f t="shared" si="104"/>
        <v>0</v>
      </c>
      <c r="AB541" s="261">
        <f t="shared" si="104"/>
        <v>0</v>
      </c>
      <c r="AC541" s="261">
        <f t="shared" si="104"/>
        <v>0</v>
      </c>
      <c r="AD541" s="261">
        <f t="shared" si="104"/>
        <v>0</v>
      </c>
      <c r="AE541" s="76"/>
      <c r="AF541" s="97"/>
      <c r="AG541" s="76"/>
      <c r="AH541" s="97">
        <v>1</v>
      </c>
      <c r="AI541" s="97">
        <v>1</v>
      </c>
      <c r="AJ541" s="73"/>
      <c r="AK541" s="57"/>
      <c r="AL541" s="45"/>
      <c r="AM541" s="45"/>
      <c r="AN541" s="45"/>
    </row>
    <row r="542" spans="1:40" hidden="1" outlineLevel="3" x14ac:dyDescent="0.25">
      <c r="A542" s="45"/>
      <c r="B542" s="54"/>
      <c r="C542" s="47">
        <f t="shared" si="102"/>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4"/>
        <v>0</v>
      </c>
      <c r="V542" s="261">
        <f t="shared" si="104"/>
        <v>0</v>
      </c>
      <c r="W542" s="261">
        <f t="shared" si="104"/>
        <v>0</v>
      </c>
      <c r="X542" s="261">
        <f t="shared" si="104"/>
        <v>0</v>
      </c>
      <c r="Y542" s="261">
        <f t="shared" si="104"/>
        <v>0</v>
      </c>
      <c r="Z542" s="261">
        <f t="shared" si="104"/>
        <v>0</v>
      </c>
      <c r="AA542" s="261">
        <f t="shared" si="104"/>
        <v>0</v>
      </c>
      <c r="AB542" s="261">
        <f t="shared" si="104"/>
        <v>0</v>
      </c>
      <c r="AC542" s="261">
        <f t="shared" si="104"/>
        <v>0</v>
      </c>
      <c r="AD542" s="261">
        <f t="shared" si="104"/>
        <v>0</v>
      </c>
      <c r="AE542" s="76"/>
      <c r="AF542" s="97"/>
      <c r="AG542" s="76"/>
      <c r="AH542" s="97">
        <v>1</v>
      </c>
      <c r="AI542" s="97">
        <v>1</v>
      </c>
      <c r="AJ542" s="73"/>
      <c r="AK542" s="57"/>
      <c r="AL542" s="45"/>
      <c r="AM542" s="45"/>
      <c r="AN542" s="45"/>
    </row>
    <row r="543" spans="1:40" hidden="1" outlineLevel="3" x14ac:dyDescent="0.25">
      <c r="A543" s="45"/>
      <c r="B543" s="54"/>
      <c r="C543" s="47">
        <f t="shared" si="102"/>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4"/>
        <v>0</v>
      </c>
      <c r="V543" s="261">
        <f t="shared" si="104"/>
        <v>0</v>
      </c>
      <c r="W543" s="261">
        <f t="shared" si="104"/>
        <v>0</v>
      </c>
      <c r="X543" s="261">
        <f t="shared" si="104"/>
        <v>0</v>
      </c>
      <c r="Y543" s="261">
        <f t="shared" si="104"/>
        <v>0</v>
      </c>
      <c r="Z543" s="261">
        <f t="shared" si="104"/>
        <v>0</v>
      </c>
      <c r="AA543" s="261">
        <f t="shared" si="104"/>
        <v>0</v>
      </c>
      <c r="AB543" s="261">
        <f t="shared" si="104"/>
        <v>0</v>
      </c>
      <c r="AC543" s="261">
        <f t="shared" si="104"/>
        <v>0</v>
      </c>
      <c r="AD543" s="261">
        <f t="shared" si="104"/>
        <v>0</v>
      </c>
      <c r="AE543" s="76"/>
      <c r="AF543" s="97"/>
      <c r="AG543" s="76"/>
      <c r="AH543" s="97">
        <v>1</v>
      </c>
      <c r="AI543" s="97">
        <v>1</v>
      </c>
      <c r="AJ543" s="73"/>
      <c r="AK543" s="57"/>
      <c r="AL543" s="45"/>
      <c r="AM543" s="45"/>
      <c r="AN543" s="45"/>
    </row>
    <row r="544" spans="1:40" hidden="1" outlineLevel="2" x14ac:dyDescent="0.25">
      <c r="A544" s="45"/>
      <c r="B544" s="54"/>
      <c r="C544" s="47">
        <f t="shared" si="102"/>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5">Y544</f>
        <v>0</v>
      </c>
      <c r="AA544" s="255">
        <f t="shared" si="105"/>
        <v>0</v>
      </c>
      <c r="AB544" s="255">
        <f t="shared" si="105"/>
        <v>0</v>
      </c>
      <c r="AC544" s="255">
        <f t="shared" si="105"/>
        <v>0</v>
      </c>
      <c r="AD544" s="255">
        <f t="shared" si="105"/>
        <v>0</v>
      </c>
      <c r="AE544" s="76"/>
      <c r="AF544" s="97"/>
      <c r="AG544" s="76"/>
      <c r="AH544" s="97">
        <v>1</v>
      </c>
      <c r="AI544" s="97">
        <v>1</v>
      </c>
      <c r="AJ544" s="73"/>
      <c r="AK544" s="57"/>
      <c r="AL544" s="45"/>
      <c r="AM544" s="45"/>
      <c r="AN544" s="45"/>
    </row>
    <row r="545" spans="1:40" hidden="1" outlineLevel="2" x14ac:dyDescent="0.25">
      <c r="A545" s="45"/>
      <c r="B545" s="54"/>
      <c r="C545" s="47">
        <f t="shared" si="102"/>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5"/>
        <v>0</v>
      </c>
      <c r="AA545" s="255">
        <f t="shared" si="105"/>
        <v>0</v>
      </c>
      <c r="AB545" s="255">
        <f t="shared" si="105"/>
        <v>0</v>
      </c>
      <c r="AC545" s="255">
        <f t="shared" si="105"/>
        <v>0</v>
      </c>
      <c r="AD545" s="255">
        <f t="shared" si="105"/>
        <v>0</v>
      </c>
      <c r="AE545" s="76"/>
      <c r="AF545" s="97"/>
      <c r="AG545" s="76"/>
      <c r="AH545" s="97">
        <v>1</v>
      </c>
      <c r="AI545" s="97">
        <v>1</v>
      </c>
      <c r="AJ545" s="73"/>
      <c r="AK545" s="57"/>
      <c r="AL545" s="45"/>
      <c r="AM545" s="45"/>
      <c r="AN545" s="45"/>
    </row>
    <row r="546" spans="1:40" hidden="1" outlineLevel="2" x14ac:dyDescent="0.25">
      <c r="A546" s="45"/>
      <c r="B546" s="54"/>
      <c r="C546" s="47">
        <f t="shared" si="102"/>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5"/>
        <v>0</v>
      </c>
      <c r="AA546" s="255">
        <f t="shared" si="105"/>
        <v>0</v>
      </c>
      <c r="AB546" s="255">
        <f t="shared" si="105"/>
        <v>0</v>
      </c>
      <c r="AC546" s="255">
        <f t="shared" si="105"/>
        <v>0</v>
      </c>
      <c r="AD546" s="255">
        <f t="shared" si="105"/>
        <v>0</v>
      </c>
      <c r="AE546" s="76"/>
      <c r="AF546" s="97"/>
      <c r="AG546" s="76"/>
      <c r="AH546" s="97">
        <v>1</v>
      </c>
      <c r="AI546" s="97">
        <v>1</v>
      </c>
      <c r="AJ546" s="73"/>
      <c r="AK546" s="57"/>
      <c r="AL546" s="45"/>
      <c r="AM546" s="45"/>
      <c r="AN546" s="45"/>
    </row>
    <row r="547" spans="1:40" hidden="1" outlineLevel="2" x14ac:dyDescent="0.25">
      <c r="A547" s="45"/>
      <c r="B547" s="54"/>
      <c r="C547" s="47">
        <f t="shared" si="102"/>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5"/>
        <v>0</v>
      </c>
      <c r="AA547" s="255">
        <f t="shared" si="105"/>
        <v>0</v>
      </c>
      <c r="AB547" s="255">
        <f t="shared" si="105"/>
        <v>0</v>
      </c>
      <c r="AC547" s="255">
        <f t="shared" si="105"/>
        <v>0</v>
      </c>
      <c r="AD547" s="255">
        <f t="shared" si="105"/>
        <v>0</v>
      </c>
      <c r="AE547" s="76"/>
      <c r="AF547" s="97"/>
      <c r="AG547" s="76"/>
      <c r="AH547" s="97">
        <v>1</v>
      </c>
      <c r="AI547" s="97">
        <v>1</v>
      </c>
      <c r="AJ547" s="73"/>
      <c r="AK547" s="57"/>
      <c r="AL547" s="45"/>
      <c r="AM547" s="45"/>
      <c r="AN547" s="45"/>
    </row>
    <row r="548" spans="1:40" hidden="1" outlineLevel="2" collapsed="1" x14ac:dyDescent="0.25">
      <c r="A548" s="45"/>
      <c r="B548" s="54"/>
      <c r="C548" s="47">
        <f t="shared" si="102"/>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5"/>
        <v>0</v>
      </c>
      <c r="AA548" s="255">
        <f t="shared" si="105"/>
        <v>0</v>
      </c>
      <c r="AB548" s="255">
        <f t="shared" si="105"/>
        <v>0</v>
      </c>
      <c r="AC548" s="255">
        <f t="shared" si="105"/>
        <v>0</v>
      </c>
      <c r="AD548" s="255">
        <f t="shared" si="105"/>
        <v>0</v>
      </c>
      <c r="AE548" s="76"/>
      <c r="AF548" s="97"/>
      <c r="AG548" s="76"/>
      <c r="AH548" s="97">
        <v>1</v>
      </c>
      <c r="AI548" s="97">
        <v>1</v>
      </c>
      <c r="AJ548" s="73"/>
      <c r="AK548" s="57"/>
      <c r="AL548" s="45"/>
      <c r="AM548" s="45"/>
      <c r="AN548" s="45"/>
    </row>
    <row r="549" spans="1:40" hidden="1" outlineLevel="3" x14ac:dyDescent="0.25">
      <c r="A549" s="45"/>
      <c r="B549" s="54"/>
      <c r="C549" s="47">
        <f t="shared" si="102"/>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6">U548</f>
        <v>0</v>
      </c>
      <c r="V549" s="261">
        <f t="shared" si="106"/>
        <v>0</v>
      </c>
      <c r="W549" s="261">
        <f t="shared" si="106"/>
        <v>0</v>
      </c>
      <c r="X549" s="261">
        <f t="shared" si="106"/>
        <v>0</v>
      </c>
      <c r="Y549" s="261">
        <f t="shared" si="106"/>
        <v>0</v>
      </c>
      <c r="Z549" s="261">
        <f t="shared" si="106"/>
        <v>0</v>
      </c>
      <c r="AA549" s="261">
        <f t="shared" si="106"/>
        <v>0</v>
      </c>
      <c r="AB549" s="261">
        <f t="shared" si="106"/>
        <v>0</v>
      </c>
      <c r="AC549" s="261">
        <f t="shared" si="106"/>
        <v>0</v>
      </c>
      <c r="AD549" s="261">
        <f t="shared" si="106"/>
        <v>0</v>
      </c>
      <c r="AE549" s="76"/>
      <c r="AF549" s="97"/>
      <c r="AG549" s="76"/>
      <c r="AH549" s="97">
        <v>1</v>
      </c>
      <c r="AI549" s="97">
        <v>1</v>
      </c>
      <c r="AJ549" s="73"/>
      <c r="AK549" s="57"/>
      <c r="AL549" s="45"/>
      <c r="AM549" s="45"/>
      <c r="AN549" s="45"/>
    </row>
    <row r="550" spans="1:40" hidden="1" outlineLevel="3" x14ac:dyDescent="0.25">
      <c r="A550" s="45"/>
      <c r="B550" s="54"/>
      <c r="C550" s="47">
        <f t="shared" si="102"/>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6"/>
        <v>0</v>
      </c>
      <c r="V550" s="261">
        <f t="shared" si="106"/>
        <v>0</v>
      </c>
      <c r="W550" s="261">
        <f t="shared" si="106"/>
        <v>0</v>
      </c>
      <c r="X550" s="261">
        <f t="shared" si="106"/>
        <v>0</v>
      </c>
      <c r="Y550" s="261">
        <f t="shared" si="106"/>
        <v>0</v>
      </c>
      <c r="Z550" s="261">
        <f t="shared" si="106"/>
        <v>0</v>
      </c>
      <c r="AA550" s="261">
        <f t="shared" si="106"/>
        <v>0</v>
      </c>
      <c r="AB550" s="261">
        <f t="shared" si="106"/>
        <v>0</v>
      </c>
      <c r="AC550" s="261">
        <f t="shared" si="106"/>
        <v>0</v>
      </c>
      <c r="AD550" s="261">
        <f t="shared" si="106"/>
        <v>0</v>
      </c>
      <c r="AE550" s="76"/>
      <c r="AF550" s="97"/>
      <c r="AG550" s="76"/>
      <c r="AH550" s="97">
        <v>1</v>
      </c>
      <c r="AI550" s="97">
        <v>1</v>
      </c>
      <c r="AJ550" s="73"/>
      <c r="AK550" s="57"/>
      <c r="AL550" s="45"/>
      <c r="AM550" s="45"/>
      <c r="AN550" s="45"/>
    </row>
    <row r="551" spans="1:40" hidden="1" outlineLevel="3" collapsed="1" x14ac:dyDescent="0.25">
      <c r="A551" s="45"/>
      <c r="B551" s="54"/>
      <c r="C551" s="47">
        <f t="shared" si="102"/>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6"/>
        <v>0</v>
      </c>
      <c r="V551" s="261">
        <f t="shared" si="106"/>
        <v>0</v>
      </c>
      <c r="W551" s="261">
        <f t="shared" si="106"/>
        <v>0</v>
      </c>
      <c r="X551" s="261">
        <f t="shared" si="106"/>
        <v>0</v>
      </c>
      <c r="Y551" s="261">
        <f t="shared" si="106"/>
        <v>0</v>
      </c>
      <c r="Z551" s="261">
        <f t="shared" si="106"/>
        <v>0</v>
      </c>
      <c r="AA551" s="261">
        <f t="shared" si="106"/>
        <v>0</v>
      </c>
      <c r="AB551" s="261">
        <f t="shared" si="106"/>
        <v>0</v>
      </c>
      <c r="AC551" s="261">
        <f t="shared" si="106"/>
        <v>0</v>
      </c>
      <c r="AD551" s="261">
        <f t="shared" si="106"/>
        <v>0</v>
      </c>
      <c r="AE551" s="76"/>
      <c r="AF551" s="97"/>
      <c r="AG551" s="76"/>
      <c r="AH551" s="97">
        <v>1</v>
      </c>
      <c r="AI551" s="97">
        <v>1</v>
      </c>
      <c r="AJ551" s="73"/>
      <c r="AK551" s="57"/>
      <c r="AL551" s="45"/>
      <c r="AM551" s="45"/>
      <c r="AN551" s="45"/>
    </row>
    <row r="552" spans="1:40" hidden="1" outlineLevel="3" x14ac:dyDescent="0.25">
      <c r="A552" s="45"/>
      <c r="B552" s="54"/>
      <c r="C552" s="47">
        <f t="shared" si="102"/>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102"/>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102"/>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102"/>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102"/>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102"/>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102"/>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102"/>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25">
      <c r="A560" s="45"/>
      <c r="B560" s="54"/>
      <c r="C560" s="47">
        <f t="shared" si="102"/>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25">
      <c r="A561" s="45"/>
      <c r="B561" s="54"/>
      <c r="C561" s="47">
        <f t="shared" si="102"/>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102"/>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102"/>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102"/>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102"/>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102"/>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102"/>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ref="C568:C599" si="107">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8">AA568</f>
        <v>-0.55000000000000004</v>
      </c>
      <c r="AA568" s="255">
        <f t="shared" si="108"/>
        <v>-0.55000000000000004</v>
      </c>
      <c r="AB568" s="97">
        <v>-0.55000000000000004</v>
      </c>
      <c r="AC568" s="255">
        <f t="shared" ref="AC568:AD591" si="109">AB568</f>
        <v>-0.55000000000000004</v>
      </c>
      <c r="AD568" s="255">
        <f t="shared" si="109"/>
        <v>-0.55000000000000004</v>
      </c>
      <c r="AE568" s="76"/>
      <c r="AF568" s="97" t="s">
        <v>2671</v>
      </c>
      <c r="AG568" s="76"/>
      <c r="AH568" s="97">
        <v>1</v>
      </c>
      <c r="AI568" s="97">
        <v>1</v>
      </c>
      <c r="AJ568" s="73"/>
      <c r="AK568" s="57"/>
      <c r="AL568" s="45"/>
      <c r="AM568" s="45"/>
      <c r="AN568" s="45"/>
    </row>
    <row r="569" spans="1:40" hidden="1" outlineLevel="2" x14ac:dyDescent="0.25">
      <c r="A569" s="45"/>
      <c r="B569" s="54"/>
      <c r="C569" s="47">
        <f t="shared" si="107"/>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8"/>
        <v>-0.2</v>
      </c>
      <c r="AA569" s="255">
        <f t="shared" si="108"/>
        <v>-0.2</v>
      </c>
      <c r="AB569" s="97">
        <v>-0.2</v>
      </c>
      <c r="AC569" s="255">
        <f t="shared" si="109"/>
        <v>-0.2</v>
      </c>
      <c r="AD569" s="255">
        <f t="shared" si="109"/>
        <v>-0.2</v>
      </c>
      <c r="AE569" s="76"/>
      <c r="AF569" s="97" t="s">
        <v>2698</v>
      </c>
      <c r="AG569" s="76"/>
      <c r="AH569" s="97">
        <v>1</v>
      </c>
      <c r="AI569" s="97">
        <v>1</v>
      </c>
      <c r="AJ569" s="73"/>
      <c r="AK569" s="57"/>
      <c r="AL569" s="45"/>
      <c r="AM569" s="45"/>
      <c r="AN569" s="45"/>
    </row>
    <row r="570" spans="1:40" hidden="1" outlineLevel="2" x14ac:dyDescent="0.25">
      <c r="A570" s="45"/>
      <c r="B570" s="54"/>
      <c r="C570" s="47">
        <f t="shared" si="107"/>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8"/>
        <v>0</v>
      </c>
      <c r="AA570" s="255">
        <f t="shared" si="108"/>
        <v>0</v>
      </c>
      <c r="AB570" s="97">
        <v>0</v>
      </c>
      <c r="AC570" s="255">
        <f t="shared" si="109"/>
        <v>0</v>
      </c>
      <c r="AD570" s="255">
        <f t="shared" si="109"/>
        <v>0</v>
      </c>
      <c r="AE570" s="76"/>
      <c r="AF570" s="97"/>
      <c r="AG570" s="76"/>
      <c r="AH570" s="97">
        <v>1</v>
      </c>
      <c r="AI570" s="97">
        <v>1</v>
      </c>
      <c r="AJ570" s="73"/>
      <c r="AK570" s="57"/>
      <c r="AL570" s="45"/>
      <c r="AM570" s="45"/>
      <c r="AN570" s="45"/>
    </row>
    <row r="571" spans="1:40" hidden="1" outlineLevel="2" x14ac:dyDescent="0.25">
      <c r="A571" s="45"/>
      <c r="B571" s="54"/>
      <c r="C571" s="47">
        <f t="shared" si="107"/>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8"/>
        <v>0</v>
      </c>
      <c r="AA571" s="255">
        <f t="shared" si="108"/>
        <v>0</v>
      </c>
      <c r="AB571" s="97">
        <v>0</v>
      </c>
      <c r="AC571" s="255">
        <f t="shared" si="109"/>
        <v>0</v>
      </c>
      <c r="AD571" s="255">
        <f t="shared" si="109"/>
        <v>0</v>
      </c>
      <c r="AE571" s="76"/>
      <c r="AF571" s="97"/>
      <c r="AG571" s="76"/>
      <c r="AH571" s="97">
        <v>1</v>
      </c>
      <c r="AI571" s="97">
        <v>1</v>
      </c>
      <c r="AJ571" s="73"/>
      <c r="AK571" s="57"/>
      <c r="AL571" s="45"/>
      <c r="AM571" s="45"/>
      <c r="AN571" s="45"/>
    </row>
    <row r="572" spans="1:40" hidden="1" outlineLevel="2" x14ac:dyDescent="0.25">
      <c r="A572" s="45"/>
      <c r="B572" s="54"/>
      <c r="C572" s="47">
        <f t="shared" si="107"/>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8"/>
        <v>0</v>
      </c>
      <c r="AA572" s="255">
        <f t="shared" si="108"/>
        <v>0</v>
      </c>
      <c r="AB572" s="97">
        <v>0</v>
      </c>
      <c r="AC572" s="255">
        <f t="shared" si="109"/>
        <v>0</v>
      </c>
      <c r="AD572" s="255">
        <f t="shared" si="109"/>
        <v>0</v>
      </c>
      <c r="AE572" s="76"/>
      <c r="AF572" s="97"/>
      <c r="AG572" s="76"/>
      <c r="AH572" s="97">
        <v>1</v>
      </c>
      <c r="AI572" s="97">
        <v>1</v>
      </c>
      <c r="AJ572" s="73"/>
      <c r="AK572" s="57"/>
      <c r="AL572" s="45"/>
      <c r="AM572" s="45"/>
      <c r="AN572" s="45"/>
    </row>
    <row r="573" spans="1:40" hidden="1" outlineLevel="2" x14ac:dyDescent="0.25">
      <c r="A573" s="45"/>
      <c r="B573" s="54"/>
      <c r="C573" s="47">
        <f t="shared" si="107"/>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8"/>
        <v>0</v>
      </c>
      <c r="AA573" s="255">
        <f t="shared" si="108"/>
        <v>0</v>
      </c>
      <c r="AB573" s="97">
        <v>0</v>
      </c>
      <c r="AC573" s="255">
        <f t="shared" si="109"/>
        <v>0</v>
      </c>
      <c r="AD573" s="255">
        <f t="shared" si="109"/>
        <v>0</v>
      </c>
      <c r="AE573" s="76"/>
      <c r="AF573" s="97"/>
      <c r="AG573" s="76"/>
      <c r="AH573" s="97">
        <v>1</v>
      </c>
      <c r="AI573" s="97">
        <v>1</v>
      </c>
      <c r="AJ573" s="73"/>
      <c r="AK573" s="57"/>
      <c r="AL573" s="45"/>
      <c r="AM573" s="45"/>
      <c r="AN573" s="45"/>
    </row>
    <row r="574" spans="1:40" hidden="1" outlineLevel="2" x14ac:dyDescent="0.25">
      <c r="A574" s="45"/>
      <c r="B574" s="54"/>
      <c r="C574" s="47">
        <f t="shared" si="107"/>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8"/>
        <v>0</v>
      </c>
      <c r="AA574" s="255">
        <f t="shared" si="108"/>
        <v>0</v>
      </c>
      <c r="AB574" s="97">
        <v>0</v>
      </c>
      <c r="AC574" s="255">
        <f t="shared" si="109"/>
        <v>0</v>
      </c>
      <c r="AD574" s="255">
        <f t="shared" si="109"/>
        <v>0</v>
      </c>
      <c r="AE574" s="76"/>
      <c r="AF574" s="97"/>
      <c r="AG574" s="76"/>
      <c r="AH574" s="97">
        <v>1</v>
      </c>
      <c r="AI574" s="97">
        <v>1</v>
      </c>
      <c r="AJ574" s="73"/>
      <c r="AK574" s="57"/>
      <c r="AL574" s="45"/>
      <c r="AM574" s="45"/>
      <c r="AN574" s="45"/>
    </row>
    <row r="575" spans="1:40" hidden="1" outlineLevel="2" x14ac:dyDescent="0.25">
      <c r="A575" s="45"/>
      <c r="B575" s="54"/>
      <c r="C575" s="47">
        <f t="shared" si="107"/>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8"/>
        <v>-0.2</v>
      </c>
      <c r="AA575" s="255">
        <f t="shared" si="108"/>
        <v>-0.2</v>
      </c>
      <c r="AB575" s="97">
        <f>AB569</f>
        <v>-0.2</v>
      </c>
      <c r="AC575" s="255">
        <f t="shared" si="109"/>
        <v>-0.2</v>
      </c>
      <c r="AD575" s="255">
        <f t="shared" si="109"/>
        <v>-0.2</v>
      </c>
      <c r="AE575" s="76"/>
      <c r="AF575" s="97"/>
      <c r="AG575" s="76"/>
      <c r="AH575" s="97">
        <v>1</v>
      </c>
      <c r="AI575" s="97">
        <v>1</v>
      </c>
      <c r="AJ575" s="73"/>
      <c r="AK575" s="57"/>
      <c r="AL575" s="45"/>
      <c r="AM575" s="45"/>
      <c r="AN575" s="45"/>
    </row>
    <row r="576" spans="1:40" hidden="1" outlineLevel="2" x14ac:dyDescent="0.25">
      <c r="A576" s="45"/>
      <c r="B576" s="54"/>
      <c r="C576" s="47">
        <f t="shared" si="107"/>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10">Y576</f>
        <v>0</v>
      </c>
      <c r="AA576" s="255">
        <f t="shared" si="110"/>
        <v>0</v>
      </c>
      <c r="AB576" s="255">
        <f t="shared" si="110"/>
        <v>0</v>
      </c>
      <c r="AC576" s="255">
        <f t="shared" si="109"/>
        <v>0</v>
      </c>
      <c r="AD576" s="255">
        <f t="shared" si="109"/>
        <v>0</v>
      </c>
      <c r="AE576" s="76"/>
      <c r="AF576" s="97"/>
      <c r="AG576" s="76"/>
      <c r="AH576" s="97">
        <v>1</v>
      </c>
      <c r="AI576" s="97">
        <v>1</v>
      </c>
      <c r="AJ576" s="73"/>
      <c r="AK576" s="57"/>
      <c r="AL576" s="45"/>
      <c r="AM576" s="45"/>
      <c r="AN576" s="45"/>
    </row>
    <row r="577" spans="1:40" hidden="1" outlineLevel="2" x14ac:dyDescent="0.25">
      <c r="A577" s="45"/>
      <c r="B577" s="54"/>
      <c r="C577" s="47">
        <f t="shared" si="107"/>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10"/>
        <v>0</v>
      </c>
      <c r="AA577" s="255">
        <f t="shared" si="110"/>
        <v>0</v>
      </c>
      <c r="AB577" s="255">
        <f t="shared" si="110"/>
        <v>0</v>
      </c>
      <c r="AC577" s="255">
        <f t="shared" si="109"/>
        <v>0</v>
      </c>
      <c r="AD577" s="255">
        <f t="shared" si="109"/>
        <v>0</v>
      </c>
      <c r="AE577" s="76"/>
      <c r="AF577" s="97"/>
      <c r="AG577" s="76"/>
      <c r="AH577" s="97">
        <v>1</v>
      </c>
      <c r="AI577" s="97">
        <v>1</v>
      </c>
      <c r="AJ577" s="73"/>
      <c r="AK577" s="57"/>
      <c r="AL577" s="45"/>
      <c r="AM577" s="45"/>
      <c r="AN577" s="45"/>
    </row>
    <row r="578" spans="1:40" hidden="1" outlineLevel="2" collapsed="1" x14ac:dyDescent="0.25">
      <c r="A578" s="45"/>
      <c r="B578" s="54"/>
      <c r="C578" s="47">
        <f t="shared" si="107"/>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10"/>
        <v>0</v>
      </c>
      <c r="AA578" s="255">
        <f t="shared" si="110"/>
        <v>0</v>
      </c>
      <c r="AB578" s="255">
        <f t="shared" si="110"/>
        <v>0</v>
      </c>
      <c r="AC578" s="255">
        <f t="shared" si="109"/>
        <v>0</v>
      </c>
      <c r="AD578" s="255">
        <f t="shared" si="109"/>
        <v>0</v>
      </c>
      <c r="AE578" s="76"/>
      <c r="AF578" s="97"/>
      <c r="AG578" s="76"/>
      <c r="AH578" s="97">
        <v>1</v>
      </c>
      <c r="AI578" s="97">
        <v>1</v>
      </c>
      <c r="AJ578" s="73"/>
      <c r="AK578" s="57"/>
      <c r="AL578" s="45"/>
      <c r="AM578" s="45"/>
      <c r="AN578" s="45"/>
    </row>
    <row r="579" spans="1:40" hidden="1" outlineLevel="3" x14ac:dyDescent="0.25">
      <c r="A579" s="45"/>
      <c r="B579" s="54"/>
      <c r="C579" s="47">
        <f t="shared" si="107"/>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10"/>
        <v>0</v>
      </c>
      <c r="AA579" s="255">
        <f t="shared" si="110"/>
        <v>0</v>
      </c>
      <c r="AB579" s="255">
        <f t="shared" si="110"/>
        <v>0</v>
      </c>
      <c r="AC579" s="255">
        <f t="shared" si="109"/>
        <v>0</v>
      </c>
      <c r="AD579" s="255">
        <f t="shared" si="109"/>
        <v>0</v>
      </c>
      <c r="AE579" s="76"/>
      <c r="AF579" s="97"/>
      <c r="AG579" s="76"/>
      <c r="AH579" s="97">
        <v>1</v>
      </c>
      <c r="AI579" s="97">
        <v>1</v>
      </c>
      <c r="AJ579" s="73"/>
      <c r="AK579" s="57"/>
      <c r="AL579" s="45"/>
      <c r="AM579" s="45"/>
      <c r="AN579" s="45"/>
    </row>
    <row r="580" spans="1:40" hidden="1" outlineLevel="3" x14ac:dyDescent="0.25">
      <c r="A580" s="45"/>
      <c r="B580" s="54"/>
      <c r="C580" s="47">
        <f t="shared" si="107"/>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10"/>
        <v>0</v>
      </c>
      <c r="AA580" s="255">
        <f t="shared" si="110"/>
        <v>0</v>
      </c>
      <c r="AB580" s="255">
        <f t="shared" si="110"/>
        <v>0</v>
      </c>
      <c r="AC580" s="255">
        <f t="shared" si="109"/>
        <v>0</v>
      </c>
      <c r="AD580" s="255">
        <f t="shared" si="109"/>
        <v>0</v>
      </c>
      <c r="AE580" s="76"/>
      <c r="AF580" s="97"/>
      <c r="AG580" s="76"/>
      <c r="AH580" s="97">
        <v>1</v>
      </c>
      <c r="AI580" s="97">
        <v>1</v>
      </c>
      <c r="AJ580" s="73"/>
      <c r="AK580" s="57"/>
      <c r="AL580" s="45"/>
      <c r="AM580" s="45"/>
      <c r="AN580" s="45"/>
    </row>
    <row r="581" spans="1:40" hidden="1" outlineLevel="3" x14ac:dyDescent="0.25">
      <c r="A581" s="45"/>
      <c r="B581" s="54"/>
      <c r="C581" s="47">
        <f t="shared" si="107"/>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10"/>
        <v>0</v>
      </c>
      <c r="AA581" s="255">
        <f t="shared" si="110"/>
        <v>0</v>
      </c>
      <c r="AB581" s="255">
        <f t="shared" si="110"/>
        <v>0</v>
      </c>
      <c r="AC581" s="255">
        <f t="shared" si="109"/>
        <v>0</v>
      </c>
      <c r="AD581" s="255">
        <f t="shared" si="109"/>
        <v>0</v>
      </c>
      <c r="AE581" s="76"/>
      <c r="AF581" s="97"/>
      <c r="AG581" s="76"/>
      <c r="AH581" s="97">
        <v>1</v>
      </c>
      <c r="AI581" s="97">
        <v>1</v>
      </c>
      <c r="AJ581" s="73"/>
      <c r="AK581" s="57"/>
      <c r="AL581" s="45"/>
      <c r="AM581" s="45"/>
      <c r="AN581" s="45"/>
    </row>
    <row r="582" spans="1:40" hidden="1" outlineLevel="3" x14ac:dyDescent="0.25">
      <c r="A582" s="45"/>
      <c r="B582" s="54"/>
      <c r="C582" s="47">
        <f t="shared" si="107"/>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10"/>
        <v>0</v>
      </c>
      <c r="AA582" s="255">
        <f t="shared" si="110"/>
        <v>0</v>
      </c>
      <c r="AB582" s="255">
        <f t="shared" si="110"/>
        <v>0</v>
      </c>
      <c r="AC582" s="255">
        <f t="shared" si="109"/>
        <v>0</v>
      </c>
      <c r="AD582" s="255">
        <f t="shared" si="109"/>
        <v>0</v>
      </c>
      <c r="AE582" s="76"/>
      <c r="AF582" s="97"/>
      <c r="AG582" s="76"/>
      <c r="AH582" s="97">
        <v>1</v>
      </c>
      <c r="AI582" s="97">
        <v>1</v>
      </c>
      <c r="AJ582" s="73"/>
      <c r="AK582" s="57"/>
      <c r="AL582" s="45"/>
      <c r="AM582" s="45"/>
      <c r="AN582" s="45"/>
    </row>
    <row r="583" spans="1:40" hidden="1" outlineLevel="3" x14ac:dyDescent="0.25">
      <c r="A583" s="45"/>
      <c r="B583" s="54"/>
      <c r="C583" s="47">
        <f t="shared" si="107"/>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10"/>
        <v>0</v>
      </c>
      <c r="AA583" s="255">
        <f t="shared" si="110"/>
        <v>0</v>
      </c>
      <c r="AB583" s="255">
        <f t="shared" si="110"/>
        <v>0</v>
      </c>
      <c r="AC583" s="255">
        <f t="shared" si="109"/>
        <v>0</v>
      </c>
      <c r="AD583" s="255">
        <f t="shared" si="109"/>
        <v>0</v>
      </c>
      <c r="AE583" s="76"/>
      <c r="AF583" s="97"/>
      <c r="AG583" s="76"/>
      <c r="AH583" s="97">
        <v>1</v>
      </c>
      <c r="AI583" s="97">
        <v>1</v>
      </c>
      <c r="AJ583" s="73"/>
      <c r="AK583" s="57"/>
      <c r="AL583" s="45"/>
      <c r="AM583" s="45"/>
      <c r="AN583" s="45"/>
    </row>
    <row r="584" spans="1:40" hidden="1" outlineLevel="2" x14ac:dyDescent="0.25">
      <c r="A584" s="45"/>
      <c r="B584" s="54"/>
      <c r="C584" s="47">
        <f t="shared" si="107"/>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10"/>
        <v>0</v>
      </c>
      <c r="AA584" s="255">
        <f t="shared" si="110"/>
        <v>0</v>
      </c>
      <c r="AB584" s="255">
        <f t="shared" si="110"/>
        <v>0</v>
      </c>
      <c r="AC584" s="255">
        <f t="shared" si="109"/>
        <v>0</v>
      </c>
      <c r="AD584" s="255">
        <f t="shared" si="109"/>
        <v>0</v>
      </c>
      <c r="AE584" s="76"/>
      <c r="AF584" s="97"/>
      <c r="AG584" s="76"/>
      <c r="AH584" s="97">
        <v>1</v>
      </c>
      <c r="AI584" s="97">
        <v>1</v>
      </c>
      <c r="AJ584" s="73"/>
      <c r="AK584" s="57"/>
      <c r="AL584" s="45"/>
      <c r="AM584" s="45"/>
      <c r="AN584" s="45"/>
    </row>
    <row r="585" spans="1:40" hidden="1" outlineLevel="2" x14ac:dyDescent="0.25">
      <c r="A585" s="45"/>
      <c r="B585" s="54"/>
      <c r="C585" s="47">
        <f t="shared" si="107"/>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10"/>
        <v>0</v>
      </c>
      <c r="AA585" s="255">
        <f t="shared" si="110"/>
        <v>0</v>
      </c>
      <c r="AB585" s="255">
        <f t="shared" si="110"/>
        <v>0</v>
      </c>
      <c r="AC585" s="255">
        <f t="shared" si="109"/>
        <v>0</v>
      </c>
      <c r="AD585" s="255">
        <f t="shared" si="109"/>
        <v>0</v>
      </c>
      <c r="AE585" s="76"/>
      <c r="AF585" s="97"/>
      <c r="AG585" s="76"/>
      <c r="AH585" s="97">
        <v>1</v>
      </c>
      <c r="AI585" s="97">
        <v>1</v>
      </c>
      <c r="AJ585" s="73"/>
      <c r="AK585" s="57"/>
      <c r="AL585" s="45"/>
      <c r="AM585" s="45"/>
      <c r="AN585" s="45"/>
    </row>
    <row r="586" spans="1:40" hidden="1" outlineLevel="2" collapsed="1" x14ac:dyDescent="0.25">
      <c r="A586" s="45"/>
      <c r="B586" s="54"/>
      <c r="C586" s="47">
        <f t="shared" si="107"/>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10"/>
        <v>0</v>
      </c>
      <c r="AA586" s="255">
        <f t="shared" si="110"/>
        <v>0</v>
      </c>
      <c r="AB586" s="255">
        <f t="shared" si="110"/>
        <v>0</v>
      </c>
      <c r="AC586" s="255">
        <f t="shared" si="109"/>
        <v>0</v>
      </c>
      <c r="AD586" s="255">
        <f t="shared" si="109"/>
        <v>0</v>
      </c>
      <c r="AE586" s="76"/>
      <c r="AF586" s="97"/>
      <c r="AG586" s="76"/>
      <c r="AH586" s="97">
        <v>1</v>
      </c>
      <c r="AI586" s="97">
        <v>1</v>
      </c>
      <c r="AJ586" s="73"/>
      <c r="AK586" s="57"/>
      <c r="AL586" s="45"/>
      <c r="AM586" s="45"/>
      <c r="AN586" s="45"/>
    </row>
    <row r="587" spans="1:40" hidden="1" outlineLevel="3" x14ac:dyDescent="0.25">
      <c r="A587" s="45"/>
      <c r="B587" s="54"/>
      <c r="C587" s="47">
        <f t="shared" si="107"/>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10"/>
        <v>0</v>
      </c>
      <c r="AA587" s="255">
        <f t="shared" si="110"/>
        <v>0</v>
      </c>
      <c r="AB587" s="255">
        <f t="shared" si="110"/>
        <v>0</v>
      </c>
      <c r="AC587" s="255">
        <f t="shared" si="109"/>
        <v>0</v>
      </c>
      <c r="AD587" s="255">
        <f t="shared" si="109"/>
        <v>0</v>
      </c>
      <c r="AE587" s="76"/>
      <c r="AF587" s="97"/>
      <c r="AG587" s="76"/>
      <c r="AH587" s="97">
        <v>1</v>
      </c>
      <c r="AI587" s="97">
        <v>1</v>
      </c>
      <c r="AJ587" s="73"/>
      <c r="AK587" s="57"/>
      <c r="AL587" s="45"/>
      <c r="AM587" s="45"/>
      <c r="AN587" s="45"/>
    </row>
    <row r="588" spans="1:40" hidden="1" outlineLevel="3" x14ac:dyDescent="0.25">
      <c r="A588" s="45"/>
      <c r="B588" s="54"/>
      <c r="C588" s="47">
        <f t="shared" si="107"/>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10"/>
        <v>0</v>
      </c>
      <c r="AA588" s="255">
        <f t="shared" si="110"/>
        <v>0</v>
      </c>
      <c r="AB588" s="255">
        <f t="shared" si="110"/>
        <v>0</v>
      </c>
      <c r="AC588" s="255">
        <f t="shared" si="109"/>
        <v>0</v>
      </c>
      <c r="AD588" s="255">
        <f t="shared" si="109"/>
        <v>0</v>
      </c>
      <c r="AE588" s="76"/>
      <c r="AF588" s="97"/>
      <c r="AG588" s="76"/>
      <c r="AH588" s="97">
        <v>1</v>
      </c>
      <c r="AI588" s="97">
        <v>1</v>
      </c>
      <c r="AJ588" s="73"/>
      <c r="AK588" s="57"/>
      <c r="AL588" s="45"/>
      <c r="AM588" s="45"/>
      <c r="AN588" s="45"/>
    </row>
    <row r="589" spans="1:40" hidden="1" outlineLevel="3" x14ac:dyDescent="0.25">
      <c r="A589" s="45"/>
      <c r="B589" s="54"/>
      <c r="C589" s="47">
        <f t="shared" si="107"/>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10"/>
        <v>0</v>
      </c>
      <c r="AA589" s="255">
        <f t="shared" si="110"/>
        <v>0</v>
      </c>
      <c r="AB589" s="255">
        <f t="shared" si="110"/>
        <v>0</v>
      </c>
      <c r="AC589" s="255">
        <f t="shared" si="109"/>
        <v>0</v>
      </c>
      <c r="AD589" s="255">
        <f t="shared" si="109"/>
        <v>0</v>
      </c>
      <c r="AE589" s="76"/>
      <c r="AF589" s="97"/>
      <c r="AG589" s="76"/>
      <c r="AH589" s="97">
        <v>1</v>
      </c>
      <c r="AI589" s="97">
        <v>1</v>
      </c>
      <c r="AJ589" s="73"/>
      <c r="AK589" s="57"/>
      <c r="AL589" s="45"/>
      <c r="AM589" s="45"/>
      <c r="AN589" s="45"/>
    </row>
    <row r="590" spans="1:40" hidden="1" outlineLevel="3" x14ac:dyDescent="0.25">
      <c r="A590" s="45"/>
      <c r="B590" s="54"/>
      <c r="C590" s="47">
        <f t="shared" si="107"/>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10"/>
        <v>0</v>
      </c>
      <c r="AA590" s="255">
        <f t="shared" si="110"/>
        <v>0</v>
      </c>
      <c r="AB590" s="255">
        <f t="shared" si="110"/>
        <v>0</v>
      </c>
      <c r="AC590" s="255">
        <f t="shared" si="109"/>
        <v>0</v>
      </c>
      <c r="AD590" s="255">
        <f t="shared" si="109"/>
        <v>0</v>
      </c>
      <c r="AE590" s="76"/>
      <c r="AF590" s="97"/>
      <c r="AG590" s="76"/>
      <c r="AH590" s="97">
        <v>1</v>
      </c>
      <c r="AI590" s="97">
        <v>1</v>
      </c>
      <c r="AJ590" s="73"/>
      <c r="AK590" s="57"/>
      <c r="AL590" s="45"/>
      <c r="AM590" s="45"/>
      <c r="AN590" s="45"/>
    </row>
    <row r="591" spans="1:40" hidden="1" outlineLevel="3" x14ac:dyDescent="0.25">
      <c r="A591" s="45"/>
      <c r="B591" s="54"/>
      <c r="C591" s="47">
        <f t="shared" si="107"/>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10"/>
        <v>0</v>
      </c>
      <c r="AA591" s="255">
        <f t="shared" si="110"/>
        <v>0</v>
      </c>
      <c r="AB591" s="255">
        <f t="shared" si="110"/>
        <v>0</v>
      </c>
      <c r="AC591" s="255">
        <f t="shared" si="109"/>
        <v>0</v>
      </c>
      <c r="AD591" s="255">
        <f t="shared" si="109"/>
        <v>0</v>
      </c>
      <c r="AE591" s="76"/>
      <c r="AF591" s="97"/>
      <c r="AG591" s="76"/>
      <c r="AH591" s="97">
        <v>1</v>
      </c>
      <c r="AI591" s="97">
        <v>1</v>
      </c>
      <c r="AJ591" s="73"/>
      <c r="AK591" s="57"/>
      <c r="AL591" s="45"/>
      <c r="AM591" s="45"/>
      <c r="AN591" s="45"/>
    </row>
    <row r="592" spans="1:40" hidden="1" outlineLevel="3" x14ac:dyDescent="0.25">
      <c r="A592" s="45"/>
      <c r="B592" s="54"/>
      <c r="C592" s="47">
        <f t="shared" si="107"/>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7"/>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7"/>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7"/>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7"/>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7"/>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7"/>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07"/>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25">
      <c r="A600" s="45"/>
      <c r="B600" s="54"/>
      <c r="C600" s="47">
        <f t="shared" ref="C600:C631" si="111">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collapsed="1" x14ac:dyDescent="0.25">
      <c r="A601" s="45"/>
      <c r="B601" s="54"/>
      <c r="C601" s="47">
        <f t="shared" si="111"/>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11"/>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11"/>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11"/>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11"/>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11"/>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11"/>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11"/>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11"/>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11"/>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11"/>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11"/>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11"/>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11"/>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11"/>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25">
      <c r="A616" s="45"/>
      <c r="B616" s="54"/>
      <c r="C616" s="47">
        <f t="shared" si="111"/>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collapsed="1" x14ac:dyDescent="0.25">
      <c r="A617" s="45"/>
      <c r="B617" s="54"/>
      <c r="C617" s="47">
        <f t="shared" si="111"/>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11"/>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11"/>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11"/>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11"/>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11"/>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11"/>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25">
      <c r="A624" s="45"/>
      <c r="B624" s="54"/>
      <c r="C624" s="47">
        <f t="shared" si="111"/>
        <v>3</v>
      </c>
      <c r="D624" s="73"/>
      <c r="E624" s="70"/>
      <c r="F624" s="70" t="s">
        <v>2749</v>
      </c>
      <c r="G624" s="73"/>
      <c r="H624" s="76" t="s">
        <v>2748</v>
      </c>
      <c r="I624" s="96">
        <v>1</v>
      </c>
      <c r="J624" s="96"/>
      <c r="K624" s="76"/>
      <c r="L624" s="76"/>
      <c r="M624" s="76"/>
      <c r="N624" s="76"/>
      <c r="O624" s="76"/>
      <c r="P624" s="76"/>
      <c r="Q624" s="76"/>
      <c r="R624" s="76"/>
      <c r="S624" s="76"/>
      <c r="T624" s="76"/>
      <c r="U624" s="97">
        <f t="shared" ref="U624:U631" si="112">AA624-($I624*-0.3347)</f>
        <v>0.39093</v>
      </c>
      <c r="V624" s="255">
        <f t="shared" ref="V624:V631" si="113">U624</f>
        <v>0.39093</v>
      </c>
      <c r="W624" s="255">
        <f t="shared" ref="W624:X631" si="114">U624</f>
        <v>0.39093</v>
      </c>
      <c r="X624" s="255">
        <f t="shared" si="114"/>
        <v>0.39093</v>
      </c>
      <c r="Y624" s="255">
        <f t="shared" ref="Y624:Y631" si="115">V624</f>
        <v>0.39093</v>
      </c>
      <c r="Z624" s="255">
        <f t="shared" ref="Z624:Z631" si="116">AA624</f>
        <v>5.6230000000000002E-2</v>
      </c>
      <c r="AA624" s="97">
        <f t="shared" ref="AA624:AA631" si="117">-($I624*-0.05623)</f>
        <v>5.6230000000000002E-2</v>
      </c>
      <c r="AB624" s="255">
        <f t="shared" ref="AB624:AD631" si="118">AA624</f>
        <v>5.6230000000000002E-2</v>
      </c>
      <c r="AC624" s="255">
        <f t="shared" si="118"/>
        <v>5.6230000000000002E-2</v>
      </c>
      <c r="AD624" s="255">
        <f t="shared" si="118"/>
        <v>5.6230000000000002E-2</v>
      </c>
      <c r="AE624" s="76"/>
      <c r="AF624" s="97" t="s">
        <v>3486</v>
      </c>
      <c r="AG624" s="76"/>
      <c r="AH624" s="97">
        <v>1</v>
      </c>
      <c r="AI624" s="97">
        <v>1</v>
      </c>
      <c r="AJ624" s="73"/>
      <c r="AK624" s="57"/>
      <c r="AL624" s="45"/>
      <c r="AM624" s="45"/>
      <c r="AN624" s="45"/>
    </row>
    <row r="625" spans="1:40" hidden="1" outlineLevel="2" x14ac:dyDescent="0.25">
      <c r="A625" s="45"/>
      <c r="B625" s="54"/>
      <c r="C625" s="47">
        <f t="shared" si="111"/>
        <v>3</v>
      </c>
      <c r="D625" s="73"/>
      <c r="E625" s="70"/>
      <c r="F625" s="70" t="s">
        <v>2750</v>
      </c>
      <c r="G625" s="73"/>
      <c r="H625" s="76" t="s">
        <v>2663</v>
      </c>
      <c r="I625" s="96">
        <v>2</v>
      </c>
      <c r="J625" s="96"/>
      <c r="K625" s="76"/>
      <c r="L625" s="76"/>
      <c r="M625" s="76"/>
      <c r="N625" s="76"/>
      <c r="O625" s="76"/>
      <c r="P625" s="76"/>
      <c r="Q625" s="76"/>
      <c r="R625" s="76"/>
      <c r="S625" s="76"/>
      <c r="T625" s="76"/>
      <c r="U625" s="97">
        <f t="shared" si="112"/>
        <v>0.78186</v>
      </c>
      <c r="V625" s="255">
        <f t="shared" si="113"/>
        <v>0.78186</v>
      </c>
      <c r="W625" s="255">
        <f t="shared" si="114"/>
        <v>0.78186</v>
      </c>
      <c r="X625" s="255">
        <f t="shared" si="114"/>
        <v>0.78186</v>
      </c>
      <c r="Y625" s="255">
        <f t="shared" si="115"/>
        <v>0.78186</v>
      </c>
      <c r="Z625" s="255">
        <f t="shared" si="116"/>
        <v>0.11246</v>
      </c>
      <c r="AA625" s="97">
        <f t="shared" si="117"/>
        <v>0.11246</v>
      </c>
      <c r="AB625" s="255">
        <f t="shared" si="118"/>
        <v>0.11246</v>
      </c>
      <c r="AC625" s="255">
        <f t="shared" si="118"/>
        <v>0.11246</v>
      </c>
      <c r="AD625" s="255">
        <f t="shared" si="118"/>
        <v>0.11246</v>
      </c>
      <c r="AE625" s="76"/>
      <c r="AF625" s="97" t="s">
        <v>3485</v>
      </c>
      <c r="AG625" s="76"/>
      <c r="AH625" s="97">
        <v>1</v>
      </c>
      <c r="AI625" s="97">
        <v>1</v>
      </c>
      <c r="AJ625" s="73"/>
      <c r="AK625" s="57"/>
      <c r="AL625" s="45"/>
      <c r="AM625" s="45"/>
      <c r="AN625" s="45"/>
    </row>
    <row r="626" spans="1:40" hidden="1" outlineLevel="2" x14ac:dyDescent="0.25">
      <c r="A626" s="45"/>
      <c r="B626" s="54"/>
      <c r="C626" s="47">
        <f t="shared" si="111"/>
        <v>3</v>
      </c>
      <c r="D626" s="73"/>
      <c r="E626" s="70"/>
      <c r="F626" s="70" t="s">
        <v>2751</v>
      </c>
      <c r="G626" s="73"/>
      <c r="H626" s="76" t="s">
        <v>2664</v>
      </c>
      <c r="I626" s="96">
        <v>3</v>
      </c>
      <c r="J626" s="96"/>
      <c r="K626" s="76"/>
      <c r="L626" s="76"/>
      <c r="M626" s="76"/>
      <c r="N626" s="76"/>
      <c r="O626" s="76"/>
      <c r="P626" s="76"/>
      <c r="Q626" s="76"/>
      <c r="R626" s="76"/>
      <c r="S626" s="76"/>
      <c r="T626" s="76"/>
      <c r="U626" s="97">
        <f t="shared" si="112"/>
        <v>1.17279</v>
      </c>
      <c r="V626" s="255">
        <f t="shared" si="113"/>
        <v>1.17279</v>
      </c>
      <c r="W626" s="255">
        <f t="shared" si="114"/>
        <v>1.17279</v>
      </c>
      <c r="X626" s="255">
        <f t="shared" si="114"/>
        <v>1.17279</v>
      </c>
      <c r="Y626" s="255">
        <f t="shared" si="115"/>
        <v>1.17279</v>
      </c>
      <c r="Z626" s="255">
        <f t="shared" si="116"/>
        <v>0.16869000000000001</v>
      </c>
      <c r="AA626" s="97">
        <f t="shared" si="117"/>
        <v>0.16869000000000001</v>
      </c>
      <c r="AB626" s="255">
        <f t="shared" si="118"/>
        <v>0.16869000000000001</v>
      </c>
      <c r="AC626" s="255">
        <f t="shared" si="118"/>
        <v>0.16869000000000001</v>
      </c>
      <c r="AD626" s="255">
        <f t="shared" si="118"/>
        <v>0.16869000000000001</v>
      </c>
      <c r="AE626" s="76"/>
      <c r="AF626" s="76"/>
      <c r="AG626" s="76"/>
      <c r="AH626" s="97">
        <v>1</v>
      </c>
      <c r="AI626" s="97">
        <v>1</v>
      </c>
      <c r="AJ626" s="73"/>
      <c r="AK626" s="57"/>
      <c r="AL626" s="45"/>
      <c r="AM626" s="45"/>
      <c r="AN626" s="45"/>
    </row>
    <row r="627" spans="1:40" hidden="1" outlineLevel="2" x14ac:dyDescent="0.25">
      <c r="A627" s="45"/>
      <c r="B627" s="54"/>
      <c r="C627" s="47">
        <f t="shared" si="111"/>
        <v>3</v>
      </c>
      <c r="D627" s="73"/>
      <c r="E627" s="70"/>
      <c r="F627" s="70" t="s">
        <v>2752</v>
      </c>
      <c r="G627" s="73"/>
      <c r="H627" s="76" t="s">
        <v>2665</v>
      </c>
      <c r="I627" s="96">
        <v>4</v>
      </c>
      <c r="J627" s="96"/>
      <c r="K627" s="76"/>
      <c r="L627" s="76"/>
      <c r="M627" s="76"/>
      <c r="N627" s="76"/>
      <c r="O627" s="76"/>
      <c r="P627" s="76"/>
      <c r="Q627" s="76"/>
      <c r="R627" s="76"/>
      <c r="S627" s="76"/>
      <c r="T627" s="76"/>
      <c r="U627" s="97">
        <f t="shared" si="112"/>
        <v>1.56372</v>
      </c>
      <c r="V627" s="255">
        <f t="shared" si="113"/>
        <v>1.56372</v>
      </c>
      <c r="W627" s="255">
        <f t="shared" si="114"/>
        <v>1.56372</v>
      </c>
      <c r="X627" s="255">
        <f t="shared" si="114"/>
        <v>1.56372</v>
      </c>
      <c r="Y627" s="255">
        <f t="shared" si="115"/>
        <v>1.56372</v>
      </c>
      <c r="Z627" s="255">
        <f t="shared" si="116"/>
        <v>0.22492000000000001</v>
      </c>
      <c r="AA627" s="97">
        <f t="shared" si="117"/>
        <v>0.22492000000000001</v>
      </c>
      <c r="AB627" s="255">
        <f t="shared" si="118"/>
        <v>0.22492000000000001</v>
      </c>
      <c r="AC627" s="255">
        <f t="shared" si="118"/>
        <v>0.22492000000000001</v>
      </c>
      <c r="AD627" s="255">
        <f t="shared" si="118"/>
        <v>0.22492000000000001</v>
      </c>
      <c r="AE627" s="76"/>
      <c r="AF627" s="76"/>
      <c r="AG627" s="76"/>
      <c r="AH627" s="97">
        <v>1</v>
      </c>
      <c r="AI627" s="97">
        <v>1</v>
      </c>
      <c r="AJ627" s="73"/>
      <c r="AK627" s="57"/>
      <c r="AL627" s="45"/>
      <c r="AM627" s="45"/>
      <c r="AN627" s="45"/>
    </row>
    <row r="628" spans="1:40" hidden="1" outlineLevel="2" x14ac:dyDescent="0.25">
      <c r="A628" s="45"/>
      <c r="B628" s="54"/>
      <c r="C628" s="47">
        <f t="shared" si="111"/>
        <v>3</v>
      </c>
      <c r="D628" s="73"/>
      <c r="E628" s="70"/>
      <c r="F628" s="70" t="s">
        <v>2753</v>
      </c>
      <c r="G628" s="73"/>
      <c r="H628" s="76" t="s">
        <v>2666</v>
      </c>
      <c r="I628" s="96">
        <v>5</v>
      </c>
      <c r="J628" s="96"/>
      <c r="K628" s="76"/>
      <c r="L628" s="76"/>
      <c r="M628" s="76"/>
      <c r="N628" s="76"/>
      <c r="O628" s="76"/>
      <c r="P628" s="76"/>
      <c r="Q628" s="76"/>
      <c r="R628" s="76"/>
      <c r="S628" s="76"/>
      <c r="T628" s="76"/>
      <c r="U628" s="97">
        <f t="shared" si="112"/>
        <v>1.95465</v>
      </c>
      <c r="V628" s="255">
        <f t="shared" si="113"/>
        <v>1.95465</v>
      </c>
      <c r="W628" s="255">
        <f t="shared" si="114"/>
        <v>1.95465</v>
      </c>
      <c r="X628" s="255">
        <f t="shared" si="114"/>
        <v>1.95465</v>
      </c>
      <c r="Y628" s="255">
        <f t="shared" si="115"/>
        <v>1.95465</v>
      </c>
      <c r="Z628" s="255">
        <f t="shared" si="116"/>
        <v>0.28115000000000001</v>
      </c>
      <c r="AA628" s="97">
        <f t="shared" si="117"/>
        <v>0.28115000000000001</v>
      </c>
      <c r="AB628" s="255">
        <f t="shared" si="118"/>
        <v>0.28115000000000001</v>
      </c>
      <c r="AC628" s="255">
        <f t="shared" si="118"/>
        <v>0.28115000000000001</v>
      </c>
      <c r="AD628" s="255">
        <f t="shared" si="118"/>
        <v>0.28115000000000001</v>
      </c>
      <c r="AE628" s="76"/>
      <c r="AF628" s="76"/>
      <c r="AG628" s="76"/>
      <c r="AH628" s="97">
        <v>1</v>
      </c>
      <c r="AI628" s="97">
        <v>1</v>
      </c>
      <c r="AJ628" s="73"/>
      <c r="AK628" s="57"/>
      <c r="AL628" s="45"/>
      <c r="AM628" s="45"/>
      <c r="AN628" s="45"/>
    </row>
    <row r="629" spans="1:40" hidden="1" outlineLevel="2" x14ac:dyDescent="0.25">
      <c r="A629" s="45"/>
      <c r="B629" s="54"/>
      <c r="C629" s="47">
        <f t="shared" si="111"/>
        <v>3</v>
      </c>
      <c r="D629" s="73"/>
      <c r="E629" s="70"/>
      <c r="F629" s="70" t="s">
        <v>2754</v>
      </c>
      <c r="G629" s="73"/>
      <c r="H629" s="76" t="s">
        <v>2667</v>
      </c>
      <c r="I629" s="96">
        <v>6</v>
      </c>
      <c r="J629" s="96"/>
      <c r="K629" s="76"/>
      <c r="L629" s="76"/>
      <c r="M629" s="76"/>
      <c r="N629" s="76"/>
      <c r="O629" s="76"/>
      <c r="P629" s="76"/>
      <c r="Q629" s="76"/>
      <c r="R629" s="76"/>
      <c r="S629" s="76"/>
      <c r="T629" s="76"/>
      <c r="U629" s="97">
        <f t="shared" si="112"/>
        <v>2.34558</v>
      </c>
      <c r="V629" s="255">
        <f t="shared" si="113"/>
        <v>2.34558</v>
      </c>
      <c r="W629" s="255">
        <f t="shared" si="114"/>
        <v>2.34558</v>
      </c>
      <c r="X629" s="255">
        <f t="shared" si="114"/>
        <v>2.34558</v>
      </c>
      <c r="Y629" s="255">
        <f t="shared" si="115"/>
        <v>2.34558</v>
      </c>
      <c r="Z629" s="255">
        <f t="shared" si="116"/>
        <v>0.33738000000000001</v>
      </c>
      <c r="AA629" s="97">
        <f t="shared" si="117"/>
        <v>0.33738000000000001</v>
      </c>
      <c r="AB629" s="255">
        <f t="shared" si="118"/>
        <v>0.33738000000000001</v>
      </c>
      <c r="AC629" s="255">
        <f t="shared" si="118"/>
        <v>0.33738000000000001</v>
      </c>
      <c r="AD629" s="255">
        <f t="shared" si="118"/>
        <v>0.33738000000000001</v>
      </c>
      <c r="AE629" s="76"/>
      <c r="AF629" s="76"/>
      <c r="AG629" s="76"/>
      <c r="AH629" s="97">
        <v>1</v>
      </c>
      <c r="AI629" s="97">
        <v>1</v>
      </c>
      <c r="AJ629" s="73"/>
      <c r="AK629" s="57"/>
      <c r="AL629" s="45"/>
      <c r="AM629" s="45"/>
      <c r="AN629" s="45"/>
    </row>
    <row r="630" spans="1:40" hidden="1" outlineLevel="2" x14ac:dyDescent="0.25">
      <c r="A630" s="45"/>
      <c r="B630" s="54"/>
      <c r="C630" s="47">
        <f t="shared" si="111"/>
        <v>3</v>
      </c>
      <c r="D630" s="73"/>
      <c r="E630" s="70"/>
      <c r="F630" s="70" t="s">
        <v>2755</v>
      </c>
      <c r="G630" s="73"/>
      <c r="H630" s="76" t="s">
        <v>2668</v>
      </c>
      <c r="I630" s="96">
        <v>7</v>
      </c>
      <c r="J630" s="96"/>
      <c r="K630" s="76"/>
      <c r="L630" s="76"/>
      <c r="M630" s="76"/>
      <c r="N630" s="76"/>
      <c r="O630" s="76"/>
      <c r="P630" s="76"/>
      <c r="Q630" s="76"/>
      <c r="R630" s="76"/>
      <c r="S630" s="76"/>
      <c r="T630" s="76"/>
      <c r="U630" s="97">
        <f t="shared" si="112"/>
        <v>2.73651</v>
      </c>
      <c r="V630" s="255">
        <f t="shared" si="113"/>
        <v>2.73651</v>
      </c>
      <c r="W630" s="255">
        <f t="shared" si="114"/>
        <v>2.73651</v>
      </c>
      <c r="X630" s="255">
        <f t="shared" si="114"/>
        <v>2.73651</v>
      </c>
      <c r="Y630" s="255">
        <f t="shared" si="115"/>
        <v>2.73651</v>
      </c>
      <c r="Z630" s="255">
        <f t="shared" si="116"/>
        <v>0.39361000000000002</v>
      </c>
      <c r="AA630" s="97">
        <f t="shared" si="117"/>
        <v>0.39361000000000002</v>
      </c>
      <c r="AB630" s="255">
        <f t="shared" si="118"/>
        <v>0.39361000000000002</v>
      </c>
      <c r="AC630" s="255">
        <f t="shared" si="118"/>
        <v>0.39361000000000002</v>
      </c>
      <c r="AD630" s="255">
        <f t="shared" si="118"/>
        <v>0.39361000000000002</v>
      </c>
      <c r="AE630" s="76"/>
      <c r="AF630" s="76"/>
      <c r="AG630" s="76"/>
      <c r="AH630" s="97">
        <v>1</v>
      </c>
      <c r="AI630" s="97">
        <v>1</v>
      </c>
      <c r="AJ630" s="73"/>
      <c r="AK630" s="57"/>
      <c r="AL630" s="45"/>
      <c r="AM630" s="45"/>
      <c r="AN630" s="45"/>
    </row>
    <row r="631" spans="1:40" hidden="1" outlineLevel="2" x14ac:dyDescent="0.25">
      <c r="A631" s="45"/>
      <c r="B631" s="54"/>
      <c r="C631" s="47">
        <f t="shared" si="111"/>
        <v>3</v>
      </c>
      <c r="D631" s="73"/>
      <c r="E631" s="70"/>
      <c r="F631" s="70" t="s">
        <v>2756</v>
      </c>
      <c r="G631" s="73"/>
      <c r="H631" s="76" t="s">
        <v>2669</v>
      </c>
      <c r="I631" s="96">
        <v>8</v>
      </c>
      <c r="J631" s="96"/>
      <c r="K631" s="76"/>
      <c r="L631" s="76"/>
      <c r="M631" s="76"/>
      <c r="N631" s="76"/>
      <c r="O631" s="76"/>
      <c r="P631" s="76"/>
      <c r="Q631" s="76"/>
      <c r="R631" s="76"/>
      <c r="S631" s="76"/>
      <c r="T631" s="76"/>
      <c r="U631" s="97">
        <f t="shared" si="112"/>
        <v>3.12744</v>
      </c>
      <c r="V631" s="255">
        <f t="shared" si="113"/>
        <v>3.12744</v>
      </c>
      <c r="W631" s="255">
        <f t="shared" si="114"/>
        <v>3.12744</v>
      </c>
      <c r="X631" s="255">
        <f t="shared" si="114"/>
        <v>3.12744</v>
      </c>
      <c r="Y631" s="255">
        <f t="shared" si="115"/>
        <v>3.12744</v>
      </c>
      <c r="Z631" s="255">
        <f t="shared" si="116"/>
        <v>0.44984000000000002</v>
      </c>
      <c r="AA631" s="97">
        <f t="shared" si="117"/>
        <v>0.44984000000000002</v>
      </c>
      <c r="AB631" s="255">
        <f t="shared" si="118"/>
        <v>0.44984000000000002</v>
      </c>
      <c r="AC631" s="255">
        <f t="shared" si="118"/>
        <v>0.44984000000000002</v>
      </c>
      <c r="AD631" s="255">
        <f t="shared" si="118"/>
        <v>0.44984000000000002</v>
      </c>
      <c r="AE631" s="76"/>
      <c r="AF631" s="76"/>
      <c r="AG631" s="76"/>
      <c r="AH631" s="97">
        <v>1</v>
      </c>
      <c r="AI631" s="97">
        <v>1</v>
      </c>
      <c r="AJ631" s="73"/>
      <c r="AK631" s="57"/>
      <c r="AL631" s="45"/>
      <c r="AM631" s="45"/>
      <c r="AN631" s="45"/>
    </row>
    <row r="632" spans="1:40" hidden="1" outlineLevel="1" collapsed="1" x14ac:dyDescent="0.2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collapsed="1" x14ac:dyDescent="0.25">
      <c r="A633" s="45"/>
      <c r="B633" s="54"/>
      <c r="C633" s="47">
        <f t="shared" ref="C633:C650" si="119">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9"/>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19"/>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25">
      <c r="A636" s="45"/>
      <c r="B636" s="54"/>
      <c r="C636" s="47">
        <f t="shared" si="119"/>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25">
      <c r="A637" s="45"/>
      <c r="B637" s="54"/>
      <c r="C637" s="47">
        <f t="shared" si="119"/>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collapsed="1" x14ac:dyDescent="0.25">
      <c r="A638" s="45"/>
      <c r="B638" s="54"/>
      <c r="C638" s="47">
        <f t="shared" si="119"/>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25">
      <c r="A639" s="45"/>
      <c r="B639" s="54"/>
      <c r="C639" s="47">
        <f t="shared" si="119"/>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9"/>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9"/>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9"/>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9"/>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9"/>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9"/>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9"/>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9"/>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9"/>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9"/>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19"/>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ref="C651:C656" si="120">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20"/>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20"/>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20"/>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20"/>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20"/>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25">
      <c r="A657" s="45"/>
      <c r="B657" s="54"/>
      <c r="C657" s="47">
        <f t="shared" ref="C657:C704" si="121">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22">AA657</f>
        <v>-0.26729999999999998</v>
      </c>
      <c r="AC657" s="255">
        <f t="shared" si="122"/>
        <v>-0.26729999999999998</v>
      </c>
      <c r="AD657" s="255">
        <f t="shared" si="122"/>
        <v>-0.26729999999999998</v>
      </c>
      <c r="AE657" s="76"/>
      <c r="AF657" s="76" t="s">
        <v>1235</v>
      </c>
      <c r="AG657" s="76"/>
      <c r="AH657" s="97">
        <v>1</v>
      </c>
      <c r="AI657" s="97">
        <v>1</v>
      </c>
      <c r="AJ657" s="73"/>
      <c r="AK657" s="57"/>
      <c r="AL657" s="45"/>
      <c r="AM657" s="45"/>
      <c r="AN657" s="45"/>
    </row>
    <row r="658" spans="1:40" hidden="1" outlineLevel="2" x14ac:dyDescent="0.25">
      <c r="A658" s="45"/>
      <c r="B658" s="54"/>
      <c r="C658" s="47">
        <f t="shared" si="121"/>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22"/>
        <v>0</v>
      </c>
      <c r="AC658" s="255">
        <f t="shared" si="122"/>
        <v>0</v>
      </c>
      <c r="AD658" s="255">
        <f t="shared" si="122"/>
        <v>0</v>
      </c>
      <c r="AE658" s="76"/>
      <c r="AF658" s="76" t="s">
        <v>2560</v>
      </c>
      <c r="AG658" s="76"/>
      <c r="AH658" s="97">
        <v>1</v>
      </c>
      <c r="AI658" s="97">
        <v>1</v>
      </c>
      <c r="AJ658" s="73"/>
      <c r="AK658" s="57"/>
      <c r="AL658" s="45"/>
      <c r="AM658" s="45"/>
      <c r="AN658" s="45"/>
    </row>
    <row r="659" spans="1:40" hidden="1" outlineLevel="2" x14ac:dyDescent="0.25">
      <c r="A659" s="45"/>
      <c r="B659" s="54"/>
      <c r="C659" s="47">
        <f t="shared" si="121"/>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23">U657</f>
        <v>0</v>
      </c>
      <c r="V659" s="253">
        <f t="shared" si="123"/>
        <v>0</v>
      </c>
      <c r="W659" s="253">
        <f t="shared" si="123"/>
        <v>0</v>
      </c>
      <c r="X659" s="253">
        <f t="shared" si="123"/>
        <v>0</v>
      </c>
      <c r="Y659" s="253">
        <f t="shared" si="123"/>
        <v>0</v>
      </c>
      <c r="Z659" s="253">
        <f t="shared" si="123"/>
        <v>-0.26729999999999998</v>
      </c>
      <c r="AA659" s="253">
        <f t="shared" si="123"/>
        <v>-0.26729999999999998</v>
      </c>
      <c r="AB659" s="253">
        <f t="shared" si="123"/>
        <v>-0.26729999999999998</v>
      </c>
      <c r="AC659" s="253">
        <f t="shared" si="123"/>
        <v>-0.26729999999999998</v>
      </c>
      <c r="AD659" s="253">
        <f t="shared" si="123"/>
        <v>-0.26729999999999998</v>
      </c>
      <c r="AE659" s="76"/>
      <c r="AF659" s="76"/>
      <c r="AG659" s="76"/>
      <c r="AH659" s="97">
        <v>1</v>
      </c>
      <c r="AI659" s="97">
        <v>1</v>
      </c>
      <c r="AJ659" s="73"/>
      <c r="AK659" s="57"/>
      <c r="AL659" s="45"/>
      <c r="AM659" s="45"/>
      <c r="AN659" s="45"/>
    </row>
    <row r="660" spans="1:40" hidden="1" outlineLevel="2" x14ac:dyDescent="0.25">
      <c r="A660" s="45"/>
      <c r="B660" s="54"/>
      <c r="C660" s="47">
        <f t="shared" si="121"/>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4">AA660</f>
        <v>0</v>
      </c>
      <c r="AC660" s="255">
        <f t="shared" si="124"/>
        <v>0</v>
      </c>
      <c r="AD660" s="255">
        <f t="shared" si="124"/>
        <v>0</v>
      </c>
      <c r="AE660" s="76"/>
      <c r="AF660" s="76" t="s">
        <v>1235</v>
      </c>
      <c r="AG660" s="76"/>
      <c r="AH660" s="97">
        <v>1</v>
      </c>
      <c r="AI660" s="97">
        <v>1</v>
      </c>
      <c r="AJ660" s="73"/>
      <c r="AK660" s="57"/>
      <c r="AL660" s="45"/>
      <c r="AM660" s="45"/>
      <c r="AN660" s="45"/>
    </row>
    <row r="661" spans="1:40" hidden="1" outlineLevel="2" x14ac:dyDescent="0.25">
      <c r="A661" s="45"/>
      <c r="B661" s="54"/>
      <c r="C661" s="47">
        <f t="shared" si="121"/>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4"/>
        <v>0</v>
      </c>
      <c r="AC661" s="255">
        <f t="shared" si="124"/>
        <v>0</v>
      </c>
      <c r="AD661" s="255">
        <f t="shared" si="124"/>
        <v>0</v>
      </c>
      <c r="AE661" s="76"/>
      <c r="AF661" s="76"/>
      <c r="AG661" s="76"/>
      <c r="AH661" s="97">
        <v>1</v>
      </c>
      <c r="AI661" s="97">
        <v>1</v>
      </c>
      <c r="AJ661" s="73"/>
      <c r="AK661" s="57"/>
      <c r="AL661" s="45"/>
      <c r="AM661" s="45"/>
      <c r="AN661" s="45"/>
    </row>
    <row r="662" spans="1:40" hidden="1" outlineLevel="2" x14ac:dyDescent="0.25">
      <c r="A662" s="45"/>
      <c r="B662" s="54"/>
      <c r="C662" s="47">
        <f t="shared" si="121"/>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4"/>
        <v>0</v>
      </c>
      <c r="AC662" s="255">
        <f t="shared" si="124"/>
        <v>0</v>
      </c>
      <c r="AD662" s="255">
        <f t="shared" si="124"/>
        <v>0</v>
      </c>
      <c r="AE662" s="76"/>
      <c r="AF662" s="76"/>
      <c r="AG662" s="76"/>
      <c r="AH662" s="97">
        <v>1</v>
      </c>
      <c r="AI662" s="97">
        <v>1</v>
      </c>
      <c r="AJ662" s="73"/>
      <c r="AK662" s="57"/>
      <c r="AL662" s="45"/>
      <c r="AM662" s="45"/>
      <c r="AN662" s="45"/>
    </row>
    <row r="663" spans="1:40" hidden="1" outlineLevel="2" x14ac:dyDescent="0.25">
      <c r="A663" s="45"/>
      <c r="B663" s="54"/>
      <c r="C663" s="47">
        <f t="shared" si="121"/>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5">INDEX($K663:$Q663,1,U$43)</f>
        <v>1.1499999999999999</v>
      </c>
      <c r="V663" s="253">
        <f t="shared" si="125"/>
        <v>1.1499999999999999</v>
      </c>
      <c r="W663" s="253">
        <f t="shared" si="125"/>
        <v>1.1499999999999999</v>
      </c>
      <c r="X663" s="253">
        <f t="shared" si="125"/>
        <v>1.1499999999999999</v>
      </c>
      <c r="Y663" s="253">
        <f t="shared" si="125"/>
        <v>1.1499999999999999</v>
      </c>
      <c r="Z663" s="253">
        <f t="shared" si="125"/>
        <v>1.1499999999999999</v>
      </c>
      <c r="AA663" s="253">
        <f t="shared" si="125"/>
        <v>1.1499999999999999</v>
      </c>
      <c r="AB663" s="253">
        <f t="shared" si="125"/>
        <v>1.1499999999999999</v>
      </c>
      <c r="AC663" s="253">
        <f t="shared" si="125"/>
        <v>1.1499999999999999</v>
      </c>
      <c r="AD663" s="253">
        <f t="shared" si="125"/>
        <v>1.1499999999999999</v>
      </c>
      <c r="AE663" s="76"/>
      <c r="AF663" s="76"/>
      <c r="AG663" s="76"/>
      <c r="AH663" s="97">
        <v>1</v>
      </c>
      <c r="AI663" s="97">
        <v>1</v>
      </c>
      <c r="AJ663" s="73"/>
      <c r="AK663" s="57"/>
      <c r="AL663" s="45"/>
      <c r="AM663" s="45"/>
      <c r="AN663" s="45"/>
    </row>
    <row r="664" spans="1:40" hidden="1" outlineLevel="2" x14ac:dyDescent="0.25">
      <c r="A664" s="45"/>
      <c r="B664" s="54"/>
      <c r="C664" s="47">
        <f t="shared" si="121"/>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5"/>
        <v>1</v>
      </c>
      <c r="V664" s="253">
        <f t="shared" si="125"/>
        <v>1</v>
      </c>
      <c r="W664" s="253">
        <f t="shared" si="125"/>
        <v>1</v>
      </c>
      <c r="X664" s="253">
        <f t="shared" si="125"/>
        <v>1</v>
      </c>
      <c r="Y664" s="253">
        <f t="shared" si="125"/>
        <v>1</v>
      </c>
      <c r="Z664" s="253">
        <f t="shared" si="125"/>
        <v>1</v>
      </c>
      <c r="AA664" s="253">
        <f t="shared" si="125"/>
        <v>1</v>
      </c>
      <c r="AB664" s="253">
        <f t="shared" si="125"/>
        <v>1</v>
      </c>
      <c r="AC664" s="253">
        <f t="shared" si="125"/>
        <v>1</v>
      </c>
      <c r="AD664" s="253">
        <f t="shared" si="125"/>
        <v>1</v>
      </c>
      <c r="AE664" s="76"/>
      <c r="AF664" s="76"/>
      <c r="AG664" s="76"/>
      <c r="AH664" s="97">
        <v>1</v>
      </c>
      <c r="AI664" s="97">
        <v>1</v>
      </c>
      <c r="AJ664" s="73"/>
      <c r="AK664" s="57"/>
      <c r="AL664" s="45"/>
      <c r="AM664" s="45"/>
      <c r="AN664" s="45"/>
    </row>
    <row r="665" spans="1:40" hidden="1" outlineLevel="2" x14ac:dyDescent="0.25">
      <c r="A665" s="45"/>
      <c r="B665" s="54"/>
      <c r="C665" s="47">
        <f t="shared" si="121"/>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5"/>
        <v>1</v>
      </c>
      <c r="V665" s="253">
        <f t="shared" si="125"/>
        <v>1</v>
      </c>
      <c r="W665" s="253">
        <f t="shared" si="125"/>
        <v>1</v>
      </c>
      <c r="X665" s="253">
        <f t="shared" si="125"/>
        <v>1</v>
      </c>
      <c r="Y665" s="253">
        <f t="shared" si="125"/>
        <v>1</v>
      </c>
      <c r="Z665" s="253">
        <f t="shared" si="125"/>
        <v>1</v>
      </c>
      <c r="AA665" s="253">
        <f t="shared" si="125"/>
        <v>1</v>
      </c>
      <c r="AB665" s="253">
        <f t="shared" si="125"/>
        <v>1</v>
      </c>
      <c r="AC665" s="253">
        <f t="shared" si="125"/>
        <v>1</v>
      </c>
      <c r="AD665" s="253">
        <f t="shared" si="125"/>
        <v>1</v>
      </c>
      <c r="AE665" s="76"/>
      <c r="AF665" s="76"/>
      <c r="AG665" s="76"/>
      <c r="AH665" s="97">
        <v>1</v>
      </c>
      <c r="AI665" s="97">
        <v>1</v>
      </c>
      <c r="AJ665" s="73"/>
      <c r="AK665" s="57"/>
      <c r="AL665" s="45"/>
      <c r="AM665" s="45"/>
      <c r="AN665" s="45"/>
    </row>
    <row r="666" spans="1:40" hidden="1" outlineLevel="2" x14ac:dyDescent="0.25">
      <c r="A666" s="45"/>
      <c r="B666" s="54"/>
      <c r="C666" s="47">
        <f t="shared" si="121"/>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5"/>
        <v>1.4</v>
      </c>
      <c r="V666" s="253">
        <f t="shared" si="125"/>
        <v>1.4</v>
      </c>
      <c r="W666" s="253">
        <f t="shared" si="125"/>
        <v>1.4</v>
      </c>
      <c r="X666" s="253">
        <f t="shared" si="125"/>
        <v>1.4</v>
      </c>
      <c r="Y666" s="253">
        <f t="shared" si="125"/>
        <v>1.4</v>
      </c>
      <c r="Z666" s="253">
        <f t="shared" si="125"/>
        <v>1.4</v>
      </c>
      <c r="AA666" s="253">
        <f t="shared" si="125"/>
        <v>1.4</v>
      </c>
      <c r="AB666" s="253">
        <f t="shared" si="125"/>
        <v>1.4</v>
      </c>
      <c r="AC666" s="253">
        <f t="shared" si="125"/>
        <v>1.4</v>
      </c>
      <c r="AD666" s="253">
        <f t="shared" si="125"/>
        <v>1.4</v>
      </c>
      <c r="AE666" s="76"/>
      <c r="AF666" s="76"/>
      <c r="AG666" s="76"/>
      <c r="AH666" s="97">
        <v>1</v>
      </c>
      <c r="AI666" s="97">
        <v>1</v>
      </c>
      <c r="AJ666" s="73"/>
      <c r="AK666" s="57"/>
      <c r="AL666" s="45"/>
      <c r="AM666" s="45"/>
      <c r="AN666" s="45"/>
    </row>
    <row r="667" spans="1:40" hidden="1" outlineLevel="2" x14ac:dyDescent="0.25">
      <c r="A667" s="45"/>
      <c r="B667" s="54"/>
      <c r="C667" s="47">
        <f t="shared" si="121"/>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5"/>
        <v>1</v>
      </c>
      <c r="V667" s="253">
        <f t="shared" si="125"/>
        <v>1</v>
      </c>
      <c r="W667" s="253">
        <f t="shared" si="125"/>
        <v>1</v>
      </c>
      <c r="X667" s="253">
        <f t="shared" si="125"/>
        <v>1</v>
      </c>
      <c r="Y667" s="253">
        <f t="shared" si="125"/>
        <v>1</v>
      </c>
      <c r="Z667" s="253">
        <f t="shared" si="125"/>
        <v>1</v>
      </c>
      <c r="AA667" s="253">
        <f t="shared" si="125"/>
        <v>1</v>
      </c>
      <c r="AB667" s="253">
        <f t="shared" si="125"/>
        <v>1</v>
      </c>
      <c r="AC667" s="253">
        <f t="shared" si="125"/>
        <v>1</v>
      </c>
      <c r="AD667" s="253">
        <f t="shared" si="125"/>
        <v>1</v>
      </c>
      <c r="AE667" s="76"/>
      <c r="AF667" s="76"/>
      <c r="AG667" s="76"/>
      <c r="AH667" s="97">
        <v>1</v>
      </c>
      <c r="AI667" s="97">
        <v>1</v>
      </c>
      <c r="AJ667" s="73"/>
      <c r="AK667" s="57"/>
      <c r="AL667" s="45"/>
      <c r="AM667" s="45"/>
      <c r="AN667" s="45"/>
    </row>
    <row r="668" spans="1:40" hidden="1" outlineLevel="2" x14ac:dyDescent="0.25">
      <c r="A668" s="45"/>
      <c r="B668" s="54"/>
      <c r="C668" s="47">
        <f t="shared" si="121"/>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5"/>
        <v>1.2</v>
      </c>
      <c r="V668" s="253">
        <f t="shared" si="125"/>
        <v>1.2</v>
      </c>
      <c r="W668" s="253">
        <f t="shared" si="125"/>
        <v>1.2</v>
      </c>
      <c r="X668" s="253">
        <f t="shared" si="125"/>
        <v>1.2</v>
      </c>
      <c r="Y668" s="253">
        <f t="shared" si="125"/>
        <v>1.2</v>
      </c>
      <c r="Z668" s="253">
        <f t="shared" si="125"/>
        <v>1.2</v>
      </c>
      <c r="AA668" s="253">
        <f t="shared" si="125"/>
        <v>1.2</v>
      </c>
      <c r="AB668" s="253">
        <f t="shared" si="125"/>
        <v>1.2</v>
      </c>
      <c r="AC668" s="253">
        <f t="shared" si="125"/>
        <v>1.2</v>
      </c>
      <c r="AD668" s="253">
        <f t="shared" si="125"/>
        <v>1.2</v>
      </c>
      <c r="AE668" s="76"/>
      <c r="AF668" s="76"/>
      <c r="AG668" s="76"/>
      <c r="AH668" s="97">
        <v>1</v>
      </c>
      <c r="AI668" s="97">
        <v>1</v>
      </c>
      <c r="AJ668" s="73"/>
      <c r="AK668" s="57"/>
      <c r="AL668" s="45"/>
      <c r="AM668" s="45"/>
      <c r="AN668" s="45"/>
    </row>
    <row r="669" spans="1:40" hidden="1" outlineLevel="2" x14ac:dyDescent="0.25">
      <c r="A669" s="45"/>
      <c r="B669" s="54"/>
      <c r="C669" s="47">
        <f t="shared" si="121"/>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6">Y669</f>
        <v>0</v>
      </c>
      <c r="AA669" s="255">
        <f t="shared" si="126"/>
        <v>0</v>
      </c>
      <c r="AB669" s="255">
        <f t="shared" si="126"/>
        <v>0</v>
      </c>
      <c r="AC669" s="255">
        <f t="shared" si="126"/>
        <v>0</v>
      </c>
      <c r="AD669" s="255">
        <f t="shared" si="126"/>
        <v>0</v>
      </c>
      <c r="AE669" s="76"/>
      <c r="AF669" s="76"/>
      <c r="AG669" s="76"/>
      <c r="AH669" s="97">
        <v>1</v>
      </c>
      <c r="AI669" s="97">
        <v>1</v>
      </c>
      <c r="AJ669" s="73"/>
      <c r="AK669" s="57"/>
      <c r="AL669" s="45"/>
      <c r="AM669" s="45"/>
      <c r="AN669" s="45"/>
    </row>
    <row r="670" spans="1:40" hidden="1" outlineLevel="2" x14ac:dyDescent="0.25">
      <c r="A670" s="45"/>
      <c r="B670" s="54"/>
      <c r="C670" s="47">
        <f t="shared" si="121"/>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6"/>
        <v>0</v>
      </c>
      <c r="AA670" s="255">
        <f t="shared" si="126"/>
        <v>0</v>
      </c>
      <c r="AB670" s="255">
        <f t="shared" si="126"/>
        <v>0</v>
      </c>
      <c r="AC670" s="255">
        <f t="shared" si="126"/>
        <v>0</v>
      </c>
      <c r="AD670" s="255">
        <f t="shared" si="126"/>
        <v>0</v>
      </c>
      <c r="AE670" s="76"/>
      <c r="AF670" s="76"/>
      <c r="AG670" s="76"/>
      <c r="AH670" s="97">
        <v>1</v>
      </c>
      <c r="AI670" s="97">
        <v>1</v>
      </c>
      <c r="AJ670" s="73"/>
      <c r="AK670" s="57"/>
      <c r="AL670" s="45"/>
      <c r="AM670" s="45"/>
      <c r="AN670" s="45"/>
    </row>
    <row r="671" spans="1:40" hidden="1" outlineLevel="2" x14ac:dyDescent="0.25">
      <c r="A671" s="45"/>
      <c r="B671" s="54"/>
      <c r="C671" s="47">
        <f t="shared" si="121"/>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6"/>
        <v>0</v>
      </c>
      <c r="AA671" s="255">
        <f t="shared" si="126"/>
        <v>0</v>
      </c>
      <c r="AB671" s="255">
        <f t="shared" si="126"/>
        <v>0</v>
      </c>
      <c r="AC671" s="255">
        <f t="shared" si="126"/>
        <v>0</v>
      </c>
      <c r="AD671" s="255">
        <f t="shared" si="126"/>
        <v>0</v>
      </c>
      <c r="AE671" s="76"/>
      <c r="AF671" s="76"/>
      <c r="AG671" s="76"/>
      <c r="AH671" s="97">
        <v>1</v>
      </c>
      <c r="AI671" s="97">
        <v>1</v>
      </c>
      <c r="AJ671" s="73"/>
      <c r="AK671" s="57"/>
      <c r="AL671" s="45"/>
      <c r="AM671" s="45"/>
      <c r="AN671" s="45"/>
    </row>
    <row r="672" spans="1:40" hidden="1" outlineLevel="2" x14ac:dyDescent="0.25">
      <c r="A672" s="45"/>
      <c r="B672" s="54"/>
      <c r="C672" s="47">
        <f t="shared" si="121"/>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6"/>
        <v>0</v>
      </c>
      <c r="AA672" s="255">
        <f t="shared" si="126"/>
        <v>0</v>
      </c>
      <c r="AB672" s="255">
        <f t="shared" si="126"/>
        <v>0</v>
      </c>
      <c r="AC672" s="255">
        <f t="shared" si="126"/>
        <v>0</v>
      </c>
      <c r="AD672" s="255">
        <f t="shared" si="126"/>
        <v>0</v>
      </c>
      <c r="AE672" s="76"/>
      <c r="AF672" s="76"/>
      <c r="AG672" s="76"/>
      <c r="AH672" s="97">
        <v>1</v>
      </c>
      <c r="AI672" s="97">
        <v>1</v>
      </c>
      <c r="AJ672" s="73"/>
      <c r="AK672" s="57"/>
      <c r="AL672" s="45"/>
      <c r="AM672" s="45"/>
      <c r="AN672" s="45"/>
    </row>
    <row r="673" spans="1:40" hidden="1" outlineLevel="2" x14ac:dyDescent="0.25">
      <c r="A673" s="45"/>
      <c r="B673" s="54"/>
      <c r="C673" s="47">
        <f t="shared" si="121"/>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6"/>
        <v>0.26</v>
      </c>
      <c r="AA673" s="255">
        <f t="shared" si="126"/>
        <v>0.26</v>
      </c>
      <c r="AB673" s="255">
        <f t="shared" si="126"/>
        <v>0.26</v>
      </c>
      <c r="AC673" s="255">
        <f t="shared" si="126"/>
        <v>0.26</v>
      </c>
      <c r="AD673" s="255">
        <f t="shared" si="126"/>
        <v>0.26</v>
      </c>
      <c r="AE673" s="76"/>
      <c r="AF673" s="97" t="s">
        <v>1256</v>
      </c>
      <c r="AG673" s="76"/>
      <c r="AH673" s="97">
        <v>1</v>
      </c>
      <c r="AI673" s="97">
        <v>1</v>
      </c>
      <c r="AJ673" s="73"/>
      <c r="AK673" s="57"/>
      <c r="AL673" s="45"/>
      <c r="AM673" s="45"/>
      <c r="AN673" s="45"/>
    </row>
    <row r="674" spans="1:40" hidden="1" outlineLevel="2" collapsed="1" x14ac:dyDescent="0.25">
      <c r="A674" s="45"/>
      <c r="B674" s="54"/>
      <c r="C674" s="47">
        <f t="shared" si="121"/>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6"/>
        <v>0</v>
      </c>
      <c r="AA674" s="255">
        <f t="shared" si="126"/>
        <v>0</v>
      </c>
      <c r="AB674" s="255">
        <f t="shared" si="126"/>
        <v>0</v>
      </c>
      <c r="AC674" s="255">
        <f t="shared" si="126"/>
        <v>0</v>
      </c>
      <c r="AD674" s="255">
        <f t="shared" si="126"/>
        <v>0</v>
      </c>
      <c r="AE674" s="76"/>
      <c r="AF674" s="76"/>
      <c r="AG674" s="76"/>
      <c r="AH674" s="97">
        <v>1</v>
      </c>
      <c r="AI674" s="97">
        <v>1</v>
      </c>
      <c r="AJ674" s="73"/>
      <c r="AK674" s="57"/>
      <c r="AL674" s="45"/>
      <c r="AM674" s="45"/>
      <c r="AN674" s="45"/>
    </row>
    <row r="675" spans="1:40" hidden="1" outlineLevel="3" x14ac:dyDescent="0.25">
      <c r="A675" s="45"/>
      <c r="B675" s="54"/>
      <c r="C675" s="47">
        <f t="shared" si="121"/>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21"/>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21"/>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25">
      <c r="A678" s="45"/>
      <c r="B678" s="54"/>
      <c r="C678" s="47">
        <f t="shared" si="121"/>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7">INDEX($K678:$Q678,1,U$43)</f>
        <v>1.02</v>
      </c>
      <c r="V678" s="253">
        <f t="shared" si="127"/>
        <v>1.02</v>
      </c>
      <c r="W678" s="253">
        <f t="shared" si="127"/>
        <v>1.02</v>
      </c>
      <c r="X678" s="253">
        <f t="shared" si="127"/>
        <v>1.02</v>
      </c>
      <c r="Y678" s="253">
        <f t="shared" si="127"/>
        <v>1.02</v>
      </c>
      <c r="Z678" s="253">
        <f t="shared" si="127"/>
        <v>1.02</v>
      </c>
      <c r="AA678" s="253">
        <f t="shared" si="127"/>
        <v>1.02</v>
      </c>
      <c r="AB678" s="253">
        <f t="shared" si="127"/>
        <v>1.02</v>
      </c>
      <c r="AC678" s="253">
        <f t="shared" si="127"/>
        <v>1.02</v>
      </c>
      <c r="AD678" s="253">
        <f t="shared" si="127"/>
        <v>1.02</v>
      </c>
      <c r="AE678" s="76"/>
      <c r="AF678" s="76"/>
      <c r="AG678" s="76"/>
      <c r="AH678" s="97">
        <v>1</v>
      </c>
      <c r="AI678" s="97">
        <v>1</v>
      </c>
      <c r="AJ678" s="73"/>
      <c r="AK678" s="57"/>
      <c r="AL678" s="45"/>
      <c r="AM678" s="45"/>
      <c r="AN678" s="45"/>
    </row>
    <row r="679" spans="1:40" hidden="1" outlineLevel="2" x14ac:dyDescent="0.25">
      <c r="A679" s="45"/>
      <c r="B679" s="54"/>
      <c r="C679" s="47">
        <f t="shared" si="121"/>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7"/>
        <v>0.98000000000000009</v>
      </c>
      <c r="V679" s="253">
        <f t="shared" si="127"/>
        <v>0.98000000000000009</v>
      </c>
      <c r="W679" s="253">
        <f t="shared" si="127"/>
        <v>0.98000000000000009</v>
      </c>
      <c r="X679" s="253">
        <f t="shared" si="127"/>
        <v>0.98000000000000009</v>
      </c>
      <c r="Y679" s="253">
        <f t="shared" si="127"/>
        <v>0.98000000000000009</v>
      </c>
      <c r="Z679" s="253">
        <f t="shared" si="127"/>
        <v>0.98000000000000009</v>
      </c>
      <c r="AA679" s="253">
        <f t="shared" si="127"/>
        <v>0.98000000000000009</v>
      </c>
      <c r="AB679" s="253">
        <f t="shared" si="127"/>
        <v>0.98000000000000009</v>
      </c>
      <c r="AC679" s="253">
        <f t="shared" si="127"/>
        <v>0.98000000000000009</v>
      </c>
      <c r="AD679" s="253">
        <f t="shared" si="127"/>
        <v>0.98000000000000009</v>
      </c>
      <c r="AE679" s="76"/>
      <c r="AF679" s="76"/>
      <c r="AG679" s="76"/>
      <c r="AH679" s="97">
        <v>1</v>
      </c>
      <c r="AI679" s="97">
        <v>1</v>
      </c>
      <c r="AJ679" s="73"/>
      <c r="AK679" s="57"/>
      <c r="AL679" s="45"/>
      <c r="AM679" s="45"/>
      <c r="AN679" s="45"/>
    </row>
    <row r="680" spans="1:40" hidden="1" outlineLevel="2" x14ac:dyDescent="0.25">
      <c r="A680" s="45"/>
      <c r="B680" s="54"/>
      <c r="C680" s="47">
        <f t="shared" si="121"/>
        <v>3</v>
      </c>
      <c r="D680" s="73"/>
      <c r="E680" s="70"/>
      <c r="F680" s="70" t="s">
        <v>1267</v>
      </c>
      <c r="G680" s="73"/>
      <c r="H680" s="76" t="s">
        <v>2326</v>
      </c>
      <c r="I680" s="96"/>
      <c r="J680" s="96" t="s">
        <v>1172</v>
      </c>
      <c r="K680" s="253">
        <f t="shared" ref="K680:P680" si="128">K678</f>
        <v>1.02</v>
      </c>
      <c r="L680" s="253">
        <f t="shared" si="128"/>
        <v>1.02</v>
      </c>
      <c r="M680" s="253">
        <f t="shared" si="128"/>
        <v>1</v>
      </c>
      <c r="N680" s="253">
        <f t="shared" si="128"/>
        <v>1</v>
      </c>
      <c r="O680" s="253">
        <f t="shared" si="128"/>
        <v>1</v>
      </c>
      <c r="P680" s="253">
        <f t="shared" si="128"/>
        <v>1</v>
      </c>
      <c r="Q680" s="76"/>
      <c r="R680" s="76"/>
      <c r="S680" s="76"/>
      <c r="T680" s="76"/>
      <c r="U680" s="253">
        <f t="shared" si="127"/>
        <v>1.02</v>
      </c>
      <c r="V680" s="253">
        <f t="shared" si="127"/>
        <v>1.02</v>
      </c>
      <c r="W680" s="253">
        <f t="shared" si="127"/>
        <v>1.02</v>
      </c>
      <c r="X680" s="253">
        <f t="shared" si="127"/>
        <v>1.02</v>
      </c>
      <c r="Y680" s="253">
        <f t="shared" si="127"/>
        <v>1.02</v>
      </c>
      <c r="Z680" s="253">
        <f t="shared" si="127"/>
        <v>1.02</v>
      </c>
      <c r="AA680" s="253">
        <f t="shared" si="127"/>
        <v>1.02</v>
      </c>
      <c r="AB680" s="253">
        <f t="shared" si="127"/>
        <v>1.02</v>
      </c>
      <c r="AC680" s="253">
        <f t="shared" si="127"/>
        <v>1.02</v>
      </c>
      <c r="AD680" s="253">
        <f t="shared" si="127"/>
        <v>1.02</v>
      </c>
      <c r="AE680" s="76"/>
      <c r="AF680" s="76"/>
      <c r="AG680" s="76"/>
      <c r="AH680" s="97">
        <v>1</v>
      </c>
      <c r="AI680" s="97">
        <v>1</v>
      </c>
      <c r="AJ680" s="73"/>
      <c r="AK680" s="57"/>
      <c r="AL680" s="45"/>
      <c r="AM680" s="45"/>
      <c r="AN680" s="45"/>
    </row>
    <row r="681" spans="1:40" hidden="1" outlineLevel="2" x14ac:dyDescent="0.25">
      <c r="A681" s="45"/>
      <c r="B681" s="54"/>
      <c r="C681" s="47">
        <f t="shared" si="121"/>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9">AA681</f>
        <v>0.35589999999999999</v>
      </c>
      <c r="AA681" s="255">
        <f t="shared" si="129"/>
        <v>0.35589999999999999</v>
      </c>
      <c r="AB681" s="97">
        <v>0.35589999999999999</v>
      </c>
      <c r="AC681" s="255">
        <f t="shared" ref="AC681:AD689" si="130">AB681</f>
        <v>0.35589999999999999</v>
      </c>
      <c r="AD681" s="255">
        <f t="shared" si="130"/>
        <v>0.35589999999999999</v>
      </c>
      <c r="AE681" s="76"/>
      <c r="AF681" s="97" t="s">
        <v>2159</v>
      </c>
      <c r="AG681" s="76"/>
      <c r="AH681" s="97">
        <v>1</v>
      </c>
      <c r="AI681" s="97">
        <v>1</v>
      </c>
      <c r="AJ681" s="73"/>
      <c r="AK681" s="57"/>
      <c r="AL681" s="45"/>
      <c r="AM681" s="45"/>
      <c r="AN681" s="45"/>
    </row>
    <row r="682" spans="1:40" hidden="1" outlineLevel="2" x14ac:dyDescent="0.25">
      <c r="A682" s="45"/>
      <c r="B682" s="54"/>
      <c r="C682" s="47">
        <f t="shared" si="121"/>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9"/>
        <v>0</v>
      </c>
      <c r="AA682" s="255">
        <f t="shared" si="129"/>
        <v>0</v>
      </c>
      <c r="AB682" s="97">
        <v>0</v>
      </c>
      <c r="AC682" s="255">
        <f t="shared" si="130"/>
        <v>0</v>
      </c>
      <c r="AD682" s="255">
        <f t="shared" si="130"/>
        <v>0</v>
      </c>
      <c r="AE682" s="76"/>
      <c r="AF682" s="76"/>
      <c r="AG682" s="76"/>
      <c r="AH682" s="97">
        <v>1</v>
      </c>
      <c r="AI682" s="97">
        <v>1</v>
      </c>
      <c r="AJ682" s="73"/>
      <c r="AK682" s="57"/>
      <c r="AL682" s="45"/>
      <c r="AM682" s="45"/>
      <c r="AN682" s="45"/>
    </row>
    <row r="683" spans="1:40" hidden="1" outlineLevel="2" x14ac:dyDescent="0.25">
      <c r="A683" s="45"/>
      <c r="B683" s="54"/>
      <c r="C683" s="47">
        <f t="shared" si="121"/>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9"/>
        <v>0.35589999999999999</v>
      </c>
      <c r="AA683" s="255">
        <f t="shared" si="129"/>
        <v>0.35589999999999999</v>
      </c>
      <c r="AB683" s="253">
        <f>AB681</f>
        <v>0.35589999999999999</v>
      </c>
      <c r="AC683" s="255">
        <f t="shared" si="130"/>
        <v>0.35589999999999999</v>
      </c>
      <c r="AD683" s="255">
        <f t="shared" si="130"/>
        <v>0.35589999999999999</v>
      </c>
      <c r="AE683" s="76"/>
      <c r="AF683" s="76"/>
      <c r="AG683" s="76"/>
      <c r="AH683" s="97">
        <v>1</v>
      </c>
      <c r="AI683" s="97">
        <v>1</v>
      </c>
      <c r="AJ683" s="73"/>
      <c r="AK683" s="57"/>
      <c r="AL683" s="45"/>
      <c r="AM683" s="45"/>
      <c r="AN683" s="45"/>
    </row>
    <row r="684" spans="1:40" hidden="1" outlineLevel="2" x14ac:dyDescent="0.25">
      <c r="A684" s="45"/>
      <c r="B684" s="54"/>
      <c r="C684" s="47">
        <f t="shared" si="121"/>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31">Y684</f>
        <v>0</v>
      </c>
      <c r="AA684" s="97">
        <v>1.42</v>
      </c>
      <c r="AB684" s="255">
        <f t="shared" ref="AB684:AB689" si="132">AA684</f>
        <v>1.42</v>
      </c>
      <c r="AC684" s="255">
        <f t="shared" si="130"/>
        <v>1.42</v>
      </c>
      <c r="AD684" s="255">
        <f t="shared" si="130"/>
        <v>1.42</v>
      </c>
      <c r="AE684" s="76"/>
      <c r="AF684" s="97" t="s">
        <v>2159</v>
      </c>
      <c r="AG684" s="76"/>
      <c r="AH684" s="97">
        <v>1</v>
      </c>
      <c r="AI684" s="97">
        <v>1</v>
      </c>
      <c r="AJ684" s="73"/>
      <c r="AK684" s="57"/>
      <c r="AL684" s="45"/>
      <c r="AM684" s="45"/>
      <c r="AN684" s="45"/>
    </row>
    <row r="685" spans="1:40" hidden="1" outlineLevel="2" x14ac:dyDescent="0.25">
      <c r="A685" s="45"/>
      <c r="B685" s="54"/>
      <c r="C685" s="47">
        <f t="shared" si="121"/>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31"/>
        <v>-0.72</v>
      </c>
      <c r="AA685" s="97">
        <v>0</v>
      </c>
      <c r="AB685" s="255">
        <f t="shared" si="132"/>
        <v>0</v>
      </c>
      <c r="AC685" s="255">
        <f t="shared" si="130"/>
        <v>0</v>
      </c>
      <c r="AD685" s="255">
        <f t="shared" si="130"/>
        <v>0</v>
      </c>
      <c r="AE685" s="76"/>
      <c r="AF685" s="97" t="s">
        <v>1275</v>
      </c>
      <c r="AG685" s="76"/>
      <c r="AH685" s="97">
        <v>1</v>
      </c>
      <c r="AI685" s="97">
        <v>1</v>
      </c>
      <c r="AJ685" s="73"/>
      <c r="AK685" s="57"/>
      <c r="AL685" s="45"/>
      <c r="AM685" s="45"/>
      <c r="AN685" s="45"/>
    </row>
    <row r="686" spans="1:40" hidden="1" outlineLevel="2" x14ac:dyDescent="0.25">
      <c r="A686" s="45"/>
      <c r="B686" s="54"/>
      <c r="C686" s="47">
        <f t="shared" si="121"/>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31"/>
        <v>0</v>
      </c>
      <c r="AA686" s="253">
        <f>AA684</f>
        <v>1.42</v>
      </c>
      <c r="AB686" s="255">
        <f t="shared" si="132"/>
        <v>1.42</v>
      </c>
      <c r="AC686" s="255">
        <f t="shared" si="130"/>
        <v>1.42</v>
      </c>
      <c r="AD686" s="255">
        <f t="shared" si="130"/>
        <v>1.42</v>
      </c>
      <c r="AE686" s="76"/>
      <c r="AF686" s="76"/>
      <c r="AG686" s="76"/>
      <c r="AH686" s="97">
        <v>1</v>
      </c>
      <c r="AI686" s="97">
        <v>1</v>
      </c>
      <c r="AJ686" s="73"/>
      <c r="AK686" s="57"/>
      <c r="AL686" s="45"/>
      <c r="AM686" s="45"/>
      <c r="AN686" s="45"/>
    </row>
    <row r="687" spans="1:40" hidden="1" outlineLevel="2" x14ac:dyDescent="0.25">
      <c r="A687" s="45"/>
      <c r="B687" s="54"/>
      <c r="C687" s="47">
        <f t="shared" si="121"/>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31"/>
        <v>0</v>
      </c>
      <c r="AA687" s="255">
        <f>Z687</f>
        <v>0</v>
      </c>
      <c r="AB687" s="255">
        <f t="shared" si="132"/>
        <v>0</v>
      </c>
      <c r="AC687" s="255">
        <f t="shared" si="130"/>
        <v>0</v>
      </c>
      <c r="AD687" s="255">
        <f t="shared" si="130"/>
        <v>0</v>
      </c>
      <c r="AE687" s="76"/>
      <c r="AF687" s="76"/>
      <c r="AG687" s="76"/>
      <c r="AH687" s="97">
        <v>1</v>
      </c>
      <c r="AI687" s="97">
        <v>1</v>
      </c>
      <c r="AJ687" s="73"/>
      <c r="AK687" s="57"/>
      <c r="AL687" s="45"/>
      <c r="AM687" s="45"/>
      <c r="AN687" s="45"/>
    </row>
    <row r="688" spans="1:40" hidden="1" outlineLevel="2" x14ac:dyDescent="0.25">
      <c r="A688" s="45"/>
      <c r="B688" s="54"/>
      <c r="C688" s="47">
        <f t="shared" si="121"/>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31"/>
        <v>-7.0000000000000001E-3</v>
      </c>
      <c r="AA688" s="255">
        <f>Z688</f>
        <v>-7.0000000000000001E-3</v>
      </c>
      <c r="AB688" s="255">
        <f t="shared" si="132"/>
        <v>-7.0000000000000001E-3</v>
      </c>
      <c r="AC688" s="255">
        <f t="shared" si="130"/>
        <v>-7.0000000000000001E-3</v>
      </c>
      <c r="AD688" s="255">
        <f t="shared" si="130"/>
        <v>-7.0000000000000001E-3</v>
      </c>
      <c r="AE688" s="76"/>
      <c r="AF688" s="97" t="s">
        <v>1280</v>
      </c>
      <c r="AG688" s="76"/>
      <c r="AH688" s="97">
        <v>1</v>
      </c>
      <c r="AI688" s="97">
        <v>1</v>
      </c>
      <c r="AJ688" s="73"/>
      <c r="AK688" s="57"/>
      <c r="AL688" s="45"/>
      <c r="AM688" s="45"/>
      <c r="AN688" s="45"/>
    </row>
    <row r="689" spans="1:40" hidden="1" outlineLevel="2" collapsed="1" x14ac:dyDescent="0.25">
      <c r="A689" s="45"/>
      <c r="B689" s="54"/>
      <c r="C689" s="47">
        <f t="shared" si="121"/>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31"/>
        <v>0</v>
      </c>
      <c r="AA689" s="255">
        <f>Z689</f>
        <v>0</v>
      </c>
      <c r="AB689" s="255">
        <f t="shared" si="132"/>
        <v>0</v>
      </c>
      <c r="AC689" s="255">
        <f t="shared" si="130"/>
        <v>0</v>
      </c>
      <c r="AD689" s="255">
        <f t="shared" si="130"/>
        <v>0</v>
      </c>
      <c r="AE689" s="76"/>
      <c r="AF689" s="76"/>
      <c r="AG689" s="76"/>
      <c r="AH689" s="97">
        <v>1</v>
      </c>
      <c r="AI689" s="97">
        <v>1</v>
      </c>
      <c r="AJ689" s="73"/>
      <c r="AK689" s="57"/>
      <c r="AL689" s="45"/>
      <c r="AM689" s="45"/>
      <c r="AN689" s="45"/>
    </row>
    <row r="690" spans="1:40" hidden="1" outlineLevel="3" x14ac:dyDescent="0.25">
      <c r="A690" s="45"/>
      <c r="B690" s="54"/>
      <c r="C690" s="47">
        <f t="shared" si="121"/>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21"/>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21"/>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25">
      <c r="A693" s="45"/>
      <c r="B693" s="54"/>
      <c r="C693" s="47">
        <f t="shared" si="121"/>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25">
      <c r="A694" s="45"/>
      <c r="B694" s="54"/>
      <c r="C694" s="47">
        <f t="shared" si="121"/>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25">
      <c r="A695" s="45"/>
      <c r="B695" s="54"/>
      <c r="C695" s="47">
        <f t="shared" si="121"/>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25">
      <c r="A696" s="45"/>
      <c r="B696" s="54"/>
      <c r="C696" s="47">
        <f t="shared" si="121"/>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33">Y696</f>
        <v>0</v>
      </c>
      <c r="AA696" s="255">
        <f t="shared" si="133"/>
        <v>0</v>
      </c>
      <c r="AB696" s="255">
        <f t="shared" si="133"/>
        <v>0</v>
      </c>
      <c r="AC696" s="255">
        <f t="shared" si="133"/>
        <v>0</v>
      </c>
      <c r="AD696" s="255">
        <f t="shared" si="133"/>
        <v>0</v>
      </c>
      <c r="AE696" s="76"/>
      <c r="AF696" s="76"/>
      <c r="AG696" s="76"/>
      <c r="AH696" s="97">
        <v>1</v>
      </c>
      <c r="AI696" s="97">
        <v>1</v>
      </c>
      <c r="AJ696" s="73"/>
      <c r="AK696" s="57"/>
      <c r="AL696" s="45"/>
      <c r="AM696" s="45"/>
      <c r="AN696" s="45"/>
    </row>
    <row r="697" spans="1:40" hidden="1" outlineLevel="2" x14ac:dyDescent="0.25">
      <c r="A697" s="45"/>
      <c r="B697" s="54"/>
      <c r="C697" s="47">
        <f t="shared" si="121"/>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33"/>
        <v>0</v>
      </c>
      <c r="AA697" s="255">
        <f t="shared" si="133"/>
        <v>0</v>
      </c>
      <c r="AB697" s="255">
        <f t="shared" si="133"/>
        <v>0</v>
      </c>
      <c r="AC697" s="255">
        <f t="shared" si="133"/>
        <v>0</v>
      </c>
      <c r="AD697" s="255">
        <f t="shared" si="133"/>
        <v>0</v>
      </c>
      <c r="AE697" s="76"/>
      <c r="AF697" s="76"/>
      <c r="AG697" s="76"/>
      <c r="AH697" s="97">
        <v>1</v>
      </c>
      <c r="AI697" s="97">
        <v>1</v>
      </c>
      <c r="AJ697" s="73"/>
      <c r="AK697" s="57"/>
      <c r="AL697" s="45"/>
      <c r="AM697" s="45"/>
      <c r="AN697" s="45"/>
    </row>
    <row r="698" spans="1:40" hidden="1" outlineLevel="2" x14ac:dyDescent="0.25">
      <c r="A698" s="45"/>
      <c r="B698" s="54"/>
      <c r="C698" s="47">
        <f t="shared" si="121"/>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33"/>
        <v>0</v>
      </c>
      <c r="AA698" s="255">
        <f t="shared" si="133"/>
        <v>0</v>
      </c>
      <c r="AB698" s="255">
        <f t="shared" si="133"/>
        <v>0</v>
      </c>
      <c r="AC698" s="255">
        <f t="shared" si="133"/>
        <v>0</v>
      </c>
      <c r="AD698" s="255">
        <f t="shared" si="133"/>
        <v>0</v>
      </c>
      <c r="AE698" s="76"/>
      <c r="AF698" s="76"/>
      <c r="AG698" s="76"/>
      <c r="AH698" s="97">
        <v>1</v>
      </c>
      <c r="AI698" s="97">
        <v>1</v>
      </c>
      <c r="AJ698" s="73"/>
      <c r="AK698" s="57"/>
      <c r="AL698" s="45"/>
      <c r="AM698" s="45"/>
      <c r="AN698" s="45"/>
    </row>
    <row r="699" spans="1:40" hidden="1" outlineLevel="2" x14ac:dyDescent="0.25">
      <c r="A699" s="45"/>
      <c r="B699" s="54"/>
      <c r="C699" s="47">
        <f t="shared" si="121"/>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25">
      <c r="A700" s="45"/>
      <c r="B700" s="54"/>
      <c r="C700" s="47">
        <f t="shared" si="121"/>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x14ac:dyDescent="0.25">
      <c r="A701" s="45"/>
      <c r="B701" s="54"/>
      <c r="C701" s="47">
        <f t="shared" si="121"/>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25">
      <c r="A702" s="45"/>
      <c r="B702" s="54"/>
      <c r="C702" s="47">
        <f t="shared" si="121"/>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21"/>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21"/>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1" collapsed="1" x14ac:dyDescent="0.2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collapsed="1" x14ac:dyDescent="0.25">
      <c r="A706" s="45"/>
      <c r="B706" s="54"/>
      <c r="C706" s="47">
        <f t="shared" ref="C706:C753" si="134">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4"/>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4"/>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4"/>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4"/>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4"/>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4"/>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4"/>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4"/>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4"/>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4"/>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4"/>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4"/>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4"/>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4"/>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34"/>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v>4</v>
      </c>
      <c r="B722" s="54"/>
      <c r="C722" s="47">
        <f t="shared" si="134"/>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f>A722</f>
        <v>4</v>
      </c>
      <c r="B723" s="54"/>
      <c r="C723" s="47">
        <f t="shared" si="134"/>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4"/>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4"/>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4"/>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34"/>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v>4</v>
      </c>
      <c r="B728" s="54"/>
      <c r="C728" s="47">
        <f t="shared" si="134"/>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f>A728</f>
        <v>4</v>
      </c>
      <c r="B729" s="54"/>
      <c r="C729" s="47">
        <f t="shared" si="134"/>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4"/>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4"/>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4"/>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34"/>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v>4</v>
      </c>
      <c r="B734" s="54"/>
      <c r="C734" s="47">
        <f t="shared" si="134"/>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f>A734</f>
        <v>4</v>
      </c>
      <c r="B735" s="54"/>
      <c r="C735" s="47">
        <f t="shared" si="134"/>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4"/>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4"/>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4"/>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34"/>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v>4</v>
      </c>
      <c r="B740" s="54"/>
      <c r="C740" s="47">
        <f t="shared" si="134"/>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f>A740</f>
        <v>4</v>
      </c>
      <c r="B741" s="54"/>
      <c r="C741" s="47">
        <f t="shared" si="134"/>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4"/>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4"/>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4"/>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34"/>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v>4</v>
      </c>
      <c r="B746" s="54"/>
      <c r="C746" s="47">
        <f t="shared" si="134"/>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f>A746</f>
        <v>4</v>
      </c>
      <c r="B747" s="54"/>
      <c r="C747" s="47">
        <f t="shared" si="134"/>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4"/>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4"/>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4"/>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34"/>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v>4</v>
      </c>
      <c r="B752" s="54"/>
      <c r="C752" s="47">
        <f t="shared" si="134"/>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f>A752</f>
        <v>4</v>
      </c>
      <c r="B753" s="54"/>
      <c r="C753" s="47">
        <f t="shared" si="134"/>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25">
      <c r="A754" s="45"/>
      <c r="B754" s="54"/>
      <c r="C754" s="47">
        <f t="shared" ref="C754:C759" si="135">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6">U$854</f>
        <v>0</v>
      </c>
      <c r="V754" s="261">
        <f t="shared" si="136"/>
        <v>0</v>
      </c>
      <c r="W754" s="261">
        <f t="shared" si="136"/>
        <v>0</v>
      </c>
      <c r="X754" s="261">
        <f t="shared" si="136"/>
        <v>0</v>
      </c>
      <c r="Y754" s="261">
        <f t="shared" si="136"/>
        <v>0</v>
      </c>
      <c r="Z754" s="261">
        <f t="shared" si="136"/>
        <v>0</v>
      </c>
      <c r="AA754" s="261">
        <f t="shared" si="136"/>
        <v>0</v>
      </c>
      <c r="AB754" s="261">
        <f t="shared" si="136"/>
        <v>0</v>
      </c>
      <c r="AC754" s="261">
        <f t="shared" si="136"/>
        <v>0</v>
      </c>
      <c r="AD754" s="261">
        <f t="shared" si="136"/>
        <v>0</v>
      </c>
      <c r="AE754" s="76"/>
      <c r="AF754" s="97" t="s">
        <v>1355</v>
      </c>
      <c r="AG754" s="76"/>
      <c r="AH754" s="261">
        <f>AH$854</f>
        <v>1</v>
      </c>
      <c r="AI754" s="261">
        <f>AI$854</f>
        <v>1</v>
      </c>
      <c r="AJ754" s="73"/>
      <c r="AK754" s="57"/>
      <c r="AL754" s="45"/>
      <c r="AM754" s="45"/>
      <c r="AN754" s="45"/>
    </row>
    <row r="755" spans="1:40" hidden="1" outlineLevel="2" x14ac:dyDescent="0.25">
      <c r="A755" s="45"/>
      <c r="B755" s="54"/>
      <c r="C755" s="47">
        <f t="shared" si="135"/>
        <v>3</v>
      </c>
      <c r="D755" s="73"/>
      <c r="E755" s="70"/>
      <c r="F755" s="70" t="s">
        <v>1356</v>
      </c>
      <c r="G755" s="73"/>
      <c r="H755" s="76" t="s">
        <v>1357</v>
      </c>
      <c r="I755" s="96"/>
      <c r="J755" s="96"/>
      <c r="K755" s="76"/>
      <c r="L755" s="76"/>
      <c r="M755" s="76"/>
      <c r="N755" s="76"/>
      <c r="O755" s="76"/>
      <c r="P755" s="76"/>
      <c r="Q755" s="76"/>
      <c r="R755" s="76"/>
      <c r="S755" s="76"/>
      <c r="T755" s="76"/>
      <c r="U755" s="261">
        <f t="shared" ref="U755:AD755" si="137">U$855</f>
        <v>-0.71226</v>
      </c>
      <c r="V755" s="261">
        <f t="shared" si="137"/>
        <v>-0.71226</v>
      </c>
      <c r="W755" s="261">
        <f t="shared" si="137"/>
        <v>-0.71226</v>
      </c>
      <c r="X755" s="261">
        <f t="shared" si="137"/>
        <v>-0.71226</v>
      </c>
      <c r="Y755" s="261">
        <f t="shared" si="137"/>
        <v>-0.71226</v>
      </c>
      <c r="Z755" s="261">
        <f t="shared" si="137"/>
        <v>-0.21895000000000001</v>
      </c>
      <c r="AA755" s="261">
        <f t="shared" si="137"/>
        <v>-0.21895000000000001</v>
      </c>
      <c r="AB755" s="261">
        <f t="shared" si="137"/>
        <v>-0.21895000000000001</v>
      </c>
      <c r="AC755" s="261">
        <f t="shared" si="137"/>
        <v>-0.21895000000000001</v>
      </c>
      <c r="AD755" s="261">
        <f t="shared" si="137"/>
        <v>-0.21895000000000001</v>
      </c>
      <c r="AE755" s="76"/>
      <c r="AF755" s="76"/>
      <c r="AG755" s="76"/>
      <c r="AH755" s="261">
        <f>AH$855</f>
        <v>1</v>
      </c>
      <c r="AI755" s="261">
        <f>AI$855</f>
        <v>1</v>
      </c>
      <c r="AJ755" s="73"/>
      <c r="AK755" s="57"/>
      <c r="AL755" s="45"/>
      <c r="AM755" s="45"/>
      <c r="AN755" s="45"/>
    </row>
    <row r="756" spans="1:40" hidden="1" outlineLevel="2" x14ac:dyDescent="0.25">
      <c r="A756" s="45"/>
      <c r="B756" s="54"/>
      <c r="C756" s="47">
        <f t="shared" si="135"/>
        <v>3</v>
      </c>
      <c r="D756" s="73"/>
      <c r="E756" s="70"/>
      <c r="F756" s="70" t="s">
        <v>1358</v>
      </c>
      <c r="G756" s="73"/>
      <c r="H756" s="76" t="s">
        <v>1359</v>
      </c>
      <c r="I756" s="96"/>
      <c r="J756" s="96"/>
      <c r="K756" s="76"/>
      <c r="L756" s="76"/>
      <c r="M756" s="76"/>
      <c r="N756" s="76"/>
      <c r="O756" s="76"/>
      <c r="P756" s="76"/>
      <c r="Q756" s="76"/>
      <c r="R756" s="76"/>
      <c r="S756" s="76"/>
      <c r="T756" s="76"/>
      <c r="U756" s="261">
        <f t="shared" ref="U756:AD756" si="138">U$856</f>
        <v>-0.90173999999999999</v>
      </c>
      <c r="V756" s="261">
        <f t="shared" si="138"/>
        <v>-0.90173999999999999</v>
      </c>
      <c r="W756" s="261">
        <f t="shared" si="138"/>
        <v>-0.90173999999999999</v>
      </c>
      <c r="X756" s="261">
        <f t="shared" si="138"/>
        <v>-0.90173999999999999</v>
      </c>
      <c r="Y756" s="261">
        <f t="shared" si="138"/>
        <v>-0.90173999999999999</v>
      </c>
      <c r="Z756" s="261">
        <f t="shared" si="138"/>
        <v>-0.37940000000000002</v>
      </c>
      <c r="AA756" s="261">
        <f t="shared" si="138"/>
        <v>-0.37940000000000002</v>
      </c>
      <c r="AB756" s="261">
        <f t="shared" si="138"/>
        <v>-0.37940000000000002</v>
      </c>
      <c r="AC756" s="261">
        <f t="shared" si="138"/>
        <v>-0.37940000000000002</v>
      </c>
      <c r="AD756" s="261">
        <f t="shared" si="138"/>
        <v>-0.37940000000000002</v>
      </c>
      <c r="AE756" s="76"/>
      <c r="AF756" s="76"/>
      <c r="AG756" s="76"/>
      <c r="AH756" s="261">
        <f>AH$856</f>
        <v>1</v>
      </c>
      <c r="AI756" s="261">
        <f>AI$856</f>
        <v>1</v>
      </c>
      <c r="AJ756" s="73"/>
      <c r="AK756" s="57"/>
      <c r="AL756" s="45"/>
      <c r="AM756" s="45"/>
      <c r="AN756" s="45"/>
    </row>
    <row r="757" spans="1:40" hidden="1" outlineLevel="2" x14ac:dyDescent="0.25">
      <c r="A757" s="45"/>
      <c r="B757" s="54"/>
      <c r="C757" s="47">
        <f t="shared" si="135"/>
        <v>3</v>
      </c>
      <c r="D757" s="73"/>
      <c r="E757" s="70"/>
      <c r="F757" s="70" t="s">
        <v>1360</v>
      </c>
      <c r="G757" s="73"/>
      <c r="H757" s="76" t="s">
        <v>1361</v>
      </c>
      <c r="I757" s="96"/>
      <c r="J757" s="96"/>
      <c r="K757" s="76"/>
      <c r="L757" s="76"/>
      <c r="M757" s="76"/>
      <c r="N757" s="76"/>
      <c r="O757" s="76"/>
      <c r="P757" s="76"/>
      <c r="Q757" s="76"/>
      <c r="R757" s="76"/>
      <c r="S757" s="76"/>
      <c r="T757" s="76"/>
      <c r="U757" s="261">
        <f t="shared" ref="U757:AD757" si="139">$855:$855</f>
        <v>-0.71226</v>
      </c>
      <c r="V757" s="261">
        <f t="shared" si="139"/>
        <v>-0.71226</v>
      </c>
      <c r="W757" s="261">
        <f t="shared" si="139"/>
        <v>-0.71226</v>
      </c>
      <c r="X757" s="261">
        <f t="shared" si="139"/>
        <v>-0.71226</v>
      </c>
      <c r="Y757" s="261">
        <f t="shared" si="139"/>
        <v>-0.71226</v>
      </c>
      <c r="Z757" s="261">
        <f t="shared" si="139"/>
        <v>-0.21895000000000001</v>
      </c>
      <c r="AA757" s="261">
        <f t="shared" si="139"/>
        <v>-0.21895000000000001</v>
      </c>
      <c r="AB757" s="261">
        <f t="shared" si="139"/>
        <v>-0.21895000000000001</v>
      </c>
      <c r="AC757" s="261">
        <f t="shared" si="139"/>
        <v>-0.21895000000000001</v>
      </c>
      <c r="AD757" s="261">
        <f t="shared" si="139"/>
        <v>-0.21895000000000001</v>
      </c>
      <c r="AE757" s="76"/>
      <c r="AF757" s="76"/>
      <c r="AG757" s="76"/>
      <c r="AH757" s="261">
        <f>$855:$855</f>
        <v>1</v>
      </c>
      <c r="AI757" s="261">
        <f>$855:$855</f>
        <v>1</v>
      </c>
      <c r="AJ757" s="73"/>
      <c r="AK757" s="57"/>
      <c r="AL757" s="45"/>
      <c r="AM757" s="45"/>
      <c r="AN757" s="45"/>
    </row>
    <row r="758" spans="1:40" hidden="1" outlineLevel="2" x14ac:dyDescent="0.25">
      <c r="A758" s="45">
        <v>4</v>
      </c>
      <c r="B758" s="54"/>
      <c r="C758" s="47">
        <f t="shared" si="135"/>
        <v>3</v>
      </c>
      <c r="D758" s="73"/>
      <c r="E758" s="70"/>
      <c r="F758" s="70" t="s">
        <v>1362</v>
      </c>
      <c r="G758" s="73"/>
      <c r="H758" s="76" t="s">
        <v>1363</v>
      </c>
      <c r="I758" s="96"/>
      <c r="J758" s="96"/>
      <c r="K758" s="76"/>
      <c r="L758" s="76"/>
      <c r="M758" s="76"/>
      <c r="N758" s="76"/>
      <c r="O758" s="76"/>
      <c r="P758" s="76"/>
      <c r="Q758" s="76"/>
      <c r="R758" s="76"/>
      <c r="S758" s="76"/>
      <c r="T758" s="76"/>
      <c r="U758" s="261">
        <f t="shared" ref="U758:AD759" si="140">$856:$856</f>
        <v>-0.90173999999999999</v>
      </c>
      <c r="V758" s="261">
        <f t="shared" si="140"/>
        <v>-0.90173999999999999</v>
      </c>
      <c r="W758" s="261">
        <f t="shared" si="140"/>
        <v>-0.90173999999999999</v>
      </c>
      <c r="X758" s="261">
        <f t="shared" si="140"/>
        <v>-0.90173999999999999</v>
      </c>
      <c r="Y758" s="261">
        <f t="shared" si="140"/>
        <v>-0.90173999999999999</v>
      </c>
      <c r="Z758" s="261">
        <f t="shared" si="140"/>
        <v>-0.37940000000000002</v>
      </c>
      <c r="AA758" s="261">
        <f t="shared" si="140"/>
        <v>-0.37940000000000002</v>
      </c>
      <c r="AB758" s="261">
        <f t="shared" si="140"/>
        <v>-0.37940000000000002</v>
      </c>
      <c r="AC758" s="261">
        <f t="shared" si="140"/>
        <v>-0.37940000000000002</v>
      </c>
      <c r="AD758" s="261">
        <f t="shared" si="140"/>
        <v>-0.37940000000000002</v>
      </c>
      <c r="AE758" s="76"/>
      <c r="AF758" s="76"/>
      <c r="AG758" s="76"/>
      <c r="AH758" s="261">
        <f>$856:$856</f>
        <v>1</v>
      </c>
      <c r="AI758" s="261">
        <f>$856:$856</f>
        <v>1</v>
      </c>
      <c r="AJ758" s="73"/>
      <c r="AK758" s="57"/>
      <c r="AL758" s="45"/>
      <c r="AM758" s="45"/>
      <c r="AN758" s="45"/>
    </row>
    <row r="759" spans="1:40" hidden="1" outlineLevel="2" collapsed="1" x14ac:dyDescent="0.25">
      <c r="A759" s="45">
        <f>A758</f>
        <v>4</v>
      </c>
      <c r="B759" s="54"/>
      <c r="C759" s="47">
        <f t="shared" si="135"/>
        <v>3</v>
      </c>
      <c r="D759" s="73"/>
      <c r="E759" s="70"/>
      <c r="F759" s="70" t="s">
        <v>1364</v>
      </c>
      <c r="G759" s="73"/>
      <c r="H759" s="76" t="s">
        <v>1365</v>
      </c>
      <c r="I759" s="96"/>
      <c r="J759" s="96"/>
      <c r="K759" s="76"/>
      <c r="L759" s="76"/>
      <c r="M759" s="76"/>
      <c r="N759" s="76"/>
      <c r="O759" s="76"/>
      <c r="P759" s="76"/>
      <c r="Q759" s="76"/>
      <c r="R759" s="76"/>
      <c r="S759" s="76"/>
      <c r="T759" s="76"/>
      <c r="U759" s="261">
        <f t="shared" si="140"/>
        <v>-0.90173999999999999</v>
      </c>
      <c r="V759" s="261">
        <f t="shared" si="140"/>
        <v>-0.90173999999999999</v>
      </c>
      <c r="W759" s="261">
        <f t="shared" si="140"/>
        <v>-0.90173999999999999</v>
      </c>
      <c r="X759" s="261">
        <f t="shared" si="140"/>
        <v>-0.90173999999999999</v>
      </c>
      <c r="Y759" s="261">
        <f t="shared" si="140"/>
        <v>-0.90173999999999999</v>
      </c>
      <c r="Z759" s="261">
        <f t="shared" si="140"/>
        <v>-0.37940000000000002</v>
      </c>
      <c r="AA759" s="261">
        <f t="shared" si="140"/>
        <v>-0.37940000000000002</v>
      </c>
      <c r="AB759" s="261">
        <f t="shared" si="140"/>
        <v>-0.37940000000000002</v>
      </c>
      <c r="AC759" s="261">
        <f t="shared" si="140"/>
        <v>-0.37940000000000002</v>
      </c>
      <c r="AD759" s="261">
        <f t="shared" si="140"/>
        <v>-0.37940000000000002</v>
      </c>
      <c r="AE759" s="76"/>
      <c r="AF759" s="76"/>
      <c r="AG759" s="76"/>
      <c r="AH759" s="261">
        <f>$856:$856</f>
        <v>1</v>
      </c>
      <c r="AI759" s="261">
        <f>$856:$856</f>
        <v>1</v>
      </c>
      <c r="AJ759" s="73"/>
      <c r="AK759" s="57"/>
      <c r="AL759" s="45"/>
      <c r="AM759" s="45"/>
      <c r="AN759" s="45"/>
    </row>
    <row r="760" spans="1:40" hidden="1" outlineLevel="3" x14ac:dyDescent="0.25">
      <c r="A760" s="45"/>
      <c r="B760" s="54"/>
      <c r="C760" s="47">
        <f t="shared" ref="C760:C777" si="141">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41"/>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41"/>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41"/>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v>4</v>
      </c>
      <c r="B764" s="54"/>
      <c r="C764" s="47">
        <f t="shared" si="141"/>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f>A764</f>
        <v>4</v>
      </c>
      <c r="B765" s="54"/>
      <c r="C765" s="47">
        <f t="shared" si="141"/>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41"/>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41"/>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41"/>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41"/>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v>4</v>
      </c>
      <c r="B770" s="54"/>
      <c r="C770" s="47">
        <f t="shared" si="141"/>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f>A770</f>
        <v>4</v>
      </c>
      <c r="B771" s="54"/>
      <c r="C771" s="47">
        <f t="shared" si="141"/>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25">
      <c r="A772" s="45"/>
      <c r="B772" s="54"/>
      <c r="C772" s="47">
        <f t="shared" si="141"/>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42">U772</f>
        <v>1</v>
      </c>
      <c r="W772" s="336">
        <f t="shared" ref="W772:X777" si="143">U772</f>
        <v>1</v>
      </c>
      <c r="X772" s="336">
        <f t="shared" si="143"/>
        <v>1</v>
      </c>
      <c r="Y772" s="336">
        <f t="shared" ref="Y772:Y777" si="144">V772</f>
        <v>1</v>
      </c>
      <c r="Z772" s="336">
        <f t="shared" ref="Z772:AD781" si="145">Y772</f>
        <v>1</v>
      </c>
      <c r="AA772" s="336">
        <f t="shared" si="145"/>
        <v>1</v>
      </c>
      <c r="AB772" s="336">
        <f t="shared" si="145"/>
        <v>1</v>
      </c>
      <c r="AC772" s="336">
        <f t="shared" si="145"/>
        <v>1</v>
      </c>
      <c r="AD772" s="336">
        <f t="shared" si="145"/>
        <v>1</v>
      </c>
      <c r="AE772" s="76"/>
      <c r="AF772" s="97" t="s">
        <v>2711</v>
      </c>
      <c r="AG772" s="76"/>
      <c r="AH772" s="97">
        <v>1</v>
      </c>
      <c r="AI772" s="97">
        <v>1</v>
      </c>
      <c r="AJ772" s="73"/>
      <c r="AK772" s="57"/>
      <c r="AL772" s="45"/>
      <c r="AM772" s="45"/>
      <c r="AN772" s="45"/>
    </row>
    <row r="773" spans="1:40" hidden="1" outlineLevel="2" x14ac:dyDescent="0.25">
      <c r="A773" s="45"/>
      <c r="B773" s="54"/>
      <c r="C773" s="47">
        <f t="shared" si="141"/>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42"/>
        <v>0.95399999999999996</v>
      </c>
      <c r="W773" s="336">
        <f t="shared" si="143"/>
        <v>0.95399999999999996</v>
      </c>
      <c r="X773" s="336">
        <f t="shared" si="143"/>
        <v>0.95399999999999996</v>
      </c>
      <c r="Y773" s="336">
        <f t="shared" si="144"/>
        <v>0.95399999999999996</v>
      </c>
      <c r="Z773" s="336">
        <f t="shared" si="145"/>
        <v>0.95399999999999996</v>
      </c>
      <c r="AA773" s="336">
        <f t="shared" si="145"/>
        <v>0.95399999999999996</v>
      </c>
      <c r="AB773" s="336">
        <f t="shared" si="145"/>
        <v>0.95399999999999996</v>
      </c>
      <c r="AC773" s="336">
        <f t="shared" si="145"/>
        <v>0.95399999999999996</v>
      </c>
      <c r="AD773" s="336">
        <f t="shared" si="145"/>
        <v>0.95399999999999996</v>
      </c>
      <c r="AE773" s="76"/>
      <c r="AF773" s="76"/>
      <c r="AG773" s="76"/>
      <c r="AH773" s="97">
        <v>1</v>
      </c>
      <c r="AI773" s="97">
        <v>1</v>
      </c>
      <c r="AJ773" s="73"/>
      <c r="AK773" s="57"/>
      <c r="AL773" s="45"/>
      <c r="AM773" s="45"/>
      <c r="AN773" s="45"/>
    </row>
    <row r="774" spans="1:40" hidden="1" outlineLevel="2" x14ac:dyDescent="0.25">
      <c r="A774" s="45"/>
      <c r="B774" s="54"/>
      <c r="C774" s="47">
        <f t="shared" si="141"/>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42"/>
        <v>0.90800000000000003</v>
      </c>
      <c r="W774" s="336">
        <f t="shared" si="143"/>
        <v>0.90800000000000003</v>
      </c>
      <c r="X774" s="336">
        <f t="shared" si="143"/>
        <v>0.90800000000000003</v>
      </c>
      <c r="Y774" s="336">
        <f t="shared" si="144"/>
        <v>0.90800000000000003</v>
      </c>
      <c r="Z774" s="336">
        <f t="shared" si="145"/>
        <v>0.90800000000000003</v>
      </c>
      <c r="AA774" s="336">
        <f t="shared" si="145"/>
        <v>0.90800000000000003</v>
      </c>
      <c r="AB774" s="336">
        <f t="shared" si="145"/>
        <v>0.90800000000000003</v>
      </c>
      <c r="AC774" s="336">
        <f t="shared" si="145"/>
        <v>0.90800000000000003</v>
      </c>
      <c r="AD774" s="336">
        <f t="shared" si="145"/>
        <v>0.90800000000000003</v>
      </c>
      <c r="AE774" s="76"/>
      <c r="AF774" s="76"/>
      <c r="AG774" s="76"/>
      <c r="AH774" s="97">
        <v>1</v>
      </c>
      <c r="AI774" s="97">
        <v>1</v>
      </c>
      <c r="AJ774" s="73"/>
      <c r="AK774" s="57"/>
      <c r="AL774" s="45"/>
      <c r="AM774" s="45"/>
      <c r="AN774" s="45"/>
    </row>
    <row r="775" spans="1:40" hidden="1" outlineLevel="2" x14ac:dyDescent="0.25">
      <c r="A775" s="45"/>
      <c r="B775" s="54"/>
      <c r="C775" s="47">
        <f t="shared" si="141"/>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42"/>
        <v>0.97</v>
      </c>
      <c r="W775" s="336">
        <f t="shared" si="143"/>
        <v>0.97</v>
      </c>
      <c r="X775" s="336">
        <f t="shared" si="143"/>
        <v>0.97</v>
      </c>
      <c r="Y775" s="336">
        <f t="shared" si="144"/>
        <v>0.97</v>
      </c>
      <c r="Z775" s="336">
        <f t="shared" si="145"/>
        <v>0.97</v>
      </c>
      <c r="AA775" s="336">
        <f t="shared" si="145"/>
        <v>0.97</v>
      </c>
      <c r="AB775" s="336">
        <f t="shared" si="145"/>
        <v>0.97</v>
      </c>
      <c r="AC775" s="336">
        <f t="shared" si="145"/>
        <v>0.97</v>
      </c>
      <c r="AD775" s="336">
        <f t="shared" si="145"/>
        <v>0.97</v>
      </c>
      <c r="AE775" s="76"/>
      <c r="AF775" s="76"/>
      <c r="AG775" s="76"/>
      <c r="AH775" s="97">
        <v>1</v>
      </c>
      <c r="AI775" s="97">
        <v>1</v>
      </c>
      <c r="AJ775" s="73"/>
      <c r="AK775" s="57"/>
      <c r="AL775" s="45"/>
      <c r="AM775" s="45"/>
      <c r="AN775" s="45"/>
    </row>
    <row r="776" spans="1:40" hidden="1" outlineLevel="2" x14ac:dyDescent="0.25">
      <c r="A776" s="45">
        <v>4</v>
      </c>
      <c r="B776" s="54"/>
      <c r="C776" s="47">
        <f t="shared" si="141"/>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42"/>
        <v>0.92400000000000004</v>
      </c>
      <c r="W776" s="336">
        <f t="shared" si="143"/>
        <v>0.92400000000000004</v>
      </c>
      <c r="X776" s="336">
        <f t="shared" si="143"/>
        <v>0.92400000000000004</v>
      </c>
      <c r="Y776" s="336">
        <f t="shared" si="144"/>
        <v>0.92400000000000004</v>
      </c>
      <c r="Z776" s="336">
        <f t="shared" si="145"/>
        <v>0.92400000000000004</v>
      </c>
      <c r="AA776" s="336">
        <f t="shared" si="145"/>
        <v>0.92400000000000004</v>
      </c>
      <c r="AB776" s="336">
        <f t="shared" si="145"/>
        <v>0.92400000000000004</v>
      </c>
      <c r="AC776" s="336">
        <f t="shared" si="145"/>
        <v>0.92400000000000004</v>
      </c>
      <c r="AD776" s="336">
        <f t="shared" si="145"/>
        <v>0.92400000000000004</v>
      </c>
      <c r="AE776" s="76"/>
      <c r="AF776" s="76"/>
      <c r="AG776" s="76"/>
      <c r="AH776" s="97">
        <v>1</v>
      </c>
      <c r="AI776" s="97">
        <v>1</v>
      </c>
      <c r="AJ776" s="73"/>
      <c r="AK776" s="57"/>
      <c r="AL776" s="45"/>
      <c r="AM776" s="45"/>
      <c r="AN776" s="45"/>
    </row>
    <row r="777" spans="1:40" hidden="1" outlineLevel="2" x14ac:dyDescent="0.25">
      <c r="A777" s="45">
        <f>A776</f>
        <v>4</v>
      </c>
      <c r="B777" s="54"/>
      <c r="C777" s="47">
        <f t="shared" si="141"/>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42"/>
        <v>0.94</v>
      </c>
      <c r="W777" s="336">
        <f t="shared" si="143"/>
        <v>0.94</v>
      </c>
      <c r="X777" s="336">
        <f t="shared" si="143"/>
        <v>0.94</v>
      </c>
      <c r="Y777" s="336">
        <f t="shared" si="144"/>
        <v>0.94</v>
      </c>
      <c r="Z777" s="336">
        <f t="shared" si="145"/>
        <v>0.94</v>
      </c>
      <c r="AA777" s="336">
        <f t="shared" si="145"/>
        <v>0.94</v>
      </c>
      <c r="AB777" s="336">
        <f t="shared" si="145"/>
        <v>0.94</v>
      </c>
      <c r="AC777" s="336">
        <f t="shared" si="145"/>
        <v>0.94</v>
      </c>
      <c r="AD777" s="336">
        <f t="shared" si="145"/>
        <v>0.94</v>
      </c>
      <c r="AE777" s="76"/>
      <c r="AF777" s="76"/>
      <c r="AG777" s="76"/>
      <c r="AH777" s="97">
        <v>1</v>
      </c>
      <c r="AI777" s="97">
        <v>1</v>
      </c>
      <c r="AJ777" s="73"/>
      <c r="AK777" s="57"/>
      <c r="AL777" s="45"/>
      <c r="AM777" s="45"/>
      <c r="AN777" s="45"/>
    </row>
    <row r="778" spans="1:40" hidden="1" outlineLevel="2" x14ac:dyDescent="0.25">
      <c r="A778" s="45"/>
      <c r="B778" s="54"/>
      <c r="C778" s="47">
        <f t="shared" ref="C778:C789" si="146">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5"/>
        <v>0</v>
      </c>
      <c r="AA778" s="255">
        <f t="shared" si="145"/>
        <v>0</v>
      </c>
      <c r="AB778" s="255">
        <f t="shared" si="145"/>
        <v>0</v>
      </c>
      <c r="AC778" s="255">
        <f t="shared" si="145"/>
        <v>0</v>
      </c>
      <c r="AD778" s="255">
        <f t="shared" si="145"/>
        <v>0</v>
      </c>
      <c r="AE778" s="76"/>
      <c r="AF778" s="97" t="s">
        <v>1386</v>
      </c>
      <c r="AG778" s="76"/>
      <c r="AH778" s="97">
        <v>1</v>
      </c>
      <c r="AI778" s="97">
        <v>1</v>
      </c>
      <c r="AJ778" s="73"/>
      <c r="AK778" s="57"/>
      <c r="AL778" s="45"/>
      <c r="AM778" s="45"/>
      <c r="AN778" s="45"/>
    </row>
    <row r="779" spans="1:40" hidden="1" outlineLevel="2" x14ac:dyDescent="0.25">
      <c r="A779" s="45"/>
      <c r="B779" s="54"/>
      <c r="C779" s="47">
        <f t="shared" si="146"/>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5"/>
        <v>-0.26400000000000001</v>
      </c>
      <c r="AA779" s="255">
        <f t="shared" si="145"/>
        <v>-0.26400000000000001</v>
      </c>
      <c r="AB779" s="255">
        <f t="shared" si="145"/>
        <v>-0.26400000000000001</v>
      </c>
      <c r="AC779" s="255">
        <f t="shared" si="145"/>
        <v>-0.26400000000000001</v>
      </c>
      <c r="AD779" s="255">
        <f t="shared" si="145"/>
        <v>-0.26400000000000001</v>
      </c>
      <c r="AE779" s="76"/>
      <c r="AF779" s="97" t="s">
        <v>1389</v>
      </c>
      <c r="AG779" s="76"/>
      <c r="AH779" s="97">
        <v>1</v>
      </c>
      <c r="AI779" s="97">
        <v>1</v>
      </c>
      <c r="AJ779" s="73"/>
      <c r="AK779" s="57"/>
      <c r="AL779" s="45"/>
      <c r="AM779" s="45"/>
      <c r="AN779" s="45"/>
    </row>
    <row r="780" spans="1:40" hidden="1" outlineLevel="2" x14ac:dyDescent="0.25">
      <c r="A780" s="45"/>
      <c r="B780" s="54"/>
      <c r="C780" s="47">
        <f t="shared" si="146"/>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5"/>
        <v>-0.4</v>
      </c>
      <c r="AA780" s="255">
        <f t="shared" si="145"/>
        <v>-0.4</v>
      </c>
      <c r="AB780" s="255">
        <f t="shared" si="145"/>
        <v>-0.4</v>
      </c>
      <c r="AC780" s="255">
        <f t="shared" si="145"/>
        <v>-0.4</v>
      </c>
      <c r="AD780" s="255">
        <f t="shared" si="145"/>
        <v>-0.4</v>
      </c>
      <c r="AE780" s="76"/>
      <c r="AF780" s="263" t="s">
        <v>1392</v>
      </c>
      <c r="AG780" s="76"/>
      <c r="AH780" s="97">
        <v>1</v>
      </c>
      <c r="AI780" s="97">
        <v>1</v>
      </c>
      <c r="AJ780" s="73"/>
      <c r="AK780" s="57"/>
      <c r="AL780" s="45"/>
      <c r="AM780" s="45"/>
      <c r="AN780" s="45"/>
    </row>
    <row r="781" spans="1:40" hidden="1" outlineLevel="2" x14ac:dyDescent="0.25">
      <c r="A781" s="45"/>
      <c r="B781" s="54"/>
      <c r="C781" s="47">
        <f t="shared" si="146"/>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5"/>
        <v>-0.17799999999999999</v>
      </c>
      <c r="AA781" s="255">
        <f t="shared" si="145"/>
        <v>-0.17799999999999999</v>
      </c>
      <c r="AB781" s="255">
        <f t="shared" si="145"/>
        <v>-0.17799999999999999</v>
      </c>
      <c r="AC781" s="255">
        <f t="shared" si="145"/>
        <v>-0.17799999999999999</v>
      </c>
      <c r="AD781" s="255">
        <f t="shared" si="145"/>
        <v>-0.17799999999999999</v>
      </c>
      <c r="AE781" s="76"/>
      <c r="AF781" s="97" t="s">
        <v>1395</v>
      </c>
      <c r="AG781" s="76"/>
      <c r="AH781" s="97">
        <v>1</v>
      </c>
      <c r="AI781" s="97">
        <v>1</v>
      </c>
      <c r="AJ781" s="73"/>
      <c r="AK781" s="57"/>
      <c r="AL781" s="45"/>
      <c r="AM781" s="45"/>
      <c r="AN781" s="45"/>
    </row>
    <row r="782" spans="1:40" hidden="1" outlineLevel="2" x14ac:dyDescent="0.25">
      <c r="A782" s="45">
        <v>4</v>
      </c>
      <c r="B782" s="54"/>
      <c r="C782" s="47">
        <f t="shared" si="146"/>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7">Y782</f>
        <v>-0.26400000000000001</v>
      </c>
      <c r="AA782" s="255">
        <f t="shared" si="147"/>
        <v>-0.26400000000000001</v>
      </c>
      <c r="AB782" s="255">
        <f t="shared" si="147"/>
        <v>-0.26400000000000001</v>
      </c>
      <c r="AC782" s="255">
        <f t="shared" si="147"/>
        <v>-0.26400000000000001</v>
      </c>
      <c r="AD782" s="255">
        <f t="shared" si="147"/>
        <v>-0.26400000000000001</v>
      </c>
      <c r="AE782" s="76"/>
      <c r="AF782" s="97"/>
      <c r="AG782" s="76"/>
      <c r="AH782" s="97">
        <v>1</v>
      </c>
      <c r="AI782" s="97">
        <v>1</v>
      </c>
      <c r="AJ782" s="73"/>
      <c r="AK782" s="57"/>
      <c r="AL782" s="45"/>
      <c r="AM782" s="45"/>
      <c r="AN782" s="45"/>
    </row>
    <row r="783" spans="1:40" hidden="1" outlineLevel="2" x14ac:dyDescent="0.25">
      <c r="A783" s="45">
        <f>A782</f>
        <v>4</v>
      </c>
      <c r="B783" s="54"/>
      <c r="C783" s="47">
        <f t="shared" si="146"/>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7"/>
        <v>-0.17799999999999999</v>
      </c>
      <c r="AA783" s="255">
        <f t="shared" si="147"/>
        <v>-0.17799999999999999</v>
      </c>
      <c r="AB783" s="255">
        <f t="shared" si="147"/>
        <v>-0.17799999999999999</v>
      </c>
      <c r="AC783" s="255">
        <f t="shared" si="147"/>
        <v>-0.17799999999999999</v>
      </c>
      <c r="AD783" s="255">
        <f t="shared" si="147"/>
        <v>-0.17799999999999999</v>
      </c>
      <c r="AE783" s="76"/>
      <c r="AF783" s="97"/>
      <c r="AG783" s="76"/>
      <c r="AH783" s="97">
        <v>1</v>
      </c>
      <c r="AI783" s="97">
        <v>1</v>
      </c>
      <c r="AJ783" s="73"/>
      <c r="AK783" s="57"/>
      <c r="AL783" s="45"/>
      <c r="AM783" s="45"/>
      <c r="AN783" s="45"/>
    </row>
    <row r="784" spans="1:40" hidden="1" outlineLevel="2" x14ac:dyDescent="0.25">
      <c r="A784" s="45"/>
      <c r="B784" s="54"/>
      <c r="C784" s="47">
        <f t="shared" si="146"/>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7"/>
        <v>0</v>
      </c>
      <c r="AA784" s="255">
        <f t="shared" si="147"/>
        <v>0</v>
      </c>
      <c r="AB784" s="255">
        <f t="shared" si="147"/>
        <v>0</v>
      </c>
      <c r="AC784" s="255">
        <f t="shared" si="147"/>
        <v>0</v>
      </c>
      <c r="AD784" s="255">
        <f t="shared" si="147"/>
        <v>0</v>
      </c>
      <c r="AE784" s="76"/>
      <c r="AF784" s="97" t="s">
        <v>1386</v>
      </c>
      <c r="AG784" s="76"/>
      <c r="AH784" s="97">
        <v>1</v>
      </c>
      <c r="AI784" s="97">
        <v>1</v>
      </c>
      <c r="AJ784" s="73"/>
      <c r="AK784" s="57"/>
      <c r="AL784" s="45"/>
      <c r="AM784" s="45"/>
      <c r="AN784" s="45"/>
    </row>
    <row r="785" spans="1:40" hidden="1" outlineLevel="2" x14ac:dyDescent="0.25">
      <c r="A785" s="45"/>
      <c r="B785" s="54"/>
      <c r="C785" s="47">
        <f t="shared" si="146"/>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7"/>
        <v>0.43</v>
      </c>
      <c r="AA785" s="255">
        <f t="shared" si="147"/>
        <v>0.43</v>
      </c>
      <c r="AB785" s="255">
        <f t="shared" si="147"/>
        <v>0.43</v>
      </c>
      <c r="AC785" s="255">
        <f t="shared" si="147"/>
        <v>0.43</v>
      </c>
      <c r="AD785" s="255">
        <f t="shared" si="147"/>
        <v>0.43</v>
      </c>
      <c r="AE785" s="76"/>
      <c r="AF785" s="97" t="s">
        <v>1389</v>
      </c>
      <c r="AG785" s="76"/>
      <c r="AH785" s="97">
        <v>1</v>
      </c>
      <c r="AI785" s="97">
        <v>1</v>
      </c>
      <c r="AJ785" s="73"/>
      <c r="AK785" s="57"/>
      <c r="AL785" s="45"/>
      <c r="AM785" s="45"/>
      <c r="AN785" s="45"/>
    </row>
    <row r="786" spans="1:40" hidden="1" outlineLevel="2" x14ac:dyDescent="0.25">
      <c r="A786" s="45"/>
      <c r="B786" s="54"/>
      <c r="C786" s="47">
        <f t="shared" si="146"/>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7"/>
        <v>0.8</v>
      </c>
      <c r="AA786" s="255">
        <f t="shared" si="147"/>
        <v>0.8</v>
      </c>
      <c r="AB786" s="255">
        <f t="shared" si="147"/>
        <v>0.8</v>
      </c>
      <c r="AC786" s="255">
        <f t="shared" si="147"/>
        <v>0.8</v>
      </c>
      <c r="AD786" s="255">
        <f t="shared" si="147"/>
        <v>0.8</v>
      </c>
      <c r="AE786" s="76"/>
      <c r="AF786" s="263" t="s">
        <v>1392</v>
      </c>
      <c r="AG786" s="76"/>
      <c r="AH786" s="97">
        <v>1</v>
      </c>
      <c r="AI786" s="97">
        <v>1</v>
      </c>
      <c r="AJ786" s="73"/>
      <c r="AK786" s="57"/>
      <c r="AL786" s="45"/>
      <c r="AM786" s="45"/>
      <c r="AN786" s="45"/>
    </row>
    <row r="787" spans="1:40" hidden="1" outlineLevel="2" x14ac:dyDescent="0.25">
      <c r="A787" s="45"/>
      <c r="B787" s="54"/>
      <c r="C787" s="47">
        <f t="shared" si="146"/>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7"/>
        <v>8.9999999999999993E-3</v>
      </c>
      <c r="AA787" s="255">
        <f t="shared" si="147"/>
        <v>8.9999999999999993E-3</v>
      </c>
      <c r="AB787" s="255">
        <f t="shared" si="147"/>
        <v>8.9999999999999993E-3</v>
      </c>
      <c r="AC787" s="255">
        <f t="shared" si="147"/>
        <v>8.9999999999999993E-3</v>
      </c>
      <c r="AD787" s="255">
        <f t="shared" si="147"/>
        <v>8.9999999999999993E-3</v>
      </c>
      <c r="AE787" s="76"/>
      <c r="AF787" s="97" t="s">
        <v>1409</v>
      </c>
      <c r="AG787" s="76"/>
      <c r="AH787" s="97">
        <v>1</v>
      </c>
      <c r="AI787" s="97">
        <v>1</v>
      </c>
      <c r="AJ787" s="73"/>
      <c r="AK787" s="57"/>
      <c r="AL787" s="45"/>
      <c r="AM787" s="45"/>
      <c r="AN787" s="45"/>
    </row>
    <row r="788" spans="1:40" hidden="1" outlineLevel="2" x14ac:dyDescent="0.25">
      <c r="A788" s="45">
        <v>4</v>
      </c>
      <c r="B788" s="54"/>
      <c r="C788" s="47">
        <f t="shared" si="146"/>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7"/>
        <v>0.48199999999999998</v>
      </c>
      <c r="AA788" s="255">
        <f t="shared" si="147"/>
        <v>0.48199999999999998</v>
      </c>
      <c r="AB788" s="255">
        <f t="shared" si="147"/>
        <v>0.48199999999999998</v>
      </c>
      <c r="AC788" s="255">
        <f t="shared" si="147"/>
        <v>0.48199999999999998</v>
      </c>
      <c r="AD788" s="255">
        <f t="shared" si="147"/>
        <v>0.48199999999999998</v>
      </c>
      <c r="AE788" s="76"/>
      <c r="AF788" s="97"/>
      <c r="AG788" s="76"/>
      <c r="AH788" s="97">
        <v>1</v>
      </c>
      <c r="AI788" s="97">
        <v>1</v>
      </c>
      <c r="AJ788" s="73"/>
      <c r="AK788" s="57"/>
      <c r="AL788" s="45"/>
      <c r="AM788" s="45"/>
      <c r="AN788" s="45"/>
    </row>
    <row r="789" spans="1:40" hidden="1" outlineLevel="2" collapsed="1" x14ac:dyDescent="0.25">
      <c r="A789" s="45">
        <f>A788</f>
        <v>4</v>
      </c>
      <c r="B789" s="54"/>
      <c r="C789" s="47">
        <f t="shared" si="146"/>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7"/>
        <v>0.128</v>
      </c>
      <c r="AA789" s="255">
        <f t="shared" si="147"/>
        <v>0.128</v>
      </c>
      <c r="AB789" s="255">
        <f t="shared" si="147"/>
        <v>0.128</v>
      </c>
      <c r="AC789" s="255">
        <f t="shared" si="147"/>
        <v>0.128</v>
      </c>
      <c r="AD789" s="255">
        <f t="shared" si="147"/>
        <v>0.128</v>
      </c>
      <c r="AE789" s="76"/>
      <c r="AF789" s="97"/>
      <c r="AG789" s="76"/>
      <c r="AH789" s="97">
        <v>1</v>
      </c>
      <c r="AI789" s="97">
        <v>1</v>
      </c>
      <c r="AJ789" s="73"/>
      <c r="AK789" s="57"/>
      <c r="AL789" s="45"/>
      <c r="AM789" s="45"/>
      <c r="AN789" s="45"/>
    </row>
    <row r="790" spans="1:40" hidden="1" outlineLevel="3" x14ac:dyDescent="0.25">
      <c r="A790" s="45"/>
      <c r="B790" s="54"/>
      <c r="C790" s="47">
        <f t="shared" ref="C790:C795" si="148">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8"/>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8"/>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48"/>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v>4</v>
      </c>
      <c r="B794" s="54"/>
      <c r="C794" s="47">
        <f t="shared" si="148"/>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f>A794</f>
        <v>4</v>
      </c>
      <c r="B795" s="54"/>
      <c r="C795" s="47">
        <f t="shared" si="148"/>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25">
      <c r="A796" s="45"/>
      <c r="B796" s="54"/>
      <c r="C796" s="47">
        <f t="shared" ref="C796:C819" si="149">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50">U$882</f>
        <v>0.1</v>
      </c>
      <c r="V796" s="261">
        <f t="shared" si="150"/>
        <v>0.1</v>
      </c>
      <c r="W796" s="261">
        <f t="shared" si="150"/>
        <v>0.1</v>
      </c>
      <c r="X796" s="261">
        <f t="shared" si="150"/>
        <v>0.1</v>
      </c>
      <c r="Y796" s="261">
        <f t="shared" si="150"/>
        <v>0.1</v>
      </c>
      <c r="Z796" s="261">
        <f t="shared" si="150"/>
        <v>0.1</v>
      </c>
      <c r="AA796" s="261">
        <f t="shared" si="150"/>
        <v>0.1</v>
      </c>
      <c r="AB796" s="261">
        <f t="shared" si="150"/>
        <v>0.1</v>
      </c>
      <c r="AC796" s="261">
        <f t="shared" si="150"/>
        <v>0.1</v>
      </c>
      <c r="AD796" s="261">
        <f t="shared" si="150"/>
        <v>0.1</v>
      </c>
      <c r="AE796" s="76"/>
      <c r="AF796" s="76" t="s">
        <v>1355</v>
      </c>
      <c r="AG796" s="76"/>
      <c r="AH796" s="261">
        <f>AH$882</f>
        <v>1</v>
      </c>
      <c r="AI796" s="261">
        <f>AI$882</f>
        <v>1</v>
      </c>
      <c r="AJ796" s="73"/>
      <c r="AK796" s="57"/>
      <c r="AL796" s="45"/>
      <c r="AM796" s="45"/>
      <c r="AN796" s="45"/>
    </row>
    <row r="797" spans="1:40" hidden="1" outlineLevel="2" x14ac:dyDescent="0.25">
      <c r="A797" s="45"/>
      <c r="B797" s="54"/>
      <c r="C797" s="47">
        <f t="shared" si="149"/>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51">U$883</f>
        <v>8.5000000000000006E-2</v>
      </c>
      <c r="V797" s="261">
        <f t="shared" si="151"/>
        <v>8.5000000000000006E-2</v>
      </c>
      <c r="W797" s="261">
        <f t="shared" si="151"/>
        <v>8.5000000000000006E-2</v>
      </c>
      <c r="X797" s="261">
        <f t="shared" si="151"/>
        <v>8.5000000000000006E-2</v>
      </c>
      <c r="Y797" s="261">
        <f t="shared" si="151"/>
        <v>8.5000000000000006E-2</v>
      </c>
      <c r="Z797" s="261">
        <f t="shared" si="151"/>
        <v>8.5000000000000006E-2</v>
      </c>
      <c r="AA797" s="261">
        <f t="shared" si="151"/>
        <v>8.5000000000000006E-2</v>
      </c>
      <c r="AB797" s="261">
        <f t="shared" si="151"/>
        <v>8.5000000000000006E-2</v>
      </c>
      <c r="AC797" s="261">
        <f t="shared" si="151"/>
        <v>8.5000000000000006E-2</v>
      </c>
      <c r="AD797" s="261">
        <f t="shared" si="151"/>
        <v>8.5000000000000006E-2</v>
      </c>
      <c r="AE797" s="76"/>
      <c r="AF797" s="76"/>
      <c r="AG797" s="76"/>
      <c r="AH797" s="261">
        <f>AH$883</f>
        <v>1</v>
      </c>
      <c r="AI797" s="261">
        <f>AI$883</f>
        <v>1</v>
      </c>
      <c r="AJ797" s="73"/>
      <c r="AK797" s="57"/>
      <c r="AL797" s="45"/>
      <c r="AM797" s="45"/>
      <c r="AN797" s="45"/>
    </row>
    <row r="798" spans="1:40" hidden="1" outlineLevel="2" x14ac:dyDescent="0.25">
      <c r="A798" s="45"/>
      <c r="B798" s="54"/>
      <c r="C798" s="47">
        <f t="shared" si="149"/>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52">U$884</f>
        <v>7.0000000000000007E-2</v>
      </c>
      <c r="V798" s="261">
        <f t="shared" si="152"/>
        <v>7.0000000000000007E-2</v>
      </c>
      <c r="W798" s="261">
        <f t="shared" si="152"/>
        <v>7.0000000000000007E-2</v>
      </c>
      <c r="X798" s="261">
        <f t="shared" si="152"/>
        <v>7.0000000000000007E-2</v>
      </c>
      <c r="Y798" s="261">
        <f t="shared" si="152"/>
        <v>7.0000000000000007E-2</v>
      </c>
      <c r="Z798" s="261">
        <f t="shared" si="152"/>
        <v>7.0000000000000007E-2</v>
      </c>
      <c r="AA798" s="261">
        <f t="shared" si="152"/>
        <v>7.0000000000000007E-2</v>
      </c>
      <c r="AB798" s="261">
        <f t="shared" si="152"/>
        <v>7.0000000000000007E-2</v>
      </c>
      <c r="AC798" s="261">
        <f t="shared" si="152"/>
        <v>7.0000000000000007E-2</v>
      </c>
      <c r="AD798" s="261">
        <f t="shared" si="152"/>
        <v>7.0000000000000007E-2</v>
      </c>
      <c r="AE798" s="76"/>
      <c r="AF798" s="76"/>
      <c r="AG798" s="76"/>
      <c r="AH798" s="261">
        <f>AH$884</f>
        <v>1</v>
      </c>
      <c r="AI798" s="261">
        <f>AI$884</f>
        <v>1</v>
      </c>
      <c r="AJ798" s="73"/>
      <c r="AK798" s="57"/>
      <c r="AL798" s="45"/>
      <c r="AM798" s="45"/>
      <c r="AN798" s="45"/>
    </row>
    <row r="799" spans="1:40" hidden="1" outlineLevel="2" x14ac:dyDescent="0.25">
      <c r="A799" s="45"/>
      <c r="B799" s="54"/>
      <c r="C799" s="47">
        <f t="shared" si="149"/>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53">U$883</f>
        <v>8.5000000000000006E-2</v>
      </c>
      <c r="V799" s="261">
        <f t="shared" si="153"/>
        <v>8.5000000000000006E-2</v>
      </c>
      <c r="W799" s="261">
        <f t="shared" si="153"/>
        <v>8.5000000000000006E-2</v>
      </c>
      <c r="X799" s="261">
        <f t="shared" si="153"/>
        <v>8.5000000000000006E-2</v>
      </c>
      <c r="Y799" s="261">
        <f t="shared" si="153"/>
        <v>8.5000000000000006E-2</v>
      </c>
      <c r="Z799" s="261">
        <f t="shared" si="153"/>
        <v>8.5000000000000006E-2</v>
      </c>
      <c r="AA799" s="261">
        <f t="shared" si="153"/>
        <v>8.5000000000000006E-2</v>
      </c>
      <c r="AB799" s="261">
        <f t="shared" si="153"/>
        <v>8.5000000000000006E-2</v>
      </c>
      <c r="AC799" s="261">
        <f t="shared" si="153"/>
        <v>8.5000000000000006E-2</v>
      </c>
      <c r="AD799" s="261">
        <f t="shared" si="153"/>
        <v>8.5000000000000006E-2</v>
      </c>
      <c r="AE799" s="76"/>
      <c r="AF799" s="76"/>
      <c r="AG799" s="76"/>
      <c r="AH799" s="261">
        <f>AH$883</f>
        <v>1</v>
      </c>
      <c r="AI799" s="261">
        <f>AI$883</f>
        <v>1</v>
      </c>
      <c r="AJ799" s="73"/>
      <c r="AK799" s="57"/>
      <c r="AL799" s="45"/>
      <c r="AM799" s="45"/>
      <c r="AN799" s="45"/>
    </row>
    <row r="800" spans="1:40" hidden="1" outlineLevel="2" x14ac:dyDescent="0.25">
      <c r="A800" s="45">
        <v>4</v>
      </c>
      <c r="B800" s="54"/>
      <c r="C800" s="47">
        <f t="shared" si="149"/>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4">U$884</f>
        <v>7.0000000000000007E-2</v>
      </c>
      <c r="V800" s="261">
        <f t="shared" si="154"/>
        <v>7.0000000000000007E-2</v>
      </c>
      <c r="W800" s="261">
        <f t="shared" si="154"/>
        <v>7.0000000000000007E-2</v>
      </c>
      <c r="X800" s="261">
        <f t="shared" si="154"/>
        <v>7.0000000000000007E-2</v>
      </c>
      <c r="Y800" s="261">
        <f t="shared" si="154"/>
        <v>7.0000000000000007E-2</v>
      </c>
      <c r="Z800" s="261">
        <f t="shared" si="154"/>
        <v>7.0000000000000007E-2</v>
      </c>
      <c r="AA800" s="261">
        <f t="shared" si="154"/>
        <v>7.0000000000000007E-2</v>
      </c>
      <c r="AB800" s="261">
        <f t="shared" si="154"/>
        <v>7.0000000000000007E-2</v>
      </c>
      <c r="AC800" s="261">
        <f t="shared" si="154"/>
        <v>7.0000000000000007E-2</v>
      </c>
      <c r="AD800" s="261">
        <f t="shared" si="154"/>
        <v>7.0000000000000007E-2</v>
      </c>
      <c r="AE800" s="76"/>
      <c r="AF800" s="76"/>
      <c r="AG800" s="76"/>
      <c r="AH800" s="261">
        <f>AH$884</f>
        <v>1</v>
      </c>
      <c r="AI800" s="261">
        <f>AI$884</f>
        <v>1</v>
      </c>
      <c r="AJ800" s="73"/>
      <c r="AK800" s="57"/>
      <c r="AL800" s="45"/>
      <c r="AM800" s="45"/>
      <c r="AN800" s="45"/>
    </row>
    <row r="801" spans="1:40" hidden="1" outlineLevel="2" x14ac:dyDescent="0.25">
      <c r="A801" s="45">
        <f>A800</f>
        <v>4</v>
      </c>
      <c r="B801" s="54"/>
      <c r="C801" s="47">
        <f t="shared" si="149"/>
        <v>3</v>
      </c>
      <c r="D801" s="73"/>
      <c r="E801" s="70"/>
      <c r="F801" s="70" t="s">
        <v>1430</v>
      </c>
      <c r="G801" s="73"/>
      <c r="H801" s="76" t="s">
        <v>1431</v>
      </c>
      <c r="I801" s="96"/>
      <c r="J801" s="96" t="s">
        <v>1172</v>
      </c>
      <c r="K801" s="76"/>
      <c r="L801" s="76"/>
      <c r="M801" s="76"/>
      <c r="N801" s="76"/>
      <c r="O801" s="76"/>
      <c r="P801" s="76"/>
      <c r="Q801" s="76"/>
      <c r="R801" s="76"/>
      <c r="S801" s="76"/>
      <c r="T801" s="76"/>
      <c r="U801" s="261">
        <f t="shared" si="154"/>
        <v>7.0000000000000007E-2</v>
      </c>
      <c r="V801" s="261">
        <f t="shared" si="154"/>
        <v>7.0000000000000007E-2</v>
      </c>
      <c r="W801" s="261">
        <f t="shared" si="154"/>
        <v>7.0000000000000007E-2</v>
      </c>
      <c r="X801" s="261">
        <f t="shared" si="154"/>
        <v>7.0000000000000007E-2</v>
      </c>
      <c r="Y801" s="261">
        <f t="shared" si="154"/>
        <v>7.0000000000000007E-2</v>
      </c>
      <c r="Z801" s="261">
        <f t="shared" si="154"/>
        <v>7.0000000000000007E-2</v>
      </c>
      <c r="AA801" s="261">
        <f t="shared" si="154"/>
        <v>7.0000000000000007E-2</v>
      </c>
      <c r="AB801" s="261">
        <f t="shared" si="154"/>
        <v>7.0000000000000007E-2</v>
      </c>
      <c r="AC801" s="261">
        <f t="shared" si="154"/>
        <v>7.0000000000000007E-2</v>
      </c>
      <c r="AD801" s="261">
        <f t="shared" si="154"/>
        <v>7.0000000000000007E-2</v>
      </c>
      <c r="AE801" s="76"/>
      <c r="AF801" s="76"/>
      <c r="AG801" s="76"/>
      <c r="AH801" s="261">
        <f>AH$884</f>
        <v>1</v>
      </c>
      <c r="AI801" s="261">
        <f>AI$884</f>
        <v>1</v>
      </c>
      <c r="AJ801" s="73"/>
      <c r="AK801" s="57"/>
      <c r="AL801" s="45"/>
      <c r="AM801" s="45"/>
      <c r="AN801" s="45"/>
    </row>
    <row r="802" spans="1:40" hidden="1" outlineLevel="2" x14ac:dyDescent="0.25">
      <c r="A802" s="45"/>
      <c r="B802" s="54"/>
      <c r="C802" s="47">
        <f t="shared" si="149"/>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5">U$886</f>
        <v>0</v>
      </c>
      <c r="V802" s="261">
        <f t="shared" si="155"/>
        <v>0</v>
      </c>
      <c r="W802" s="261">
        <f t="shared" si="155"/>
        <v>0</v>
      </c>
      <c r="X802" s="261">
        <f t="shared" si="155"/>
        <v>0</v>
      </c>
      <c r="Y802" s="261">
        <f t="shared" si="155"/>
        <v>0</v>
      </c>
      <c r="Z802" s="261">
        <f t="shared" si="155"/>
        <v>0</v>
      </c>
      <c r="AA802" s="261">
        <f t="shared" si="155"/>
        <v>0</v>
      </c>
      <c r="AB802" s="261">
        <f t="shared" si="155"/>
        <v>0</v>
      </c>
      <c r="AC802" s="261">
        <f t="shared" si="155"/>
        <v>0</v>
      </c>
      <c r="AD802" s="261">
        <f t="shared" si="155"/>
        <v>0</v>
      </c>
      <c r="AE802" s="76"/>
      <c r="AF802" s="76" t="s">
        <v>1355</v>
      </c>
      <c r="AG802" s="76"/>
      <c r="AH802" s="261">
        <f>AH$886</f>
        <v>1</v>
      </c>
      <c r="AI802" s="261">
        <f>AI$886</f>
        <v>1</v>
      </c>
      <c r="AJ802" s="73"/>
      <c r="AK802" s="57"/>
      <c r="AL802" s="45"/>
      <c r="AM802" s="45"/>
      <c r="AN802" s="45"/>
    </row>
    <row r="803" spans="1:40" hidden="1" outlineLevel="2" x14ac:dyDescent="0.25">
      <c r="A803" s="45"/>
      <c r="B803" s="54"/>
      <c r="C803" s="47">
        <f t="shared" si="149"/>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6">U$887</f>
        <v>-0.95650000000000002</v>
      </c>
      <c r="V803" s="261">
        <f t="shared" si="156"/>
        <v>-0.95650000000000002</v>
      </c>
      <c r="W803" s="261">
        <f t="shared" si="156"/>
        <v>-0.95650000000000002</v>
      </c>
      <c r="X803" s="261">
        <f t="shared" si="156"/>
        <v>-0.95650000000000002</v>
      </c>
      <c r="Y803" s="261">
        <f t="shared" si="156"/>
        <v>-0.95650000000000002</v>
      </c>
      <c r="Z803" s="261">
        <f t="shared" si="156"/>
        <v>-0.95650000000000002</v>
      </c>
      <c r="AA803" s="261">
        <f t="shared" si="156"/>
        <v>-1.0820000000000001</v>
      </c>
      <c r="AB803" s="261">
        <f t="shared" si="156"/>
        <v>-1.0820000000000001</v>
      </c>
      <c r="AC803" s="261">
        <f t="shared" si="156"/>
        <v>-1.0820000000000001</v>
      </c>
      <c r="AD803" s="261">
        <f t="shared" si="156"/>
        <v>-1.0820000000000001</v>
      </c>
      <c r="AE803" s="76"/>
      <c r="AF803" s="76"/>
      <c r="AG803" s="76"/>
      <c r="AH803" s="261">
        <f>AH$887</f>
        <v>1</v>
      </c>
      <c r="AI803" s="261">
        <f>AI$887</f>
        <v>1</v>
      </c>
      <c r="AJ803" s="73"/>
      <c r="AK803" s="57"/>
      <c r="AL803" s="45"/>
      <c r="AM803" s="45"/>
      <c r="AN803" s="45"/>
    </row>
    <row r="804" spans="1:40" hidden="1" outlineLevel="2" x14ac:dyDescent="0.25">
      <c r="A804" s="45"/>
      <c r="B804" s="54"/>
      <c r="C804" s="47">
        <f t="shared" si="149"/>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7">U$888</f>
        <v>-1.7614000000000001</v>
      </c>
      <c r="V804" s="261">
        <f t="shared" si="157"/>
        <v>-1.7614000000000001</v>
      </c>
      <c r="W804" s="261">
        <f t="shared" si="157"/>
        <v>-1.7614000000000001</v>
      </c>
      <c r="X804" s="261">
        <f t="shared" si="157"/>
        <v>-1.7614000000000001</v>
      </c>
      <c r="Y804" s="261">
        <f t="shared" si="157"/>
        <v>-1.7614000000000001</v>
      </c>
      <c r="Z804" s="261">
        <f t="shared" si="157"/>
        <v>-1.7614000000000001</v>
      </c>
      <c r="AA804" s="261">
        <f t="shared" si="157"/>
        <v>-2.0059999999999998</v>
      </c>
      <c r="AB804" s="261">
        <f t="shared" si="157"/>
        <v>-2.0059999999999998</v>
      </c>
      <c r="AC804" s="261">
        <f t="shared" si="157"/>
        <v>-2.0059999999999998</v>
      </c>
      <c r="AD804" s="261">
        <f t="shared" si="157"/>
        <v>-2.0059999999999998</v>
      </c>
      <c r="AE804" s="76"/>
      <c r="AF804" s="76"/>
      <c r="AG804" s="76"/>
      <c r="AH804" s="261">
        <f>AH$888</f>
        <v>1</v>
      </c>
      <c r="AI804" s="261">
        <f>AI$888</f>
        <v>1</v>
      </c>
      <c r="AJ804" s="73"/>
      <c r="AK804" s="57"/>
      <c r="AL804" s="45"/>
      <c r="AM804" s="45"/>
      <c r="AN804" s="45"/>
    </row>
    <row r="805" spans="1:40" hidden="1" outlineLevel="2" x14ac:dyDescent="0.25">
      <c r="A805" s="45"/>
      <c r="B805" s="54"/>
      <c r="C805" s="47">
        <f t="shared" si="149"/>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8">U$887</f>
        <v>-0.95650000000000002</v>
      </c>
      <c r="V805" s="261">
        <f t="shared" si="158"/>
        <v>-0.95650000000000002</v>
      </c>
      <c r="W805" s="261">
        <f t="shared" si="158"/>
        <v>-0.95650000000000002</v>
      </c>
      <c r="X805" s="261">
        <f t="shared" si="158"/>
        <v>-0.95650000000000002</v>
      </c>
      <c r="Y805" s="261">
        <f t="shared" si="158"/>
        <v>-0.95650000000000002</v>
      </c>
      <c r="Z805" s="261">
        <f t="shared" si="158"/>
        <v>-0.95650000000000002</v>
      </c>
      <c r="AA805" s="261">
        <f t="shared" si="158"/>
        <v>-1.0820000000000001</v>
      </c>
      <c r="AB805" s="261">
        <f t="shared" si="158"/>
        <v>-1.0820000000000001</v>
      </c>
      <c r="AC805" s="261">
        <f t="shared" si="158"/>
        <v>-1.0820000000000001</v>
      </c>
      <c r="AD805" s="261">
        <f t="shared" si="158"/>
        <v>-1.0820000000000001</v>
      </c>
      <c r="AE805" s="76"/>
      <c r="AF805" s="76"/>
      <c r="AG805" s="76"/>
      <c r="AH805" s="261">
        <f>AH$887</f>
        <v>1</v>
      </c>
      <c r="AI805" s="261">
        <f>AI$887</f>
        <v>1</v>
      </c>
      <c r="AJ805" s="73"/>
      <c r="AK805" s="57"/>
      <c r="AL805" s="45"/>
      <c r="AM805" s="45"/>
      <c r="AN805" s="45"/>
    </row>
    <row r="806" spans="1:40" hidden="1" outlineLevel="2" x14ac:dyDescent="0.25">
      <c r="A806" s="45">
        <v>4</v>
      </c>
      <c r="B806" s="54"/>
      <c r="C806" s="47">
        <f t="shared" si="149"/>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9">U$888</f>
        <v>-1.7614000000000001</v>
      </c>
      <c r="V806" s="261">
        <f t="shared" si="159"/>
        <v>-1.7614000000000001</v>
      </c>
      <c r="W806" s="261">
        <f t="shared" si="159"/>
        <v>-1.7614000000000001</v>
      </c>
      <c r="X806" s="261">
        <f t="shared" si="159"/>
        <v>-1.7614000000000001</v>
      </c>
      <c r="Y806" s="261">
        <f t="shared" si="159"/>
        <v>-1.7614000000000001</v>
      </c>
      <c r="Z806" s="261">
        <f t="shared" si="159"/>
        <v>-1.7614000000000001</v>
      </c>
      <c r="AA806" s="261">
        <f t="shared" si="159"/>
        <v>-2.0059999999999998</v>
      </c>
      <c r="AB806" s="261">
        <f t="shared" si="159"/>
        <v>-2.0059999999999998</v>
      </c>
      <c r="AC806" s="261">
        <f t="shared" si="159"/>
        <v>-2.0059999999999998</v>
      </c>
      <c r="AD806" s="261">
        <f t="shared" si="159"/>
        <v>-2.0059999999999998</v>
      </c>
      <c r="AE806" s="76"/>
      <c r="AF806" s="76"/>
      <c r="AG806" s="76"/>
      <c r="AH806" s="261">
        <f>AH$888</f>
        <v>1</v>
      </c>
      <c r="AI806" s="261">
        <f>AI$888</f>
        <v>1</v>
      </c>
      <c r="AJ806" s="73"/>
      <c r="AK806" s="57"/>
      <c r="AL806" s="45"/>
      <c r="AM806" s="45"/>
      <c r="AN806" s="45"/>
    </row>
    <row r="807" spans="1:40" hidden="1" outlineLevel="2" x14ac:dyDescent="0.25">
      <c r="A807" s="45">
        <f>A806</f>
        <v>4</v>
      </c>
      <c r="B807" s="54"/>
      <c r="C807" s="47">
        <f t="shared" si="149"/>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9"/>
        <v>-1.7614000000000001</v>
      </c>
      <c r="V807" s="261">
        <f t="shared" si="159"/>
        <v>-1.7614000000000001</v>
      </c>
      <c r="W807" s="261">
        <f t="shared" si="159"/>
        <v>-1.7614000000000001</v>
      </c>
      <c r="X807" s="261">
        <f t="shared" si="159"/>
        <v>-1.7614000000000001</v>
      </c>
      <c r="Y807" s="261">
        <f t="shared" si="159"/>
        <v>-1.7614000000000001</v>
      </c>
      <c r="Z807" s="261">
        <f t="shared" si="159"/>
        <v>-1.7614000000000001</v>
      </c>
      <c r="AA807" s="261">
        <f t="shared" si="159"/>
        <v>-2.0059999999999998</v>
      </c>
      <c r="AB807" s="261">
        <f t="shared" si="159"/>
        <v>-2.0059999999999998</v>
      </c>
      <c r="AC807" s="261">
        <f t="shared" si="159"/>
        <v>-2.0059999999999998</v>
      </c>
      <c r="AD807" s="261">
        <f t="shared" si="159"/>
        <v>-2.0059999999999998</v>
      </c>
      <c r="AE807" s="76"/>
      <c r="AF807" s="76"/>
      <c r="AG807" s="76"/>
      <c r="AH807" s="261">
        <f>AH$888</f>
        <v>1</v>
      </c>
      <c r="AI807" s="261">
        <f>AI$888</f>
        <v>1</v>
      </c>
      <c r="AJ807" s="73"/>
      <c r="AK807" s="57"/>
      <c r="AL807" s="45"/>
      <c r="AM807" s="45"/>
      <c r="AN807" s="45"/>
    </row>
    <row r="808" spans="1:40" hidden="1" outlineLevel="2" x14ac:dyDescent="0.25">
      <c r="A808" s="45"/>
      <c r="B808" s="54"/>
      <c r="C808" s="47">
        <f t="shared" si="149"/>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25">
      <c r="A809" s="45"/>
      <c r="B809" s="54"/>
      <c r="C809" s="47">
        <f t="shared" si="149"/>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60">U809</f>
        <v>-4.9400000000000004</v>
      </c>
      <c r="X809" s="336">
        <f t="shared" si="160"/>
        <v>-4.9400000000000004</v>
      </c>
      <c r="Y809" s="336">
        <f>V809</f>
        <v>-4.9400000000000004</v>
      </c>
      <c r="Z809" s="336">
        <f>AA809</f>
        <v>-6.68</v>
      </c>
      <c r="AA809" s="97">
        <v>-6.68</v>
      </c>
      <c r="AB809" s="255">
        <f t="shared" ref="AB809:AD813" si="161">AA809</f>
        <v>-6.68</v>
      </c>
      <c r="AC809" s="255">
        <f t="shared" si="161"/>
        <v>-6.68</v>
      </c>
      <c r="AD809" s="255">
        <f t="shared" si="161"/>
        <v>-6.68</v>
      </c>
      <c r="AE809" s="76"/>
      <c r="AF809" s="97" t="s">
        <v>2279</v>
      </c>
      <c r="AG809" s="76"/>
      <c r="AH809" s="97">
        <v>1</v>
      </c>
      <c r="AI809" s="97">
        <v>1</v>
      </c>
      <c r="AJ809" s="73"/>
      <c r="AK809" s="57"/>
      <c r="AL809" s="45"/>
      <c r="AM809" s="45"/>
      <c r="AN809" s="45"/>
    </row>
    <row r="810" spans="1:40" hidden="1" outlineLevel="2" x14ac:dyDescent="0.25">
      <c r="A810" s="45"/>
      <c r="B810" s="54"/>
      <c r="C810" s="47">
        <f t="shared" si="149"/>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60"/>
        <v>-6.8171999999999997</v>
      </c>
      <c r="X810" s="336">
        <f t="shared" si="160"/>
        <v>-6.8171999999999997</v>
      </c>
      <c r="Y810" s="336">
        <f>V810</f>
        <v>-6.8171999999999997</v>
      </c>
      <c r="Z810" s="336">
        <f>AA810</f>
        <v>-9.2200000000000006</v>
      </c>
      <c r="AA810" s="97">
        <v>-9.2200000000000006</v>
      </c>
      <c r="AB810" s="255">
        <f t="shared" si="161"/>
        <v>-9.2200000000000006</v>
      </c>
      <c r="AC810" s="255">
        <f t="shared" si="161"/>
        <v>-9.2200000000000006</v>
      </c>
      <c r="AD810" s="255">
        <f t="shared" si="161"/>
        <v>-9.2200000000000006</v>
      </c>
      <c r="AE810" s="76"/>
      <c r="AF810" s="97" t="s">
        <v>2280</v>
      </c>
      <c r="AG810" s="76"/>
      <c r="AH810" s="97">
        <v>1</v>
      </c>
      <c r="AI810" s="97">
        <v>1</v>
      </c>
      <c r="AJ810" s="73"/>
      <c r="AK810" s="57"/>
      <c r="AL810" s="45"/>
      <c r="AM810" s="45"/>
      <c r="AN810" s="45"/>
    </row>
    <row r="811" spans="1:40" hidden="1" outlineLevel="2" x14ac:dyDescent="0.25">
      <c r="A811" s="45"/>
      <c r="B811" s="54"/>
      <c r="C811" s="47">
        <f t="shared" si="149"/>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60"/>
        <v>-1.85</v>
      </c>
      <c r="X811" s="336">
        <f t="shared" si="160"/>
        <v>-1.85</v>
      </c>
      <c r="Y811" s="336">
        <f>V811</f>
        <v>-1.85</v>
      </c>
      <c r="Z811" s="336">
        <f>AA811</f>
        <v>-3.36</v>
      </c>
      <c r="AA811" s="97">
        <v>-3.36</v>
      </c>
      <c r="AB811" s="255">
        <f t="shared" si="161"/>
        <v>-3.36</v>
      </c>
      <c r="AC811" s="255">
        <f t="shared" si="161"/>
        <v>-3.36</v>
      </c>
      <c r="AD811" s="255">
        <f t="shared" si="161"/>
        <v>-3.36</v>
      </c>
      <c r="AE811" s="76"/>
      <c r="AF811" s="97" t="s">
        <v>2281</v>
      </c>
      <c r="AG811" s="76"/>
      <c r="AH811" s="97">
        <v>1</v>
      </c>
      <c r="AI811" s="97">
        <v>1</v>
      </c>
      <c r="AJ811" s="73"/>
      <c r="AK811" s="57"/>
      <c r="AL811" s="45"/>
      <c r="AM811" s="45"/>
      <c r="AN811" s="45"/>
    </row>
    <row r="812" spans="1:40" hidden="1" outlineLevel="2" x14ac:dyDescent="0.25">
      <c r="A812" s="45">
        <v>4</v>
      </c>
      <c r="B812" s="54"/>
      <c r="C812" s="47">
        <f t="shared" si="149"/>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60"/>
        <v>-6.1627488000000001</v>
      </c>
      <c r="X812" s="336">
        <f t="shared" si="160"/>
        <v>-6.1627488000000001</v>
      </c>
      <c r="Y812" s="336">
        <f>V812</f>
        <v>-6.1627488000000001</v>
      </c>
      <c r="Z812" s="336">
        <f>AA812</f>
        <v>-8.33</v>
      </c>
      <c r="AA812" s="97">
        <v>-8.33</v>
      </c>
      <c r="AB812" s="255">
        <f t="shared" si="161"/>
        <v>-8.33</v>
      </c>
      <c r="AC812" s="255">
        <f t="shared" si="161"/>
        <v>-8.33</v>
      </c>
      <c r="AD812" s="255">
        <f t="shared" si="161"/>
        <v>-8.33</v>
      </c>
      <c r="AE812" s="76"/>
      <c r="AF812" s="97"/>
      <c r="AG812" s="76"/>
      <c r="AH812" s="97">
        <v>1</v>
      </c>
      <c r="AI812" s="97">
        <v>1</v>
      </c>
      <c r="AJ812" s="73"/>
      <c r="AK812" s="57"/>
      <c r="AL812" s="45"/>
      <c r="AM812" s="45"/>
      <c r="AN812" s="45"/>
    </row>
    <row r="813" spans="1:40" hidden="1" outlineLevel="2" x14ac:dyDescent="0.25">
      <c r="A813" s="45">
        <f>A812</f>
        <v>4</v>
      </c>
      <c r="B813" s="54"/>
      <c r="C813" s="47">
        <f t="shared" si="149"/>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60"/>
        <v>-3.7835460000000003</v>
      </c>
      <c r="X813" s="336">
        <f t="shared" si="160"/>
        <v>-3.7835460000000003</v>
      </c>
      <c r="Y813" s="336">
        <f>V813</f>
        <v>-3.7835460000000003</v>
      </c>
      <c r="Z813" s="336">
        <f>AA813</f>
        <v>-5.1100000000000003</v>
      </c>
      <c r="AA813" s="97">
        <v>-5.1100000000000003</v>
      </c>
      <c r="AB813" s="255">
        <f t="shared" si="161"/>
        <v>-5.1100000000000003</v>
      </c>
      <c r="AC813" s="255">
        <f t="shared" si="161"/>
        <v>-5.1100000000000003</v>
      </c>
      <c r="AD813" s="255">
        <f t="shared" si="161"/>
        <v>-5.1100000000000003</v>
      </c>
      <c r="AE813" s="76"/>
      <c r="AF813" s="97"/>
      <c r="AG813" s="76"/>
      <c r="AH813" s="97">
        <v>1</v>
      </c>
      <c r="AI813" s="97">
        <v>1</v>
      </c>
      <c r="AJ813" s="73"/>
      <c r="AK813" s="57"/>
      <c r="AL813" s="45"/>
      <c r="AM813" s="45"/>
      <c r="AN813" s="45"/>
    </row>
    <row r="814" spans="1:40" hidden="1" outlineLevel="2" x14ac:dyDescent="0.25">
      <c r="A814" s="45"/>
      <c r="B814" s="54"/>
      <c r="C814" s="47">
        <f t="shared" si="149"/>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25">
      <c r="A815" s="45"/>
      <c r="B815" s="54"/>
      <c r="C815" s="47">
        <f t="shared" si="149"/>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25">
      <c r="A816" s="45"/>
      <c r="B816" s="54"/>
      <c r="C816" s="47">
        <f t="shared" si="149"/>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62">U815</f>
        <v>-5.2299999999999999E-2</v>
      </c>
      <c r="V816" s="261">
        <f t="shared" si="162"/>
        <v>-5.2299999999999999E-2</v>
      </c>
      <c r="W816" s="261">
        <f t="shared" si="162"/>
        <v>-5.2299999999999999E-2</v>
      </c>
      <c r="X816" s="261">
        <f t="shared" si="162"/>
        <v>-5.2299999999999999E-2</v>
      </c>
      <c r="Y816" s="261">
        <f t="shared" si="162"/>
        <v>-5.2299999999999999E-2</v>
      </c>
      <c r="Z816" s="261">
        <f t="shared" si="162"/>
        <v>-5.2299999999999999E-2</v>
      </c>
      <c r="AA816" s="261">
        <f t="shared" si="162"/>
        <v>-5.2299999999999999E-2</v>
      </c>
      <c r="AB816" s="261">
        <f t="shared" si="162"/>
        <v>-5.2299999999999999E-2</v>
      </c>
      <c r="AC816" s="261">
        <f t="shared" si="162"/>
        <v>-5.2299999999999999E-2</v>
      </c>
      <c r="AD816" s="261">
        <f t="shared" si="162"/>
        <v>-5.2299999999999999E-2</v>
      </c>
      <c r="AE816" s="76"/>
      <c r="AF816" s="97" t="s">
        <v>1450</v>
      </c>
      <c r="AG816" s="76"/>
      <c r="AH816" s="97">
        <v>1</v>
      </c>
      <c r="AI816" s="97">
        <v>1</v>
      </c>
      <c r="AJ816" s="73"/>
      <c r="AK816" s="57"/>
      <c r="AL816" s="45"/>
      <c r="AM816" s="45"/>
      <c r="AN816" s="45"/>
    </row>
    <row r="817" spans="1:40" hidden="1" outlineLevel="2" x14ac:dyDescent="0.25">
      <c r="A817" s="45"/>
      <c r="B817" s="54"/>
      <c r="C817" s="47">
        <f t="shared" si="149"/>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25">
      <c r="A818" s="45">
        <v>4</v>
      </c>
      <c r="B818" s="54"/>
      <c r="C818" s="47">
        <f t="shared" si="149"/>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63">U817</f>
        <v>-1.0699999999999999E-2</v>
      </c>
      <c r="V818" s="261">
        <f t="shared" si="163"/>
        <v>-1.0699999999999999E-2</v>
      </c>
      <c r="W818" s="261">
        <f t="shared" si="163"/>
        <v>-1.0699999999999999E-2</v>
      </c>
      <c r="X818" s="261">
        <f t="shared" si="163"/>
        <v>-1.0699999999999999E-2</v>
      </c>
      <c r="Y818" s="261">
        <f t="shared" si="163"/>
        <v>-1.0699999999999999E-2</v>
      </c>
      <c r="Z818" s="261">
        <f t="shared" si="163"/>
        <v>-1.0699999999999999E-2</v>
      </c>
      <c r="AA818" s="261">
        <f t="shared" si="163"/>
        <v>-1.0699999999999999E-2</v>
      </c>
      <c r="AB818" s="261">
        <f t="shared" si="163"/>
        <v>-1.0699999999999999E-2</v>
      </c>
      <c r="AC818" s="261">
        <f t="shared" si="163"/>
        <v>-1.0699999999999999E-2</v>
      </c>
      <c r="AD818" s="261">
        <f t="shared" si="163"/>
        <v>-1.0699999999999999E-2</v>
      </c>
      <c r="AE818" s="76"/>
      <c r="AF818" s="97"/>
      <c r="AG818" s="76"/>
      <c r="AH818" s="97">
        <v>1</v>
      </c>
      <c r="AI818" s="97">
        <v>1</v>
      </c>
      <c r="AJ818" s="73"/>
      <c r="AK818" s="57"/>
      <c r="AL818" s="45"/>
      <c r="AM818" s="45"/>
      <c r="AN818" s="45"/>
    </row>
    <row r="819" spans="1:40" hidden="1" outlineLevel="2" x14ac:dyDescent="0.25">
      <c r="A819" s="45">
        <f>A818</f>
        <v>4</v>
      </c>
      <c r="B819" s="54"/>
      <c r="C819" s="47">
        <f t="shared" si="149"/>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63"/>
        <v>-1.0699999999999999E-2</v>
      </c>
      <c r="V819" s="261">
        <f t="shared" si="163"/>
        <v>-1.0699999999999999E-2</v>
      </c>
      <c r="W819" s="261">
        <f t="shared" si="163"/>
        <v>-1.0699999999999999E-2</v>
      </c>
      <c r="X819" s="261">
        <f t="shared" si="163"/>
        <v>-1.0699999999999999E-2</v>
      </c>
      <c r="Y819" s="261">
        <f t="shared" si="163"/>
        <v>-1.0699999999999999E-2</v>
      </c>
      <c r="Z819" s="261">
        <f t="shared" si="163"/>
        <v>-1.0699999999999999E-2</v>
      </c>
      <c r="AA819" s="261">
        <f t="shared" si="163"/>
        <v>-1.0699999999999999E-2</v>
      </c>
      <c r="AB819" s="261">
        <f t="shared" si="163"/>
        <v>-1.0699999999999999E-2</v>
      </c>
      <c r="AC819" s="261">
        <f t="shared" si="163"/>
        <v>-1.0699999999999999E-2</v>
      </c>
      <c r="AD819" s="261">
        <f t="shared" si="163"/>
        <v>-1.0699999999999999E-2</v>
      </c>
      <c r="AE819" s="76"/>
      <c r="AF819" s="97"/>
      <c r="AG819" s="76"/>
      <c r="AH819" s="97">
        <v>1</v>
      </c>
      <c r="AI819" s="97">
        <v>1</v>
      </c>
      <c r="AJ819" s="73"/>
      <c r="AK819" s="57"/>
      <c r="AL819" s="45"/>
      <c r="AM819" s="45"/>
      <c r="AN819" s="45"/>
    </row>
    <row r="820" spans="1:40" hidden="1" outlineLevel="1" x14ac:dyDescent="0.2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2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25">
      <c r="A825" s="45"/>
      <c r="B825" s="54"/>
      <c r="C825" s="47">
        <f t="shared" ref="C825:C859" si="164">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25">
      <c r="A826" s="45"/>
      <c r="B826" s="54"/>
      <c r="C826" s="47">
        <f t="shared" si="164"/>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5">0.34/2</f>
        <v>0.17</v>
      </c>
      <c r="AA826" s="97">
        <f t="shared" si="165"/>
        <v>0.17</v>
      </c>
      <c r="AB826" s="97">
        <f t="shared" si="165"/>
        <v>0.17</v>
      </c>
      <c r="AC826" s="97">
        <f t="shared" si="165"/>
        <v>0.17</v>
      </c>
      <c r="AD826" s="97">
        <f t="shared" si="165"/>
        <v>0.17</v>
      </c>
      <c r="AE826" s="97">
        <f t="shared" si="165"/>
        <v>0.17</v>
      </c>
      <c r="AF826" s="97" t="s">
        <v>2565</v>
      </c>
      <c r="AG826" s="76"/>
      <c r="AH826" s="97">
        <v>1</v>
      </c>
      <c r="AI826" s="97">
        <v>1</v>
      </c>
      <c r="AJ826" s="73"/>
      <c r="AK826" s="57"/>
      <c r="AL826" s="45"/>
      <c r="AM826" s="45"/>
      <c r="AN826" s="45"/>
    </row>
    <row r="827" spans="1:40" hidden="1" outlineLevel="2" x14ac:dyDescent="0.25">
      <c r="A827" s="45"/>
      <c r="B827" s="54"/>
      <c r="C827" s="47">
        <f t="shared" si="164"/>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6">0.39/2</f>
        <v>0.19500000000000001</v>
      </c>
      <c r="V827" s="97">
        <f t="shared" si="166"/>
        <v>0.19500000000000001</v>
      </c>
      <c r="W827" s="97">
        <f t="shared" si="166"/>
        <v>0.19500000000000001</v>
      </c>
      <c r="X827" s="97">
        <f t="shared" si="166"/>
        <v>0.19500000000000001</v>
      </c>
      <c r="Y827" s="97">
        <f t="shared" si="166"/>
        <v>0.19500000000000001</v>
      </c>
      <c r="Z827" s="97">
        <f t="shared" ref="Z827:AE828" si="167">0.64/2</f>
        <v>0.32</v>
      </c>
      <c r="AA827" s="97">
        <f t="shared" si="167"/>
        <v>0.32</v>
      </c>
      <c r="AB827" s="97">
        <f t="shared" si="167"/>
        <v>0.32</v>
      </c>
      <c r="AC827" s="97">
        <f t="shared" si="167"/>
        <v>0.32</v>
      </c>
      <c r="AD827" s="97">
        <f t="shared" si="167"/>
        <v>0.32</v>
      </c>
      <c r="AE827" s="97">
        <f t="shared" si="167"/>
        <v>0.32</v>
      </c>
      <c r="AF827" s="97" t="s">
        <v>1485</v>
      </c>
      <c r="AG827" s="76"/>
      <c r="AH827" s="97">
        <v>1</v>
      </c>
      <c r="AI827" s="97">
        <v>1</v>
      </c>
      <c r="AJ827" s="73"/>
      <c r="AK827" s="57"/>
      <c r="AL827" s="45"/>
      <c r="AM827" s="45"/>
      <c r="AN827" s="45"/>
    </row>
    <row r="828" spans="1:40" hidden="1" outlineLevel="2" x14ac:dyDescent="0.25">
      <c r="A828" s="45"/>
      <c r="B828" s="54"/>
      <c r="C828" s="47">
        <f t="shared" si="164"/>
        <v>3</v>
      </c>
      <c r="D828" s="73"/>
      <c r="E828" s="70"/>
      <c r="F828" s="70" t="s">
        <v>1488</v>
      </c>
      <c r="G828" s="73"/>
      <c r="H828" s="76" t="s">
        <v>1489</v>
      </c>
      <c r="I828" s="96" t="s">
        <v>502</v>
      </c>
      <c r="J828" s="96"/>
      <c r="K828" s="76"/>
      <c r="L828" s="76"/>
      <c r="M828" s="76"/>
      <c r="N828" s="76"/>
      <c r="O828" s="76"/>
      <c r="P828" s="76"/>
      <c r="Q828" s="76"/>
      <c r="R828" s="76"/>
      <c r="S828" s="76"/>
      <c r="T828" s="76"/>
      <c r="U828" s="97">
        <f t="shared" si="166"/>
        <v>0.19500000000000001</v>
      </c>
      <c r="V828" s="97">
        <f t="shared" si="166"/>
        <v>0.19500000000000001</v>
      </c>
      <c r="W828" s="97">
        <f t="shared" si="166"/>
        <v>0.19500000000000001</v>
      </c>
      <c r="X828" s="97">
        <f t="shared" si="166"/>
        <v>0.19500000000000001</v>
      </c>
      <c r="Y828" s="97">
        <f t="shared" si="166"/>
        <v>0.19500000000000001</v>
      </c>
      <c r="Z828" s="97">
        <f t="shared" si="167"/>
        <v>0.32</v>
      </c>
      <c r="AA828" s="97">
        <f t="shared" si="167"/>
        <v>0.32</v>
      </c>
      <c r="AB828" s="97">
        <f t="shared" si="167"/>
        <v>0.32</v>
      </c>
      <c r="AC828" s="97">
        <f t="shared" si="167"/>
        <v>0.32</v>
      </c>
      <c r="AD828" s="97">
        <f t="shared" si="167"/>
        <v>0.32</v>
      </c>
      <c r="AE828" s="97">
        <f t="shared" si="167"/>
        <v>0.32</v>
      </c>
      <c r="AF828" s="97" t="s">
        <v>1023</v>
      </c>
      <c r="AG828" s="76"/>
      <c r="AH828" s="97">
        <v>1</v>
      </c>
      <c r="AI828" s="97">
        <v>1</v>
      </c>
      <c r="AJ828" s="73"/>
      <c r="AK828" s="57"/>
      <c r="AL828" s="45"/>
      <c r="AM828" s="45"/>
      <c r="AN828" s="45"/>
    </row>
    <row r="829" spans="1:40" hidden="1" outlineLevel="2" x14ac:dyDescent="0.25">
      <c r="A829" s="45"/>
      <c r="B829" s="54"/>
      <c r="C829" s="47">
        <f t="shared" si="164"/>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25">
      <c r="A830" s="45"/>
      <c r="B830" s="54"/>
      <c r="C830" s="47">
        <f t="shared" si="164"/>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25">
      <c r="A831" s="45"/>
      <c r="B831" s="54"/>
      <c r="C831" s="47">
        <f t="shared" si="164"/>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25">
      <c r="A832" s="45"/>
      <c r="B832" s="54"/>
      <c r="C832" s="47">
        <f t="shared" si="164"/>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25">
      <c r="A833" s="45"/>
      <c r="B833" s="54"/>
      <c r="C833" s="47">
        <f t="shared" si="164"/>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25">
      <c r="A834" s="45"/>
      <c r="B834" s="54"/>
      <c r="C834" s="47">
        <f t="shared" si="164"/>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25">
      <c r="A835" s="45"/>
      <c r="B835" s="54"/>
      <c r="C835" s="47">
        <f t="shared" si="164"/>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25">
      <c r="A836" s="45"/>
      <c r="B836" s="54"/>
      <c r="C836" s="47">
        <f t="shared" si="164"/>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25">
      <c r="A837" s="45"/>
      <c r="B837" s="54"/>
      <c r="C837" s="47">
        <f t="shared" si="164"/>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25">
      <c r="A838" s="45"/>
      <c r="B838" s="54"/>
      <c r="C838" s="47">
        <f t="shared" si="164"/>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25">
      <c r="A839" s="45"/>
      <c r="B839" s="54"/>
      <c r="C839" s="47">
        <f t="shared" si="164"/>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8">0.2-(0.2944/2)</f>
        <v>5.2800000000000014E-2</v>
      </c>
      <c r="V839" s="97">
        <f t="shared" si="168"/>
        <v>5.2800000000000014E-2</v>
      </c>
      <c r="W839" s="97">
        <f t="shared" si="168"/>
        <v>5.2800000000000014E-2</v>
      </c>
      <c r="X839" s="97">
        <f t="shared" si="168"/>
        <v>5.2800000000000014E-2</v>
      </c>
      <c r="Y839" s="97">
        <f t="shared" si="168"/>
        <v>5.2800000000000014E-2</v>
      </c>
      <c r="Z839" s="97">
        <f t="shared" si="168"/>
        <v>5.2800000000000014E-2</v>
      </c>
      <c r="AA839" s="97">
        <f t="shared" si="168"/>
        <v>5.2800000000000014E-2</v>
      </c>
      <c r="AB839" s="97">
        <f t="shared" si="168"/>
        <v>5.2800000000000014E-2</v>
      </c>
      <c r="AC839" s="97">
        <f t="shared" si="168"/>
        <v>5.2800000000000014E-2</v>
      </c>
      <c r="AD839" s="97">
        <f t="shared" si="168"/>
        <v>5.2800000000000014E-2</v>
      </c>
      <c r="AE839" s="76"/>
      <c r="AF839" s="97" t="s">
        <v>1516</v>
      </c>
      <c r="AG839" s="76"/>
      <c r="AH839" s="97">
        <v>1</v>
      </c>
      <c r="AI839" s="97">
        <v>1</v>
      </c>
      <c r="AJ839" s="73"/>
      <c r="AK839" s="57"/>
      <c r="AL839" s="45"/>
      <c r="AM839" s="45"/>
      <c r="AN839" s="45"/>
    </row>
    <row r="840" spans="1:40" hidden="1" outlineLevel="2" x14ac:dyDescent="0.25">
      <c r="A840" s="45"/>
      <c r="B840" s="54"/>
      <c r="C840" s="47">
        <f t="shared" si="164"/>
        <v>3</v>
      </c>
      <c r="D840" s="73"/>
      <c r="E840" s="70"/>
      <c r="F840" s="70" t="s">
        <v>1517</v>
      </c>
      <c r="G840" s="73"/>
      <c r="H840" s="76" t="s">
        <v>1518</v>
      </c>
      <c r="I840" s="96" t="s">
        <v>1515</v>
      </c>
      <c r="J840" s="96"/>
      <c r="K840" s="76"/>
      <c r="L840" s="76"/>
      <c r="M840" s="76"/>
      <c r="N840" s="76"/>
      <c r="O840" s="76"/>
      <c r="P840" s="76"/>
      <c r="Q840" s="76"/>
      <c r="R840" s="76"/>
      <c r="S840" s="76"/>
      <c r="T840" s="76"/>
      <c r="U840" s="97">
        <f t="shared" si="168"/>
        <v>5.2800000000000014E-2</v>
      </c>
      <c r="V840" s="97">
        <f t="shared" si="168"/>
        <v>5.2800000000000014E-2</v>
      </c>
      <c r="W840" s="97">
        <f t="shared" si="168"/>
        <v>5.2800000000000014E-2</v>
      </c>
      <c r="X840" s="97">
        <f t="shared" si="168"/>
        <v>5.2800000000000014E-2</v>
      </c>
      <c r="Y840" s="97">
        <f t="shared" si="168"/>
        <v>5.2800000000000014E-2</v>
      </c>
      <c r="Z840" s="97">
        <f t="shared" si="168"/>
        <v>5.2800000000000014E-2</v>
      </c>
      <c r="AA840" s="97">
        <f t="shared" si="168"/>
        <v>5.2800000000000014E-2</v>
      </c>
      <c r="AB840" s="97">
        <f t="shared" si="168"/>
        <v>5.2800000000000014E-2</v>
      </c>
      <c r="AC840" s="97">
        <f t="shared" si="168"/>
        <v>5.2800000000000014E-2</v>
      </c>
      <c r="AD840" s="97">
        <f t="shared" si="168"/>
        <v>5.2800000000000014E-2</v>
      </c>
      <c r="AE840" s="76"/>
      <c r="AF840" s="97" t="s">
        <v>1519</v>
      </c>
      <c r="AG840" s="76"/>
      <c r="AH840" s="97">
        <v>1</v>
      </c>
      <c r="AI840" s="97">
        <v>1</v>
      </c>
      <c r="AJ840" s="73"/>
      <c r="AK840" s="57"/>
      <c r="AL840" s="45"/>
      <c r="AM840" s="45"/>
      <c r="AN840" s="45"/>
    </row>
    <row r="841" spans="1:40" hidden="1" outlineLevel="2" x14ac:dyDescent="0.25">
      <c r="A841" s="45"/>
      <c r="B841" s="54"/>
      <c r="C841" s="47">
        <f t="shared" si="164"/>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25">
      <c r="A842" s="45"/>
      <c r="B842" s="54"/>
      <c r="C842" s="47">
        <f t="shared" si="164"/>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25">
      <c r="A843" s="45"/>
      <c r="B843" s="54"/>
      <c r="C843" s="47">
        <f t="shared" si="164"/>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9">0.2+(0.2944/2)</f>
        <v>0.34720000000000001</v>
      </c>
      <c r="V843" s="97">
        <f t="shared" si="169"/>
        <v>0.34720000000000001</v>
      </c>
      <c r="W843" s="97">
        <f t="shared" si="169"/>
        <v>0.34720000000000001</v>
      </c>
      <c r="X843" s="97">
        <f t="shared" si="169"/>
        <v>0.34720000000000001</v>
      </c>
      <c r="Y843" s="97">
        <f t="shared" si="169"/>
        <v>0.34720000000000001</v>
      </c>
      <c r="Z843" s="97">
        <f t="shared" si="169"/>
        <v>0.34720000000000001</v>
      </c>
      <c r="AA843" s="97">
        <f t="shared" si="169"/>
        <v>0.34720000000000001</v>
      </c>
      <c r="AB843" s="97">
        <f t="shared" si="169"/>
        <v>0.34720000000000001</v>
      </c>
      <c r="AC843" s="97">
        <f t="shared" si="169"/>
        <v>0.34720000000000001</v>
      </c>
      <c r="AD843" s="97">
        <f t="shared" si="169"/>
        <v>0.34720000000000001</v>
      </c>
      <c r="AE843" s="76"/>
      <c r="AF843" s="97" t="s">
        <v>2261</v>
      </c>
      <c r="AG843" s="76"/>
      <c r="AH843" s="97">
        <v>1</v>
      </c>
      <c r="AI843" s="97">
        <v>1</v>
      </c>
      <c r="AJ843" s="73"/>
      <c r="AK843" s="57"/>
      <c r="AL843" s="45"/>
      <c r="AM843" s="45"/>
      <c r="AN843" s="45"/>
    </row>
    <row r="844" spans="1:40" hidden="1" outlineLevel="2" x14ac:dyDescent="0.25">
      <c r="A844" s="45"/>
      <c r="B844" s="54"/>
      <c r="C844" s="47">
        <f t="shared" si="164"/>
        <v>3</v>
      </c>
      <c r="D844" s="73"/>
      <c r="E844" s="70"/>
      <c r="F844" s="70" t="s">
        <v>1525</v>
      </c>
      <c r="G844" s="73"/>
      <c r="H844" s="76" t="s">
        <v>1518</v>
      </c>
      <c r="I844" s="96" t="s">
        <v>1515</v>
      </c>
      <c r="J844" s="96"/>
      <c r="K844" s="76"/>
      <c r="L844" s="76"/>
      <c r="M844" s="76"/>
      <c r="N844" s="76"/>
      <c r="O844" s="76"/>
      <c r="P844" s="76"/>
      <c r="Q844" s="76"/>
      <c r="R844" s="76"/>
      <c r="S844" s="76"/>
      <c r="T844" s="76"/>
      <c r="U844" s="97">
        <f t="shared" si="169"/>
        <v>0.34720000000000001</v>
      </c>
      <c r="V844" s="97">
        <f t="shared" si="169"/>
        <v>0.34720000000000001</v>
      </c>
      <c r="W844" s="97">
        <f t="shared" si="169"/>
        <v>0.34720000000000001</v>
      </c>
      <c r="X844" s="97">
        <f t="shared" si="169"/>
        <v>0.34720000000000001</v>
      </c>
      <c r="Y844" s="97">
        <f t="shared" si="169"/>
        <v>0.34720000000000001</v>
      </c>
      <c r="Z844" s="97">
        <f t="shared" si="169"/>
        <v>0.34720000000000001</v>
      </c>
      <c r="AA844" s="97">
        <f t="shared" si="169"/>
        <v>0.34720000000000001</v>
      </c>
      <c r="AB844" s="97">
        <f t="shared" si="169"/>
        <v>0.34720000000000001</v>
      </c>
      <c r="AC844" s="97">
        <f t="shared" si="169"/>
        <v>0.34720000000000001</v>
      </c>
      <c r="AD844" s="97">
        <f t="shared" si="169"/>
        <v>0.34720000000000001</v>
      </c>
      <c r="AE844" s="76"/>
      <c r="AF844" s="97" t="s">
        <v>2262</v>
      </c>
      <c r="AG844" s="76"/>
      <c r="AH844" s="97">
        <v>1</v>
      </c>
      <c r="AI844" s="97">
        <v>1</v>
      </c>
      <c r="AJ844" s="73"/>
      <c r="AK844" s="57"/>
      <c r="AL844" s="45"/>
      <c r="AM844" s="45"/>
      <c r="AN844" s="45"/>
    </row>
    <row r="845" spans="1:40" hidden="1" outlineLevel="2" x14ac:dyDescent="0.25">
      <c r="A845" s="45"/>
      <c r="B845" s="54"/>
      <c r="C845" s="47">
        <f t="shared" si="164"/>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25">
      <c r="A846" s="45"/>
      <c r="B846" s="54"/>
      <c r="C846" s="47">
        <f t="shared" si="164"/>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25">
      <c r="A847" s="45"/>
      <c r="B847" s="54"/>
      <c r="C847" s="47">
        <f t="shared" si="164"/>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25">
      <c r="A848" s="45"/>
      <c r="B848" s="54"/>
      <c r="C848" s="47">
        <f t="shared" si="164"/>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25">
      <c r="A849" s="45"/>
      <c r="B849" s="54"/>
      <c r="C849" s="47">
        <f t="shared" si="164"/>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25">
      <c r="A850" s="45"/>
      <c r="B850" s="54"/>
      <c r="C850" s="47">
        <f t="shared" si="164"/>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25">
      <c r="A851" s="45"/>
      <c r="B851" s="54"/>
      <c r="C851" s="47">
        <f t="shared" si="164"/>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25">
      <c r="A852" s="45"/>
      <c r="B852" s="54"/>
      <c r="C852" s="47">
        <f t="shared" si="164"/>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25">
      <c r="A853" s="45"/>
      <c r="B853" s="54"/>
      <c r="C853" s="47">
        <f t="shared" si="164"/>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25">
      <c r="A854" s="45"/>
      <c r="B854" s="54"/>
      <c r="C854" s="47">
        <f t="shared" si="164"/>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70">AA854</f>
        <v>0</v>
      </c>
      <c r="AC854" s="255">
        <f t="shared" si="170"/>
        <v>0</v>
      </c>
      <c r="AD854" s="255">
        <f t="shared" si="170"/>
        <v>0</v>
      </c>
      <c r="AE854" s="76"/>
      <c r="AF854" s="97" t="s">
        <v>2561</v>
      </c>
      <c r="AG854" s="76"/>
      <c r="AH854" s="97">
        <v>1</v>
      </c>
      <c r="AI854" s="97">
        <v>1</v>
      </c>
      <c r="AJ854" s="73"/>
      <c r="AK854" s="57"/>
      <c r="AL854" s="45"/>
      <c r="AM854" s="45"/>
      <c r="AN854" s="45"/>
    </row>
    <row r="855" spans="1:40" hidden="1" outlineLevel="2" x14ac:dyDescent="0.25">
      <c r="A855" s="45"/>
      <c r="B855" s="54"/>
      <c r="C855" s="47">
        <f t="shared" si="164"/>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255">
        <f t="shared" ref="W855:X855" si="171">V855</f>
        <v>-0.71226</v>
      </c>
      <c r="X855" s="255">
        <f t="shared" si="171"/>
        <v>-0.71226</v>
      </c>
      <c r="Y855" s="255">
        <f>V855</f>
        <v>-0.71226</v>
      </c>
      <c r="Z855" s="255">
        <f>AA855</f>
        <v>-0.21895000000000001</v>
      </c>
      <c r="AA855" s="97">
        <v>-0.21895000000000001</v>
      </c>
      <c r="AB855" s="255">
        <f t="shared" si="170"/>
        <v>-0.21895000000000001</v>
      </c>
      <c r="AC855" s="255">
        <f t="shared" si="170"/>
        <v>-0.21895000000000001</v>
      </c>
      <c r="AD855" s="255">
        <f t="shared" si="170"/>
        <v>-0.21895000000000001</v>
      </c>
      <c r="AE855" s="76"/>
      <c r="AF855" s="76"/>
      <c r="AG855" s="76"/>
      <c r="AH855" s="97">
        <v>1</v>
      </c>
      <c r="AI855" s="97">
        <v>1</v>
      </c>
      <c r="AJ855" s="73"/>
      <c r="AK855" s="57"/>
      <c r="AL855" s="45"/>
      <c r="AM855" s="45"/>
      <c r="AN855" s="45"/>
    </row>
    <row r="856" spans="1:40" hidden="1" outlineLevel="2" x14ac:dyDescent="0.25">
      <c r="A856" s="45"/>
      <c r="B856" s="54"/>
      <c r="C856" s="47">
        <f t="shared" si="164"/>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70"/>
        <v>-0.37940000000000002</v>
      </c>
      <c r="AC856" s="255">
        <f t="shared" si="170"/>
        <v>-0.37940000000000002</v>
      </c>
      <c r="AD856" s="255">
        <f t="shared" si="170"/>
        <v>-0.37940000000000002</v>
      </c>
      <c r="AE856" s="76"/>
      <c r="AF856" s="76"/>
      <c r="AG856" s="76"/>
      <c r="AH856" s="97">
        <v>1</v>
      </c>
      <c r="AI856" s="97">
        <v>1</v>
      </c>
      <c r="AJ856" s="73"/>
      <c r="AK856" s="57"/>
      <c r="AL856" s="45"/>
      <c r="AM856" s="45"/>
      <c r="AN856" s="45"/>
    </row>
    <row r="857" spans="1:40" hidden="1" outlineLevel="2" x14ac:dyDescent="0.25">
      <c r="A857" s="45"/>
      <c r="B857" s="54"/>
      <c r="C857" s="47">
        <f t="shared" si="164"/>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25">
      <c r="A858" s="45"/>
      <c r="B858" s="54"/>
      <c r="C858" s="47">
        <f t="shared" si="164"/>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72">U858</f>
        <v>-1.1100000000000001E-3</v>
      </c>
      <c r="X858" s="255">
        <f t="shared" si="172"/>
        <v>-1.1100000000000001E-3</v>
      </c>
      <c r="Y858" s="255">
        <f>V858</f>
        <v>-1.1100000000000001E-3</v>
      </c>
      <c r="Z858" s="255">
        <f>AA858</f>
        <v>-1.5499999999999999E-3</v>
      </c>
      <c r="AA858" s="97">
        <v>-1.5499999999999999E-3</v>
      </c>
      <c r="AB858" s="255">
        <f t="shared" ref="AB858:AD860" si="173">AA858</f>
        <v>-1.5499999999999999E-3</v>
      </c>
      <c r="AC858" s="255">
        <f t="shared" si="173"/>
        <v>-1.5499999999999999E-3</v>
      </c>
      <c r="AD858" s="255">
        <f t="shared" si="173"/>
        <v>-1.5499999999999999E-3</v>
      </c>
      <c r="AE858" s="76"/>
      <c r="AF858" s="97" t="s">
        <v>2712</v>
      </c>
      <c r="AG858" s="76"/>
      <c r="AH858" s="76">
        <v>1</v>
      </c>
      <c r="AI858" s="76">
        <v>1</v>
      </c>
      <c r="AJ858" s="73"/>
      <c r="AK858" s="57"/>
      <c r="AL858" s="45"/>
      <c r="AM858" s="45"/>
      <c r="AN858" s="45"/>
    </row>
    <row r="859" spans="1:40" hidden="1" outlineLevel="2" x14ac:dyDescent="0.25">
      <c r="A859" s="45"/>
      <c r="B859" s="54"/>
      <c r="C859" s="47">
        <f t="shared" si="164"/>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72"/>
        <v>-1.5E-3</v>
      </c>
      <c r="X859" s="255">
        <f t="shared" si="172"/>
        <v>-1.5E-3</v>
      </c>
      <c r="Y859" s="255">
        <f>V859</f>
        <v>-1.5E-3</v>
      </c>
      <c r="Z859" s="255">
        <f>AA859</f>
        <v>-2.1250000000000002E-3</v>
      </c>
      <c r="AA859" s="97">
        <v>-2.1250000000000002E-3</v>
      </c>
      <c r="AB859" s="255">
        <f t="shared" si="173"/>
        <v>-2.1250000000000002E-3</v>
      </c>
      <c r="AC859" s="255">
        <f t="shared" si="173"/>
        <v>-2.1250000000000002E-3</v>
      </c>
      <c r="AD859" s="255">
        <f t="shared" si="173"/>
        <v>-2.1250000000000002E-3</v>
      </c>
      <c r="AE859" s="76"/>
      <c r="AF859" s="97"/>
      <c r="AG859" s="76"/>
      <c r="AH859" s="76">
        <v>1</v>
      </c>
      <c r="AI859" s="76">
        <v>1</v>
      </c>
      <c r="AJ859" s="73"/>
      <c r="AK859" s="57"/>
      <c r="AL859" s="45"/>
      <c r="AM859" s="45"/>
      <c r="AN859" s="45"/>
    </row>
    <row r="860" spans="1:40" hidden="1" outlineLevel="2" x14ac:dyDescent="0.2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72"/>
        <v>-6.8500000000000002E-3</v>
      </c>
      <c r="X860" s="255">
        <f t="shared" si="172"/>
        <v>-6.8500000000000002E-3</v>
      </c>
      <c r="Y860" s="255">
        <f>V860</f>
        <v>-6.8500000000000002E-3</v>
      </c>
      <c r="Z860" s="255">
        <f>AA860</f>
        <v>-8.0300000000000007E-3</v>
      </c>
      <c r="AA860" s="97">
        <v>-8.0300000000000007E-3</v>
      </c>
      <c r="AB860" s="255">
        <f t="shared" si="173"/>
        <v>-8.0300000000000007E-3</v>
      </c>
      <c r="AC860" s="255">
        <f t="shared" si="173"/>
        <v>-8.0300000000000007E-3</v>
      </c>
      <c r="AD860" s="255">
        <f t="shared" si="173"/>
        <v>-8.0300000000000007E-3</v>
      </c>
      <c r="AE860" s="76"/>
      <c r="AF860" s="76"/>
      <c r="AG860" s="76"/>
      <c r="AH860" s="76">
        <v>1</v>
      </c>
      <c r="AI860" s="76">
        <v>1</v>
      </c>
      <c r="AJ860" s="73"/>
      <c r="AK860" s="57"/>
      <c r="AL860" s="45"/>
      <c r="AM860" s="45"/>
      <c r="AN860" s="45"/>
    </row>
    <row r="861" spans="1:40" hidden="1" outlineLevel="2" x14ac:dyDescent="0.2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2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2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collapsed="1" x14ac:dyDescent="0.2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74">U863+($AA851-$AA852)</f>
        <v>1.1000000000000001</v>
      </c>
      <c r="V864" s="97">
        <f t="shared" si="174"/>
        <v>1.1000000000000001</v>
      </c>
      <c r="W864" s="97">
        <f t="shared" si="174"/>
        <v>1.1000000000000001</v>
      </c>
      <c r="X864" s="97">
        <f t="shared" si="174"/>
        <v>1.1000000000000001</v>
      </c>
      <c r="Y864" s="97">
        <f t="shared" si="174"/>
        <v>1.1000000000000001</v>
      </c>
      <c r="Z864" s="97">
        <f t="shared" si="174"/>
        <v>0.82</v>
      </c>
      <c r="AA864" s="97">
        <f t="shared" si="174"/>
        <v>0.82</v>
      </c>
      <c r="AB864" s="97">
        <f t="shared" si="174"/>
        <v>0.82</v>
      </c>
      <c r="AC864" s="97">
        <f t="shared" si="174"/>
        <v>0.82</v>
      </c>
      <c r="AD864" s="97">
        <f t="shared" si="174"/>
        <v>0.82</v>
      </c>
      <c r="AE864" s="76"/>
      <c r="AF864" s="97" t="s">
        <v>2697</v>
      </c>
      <c r="AG864" s="76"/>
      <c r="AH864" s="97">
        <v>1</v>
      </c>
      <c r="AI864" s="97">
        <v>1</v>
      </c>
      <c r="AJ864" s="73"/>
      <c r="AK864" s="57"/>
      <c r="AL864" s="45"/>
      <c r="AM864" s="45"/>
      <c r="AN864" s="45"/>
    </row>
    <row r="865" spans="1:40" hidden="1" outlineLevel="3" x14ac:dyDescent="0.25">
      <c r="A865" s="45"/>
      <c r="B865" s="54"/>
      <c r="C865" s="47">
        <f>INT($C$29)+2</f>
        <v>3</v>
      </c>
      <c r="D865" s="73"/>
      <c r="E865" s="70"/>
      <c r="F865" s="70" t="s">
        <v>1554</v>
      </c>
      <c r="G865" s="73"/>
      <c r="H865" s="76" t="s">
        <v>3813</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ref="C869:C876" si="175">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5"/>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5"/>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5"/>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2" x14ac:dyDescent="0.25">
      <c r="A873" s="45"/>
      <c r="B873" s="54"/>
      <c r="C873" s="47">
        <f t="shared" si="175"/>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2" x14ac:dyDescent="0.25">
      <c r="A874" s="45"/>
      <c r="B874" s="54"/>
      <c r="C874" s="47">
        <f t="shared" si="175"/>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75"/>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75"/>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ref="C877:C945" si="176">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25">
      <c r="A878" s="45"/>
      <c r="B878" s="54"/>
      <c r="C878" s="47">
        <f t="shared" si="176"/>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7">INDEX($K878:$Q878,1,U$43)</f>
        <v>1.5</v>
      </c>
      <c r="V878" s="253">
        <f t="shared" si="177"/>
        <v>1.5</v>
      </c>
      <c r="W878" s="253">
        <f t="shared" si="177"/>
        <v>1.5</v>
      </c>
      <c r="X878" s="253">
        <f t="shared" si="177"/>
        <v>1.5</v>
      </c>
      <c r="Y878" s="253">
        <f t="shared" si="177"/>
        <v>1.5</v>
      </c>
      <c r="Z878" s="253">
        <f t="shared" si="177"/>
        <v>1.5</v>
      </c>
      <c r="AA878" s="253">
        <f t="shared" si="177"/>
        <v>1.5</v>
      </c>
      <c r="AB878" s="253">
        <f t="shared" si="177"/>
        <v>1.5</v>
      </c>
      <c r="AC878" s="253">
        <f t="shared" si="177"/>
        <v>1.5</v>
      </c>
      <c r="AD878" s="253">
        <f t="shared" si="177"/>
        <v>1.5</v>
      </c>
      <c r="AE878" s="76"/>
      <c r="AF878" s="76"/>
      <c r="AG878" s="76"/>
      <c r="AH878" s="97">
        <v>1</v>
      </c>
      <c r="AI878" s="97">
        <v>1</v>
      </c>
      <c r="AJ878" s="73"/>
      <c r="AK878" s="57"/>
      <c r="AL878" s="45"/>
      <c r="AM878" s="45"/>
      <c r="AN878" s="45"/>
    </row>
    <row r="879" spans="1:40" hidden="1" outlineLevel="2" x14ac:dyDescent="0.25">
      <c r="A879" s="45"/>
      <c r="B879" s="54"/>
      <c r="C879" s="47">
        <f t="shared" si="176"/>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7"/>
        <v>1.75</v>
      </c>
      <c r="V879" s="253">
        <f t="shared" si="177"/>
        <v>1.75</v>
      </c>
      <c r="W879" s="253">
        <f t="shared" si="177"/>
        <v>1.75</v>
      </c>
      <c r="X879" s="253">
        <f t="shared" si="177"/>
        <v>1.75</v>
      </c>
      <c r="Y879" s="253">
        <f t="shared" si="177"/>
        <v>1.75</v>
      </c>
      <c r="Z879" s="253">
        <f t="shared" si="177"/>
        <v>1.75</v>
      </c>
      <c r="AA879" s="253">
        <f t="shared" si="177"/>
        <v>1.75</v>
      </c>
      <c r="AB879" s="253">
        <f t="shared" si="177"/>
        <v>1.75</v>
      </c>
      <c r="AC879" s="253">
        <f t="shared" si="177"/>
        <v>1.75</v>
      </c>
      <c r="AD879" s="253">
        <f t="shared" si="177"/>
        <v>1.75</v>
      </c>
      <c r="AE879" s="76"/>
      <c r="AF879" s="76"/>
      <c r="AG879" s="76"/>
      <c r="AH879" s="97">
        <v>1</v>
      </c>
      <c r="AI879" s="97">
        <v>1</v>
      </c>
      <c r="AJ879" s="73"/>
      <c r="AK879" s="57"/>
      <c r="AL879" s="45"/>
      <c r="AM879" s="45"/>
      <c r="AN879" s="45"/>
    </row>
    <row r="880" spans="1:40" hidden="1" outlineLevel="2" x14ac:dyDescent="0.25">
      <c r="A880" s="45"/>
      <c r="B880" s="54"/>
      <c r="C880" s="47">
        <f t="shared" si="176"/>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7"/>
        <v>2</v>
      </c>
      <c r="V880" s="253">
        <f t="shared" si="177"/>
        <v>2</v>
      </c>
      <c r="W880" s="253">
        <f t="shared" si="177"/>
        <v>2</v>
      </c>
      <c r="X880" s="253">
        <f t="shared" si="177"/>
        <v>2</v>
      </c>
      <c r="Y880" s="253">
        <f t="shared" si="177"/>
        <v>2</v>
      </c>
      <c r="Z880" s="253">
        <f t="shared" si="177"/>
        <v>2</v>
      </c>
      <c r="AA880" s="253">
        <f t="shared" si="177"/>
        <v>2</v>
      </c>
      <c r="AB880" s="253">
        <f t="shared" si="177"/>
        <v>2</v>
      </c>
      <c r="AC880" s="253">
        <f t="shared" si="177"/>
        <v>2</v>
      </c>
      <c r="AD880" s="253">
        <f t="shared" si="177"/>
        <v>2</v>
      </c>
      <c r="AE880" s="76"/>
      <c r="AF880" s="76"/>
      <c r="AG880" s="76"/>
      <c r="AH880" s="97">
        <v>1</v>
      </c>
      <c r="AI880" s="97">
        <v>1</v>
      </c>
      <c r="AJ880" s="73"/>
      <c r="AK880" s="57"/>
      <c r="AL880" s="45"/>
      <c r="AM880" s="45"/>
      <c r="AN880" s="45"/>
    </row>
    <row r="881" spans="1:40" hidden="1" outlineLevel="2" x14ac:dyDescent="0.25">
      <c r="A881" s="45"/>
      <c r="B881" s="54"/>
      <c r="C881" s="47">
        <f t="shared" si="176"/>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25">
      <c r="A882" s="45"/>
      <c r="B882" s="54"/>
      <c r="C882" s="47">
        <f t="shared" si="176"/>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8">INDEX($K882:$Q882,1,U$43)</f>
        <v>0.1</v>
      </c>
      <c r="V882" s="253">
        <f t="shared" si="178"/>
        <v>0.1</v>
      </c>
      <c r="W882" s="253">
        <f t="shared" si="178"/>
        <v>0.1</v>
      </c>
      <c r="X882" s="253">
        <f t="shared" si="178"/>
        <v>0.1</v>
      </c>
      <c r="Y882" s="253">
        <f t="shared" si="178"/>
        <v>0.1</v>
      </c>
      <c r="Z882" s="253">
        <f t="shared" si="178"/>
        <v>0.1</v>
      </c>
      <c r="AA882" s="253">
        <f t="shared" si="178"/>
        <v>0.1</v>
      </c>
      <c r="AB882" s="253">
        <f t="shared" si="178"/>
        <v>0.1</v>
      </c>
      <c r="AC882" s="253">
        <f t="shared" si="178"/>
        <v>0.1</v>
      </c>
      <c r="AD882" s="253">
        <f t="shared" si="178"/>
        <v>0.1</v>
      </c>
      <c r="AE882" s="76"/>
      <c r="AF882" s="76"/>
      <c r="AG882" s="76"/>
      <c r="AH882" s="97">
        <v>1</v>
      </c>
      <c r="AI882" s="97">
        <v>1</v>
      </c>
      <c r="AJ882" s="73"/>
      <c r="AK882" s="57"/>
      <c r="AL882" s="45"/>
      <c r="AM882" s="45"/>
      <c r="AN882" s="45"/>
    </row>
    <row r="883" spans="1:40" hidden="1" outlineLevel="2" x14ac:dyDescent="0.25">
      <c r="A883" s="45"/>
      <c r="B883" s="54"/>
      <c r="C883" s="47">
        <f t="shared" si="176"/>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8"/>
        <v>8.5000000000000006E-2</v>
      </c>
      <c r="V883" s="253">
        <f t="shared" si="178"/>
        <v>8.5000000000000006E-2</v>
      </c>
      <c r="W883" s="253">
        <f t="shared" si="178"/>
        <v>8.5000000000000006E-2</v>
      </c>
      <c r="X883" s="253">
        <f t="shared" si="178"/>
        <v>8.5000000000000006E-2</v>
      </c>
      <c r="Y883" s="253">
        <f t="shared" si="178"/>
        <v>8.5000000000000006E-2</v>
      </c>
      <c r="Z883" s="253">
        <f t="shared" si="178"/>
        <v>8.5000000000000006E-2</v>
      </c>
      <c r="AA883" s="253">
        <f t="shared" si="178"/>
        <v>8.5000000000000006E-2</v>
      </c>
      <c r="AB883" s="253">
        <f t="shared" si="178"/>
        <v>8.5000000000000006E-2</v>
      </c>
      <c r="AC883" s="253">
        <f t="shared" si="178"/>
        <v>8.5000000000000006E-2</v>
      </c>
      <c r="AD883" s="253">
        <f t="shared" si="178"/>
        <v>8.5000000000000006E-2</v>
      </c>
      <c r="AE883" s="76"/>
      <c r="AF883" s="76"/>
      <c r="AG883" s="76"/>
      <c r="AH883" s="97">
        <v>1</v>
      </c>
      <c r="AI883" s="97">
        <v>1</v>
      </c>
      <c r="AJ883" s="73"/>
      <c r="AK883" s="57"/>
      <c r="AL883" s="45"/>
      <c r="AM883" s="45"/>
      <c r="AN883" s="45"/>
    </row>
    <row r="884" spans="1:40" hidden="1" outlineLevel="2" x14ac:dyDescent="0.25">
      <c r="A884" s="45"/>
      <c r="B884" s="54"/>
      <c r="C884" s="47">
        <f t="shared" si="176"/>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8"/>
        <v>7.0000000000000007E-2</v>
      </c>
      <c r="V884" s="253">
        <f t="shared" si="178"/>
        <v>7.0000000000000007E-2</v>
      </c>
      <c r="W884" s="253">
        <f t="shared" si="178"/>
        <v>7.0000000000000007E-2</v>
      </c>
      <c r="X884" s="253">
        <f t="shared" si="178"/>
        <v>7.0000000000000007E-2</v>
      </c>
      <c r="Y884" s="253">
        <f t="shared" si="178"/>
        <v>7.0000000000000007E-2</v>
      </c>
      <c r="Z884" s="253">
        <f t="shared" si="178"/>
        <v>7.0000000000000007E-2</v>
      </c>
      <c r="AA884" s="253">
        <f t="shared" si="178"/>
        <v>7.0000000000000007E-2</v>
      </c>
      <c r="AB884" s="253">
        <f t="shared" si="178"/>
        <v>7.0000000000000007E-2</v>
      </c>
      <c r="AC884" s="253">
        <f t="shared" si="178"/>
        <v>7.0000000000000007E-2</v>
      </c>
      <c r="AD884" s="253">
        <f t="shared" si="178"/>
        <v>7.0000000000000007E-2</v>
      </c>
      <c r="AE884" s="76"/>
      <c r="AF884" s="76"/>
      <c r="AG884" s="76"/>
      <c r="AH884" s="97">
        <v>1</v>
      </c>
      <c r="AI884" s="97">
        <v>1</v>
      </c>
      <c r="AJ884" s="73"/>
      <c r="AK884" s="57"/>
      <c r="AL884" s="45"/>
      <c r="AM884" s="45"/>
      <c r="AN884" s="45"/>
    </row>
    <row r="885" spans="1:40" hidden="1" outlineLevel="2" x14ac:dyDescent="0.25">
      <c r="A885" s="45"/>
      <c r="B885" s="54"/>
      <c r="C885" s="47">
        <f t="shared" si="176"/>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25">
      <c r="A886" s="45"/>
      <c r="B886" s="54"/>
      <c r="C886" s="47">
        <f t="shared" si="176"/>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9">U886</f>
        <v>0</v>
      </c>
      <c r="X886" s="255">
        <f t="shared" si="179"/>
        <v>0</v>
      </c>
      <c r="Y886" s="255">
        <f>V886</f>
        <v>0</v>
      </c>
      <c r="Z886" s="255">
        <f>Y886</f>
        <v>0</v>
      </c>
      <c r="AA886" s="97">
        <v>0</v>
      </c>
      <c r="AB886" s="255">
        <f t="shared" ref="AB886:AD888" si="180">AA886</f>
        <v>0</v>
      </c>
      <c r="AC886" s="255">
        <f t="shared" si="180"/>
        <v>0</v>
      </c>
      <c r="AD886" s="255">
        <f t="shared" si="180"/>
        <v>0</v>
      </c>
      <c r="AE886" s="76"/>
      <c r="AF886" s="97" t="s">
        <v>2158</v>
      </c>
      <c r="AG886" s="76"/>
      <c r="AH886" s="97">
        <v>1</v>
      </c>
      <c r="AI886" s="97">
        <v>1</v>
      </c>
      <c r="AJ886" s="73"/>
      <c r="AK886" s="57"/>
      <c r="AL886" s="45"/>
      <c r="AM886" s="45"/>
      <c r="AN886" s="45"/>
    </row>
    <row r="887" spans="1:40" hidden="1" outlineLevel="2" x14ac:dyDescent="0.25">
      <c r="A887" s="45"/>
      <c r="B887" s="54"/>
      <c r="C887" s="47">
        <f t="shared" si="176"/>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9"/>
        <v>-0.95650000000000002</v>
      </c>
      <c r="X887" s="255">
        <f t="shared" si="179"/>
        <v>-0.95650000000000002</v>
      </c>
      <c r="Y887" s="255">
        <f>V887</f>
        <v>-0.95650000000000002</v>
      </c>
      <c r="Z887" s="255">
        <f>Y887</f>
        <v>-0.95650000000000002</v>
      </c>
      <c r="AA887" s="97">
        <v>-1.0820000000000001</v>
      </c>
      <c r="AB887" s="255">
        <f t="shared" si="180"/>
        <v>-1.0820000000000001</v>
      </c>
      <c r="AC887" s="255">
        <f t="shared" si="180"/>
        <v>-1.0820000000000001</v>
      </c>
      <c r="AD887" s="255">
        <f t="shared" si="180"/>
        <v>-1.0820000000000001</v>
      </c>
      <c r="AE887" s="76"/>
      <c r="AF887" s="97"/>
      <c r="AG887" s="76"/>
      <c r="AH887" s="97">
        <v>1</v>
      </c>
      <c r="AI887" s="97">
        <v>1</v>
      </c>
      <c r="AJ887" s="73"/>
      <c r="AK887" s="57"/>
      <c r="AL887" s="45"/>
      <c r="AM887" s="45"/>
      <c r="AN887" s="45"/>
    </row>
    <row r="888" spans="1:40" hidden="1" outlineLevel="2" x14ac:dyDescent="0.25">
      <c r="A888" s="45"/>
      <c r="B888" s="54"/>
      <c r="C888" s="47">
        <f t="shared" si="176"/>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9"/>
        <v>-1.7614000000000001</v>
      </c>
      <c r="X888" s="255">
        <f t="shared" si="179"/>
        <v>-1.7614000000000001</v>
      </c>
      <c r="Y888" s="255">
        <f>V888</f>
        <v>-1.7614000000000001</v>
      </c>
      <c r="Z888" s="255">
        <f>Y888</f>
        <v>-1.7614000000000001</v>
      </c>
      <c r="AA888" s="97">
        <v>-2.0059999999999998</v>
      </c>
      <c r="AB888" s="255">
        <f t="shared" si="180"/>
        <v>-2.0059999999999998</v>
      </c>
      <c r="AC888" s="255">
        <f t="shared" si="180"/>
        <v>-2.0059999999999998</v>
      </c>
      <c r="AD888" s="255">
        <f t="shared" si="180"/>
        <v>-2.0059999999999998</v>
      </c>
      <c r="AE888" s="76"/>
      <c r="AF888" s="97"/>
      <c r="AG888" s="76"/>
      <c r="AH888" s="97">
        <v>1</v>
      </c>
      <c r="AI888" s="97">
        <v>1</v>
      </c>
      <c r="AJ888" s="73"/>
      <c r="AK888" s="57"/>
      <c r="AL888" s="45"/>
      <c r="AM888" s="45"/>
      <c r="AN888" s="45"/>
    </row>
    <row r="889" spans="1:40" hidden="1" outlineLevel="2" x14ac:dyDescent="0.25">
      <c r="A889" s="45"/>
      <c r="B889" s="54"/>
      <c r="C889" s="47">
        <f t="shared" si="176"/>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2" x14ac:dyDescent="0.25">
      <c r="A890" s="45"/>
      <c r="B890" s="54"/>
      <c r="C890" s="47">
        <f t="shared" si="176"/>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2" x14ac:dyDescent="0.25">
      <c r="A891" s="45"/>
      <c r="B891" s="54"/>
      <c r="C891" s="47">
        <f t="shared" si="176"/>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76"/>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76"/>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76"/>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76"/>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collapsed="1" x14ac:dyDescent="0.25">
      <c r="A896" s="45"/>
      <c r="B896" s="54"/>
      <c r="C896" s="47">
        <f t="shared" si="176"/>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6"/>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6"/>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6"/>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6"/>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6"/>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6"/>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6"/>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6"/>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6"/>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6"/>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6"/>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76"/>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25">
      <c r="A909" s="45"/>
      <c r="B909" s="54"/>
      <c r="C909" s="47">
        <f t="shared" si="176"/>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25">
      <c r="A910" s="45"/>
      <c r="B910" s="54"/>
      <c r="C910" s="47">
        <f t="shared" si="176"/>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81">Y910</f>
        <v>0</v>
      </c>
      <c r="AA910" s="255">
        <f t="shared" si="181"/>
        <v>0</v>
      </c>
      <c r="AB910" s="255">
        <f t="shared" si="181"/>
        <v>0</v>
      </c>
      <c r="AC910" s="255">
        <f t="shared" si="181"/>
        <v>0</v>
      </c>
      <c r="AD910" s="255">
        <f t="shared" si="181"/>
        <v>0</v>
      </c>
      <c r="AE910" s="76"/>
      <c r="AF910" s="76"/>
      <c r="AG910" s="76"/>
      <c r="AH910" s="76">
        <v>1</v>
      </c>
      <c r="AI910" s="76">
        <v>1</v>
      </c>
      <c r="AJ910" s="73"/>
      <c r="AK910" s="57"/>
      <c r="AL910" s="45"/>
      <c r="AM910" s="45"/>
      <c r="AN910" s="45"/>
    </row>
    <row r="911" spans="1:40" hidden="1" outlineLevel="2" x14ac:dyDescent="0.25">
      <c r="A911" s="45"/>
      <c r="B911" s="54"/>
      <c r="C911" s="47">
        <f t="shared" si="176"/>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81"/>
        <v>0</v>
      </c>
      <c r="AA911" s="255">
        <f t="shared" si="181"/>
        <v>0</v>
      </c>
      <c r="AB911" s="255">
        <f t="shared" si="181"/>
        <v>0</v>
      </c>
      <c r="AC911" s="255">
        <f t="shared" si="181"/>
        <v>0</v>
      </c>
      <c r="AD911" s="255">
        <f t="shared" si="181"/>
        <v>0</v>
      </c>
      <c r="AE911" s="76"/>
      <c r="AF911" s="76"/>
      <c r="AG911" s="76"/>
      <c r="AH911" s="76">
        <v>1</v>
      </c>
      <c r="AI911" s="76">
        <v>1</v>
      </c>
      <c r="AJ911" s="73"/>
      <c r="AK911" s="57"/>
      <c r="AL911" s="45"/>
      <c r="AM911" s="45"/>
      <c r="AN911" s="45"/>
    </row>
    <row r="912" spans="1:40" hidden="1" outlineLevel="2" x14ac:dyDescent="0.25">
      <c r="A912" s="45"/>
      <c r="B912" s="54"/>
      <c r="C912" s="47">
        <f t="shared" si="176"/>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81"/>
        <v>0</v>
      </c>
      <c r="AA912" s="255">
        <f t="shared" si="181"/>
        <v>0</v>
      </c>
      <c r="AB912" s="255">
        <f t="shared" si="181"/>
        <v>0</v>
      </c>
      <c r="AC912" s="255">
        <f t="shared" si="181"/>
        <v>0</v>
      </c>
      <c r="AD912" s="255">
        <f t="shared" si="181"/>
        <v>0</v>
      </c>
      <c r="AE912" s="76"/>
      <c r="AF912" s="76"/>
      <c r="AG912" s="76"/>
      <c r="AH912" s="76">
        <v>1</v>
      </c>
      <c r="AI912" s="76">
        <v>1</v>
      </c>
      <c r="AJ912" s="73"/>
      <c r="AK912" s="57"/>
      <c r="AL912" s="45"/>
      <c r="AM912" s="45"/>
      <c r="AN912" s="45"/>
    </row>
    <row r="913" spans="1:40" hidden="1" outlineLevel="2" x14ac:dyDescent="0.25">
      <c r="A913" s="45"/>
      <c r="B913" s="54"/>
      <c r="C913" s="47">
        <f t="shared" si="176"/>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25">
      <c r="A914" s="45"/>
      <c r="B914" s="54"/>
      <c r="C914" s="47">
        <f t="shared" si="176"/>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82">U914</f>
        <v>0</v>
      </c>
      <c r="X914" s="255">
        <f t="shared" si="182"/>
        <v>0</v>
      </c>
      <c r="Y914" s="255">
        <f>V914</f>
        <v>0</v>
      </c>
      <c r="Z914" s="255">
        <f>AA914</f>
        <v>-0.4</v>
      </c>
      <c r="AA914" s="97">
        <f>-(0.4)</f>
        <v>-0.4</v>
      </c>
      <c r="AB914" s="255">
        <f t="shared" ref="AB914:AD916" si="183">AA914</f>
        <v>-0.4</v>
      </c>
      <c r="AC914" s="255">
        <f t="shared" si="183"/>
        <v>-0.4</v>
      </c>
      <c r="AD914" s="255">
        <f t="shared" si="183"/>
        <v>-0.4</v>
      </c>
      <c r="AE914" s="76"/>
      <c r="AF914" s="97" t="s">
        <v>2796</v>
      </c>
      <c r="AG914" s="76"/>
      <c r="AH914" s="97">
        <v>1</v>
      </c>
      <c r="AI914" s="97">
        <v>1</v>
      </c>
      <c r="AJ914" s="73"/>
      <c r="AK914" s="57"/>
      <c r="AL914" s="45"/>
      <c r="AM914" s="45"/>
      <c r="AN914" s="45"/>
    </row>
    <row r="915" spans="1:40" hidden="1" outlineLevel="2" x14ac:dyDescent="0.25">
      <c r="A915" s="45"/>
      <c r="B915" s="54"/>
      <c r="C915" s="47">
        <f t="shared" si="176"/>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82"/>
        <v>0.55000000000000004</v>
      </c>
      <c r="X915" s="255">
        <f t="shared" si="182"/>
        <v>0.55000000000000004</v>
      </c>
      <c r="Y915" s="255">
        <f>V915</f>
        <v>0.55000000000000004</v>
      </c>
      <c r="Z915" s="255">
        <f>AA915</f>
        <v>0</v>
      </c>
      <c r="AA915" s="97">
        <v>0</v>
      </c>
      <c r="AB915" s="255">
        <f t="shared" si="183"/>
        <v>0</v>
      </c>
      <c r="AC915" s="255">
        <f t="shared" si="183"/>
        <v>0</v>
      </c>
      <c r="AD915" s="255">
        <f t="shared" si="183"/>
        <v>0</v>
      </c>
      <c r="AE915" s="76"/>
      <c r="AF915" s="76"/>
      <c r="AG915" s="76"/>
      <c r="AH915" s="97">
        <v>1</v>
      </c>
      <c r="AI915" s="97">
        <v>1</v>
      </c>
      <c r="AJ915" s="73"/>
      <c r="AK915" s="57"/>
      <c r="AL915" s="45"/>
      <c r="AM915" s="45"/>
      <c r="AN915" s="45"/>
    </row>
    <row r="916" spans="1:40" hidden="1" outlineLevel="2" x14ac:dyDescent="0.25">
      <c r="A916" s="45"/>
      <c r="B916" s="54"/>
      <c r="C916" s="47">
        <f t="shared" si="176"/>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82"/>
        <v>1.8119000000000001</v>
      </c>
      <c r="X916" s="255">
        <f t="shared" si="182"/>
        <v>1.8119000000000001</v>
      </c>
      <c r="Y916" s="255">
        <f>V916</f>
        <v>1.8119000000000001</v>
      </c>
      <c r="Z916" s="255">
        <f>AA916</f>
        <v>0.65459999999999996</v>
      </c>
      <c r="AA916" s="97">
        <f>-(-0.6546)</f>
        <v>0.65459999999999996</v>
      </c>
      <c r="AB916" s="255">
        <f t="shared" si="183"/>
        <v>0.65459999999999996</v>
      </c>
      <c r="AC916" s="255">
        <f t="shared" si="183"/>
        <v>0.65459999999999996</v>
      </c>
      <c r="AD916" s="255">
        <f t="shared" si="183"/>
        <v>0.65459999999999996</v>
      </c>
      <c r="AE916" s="76"/>
      <c r="AF916" s="76"/>
      <c r="AG916" s="76"/>
      <c r="AH916" s="97">
        <v>1</v>
      </c>
      <c r="AI916" s="97">
        <v>1</v>
      </c>
      <c r="AJ916" s="73"/>
      <c r="AK916" s="57"/>
      <c r="AL916" s="45"/>
      <c r="AM916" s="45"/>
      <c r="AN916" s="45"/>
    </row>
    <row r="917" spans="1:40" hidden="1" outlineLevel="2" x14ac:dyDescent="0.25">
      <c r="A917" s="45"/>
      <c r="B917" s="54"/>
      <c r="C917" s="47">
        <f t="shared" si="176"/>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25">
      <c r="A918" s="45"/>
      <c r="B918" s="54"/>
      <c r="C918" s="47">
        <f t="shared" si="176"/>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84">U918</f>
        <v>2.2589999999999999</v>
      </c>
      <c r="W918" s="255">
        <f t="shared" ref="W918:X920" si="185">U918</f>
        <v>2.2589999999999999</v>
      </c>
      <c r="X918" s="255">
        <f t="shared" si="185"/>
        <v>2.2589999999999999</v>
      </c>
      <c r="Y918" s="255">
        <f>V918</f>
        <v>2.2589999999999999</v>
      </c>
      <c r="Z918" s="255">
        <f t="shared" ref="Z918:Z928" si="186">AA918</f>
        <v>1.962</v>
      </c>
      <c r="AA918" s="97">
        <v>1.962</v>
      </c>
      <c r="AB918" s="255">
        <f t="shared" ref="AB918:AD928" si="187">AA918</f>
        <v>1.962</v>
      </c>
      <c r="AC918" s="255">
        <f t="shared" si="187"/>
        <v>1.962</v>
      </c>
      <c r="AD918" s="255">
        <f t="shared" si="187"/>
        <v>1.962</v>
      </c>
      <c r="AE918" s="76"/>
      <c r="AF918" s="97" t="s">
        <v>2514</v>
      </c>
      <c r="AG918" s="76"/>
      <c r="AH918" s="97">
        <v>1</v>
      </c>
      <c r="AI918" s="97">
        <v>1</v>
      </c>
      <c r="AJ918" s="73"/>
      <c r="AK918" s="57"/>
      <c r="AL918" s="45"/>
      <c r="AM918" s="45"/>
      <c r="AN918" s="45"/>
    </row>
    <row r="919" spans="1:40" hidden="1" outlineLevel="2" x14ac:dyDescent="0.25">
      <c r="A919" s="45"/>
      <c r="B919" s="54"/>
      <c r="C919" s="47">
        <f t="shared" si="176"/>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84"/>
        <v>6.5</v>
      </c>
      <c r="W919" s="255">
        <f t="shared" si="185"/>
        <v>6.5</v>
      </c>
      <c r="X919" s="255">
        <f t="shared" si="185"/>
        <v>6.5</v>
      </c>
      <c r="Y919" s="255">
        <f>V919</f>
        <v>6.5</v>
      </c>
      <c r="Z919" s="255">
        <f t="shared" si="186"/>
        <v>5.6980000000000004</v>
      </c>
      <c r="AA919" s="97">
        <v>5.6980000000000004</v>
      </c>
      <c r="AB919" s="255">
        <f t="shared" si="187"/>
        <v>5.6980000000000004</v>
      </c>
      <c r="AC919" s="255">
        <f t="shared" si="187"/>
        <v>5.6980000000000004</v>
      </c>
      <c r="AD919" s="255">
        <f t="shared" si="187"/>
        <v>5.6980000000000004</v>
      </c>
      <c r="AE919" s="76"/>
      <c r="AF919" s="76"/>
      <c r="AG919" s="76"/>
      <c r="AH919" s="97">
        <v>1</v>
      </c>
      <c r="AI919" s="97">
        <v>1</v>
      </c>
      <c r="AJ919" s="73"/>
      <c r="AK919" s="57"/>
      <c r="AL919" s="45"/>
      <c r="AM919" s="45"/>
      <c r="AN919" s="45"/>
    </row>
    <row r="920" spans="1:40" hidden="1" outlineLevel="2" x14ac:dyDescent="0.25">
      <c r="A920" s="45"/>
      <c r="B920" s="54"/>
      <c r="C920" s="47">
        <f t="shared" si="176"/>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84"/>
        <v>100</v>
      </c>
      <c r="W920" s="76">
        <f t="shared" si="185"/>
        <v>100</v>
      </c>
      <c r="X920" s="76">
        <f t="shared" si="185"/>
        <v>100</v>
      </c>
      <c r="Y920" s="76">
        <f>V920</f>
        <v>100</v>
      </c>
      <c r="Z920" s="76">
        <f t="shared" si="186"/>
        <v>100</v>
      </c>
      <c r="AA920" s="76">
        <v>100</v>
      </c>
      <c r="AB920" s="76">
        <f t="shared" si="187"/>
        <v>100</v>
      </c>
      <c r="AC920" s="76">
        <f t="shared" si="187"/>
        <v>100</v>
      </c>
      <c r="AD920" s="76">
        <f t="shared" si="187"/>
        <v>100</v>
      </c>
      <c r="AE920" s="76"/>
      <c r="AF920" s="264" t="s">
        <v>2516</v>
      </c>
      <c r="AG920" s="76"/>
      <c r="AH920" s="76">
        <v>1</v>
      </c>
      <c r="AI920" s="76">
        <v>1</v>
      </c>
      <c r="AJ920" s="73"/>
      <c r="AK920" s="57"/>
      <c r="AL920" s="45"/>
      <c r="AM920" s="45"/>
      <c r="AN920" s="45"/>
    </row>
    <row r="921" spans="1:40" outlineLevel="2" x14ac:dyDescent="0.25">
      <c r="A921" s="45"/>
      <c r="B921" s="54"/>
      <c r="C921" s="47">
        <f t="shared" si="176"/>
        <v>3</v>
      </c>
      <c r="D921" s="73"/>
      <c r="E921" s="70"/>
      <c r="F921" s="70" t="s">
        <v>2506</v>
      </c>
      <c r="G921" s="73"/>
      <c r="H921" s="76" t="s">
        <v>3790</v>
      </c>
      <c r="I921" s="96" t="s">
        <v>502</v>
      </c>
      <c r="J921" s="96"/>
      <c r="K921" s="76"/>
      <c r="L921" s="76"/>
      <c r="M921" s="76"/>
      <c r="N921" s="76"/>
      <c r="O921" s="76"/>
      <c r="P921" s="76"/>
      <c r="Q921" s="76"/>
      <c r="R921" s="76"/>
      <c r="S921" s="76"/>
      <c r="T921" s="76" t="s">
        <v>3286</v>
      </c>
      <c r="U921" s="97">
        <v>0</v>
      </c>
      <c r="V921" s="255">
        <f>U921</f>
        <v>0</v>
      </c>
      <c r="W921" s="630">
        <f>$V921+W925-$V925</f>
        <v>-2.08154247</v>
      </c>
      <c r="X921" s="630">
        <f>$V921+X925-$V925</f>
        <v>-0.31233911299999995</v>
      </c>
      <c r="Y921" s="630">
        <f>$V921+Y925-$V925</f>
        <v>-2.3694998100000002</v>
      </c>
      <c r="Z921" s="255">
        <f t="shared" ref="Z921:Z924" si="188">AA921</f>
        <v>0</v>
      </c>
      <c r="AA921" s="97">
        <v>0</v>
      </c>
      <c r="AB921" s="255">
        <f t="shared" ref="AB921:AB924" si="189">AA921</f>
        <v>0</v>
      </c>
      <c r="AC921" s="255">
        <f t="shared" ref="AC921:AC924" si="190">AB921</f>
        <v>0</v>
      </c>
      <c r="AD921" s="255">
        <f t="shared" ref="AD921:AD924" si="191">AC921</f>
        <v>0</v>
      </c>
      <c r="AE921" s="76"/>
      <c r="AF921" s="97" t="s">
        <v>3795</v>
      </c>
      <c r="AG921" s="76"/>
      <c r="AH921" s="76">
        <v>1</v>
      </c>
      <c r="AI921" s="76">
        <v>1</v>
      </c>
      <c r="AJ921" s="73"/>
      <c r="AK921" s="57"/>
      <c r="AL921" s="45"/>
      <c r="AM921" s="45"/>
      <c r="AN921" s="45"/>
    </row>
    <row r="922" spans="1:40" outlineLevel="2" x14ac:dyDescent="0.25">
      <c r="A922" s="45"/>
      <c r="B922" s="54"/>
      <c r="C922" s="47">
        <f t="shared" si="176"/>
        <v>3</v>
      </c>
      <c r="D922" s="73"/>
      <c r="E922" s="70"/>
      <c r="F922" s="70" t="s">
        <v>2507</v>
      </c>
      <c r="G922" s="73"/>
      <c r="H922" s="76" t="s">
        <v>2511</v>
      </c>
      <c r="I922" s="96" t="s">
        <v>502</v>
      </c>
      <c r="J922" s="96"/>
      <c r="K922" s="76"/>
      <c r="L922" s="76"/>
      <c r="M922" s="76"/>
      <c r="N922" s="76"/>
      <c r="O922" s="76"/>
      <c r="P922" s="76"/>
      <c r="Q922" s="76"/>
      <c r="R922" s="76"/>
      <c r="S922" s="76"/>
      <c r="T922" s="76" t="s">
        <v>3286</v>
      </c>
      <c r="U922" s="97">
        <v>3.8858999999999999</v>
      </c>
      <c r="V922" s="255">
        <f>U922</f>
        <v>3.8858999999999999</v>
      </c>
      <c r="W922" s="630">
        <f t="shared" ref="W922:Y922" si="192">$V922+W926-$V926</f>
        <v>4.7086851559999996</v>
      </c>
      <c r="X922" s="630">
        <f t="shared" si="192"/>
        <v>4.8644191649999993</v>
      </c>
      <c r="Y922" s="630">
        <f t="shared" si="192"/>
        <v>3.8976837569999994</v>
      </c>
      <c r="Z922" s="255">
        <f t="shared" si="188"/>
        <v>3.8858999999999999</v>
      </c>
      <c r="AA922" s="97">
        <f>$U922</f>
        <v>3.8858999999999999</v>
      </c>
      <c r="AB922" s="255">
        <f t="shared" si="189"/>
        <v>3.8858999999999999</v>
      </c>
      <c r="AC922" s="255">
        <f t="shared" si="190"/>
        <v>3.8858999999999999</v>
      </c>
      <c r="AD922" s="255">
        <f t="shared" si="191"/>
        <v>3.8858999999999999</v>
      </c>
      <c r="AE922" s="76"/>
      <c r="AF922" s="97" t="s">
        <v>3792</v>
      </c>
      <c r="AG922" s="76"/>
      <c r="AH922" s="97">
        <v>1</v>
      </c>
      <c r="AI922" s="97">
        <v>1</v>
      </c>
      <c r="AJ922" s="73"/>
      <c r="AK922" s="57"/>
      <c r="AL922" s="45"/>
      <c r="AM922" s="45"/>
      <c r="AN922" s="45"/>
    </row>
    <row r="923" spans="1:40" hidden="1" outlineLevel="2" x14ac:dyDescent="0.25">
      <c r="A923" s="45"/>
      <c r="B923" s="54"/>
      <c r="C923" s="47">
        <f t="shared" si="176"/>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28">
        <f t="shared" ref="W923:Y923" si="193">W927</f>
        <v>7.9349999999999996</v>
      </c>
      <c r="X923" s="628">
        <f t="shared" si="193"/>
        <v>7.9349999999999996</v>
      </c>
      <c r="Y923" s="628">
        <f t="shared" si="193"/>
        <v>7.9349999999999996</v>
      </c>
      <c r="Z923" s="255">
        <f t="shared" si="188"/>
        <v>10</v>
      </c>
      <c r="AA923" s="97">
        <f>$U923</f>
        <v>10</v>
      </c>
      <c r="AB923" s="255">
        <f t="shared" si="189"/>
        <v>10</v>
      </c>
      <c r="AC923" s="255">
        <f t="shared" si="190"/>
        <v>10</v>
      </c>
      <c r="AD923" s="255">
        <f t="shared" si="191"/>
        <v>10</v>
      </c>
      <c r="AE923" s="76"/>
      <c r="AF923" s="97" t="s">
        <v>3791</v>
      </c>
      <c r="AG923" s="76"/>
      <c r="AH923" s="97">
        <v>1</v>
      </c>
      <c r="AI923" s="97">
        <v>1</v>
      </c>
      <c r="AJ923" s="73"/>
      <c r="AK923" s="57"/>
      <c r="AL923" s="45"/>
      <c r="AM923" s="45"/>
      <c r="AN923" s="45"/>
    </row>
    <row r="924" spans="1:40" hidden="1" outlineLevel="2" x14ac:dyDescent="0.25">
      <c r="A924" s="45"/>
      <c r="B924" s="54"/>
      <c r="C924" s="47">
        <f t="shared" si="176"/>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84"/>
        <v>100</v>
      </c>
      <c r="W924" s="628">
        <f t="shared" ref="W924:Y924" si="194">W928</f>
        <v>100</v>
      </c>
      <c r="X924" s="628">
        <f t="shared" si="194"/>
        <v>100</v>
      </c>
      <c r="Y924" s="628">
        <f t="shared" si="194"/>
        <v>100</v>
      </c>
      <c r="Z924" s="76">
        <f t="shared" si="188"/>
        <v>100</v>
      </c>
      <c r="AA924" s="76">
        <v>100</v>
      </c>
      <c r="AB924" s="76">
        <f t="shared" si="189"/>
        <v>100</v>
      </c>
      <c r="AC924" s="76">
        <f t="shared" si="190"/>
        <v>100</v>
      </c>
      <c r="AD924" s="76">
        <f t="shared" si="191"/>
        <v>100</v>
      </c>
      <c r="AE924" s="76"/>
      <c r="AF924" s="264" t="s">
        <v>2516</v>
      </c>
      <c r="AG924" s="76"/>
      <c r="AH924" s="76">
        <v>1</v>
      </c>
      <c r="AI924" s="76">
        <v>1</v>
      </c>
      <c r="AJ924" s="73"/>
      <c r="AK924" s="57"/>
      <c r="AL924" s="45"/>
      <c r="AM924" s="45"/>
      <c r="AN924" s="45"/>
    </row>
    <row r="925" spans="1:40" outlineLevel="2" x14ac:dyDescent="0.25">
      <c r="A925" s="45"/>
      <c r="B925" s="54"/>
      <c r="C925" s="47">
        <f t="shared" si="176"/>
        <v>3</v>
      </c>
      <c r="D925" s="73"/>
      <c r="E925" s="70"/>
      <c r="F925" s="70" t="s">
        <v>3317</v>
      </c>
      <c r="G925" s="73"/>
      <c r="H925" s="76" t="s">
        <v>3789</v>
      </c>
      <c r="I925" s="96" t="s">
        <v>502</v>
      </c>
      <c r="J925" s="96"/>
      <c r="K925" s="76"/>
      <c r="L925" s="76"/>
      <c r="M925" s="76"/>
      <c r="N925" s="76"/>
      <c r="O925" s="76"/>
      <c r="P925" s="76"/>
      <c r="Q925" s="76"/>
      <c r="R925" s="76"/>
      <c r="S925" s="76"/>
      <c r="T925" s="76" t="s">
        <v>3286</v>
      </c>
      <c r="U925" s="97">
        <v>1.302</v>
      </c>
      <c r="V925" s="255">
        <f t="shared" si="184"/>
        <v>1.302</v>
      </c>
      <c r="W925" s="631">
        <f>$V925+0-2.08154247</f>
        <v>-0.77954246999999999</v>
      </c>
      <c r="X925" s="631">
        <f>$V925+0-0.312339113</f>
        <v>0.9896608870000001</v>
      </c>
      <c r="Y925" s="631">
        <f>$V925+0-2.36949981</f>
        <v>-1.0674998100000002</v>
      </c>
      <c r="Z925" s="255">
        <f t="shared" si="186"/>
        <v>0.64400000000000002</v>
      </c>
      <c r="AA925" s="97">
        <v>0.64400000000000002</v>
      </c>
      <c r="AB925" s="255">
        <f t="shared" si="187"/>
        <v>0.64400000000000002</v>
      </c>
      <c r="AC925" s="255">
        <f t="shared" si="187"/>
        <v>0.64400000000000002</v>
      </c>
      <c r="AD925" s="255">
        <f t="shared" si="187"/>
        <v>0.64400000000000002</v>
      </c>
      <c r="AE925" s="76"/>
      <c r="AF925" s="97" t="s">
        <v>2728</v>
      </c>
      <c r="AG925" s="76"/>
      <c r="AH925" s="76">
        <v>1</v>
      </c>
      <c r="AI925" s="76">
        <v>1</v>
      </c>
      <c r="AJ925" s="73"/>
      <c r="AK925" s="57"/>
      <c r="AL925" s="45"/>
      <c r="AM925" s="45"/>
      <c r="AN925" s="45"/>
    </row>
    <row r="926" spans="1:40" outlineLevel="2" x14ac:dyDescent="0.25">
      <c r="A926" s="45"/>
      <c r="B926" s="54"/>
      <c r="C926" s="47">
        <f t="shared" si="176"/>
        <v>3</v>
      </c>
      <c r="D926" s="73"/>
      <c r="E926" s="70"/>
      <c r="F926" s="70" t="s">
        <v>3318</v>
      </c>
      <c r="G926" s="73"/>
      <c r="H926" s="76" t="s">
        <v>2511</v>
      </c>
      <c r="I926" s="96" t="s">
        <v>502</v>
      </c>
      <c r="J926" s="96"/>
      <c r="K926" s="76"/>
      <c r="L926" s="76"/>
      <c r="M926" s="76"/>
      <c r="N926" s="76"/>
      <c r="O926" s="76"/>
      <c r="P926" s="76"/>
      <c r="Q926" s="76"/>
      <c r="R926" s="76"/>
      <c r="S926" s="76"/>
      <c r="T926" s="76" t="s">
        <v>3286</v>
      </c>
      <c r="U926" s="97">
        <v>4.9800000000000004</v>
      </c>
      <c r="V926" s="255">
        <f t="shared" si="184"/>
        <v>4.9800000000000004</v>
      </c>
      <c r="W926" s="631">
        <f>$V926+0.822785156</f>
        <v>5.8027851560000006</v>
      </c>
      <c r="X926" s="631">
        <f>$V926+0.978519165</f>
        <v>5.9585191650000002</v>
      </c>
      <c r="Y926" s="631">
        <f>$V926+0.011783757</f>
        <v>4.9917837570000003</v>
      </c>
      <c r="Z926" s="255">
        <f t="shared" si="186"/>
        <v>3.1459999999999999</v>
      </c>
      <c r="AA926" s="97">
        <v>3.1459999999999999</v>
      </c>
      <c r="AB926" s="255">
        <f t="shared" si="187"/>
        <v>3.1459999999999999</v>
      </c>
      <c r="AC926" s="255">
        <f t="shared" si="187"/>
        <v>3.1459999999999999</v>
      </c>
      <c r="AD926" s="255">
        <f t="shared" si="187"/>
        <v>3.1459999999999999</v>
      </c>
      <c r="AE926" s="76"/>
      <c r="AF926" s="76"/>
      <c r="AG926" s="76"/>
      <c r="AH926" s="97">
        <v>1</v>
      </c>
      <c r="AI926" s="97">
        <v>1</v>
      </c>
      <c r="AJ926" s="73"/>
      <c r="AK926" s="57"/>
      <c r="AL926" s="45"/>
      <c r="AM926" s="45"/>
      <c r="AN926" s="45"/>
    </row>
    <row r="927" spans="1:40" hidden="1" outlineLevel="2" x14ac:dyDescent="0.25">
      <c r="A927" s="45"/>
      <c r="B927" s="54"/>
      <c r="C927" s="47">
        <f t="shared" si="176"/>
        <v>3</v>
      </c>
      <c r="D927" s="73"/>
      <c r="E927" s="70"/>
      <c r="F927" s="70" t="s">
        <v>3319</v>
      </c>
      <c r="G927" s="73"/>
      <c r="H927" s="76" t="s">
        <v>2512</v>
      </c>
      <c r="I927" s="96" t="s">
        <v>502</v>
      </c>
      <c r="J927" s="96"/>
      <c r="K927" s="76"/>
      <c r="L927" s="76"/>
      <c r="M927" s="76"/>
      <c r="N927" s="76"/>
      <c r="O927" s="76"/>
      <c r="P927" s="76"/>
      <c r="Q927" s="76"/>
      <c r="R927" s="76"/>
      <c r="S927" s="76"/>
      <c r="T927" s="76"/>
      <c r="U927" s="97">
        <v>7.9349999999999996</v>
      </c>
      <c r="V927" s="255">
        <f t="shared" si="184"/>
        <v>7.9349999999999996</v>
      </c>
      <c r="W927" s="255">
        <f>U927</f>
        <v>7.9349999999999996</v>
      </c>
      <c r="X927" s="255">
        <f>V927</f>
        <v>7.9349999999999996</v>
      </c>
      <c r="Y927" s="255">
        <f>V927</f>
        <v>7.9349999999999996</v>
      </c>
      <c r="Z927" s="255">
        <f t="shared" si="186"/>
        <v>6.0309999999999997</v>
      </c>
      <c r="AA927" s="97">
        <v>6.0309999999999997</v>
      </c>
      <c r="AB927" s="255">
        <f t="shared" si="187"/>
        <v>6.0309999999999997</v>
      </c>
      <c r="AC927" s="255">
        <f t="shared" si="187"/>
        <v>6.0309999999999997</v>
      </c>
      <c r="AD927" s="255">
        <f t="shared" si="187"/>
        <v>6.0309999999999997</v>
      </c>
      <c r="AE927" s="76"/>
      <c r="AF927" s="97" t="s">
        <v>2760</v>
      </c>
      <c r="AG927" s="76"/>
      <c r="AH927" s="97">
        <v>1</v>
      </c>
      <c r="AI927" s="97">
        <v>1</v>
      </c>
      <c r="AJ927" s="73"/>
      <c r="AK927" s="57"/>
      <c r="AL927" s="45"/>
      <c r="AM927" s="45"/>
      <c r="AN927" s="45"/>
    </row>
    <row r="928" spans="1:40" hidden="1" outlineLevel="2" x14ac:dyDescent="0.25">
      <c r="A928" s="45"/>
      <c r="B928" s="54"/>
      <c r="C928" s="47">
        <f t="shared" si="176"/>
        <v>3</v>
      </c>
      <c r="D928" s="73"/>
      <c r="E928" s="70"/>
      <c r="F928" s="70" t="s">
        <v>3320</v>
      </c>
      <c r="G928" s="73"/>
      <c r="H928" s="76" t="s">
        <v>2513</v>
      </c>
      <c r="I928" s="96" t="s">
        <v>502</v>
      </c>
      <c r="J928" s="96"/>
      <c r="K928" s="76"/>
      <c r="L928" s="76"/>
      <c r="M928" s="76"/>
      <c r="N928" s="76"/>
      <c r="O928" s="76"/>
      <c r="P928" s="76"/>
      <c r="Q928" s="76"/>
      <c r="R928" s="76"/>
      <c r="S928" s="76"/>
      <c r="T928" s="76"/>
      <c r="U928" s="76">
        <v>100</v>
      </c>
      <c r="V928" s="76">
        <f t="shared" si="184"/>
        <v>100</v>
      </c>
      <c r="W928" s="76">
        <f>U928</f>
        <v>100</v>
      </c>
      <c r="X928" s="76">
        <f>V928</f>
        <v>100</v>
      </c>
      <c r="Y928" s="76">
        <f>V928</f>
        <v>100</v>
      </c>
      <c r="Z928" s="76">
        <f t="shared" si="186"/>
        <v>100</v>
      </c>
      <c r="AA928" s="76">
        <v>100</v>
      </c>
      <c r="AB928" s="76">
        <f t="shared" si="187"/>
        <v>100</v>
      </c>
      <c r="AC928" s="76">
        <f t="shared" si="187"/>
        <v>100</v>
      </c>
      <c r="AD928" s="76">
        <f t="shared" si="187"/>
        <v>100</v>
      </c>
      <c r="AE928" s="76"/>
      <c r="AF928" s="264" t="s">
        <v>2516</v>
      </c>
      <c r="AG928" s="76"/>
      <c r="AH928" s="76">
        <v>1</v>
      </c>
      <c r="AI928" s="76">
        <v>1</v>
      </c>
      <c r="AJ928" s="73"/>
      <c r="AK928" s="57"/>
      <c r="AL928" s="45"/>
      <c r="AM928" s="45"/>
      <c r="AN928" s="45"/>
    </row>
    <row r="929" spans="1:40" hidden="1" outlineLevel="2" x14ac:dyDescent="0.25">
      <c r="A929" s="45"/>
      <c r="B929" s="54"/>
      <c r="C929" s="47">
        <f t="shared" si="176"/>
        <v>3</v>
      </c>
      <c r="D929" s="73"/>
      <c r="E929" s="70"/>
      <c r="F929" s="70" t="s">
        <v>3367</v>
      </c>
      <c r="G929" s="73"/>
      <c r="H929" s="76" t="s">
        <v>3741</v>
      </c>
      <c r="I929" s="96" t="s">
        <v>502</v>
      </c>
      <c r="J929" s="96"/>
      <c r="K929" s="76"/>
      <c r="L929" s="76"/>
      <c r="M929" s="76"/>
      <c r="N929" s="76"/>
      <c r="O929" s="76"/>
      <c r="P929" s="76"/>
      <c r="Q929" s="76"/>
      <c r="R929" s="76"/>
      <c r="S929" s="76"/>
      <c r="T929" s="76"/>
      <c r="U929" s="97">
        <v>0</v>
      </c>
      <c r="V929" s="255">
        <f t="shared" ref="V929:V932" si="195">U929</f>
        <v>0</v>
      </c>
      <c r="W929" s="255">
        <f t="shared" ref="W929:W930" si="196">U929</f>
        <v>0</v>
      </c>
      <c r="X929" s="255">
        <f t="shared" ref="X929:X930" si="197">V929</f>
        <v>0</v>
      </c>
      <c r="Y929" s="255">
        <f t="shared" ref="Y929:Y930" si="198">V929</f>
        <v>0</v>
      </c>
      <c r="Z929" s="255">
        <f t="shared" ref="Z929:Z932" si="199">AA929</f>
        <v>0</v>
      </c>
      <c r="AA929" s="97">
        <f>U929</f>
        <v>0</v>
      </c>
      <c r="AB929" s="255">
        <f t="shared" ref="AB929:AB932" si="200">AA929</f>
        <v>0</v>
      </c>
      <c r="AC929" s="255">
        <f t="shared" ref="AC929:AC932" si="201">AB929</f>
        <v>0</v>
      </c>
      <c r="AD929" s="255">
        <f t="shared" ref="AD929:AD932" si="202">AC929</f>
        <v>0</v>
      </c>
      <c r="AE929" s="76"/>
      <c r="AF929" s="97" t="s">
        <v>3366</v>
      </c>
      <c r="AG929" s="76"/>
      <c r="AH929" s="76">
        <v>1</v>
      </c>
      <c r="AI929" s="76">
        <v>1</v>
      </c>
      <c r="AJ929" s="73"/>
      <c r="AK929" s="57"/>
      <c r="AL929" s="45"/>
      <c r="AM929" s="45"/>
      <c r="AN929" s="45"/>
    </row>
    <row r="930" spans="1:40" hidden="1" outlineLevel="2" x14ac:dyDescent="0.25">
      <c r="A930" s="45"/>
      <c r="B930" s="54"/>
      <c r="C930" s="47">
        <f t="shared" si="176"/>
        <v>3</v>
      </c>
      <c r="D930" s="73"/>
      <c r="E930" s="70"/>
      <c r="F930" s="70" t="s">
        <v>3368</v>
      </c>
      <c r="G930" s="73"/>
      <c r="H930" s="76" t="s">
        <v>2511</v>
      </c>
      <c r="I930" s="96" t="s">
        <v>502</v>
      </c>
      <c r="J930" s="96"/>
      <c r="K930" s="76"/>
      <c r="L930" s="76"/>
      <c r="M930" s="76"/>
      <c r="N930" s="76"/>
      <c r="O930" s="76"/>
      <c r="P930" s="76"/>
      <c r="Q930" s="76"/>
      <c r="R930" s="76"/>
      <c r="S930" s="76"/>
      <c r="T930" s="76"/>
      <c r="U930" s="97">
        <v>0</v>
      </c>
      <c r="V930" s="255">
        <f t="shared" si="195"/>
        <v>0</v>
      </c>
      <c r="W930" s="255">
        <f t="shared" si="196"/>
        <v>0</v>
      </c>
      <c r="X930" s="255">
        <f t="shared" si="197"/>
        <v>0</v>
      </c>
      <c r="Y930" s="255">
        <f t="shared" si="198"/>
        <v>0</v>
      </c>
      <c r="Z930" s="255">
        <f t="shared" si="199"/>
        <v>0</v>
      </c>
      <c r="AA930" s="97">
        <f t="shared" ref="AA930:AA931" si="203">U930</f>
        <v>0</v>
      </c>
      <c r="AB930" s="255">
        <f t="shared" si="200"/>
        <v>0</v>
      </c>
      <c r="AC930" s="255">
        <f t="shared" si="201"/>
        <v>0</v>
      </c>
      <c r="AD930" s="255">
        <f t="shared" si="202"/>
        <v>0</v>
      </c>
      <c r="AE930" s="76"/>
      <c r="AF930" s="97" t="s">
        <v>3746</v>
      </c>
      <c r="AG930" s="76"/>
      <c r="AH930" s="97">
        <v>1</v>
      </c>
      <c r="AI930" s="97">
        <v>1</v>
      </c>
      <c r="AJ930" s="73"/>
      <c r="AK930" s="57"/>
      <c r="AL930" s="45"/>
      <c r="AM930" s="45"/>
      <c r="AN930" s="45"/>
    </row>
    <row r="931" spans="1:40" hidden="1" outlineLevel="2" x14ac:dyDescent="0.25">
      <c r="A931" s="45"/>
      <c r="B931" s="54"/>
      <c r="C931" s="47">
        <f t="shared" si="176"/>
        <v>3</v>
      </c>
      <c r="D931" s="73"/>
      <c r="E931" s="70"/>
      <c r="F931" s="70" t="s">
        <v>3369</v>
      </c>
      <c r="G931" s="73"/>
      <c r="H931" s="76" t="s">
        <v>2512</v>
      </c>
      <c r="I931" s="96" t="s">
        <v>502</v>
      </c>
      <c r="J931" s="96"/>
      <c r="K931" s="76"/>
      <c r="L931" s="76"/>
      <c r="M931" s="76"/>
      <c r="N931" s="76"/>
      <c r="O931" s="76"/>
      <c r="P931" s="76"/>
      <c r="Q931" s="76"/>
      <c r="R931" s="76"/>
      <c r="S931" s="76"/>
      <c r="T931" s="76"/>
      <c r="U931" s="97">
        <v>-3.3000000000000002E-2</v>
      </c>
      <c r="V931" s="255">
        <f t="shared" si="195"/>
        <v>-3.3000000000000002E-2</v>
      </c>
      <c r="W931" s="255">
        <f>U931</f>
        <v>-3.3000000000000002E-2</v>
      </c>
      <c r="X931" s="255">
        <f>V931</f>
        <v>-3.3000000000000002E-2</v>
      </c>
      <c r="Y931" s="255">
        <f>V931</f>
        <v>-3.3000000000000002E-2</v>
      </c>
      <c r="Z931" s="255">
        <f t="shared" si="199"/>
        <v>-3.3000000000000002E-2</v>
      </c>
      <c r="AA931" s="97">
        <f t="shared" si="203"/>
        <v>-3.3000000000000002E-2</v>
      </c>
      <c r="AB931" s="255">
        <f t="shared" si="200"/>
        <v>-3.3000000000000002E-2</v>
      </c>
      <c r="AC931" s="255">
        <f t="shared" si="201"/>
        <v>-3.3000000000000002E-2</v>
      </c>
      <c r="AD931" s="255">
        <f t="shared" si="202"/>
        <v>-3.3000000000000002E-2</v>
      </c>
      <c r="AE931" s="76"/>
      <c r="AF931" s="97"/>
      <c r="AG931" s="76"/>
      <c r="AH931" s="97">
        <v>1</v>
      </c>
      <c r="AI931" s="97">
        <v>1</v>
      </c>
      <c r="AJ931" s="73"/>
      <c r="AK931" s="57"/>
      <c r="AL931" s="45"/>
      <c r="AM931" s="45"/>
      <c r="AN931" s="45"/>
    </row>
    <row r="932" spans="1:40" hidden="1" outlineLevel="2" x14ac:dyDescent="0.25">
      <c r="A932" s="45"/>
      <c r="B932" s="54"/>
      <c r="C932" s="47">
        <f t="shared" si="176"/>
        <v>3</v>
      </c>
      <c r="D932" s="73"/>
      <c r="E932" s="70"/>
      <c r="F932" s="70" t="s">
        <v>3370</v>
      </c>
      <c r="G932" s="73"/>
      <c r="H932" s="76" t="s">
        <v>2513</v>
      </c>
      <c r="I932" s="96" t="s">
        <v>502</v>
      </c>
      <c r="J932" s="96"/>
      <c r="K932" s="76"/>
      <c r="L932" s="76"/>
      <c r="M932" s="76"/>
      <c r="N932" s="76"/>
      <c r="O932" s="76"/>
      <c r="P932" s="76"/>
      <c r="Q932" s="76"/>
      <c r="R932" s="76"/>
      <c r="S932" s="76"/>
      <c r="T932" s="76"/>
      <c r="U932" s="253">
        <f>U931</f>
        <v>-3.3000000000000002E-2</v>
      </c>
      <c r="V932" s="76">
        <f t="shared" si="195"/>
        <v>-3.3000000000000002E-2</v>
      </c>
      <c r="W932" s="76">
        <f>U932</f>
        <v>-3.3000000000000002E-2</v>
      </c>
      <c r="X932" s="76">
        <f>V932</f>
        <v>-3.3000000000000002E-2</v>
      </c>
      <c r="Y932" s="76">
        <f>V932</f>
        <v>-3.3000000000000002E-2</v>
      </c>
      <c r="Z932" s="76">
        <f t="shared" si="199"/>
        <v>-3.3000000000000002E-2</v>
      </c>
      <c r="AA932" s="253">
        <f>AA931</f>
        <v>-3.3000000000000002E-2</v>
      </c>
      <c r="AB932" s="76">
        <f t="shared" si="200"/>
        <v>-3.3000000000000002E-2</v>
      </c>
      <c r="AC932" s="76">
        <f t="shared" si="201"/>
        <v>-3.3000000000000002E-2</v>
      </c>
      <c r="AD932" s="76">
        <f t="shared" si="202"/>
        <v>-3.3000000000000002E-2</v>
      </c>
      <c r="AE932" s="76"/>
      <c r="AF932" s="264" t="s">
        <v>3365</v>
      </c>
      <c r="AG932" s="76"/>
      <c r="AH932" s="76">
        <v>1</v>
      </c>
      <c r="AI932" s="76">
        <v>1</v>
      </c>
      <c r="AJ932" s="73"/>
      <c r="AK932" s="57"/>
      <c r="AL932" s="45"/>
      <c r="AM932" s="45"/>
      <c r="AN932" s="45"/>
    </row>
    <row r="933" spans="1:40" hidden="1" outlineLevel="2" x14ac:dyDescent="0.25">
      <c r="A933" s="45"/>
      <c r="B933" s="54"/>
      <c r="C933" s="47">
        <f t="shared" si="176"/>
        <v>3</v>
      </c>
      <c r="D933" s="73"/>
      <c r="E933" s="70"/>
      <c r="F933" s="70" t="s">
        <v>3371</v>
      </c>
      <c r="G933" s="73"/>
      <c r="H933" s="76" t="s">
        <v>3742</v>
      </c>
      <c r="I933" s="96" t="s">
        <v>502</v>
      </c>
      <c r="J933" s="96"/>
      <c r="K933" s="76"/>
      <c r="L933" s="76"/>
      <c r="M933" s="76"/>
      <c r="N933" s="76"/>
      <c r="O933" s="76"/>
      <c r="P933" s="76"/>
      <c r="Q933" s="76"/>
      <c r="R933" s="76"/>
      <c r="S933" s="76"/>
      <c r="T933" s="76"/>
      <c r="U933" s="97">
        <v>0</v>
      </c>
      <c r="V933" s="255">
        <f t="shared" ref="V933:V936" si="204">U933</f>
        <v>0</v>
      </c>
      <c r="W933" s="255">
        <f t="shared" ref="W933:W934" si="205">U933</f>
        <v>0</v>
      </c>
      <c r="X933" s="255">
        <f t="shared" ref="X933:X934" si="206">V933</f>
        <v>0</v>
      </c>
      <c r="Y933" s="255">
        <f t="shared" ref="Y933:Y934" si="207">V933</f>
        <v>0</v>
      </c>
      <c r="Z933" s="255">
        <f t="shared" ref="Z933:Z936" si="208">AA933</f>
        <v>0</v>
      </c>
      <c r="AA933" s="97">
        <f>U933</f>
        <v>0</v>
      </c>
      <c r="AB933" s="255">
        <f t="shared" ref="AB933:AB936" si="209">AA933</f>
        <v>0</v>
      </c>
      <c r="AC933" s="255">
        <f t="shared" ref="AC933:AC936" si="210">AB933</f>
        <v>0</v>
      </c>
      <c r="AD933" s="255">
        <f t="shared" ref="AD933:AD936" si="211">AC933</f>
        <v>0</v>
      </c>
      <c r="AE933" s="76"/>
      <c r="AF933" s="97" t="s">
        <v>3366</v>
      </c>
      <c r="AG933" s="76"/>
      <c r="AH933" s="76">
        <v>1</v>
      </c>
      <c r="AI933" s="76">
        <v>1</v>
      </c>
      <c r="AJ933" s="73"/>
      <c r="AK933" s="57"/>
      <c r="AL933" s="45"/>
      <c r="AM933" s="45"/>
      <c r="AN933" s="45"/>
    </row>
    <row r="934" spans="1:40" hidden="1" outlineLevel="2" x14ac:dyDescent="0.25">
      <c r="A934" s="45"/>
      <c r="B934" s="54"/>
      <c r="C934" s="47">
        <f t="shared" si="176"/>
        <v>3</v>
      </c>
      <c r="D934" s="73"/>
      <c r="E934" s="70"/>
      <c r="F934" s="70" t="s">
        <v>3372</v>
      </c>
      <c r="G934" s="73"/>
      <c r="H934" s="76" t="s">
        <v>2511</v>
      </c>
      <c r="I934" s="96" t="s">
        <v>502</v>
      </c>
      <c r="J934" s="96"/>
      <c r="K934" s="76"/>
      <c r="L934" s="76"/>
      <c r="M934" s="76"/>
      <c r="N934" s="76"/>
      <c r="O934" s="76"/>
      <c r="P934" s="76"/>
      <c r="Q934" s="76"/>
      <c r="R934" s="76"/>
      <c r="S934" s="76"/>
      <c r="T934" s="76"/>
      <c r="U934" s="97">
        <v>0</v>
      </c>
      <c r="V934" s="255">
        <f t="shared" si="204"/>
        <v>0</v>
      </c>
      <c r="W934" s="255">
        <f t="shared" si="205"/>
        <v>0</v>
      </c>
      <c r="X934" s="255">
        <f t="shared" si="206"/>
        <v>0</v>
      </c>
      <c r="Y934" s="255">
        <f t="shared" si="207"/>
        <v>0</v>
      </c>
      <c r="Z934" s="255">
        <f t="shared" si="208"/>
        <v>0</v>
      </c>
      <c r="AA934" s="97">
        <f t="shared" ref="AA934:AA935" si="212">U934</f>
        <v>0</v>
      </c>
      <c r="AB934" s="255">
        <f t="shared" si="209"/>
        <v>0</v>
      </c>
      <c r="AC934" s="255">
        <f t="shared" si="210"/>
        <v>0</v>
      </c>
      <c r="AD934" s="255">
        <f t="shared" si="211"/>
        <v>0</v>
      </c>
      <c r="AE934" s="76"/>
      <c r="AF934" s="97" t="s">
        <v>3746</v>
      </c>
      <c r="AG934" s="76"/>
      <c r="AH934" s="97">
        <v>1</v>
      </c>
      <c r="AI934" s="97">
        <v>1</v>
      </c>
      <c r="AJ934" s="73"/>
      <c r="AK934" s="57"/>
      <c r="AL934" s="45"/>
      <c r="AM934" s="45"/>
      <c r="AN934" s="45"/>
    </row>
    <row r="935" spans="1:40" hidden="1" outlineLevel="2" x14ac:dyDescent="0.25">
      <c r="A935" s="45"/>
      <c r="B935" s="54"/>
      <c r="C935" s="47">
        <f t="shared" si="176"/>
        <v>3</v>
      </c>
      <c r="D935" s="73"/>
      <c r="E935" s="70"/>
      <c r="F935" s="70" t="s">
        <v>3373</v>
      </c>
      <c r="G935" s="73"/>
      <c r="H935" s="76" t="s">
        <v>2512</v>
      </c>
      <c r="I935" s="96" t="s">
        <v>502</v>
      </c>
      <c r="J935" s="96"/>
      <c r="K935" s="76"/>
      <c r="L935" s="76"/>
      <c r="M935" s="76"/>
      <c r="N935" s="76"/>
      <c r="O935" s="76"/>
      <c r="P935" s="76"/>
      <c r="Q935" s="76"/>
      <c r="R935" s="76"/>
      <c r="S935" s="76"/>
      <c r="T935" s="76"/>
      <c r="U935" s="97">
        <v>1.0269999999999999E-3</v>
      </c>
      <c r="V935" s="255">
        <f t="shared" si="204"/>
        <v>1.0269999999999999E-3</v>
      </c>
      <c r="W935" s="255">
        <f>U935</f>
        <v>1.0269999999999999E-3</v>
      </c>
      <c r="X935" s="255">
        <f>V935</f>
        <v>1.0269999999999999E-3</v>
      </c>
      <c r="Y935" s="255">
        <f>V935</f>
        <v>1.0269999999999999E-3</v>
      </c>
      <c r="Z935" s="255">
        <f t="shared" si="208"/>
        <v>1.0269999999999999E-3</v>
      </c>
      <c r="AA935" s="97">
        <f t="shared" si="212"/>
        <v>1.0269999999999999E-3</v>
      </c>
      <c r="AB935" s="255">
        <f t="shared" si="209"/>
        <v>1.0269999999999999E-3</v>
      </c>
      <c r="AC935" s="255">
        <f t="shared" si="210"/>
        <v>1.0269999999999999E-3</v>
      </c>
      <c r="AD935" s="255">
        <f t="shared" si="211"/>
        <v>1.0269999999999999E-3</v>
      </c>
      <c r="AE935" s="76"/>
      <c r="AF935" s="97"/>
      <c r="AG935" s="76"/>
      <c r="AH935" s="97">
        <v>1</v>
      </c>
      <c r="AI935" s="97">
        <v>1</v>
      </c>
      <c r="AJ935" s="73"/>
      <c r="AK935" s="57"/>
      <c r="AL935" s="45"/>
      <c r="AM935" s="45"/>
      <c r="AN935" s="45"/>
    </row>
    <row r="936" spans="1:40" hidden="1" outlineLevel="2" x14ac:dyDescent="0.25">
      <c r="A936" s="45"/>
      <c r="B936" s="54"/>
      <c r="C936" s="47">
        <f t="shared" si="176"/>
        <v>3</v>
      </c>
      <c r="D936" s="73"/>
      <c r="E936" s="70"/>
      <c r="F936" s="70" t="s">
        <v>3374</v>
      </c>
      <c r="G936" s="73"/>
      <c r="H936" s="76" t="s">
        <v>2513</v>
      </c>
      <c r="I936" s="96" t="s">
        <v>502</v>
      </c>
      <c r="J936" s="96"/>
      <c r="K936" s="76"/>
      <c r="L936" s="76"/>
      <c r="M936" s="76"/>
      <c r="N936" s="76"/>
      <c r="O936" s="76"/>
      <c r="P936" s="76"/>
      <c r="Q936" s="76"/>
      <c r="R936" s="76"/>
      <c r="S936" s="76"/>
      <c r="T936" s="76"/>
      <c r="U936" s="253">
        <f>U935</f>
        <v>1.0269999999999999E-3</v>
      </c>
      <c r="V936" s="76">
        <f t="shared" si="204"/>
        <v>1.0269999999999999E-3</v>
      </c>
      <c r="W936" s="76">
        <f>U936</f>
        <v>1.0269999999999999E-3</v>
      </c>
      <c r="X936" s="76">
        <f>V936</f>
        <v>1.0269999999999999E-3</v>
      </c>
      <c r="Y936" s="76">
        <f>V936</f>
        <v>1.0269999999999999E-3</v>
      </c>
      <c r="Z936" s="76">
        <f t="shared" si="208"/>
        <v>1.0269999999999999E-3</v>
      </c>
      <c r="AA936" s="253">
        <f>AA935</f>
        <v>1.0269999999999999E-3</v>
      </c>
      <c r="AB936" s="76">
        <f t="shared" si="209"/>
        <v>1.0269999999999999E-3</v>
      </c>
      <c r="AC936" s="76">
        <f t="shared" si="210"/>
        <v>1.0269999999999999E-3</v>
      </c>
      <c r="AD936" s="76">
        <f t="shared" si="211"/>
        <v>1.0269999999999999E-3</v>
      </c>
      <c r="AE936" s="76"/>
      <c r="AF936" s="264" t="s">
        <v>3365</v>
      </c>
      <c r="AG936" s="76"/>
      <c r="AH936" s="76">
        <v>1</v>
      </c>
      <c r="AI936" s="76">
        <v>1</v>
      </c>
      <c r="AJ936" s="73"/>
      <c r="AK936" s="57"/>
      <c r="AL936" s="45"/>
      <c r="AM936" s="45"/>
      <c r="AN936" s="45"/>
    </row>
    <row r="937" spans="1:40" hidden="1" outlineLevel="2" x14ac:dyDescent="0.25">
      <c r="A937" s="45"/>
      <c r="B937" s="54"/>
      <c r="C937" s="47">
        <f t="shared" si="176"/>
        <v>3</v>
      </c>
      <c r="D937" s="73"/>
      <c r="E937" s="70"/>
      <c r="F937" s="70" t="s">
        <v>3375</v>
      </c>
      <c r="G937" s="73"/>
      <c r="H937" s="76" t="s">
        <v>3743</v>
      </c>
      <c r="I937" s="96" t="s">
        <v>502</v>
      </c>
      <c r="J937" s="96"/>
      <c r="K937" s="76"/>
      <c r="L937" s="76"/>
      <c r="M937" s="76"/>
      <c r="N937" s="76"/>
      <c r="O937" s="76"/>
      <c r="P937" s="76"/>
      <c r="Q937" s="76"/>
      <c r="R937" s="76"/>
      <c r="S937" s="76"/>
      <c r="T937" s="76"/>
      <c r="U937" s="97">
        <v>0</v>
      </c>
      <c r="V937" s="255">
        <f t="shared" ref="V937:V940" si="213">U937</f>
        <v>0</v>
      </c>
      <c r="W937" s="255">
        <f t="shared" ref="W937:W938" si="214">U937</f>
        <v>0</v>
      </c>
      <c r="X937" s="255">
        <f t="shared" ref="X937:X938" si="215">V937</f>
        <v>0</v>
      </c>
      <c r="Y937" s="255">
        <f t="shared" ref="Y937:Y938" si="216">V937</f>
        <v>0</v>
      </c>
      <c r="Z937" s="255">
        <f t="shared" ref="Z937:Z940" si="217">AA937</f>
        <v>0</v>
      </c>
      <c r="AA937" s="97">
        <f>U937</f>
        <v>0</v>
      </c>
      <c r="AB937" s="255">
        <f t="shared" ref="AB937:AB940" si="218">AA937</f>
        <v>0</v>
      </c>
      <c r="AC937" s="255">
        <f t="shared" ref="AC937:AC940" si="219">AB937</f>
        <v>0</v>
      </c>
      <c r="AD937" s="255">
        <f t="shared" ref="AD937:AD940" si="220">AC937</f>
        <v>0</v>
      </c>
      <c r="AE937" s="76"/>
      <c r="AF937" s="97" t="s">
        <v>3366</v>
      </c>
      <c r="AG937" s="76"/>
      <c r="AH937" s="76">
        <v>1</v>
      </c>
      <c r="AI937" s="76">
        <v>1</v>
      </c>
      <c r="AJ937" s="73"/>
      <c r="AK937" s="57"/>
      <c r="AL937" s="45"/>
      <c r="AM937" s="45"/>
      <c r="AN937" s="45"/>
    </row>
    <row r="938" spans="1:40" hidden="1" outlineLevel="2" x14ac:dyDescent="0.25">
      <c r="A938" s="45"/>
      <c r="B938" s="54"/>
      <c r="C938" s="47">
        <f t="shared" si="176"/>
        <v>3</v>
      </c>
      <c r="D938" s="73"/>
      <c r="E938" s="70"/>
      <c r="F938" s="70" t="s">
        <v>3376</v>
      </c>
      <c r="G938" s="73"/>
      <c r="H938" s="76" t="s">
        <v>2511</v>
      </c>
      <c r="I938" s="96" t="s">
        <v>502</v>
      </c>
      <c r="J938" s="96"/>
      <c r="K938" s="76"/>
      <c r="L938" s="76"/>
      <c r="M938" s="76"/>
      <c r="N938" s="76"/>
      <c r="O938" s="76"/>
      <c r="P938" s="76"/>
      <c r="Q938" s="76"/>
      <c r="R938" s="76"/>
      <c r="S938" s="76"/>
      <c r="T938" s="76"/>
      <c r="U938" s="97">
        <v>0</v>
      </c>
      <c r="V938" s="255">
        <f t="shared" si="213"/>
        <v>0</v>
      </c>
      <c r="W938" s="255">
        <f t="shared" si="214"/>
        <v>0</v>
      </c>
      <c r="X938" s="255">
        <f t="shared" si="215"/>
        <v>0</v>
      </c>
      <c r="Y938" s="255">
        <f t="shared" si="216"/>
        <v>0</v>
      </c>
      <c r="Z938" s="255">
        <f t="shared" si="217"/>
        <v>0</v>
      </c>
      <c r="AA938" s="97">
        <f t="shared" ref="AA938:AA939" si="221">U938</f>
        <v>0</v>
      </c>
      <c r="AB938" s="255">
        <f t="shared" si="218"/>
        <v>0</v>
      </c>
      <c r="AC938" s="255">
        <f t="shared" si="219"/>
        <v>0</v>
      </c>
      <c r="AD938" s="255">
        <f t="shared" si="220"/>
        <v>0</v>
      </c>
      <c r="AE938" s="76"/>
      <c r="AF938" s="97" t="s">
        <v>3746</v>
      </c>
      <c r="AG938" s="76"/>
      <c r="AH938" s="97">
        <v>1</v>
      </c>
      <c r="AI938" s="97">
        <v>1</v>
      </c>
      <c r="AJ938" s="73"/>
      <c r="AK938" s="57"/>
      <c r="AL938" s="45"/>
      <c r="AM938" s="45"/>
      <c r="AN938" s="45"/>
    </row>
    <row r="939" spans="1:40" hidden="1" outlineLevel="2" x14ac:dyDescent="0.25">
      <c r="A939" s="45"/>
      <c r="B939" s="54"/>
      <c r="C939" s="47">
        <f t="shared" si="176"/>
        <v>3</v>
      </c>
      <c r="D939" s="73"/>
      <c r="E939" s="70"/>
      <c r="F939" s="70" t="s">
        <v>3377</v>
      </c>
      <c r="G939" s="73"/>
      <c r="H939" s="76" t="s">
        <v>2512</v>
      </c>
      <c r="I939" s="96" t="s">
        <v>502</v>
      </c>
      <c r="J939" s="96"/>
      <c r="K939" s="76"/>
      <c r="L939" s="76"/>
      <c r="M939" s="76"/>
      <c r="N939" s="76"/>
      <c r="O939" s="76"/>
      <c r="P939" s="76"/>
      <c r="Q939" s="76"/>
      <c r="R939" s="76"/>
      <c r="S939" s="76"/>
      <c r="T939" s="76"/>
      <c r="U939" s="97">
        <v>7.0199999999999999E-2</v>
      </c>
      <c r="V939" s="255">
        <f t="shared" si="213"/>
        <v>7.0199999999999999E-2</v>
      </c>
      <c r="W939" s="255">
        <f>U939</f>
        <v>7.0199999999999999E-2</v>
      </c>
      <c r="X939" s="255">
        <f>V939</f>
        <v>7.0199999999999999E-2</v>
      </c>
      <c r="Y939" s="255">
        <f>V939</f>
        <v>7.0199999999999999E-2</v>
      </c>
      <c r="Z939" s="255">
        <f t="shared" si="217"/>
        <v>7.0199999999999999E-2</v>
      </c>
      <c r="AA939" s="97">
        <f t="shared" si="221"/>
        <v>7.0199999999999999E-2</v>
      </c>
      <c r="AB939" s="255">
        <f t="shared" si="218"/>
        <v>7.0199999999999999E-2</v>
      </c>
      <c r="AC939" s="255">
        <f t="shared" si="219"/>
        <v>7.0199999999999999E-2</v>
      </c>
      <c r="AD939" s="255">
        <f t="shared" si="220"/>
        <v>7.0199999999999999E-2</v>
      </c>
      <c r="AE939" s="76"/>
      <c r="AF939" s="97"/>
      <c r="AG939" s="76"/>
      <c r="AH939" s="97">
        <v>1</v>
      </c>
      <c r="AI939" s="97">
        <v>1</v>
      </c>
      <c r="AJ939" s="73"/>
      <c r="AK939" s="57"/>
      <c r="AL939" s="45"/>
      <c r="AM939" s="45"/>
      <c r="AN939" s="45"/>
    </row>
    <row r="940" spans="1:40" hidden="1" outlineLevel="2" x14ac:dyDescent="0.25">
      <c r="A940" s="45"/>
      <c r="B940" s="54"/>
      <c r="C940" s="47">
        <f t="shared" si="176"/>
        <v>3</v>
      </c>
      <c r="D940" s="73"/>
      <c r="E940" s="70"/>
      <c r="F940" s="70" t="s">
        <v>3378</v>
      </c>
      <c r="G940" s="73"/>
      <c r="H940" s="76" t="s">
        <v>2513</v>
      </c>
      <c r="I940" s="96" t="s">
        <v>502</v>
      </c>
      <c r="J940" s="96"/>
      <c r="K940" s="76"/>
      <c r="L940" s="76"/>
      <c r="M940" s="76"/>
      <c r="N940" s="76"/>
      <c r="O940" s="76"/>
      <c r="P940" s="76"/>
      <c r="Q940" s="76"/>
      <c r="R940" s="76"/>
      <c r="S940" s="76"/>
      <c r="T940" s="76"/>
      <c r="U940" s="253">
        <f>U939</f>
        <v>7.0199999999999999E-2</v>
      </c>
      <c r="V940" s="76">
        <f t="shared" si="213"/>
        <v>7.0199999999999999E-2</v>
      </c>
      <c r="W940" s="76">
        <f>U940</f>
        <v>7.0199999999999999E-2</v>
      </c>
      <c r="X940" s="76">
        <f>V940</f>
        <v>7.0199999999999999E-2</v>
      </c>
      <c r="Y940" s="76">
        <f>V940</f>
        <v>7.0199999999999999E-2</v>
      </c>
      <c r="Z940" s="76">
        <f t="shared" si="217"/>
        <v>7.0199999999999999E-2</v>
      </c>
      <c r="AA940" s="253">
        <f>AA939</f>
        <v>7.0199999999999999E-2</v>
      </c>
      <c r="AB940" s="76">
        <f t="shared" si="218"/>
        <v>7.0199999999999999E-2</v>
      </c>
      <c r="AC940" s="76">
        <f t="shared" si="219"/>
        <v>7.0199999999999999E-2</v>
      </c>
      <c r="AD940" s="76">
        <f t="shared" si="220"/>
        <v>7.0199999999999999E-2</v>
      </c>
      <c r="AE940" s="76"/>
      <c r="AF940" s="264" t="s">
        <v>3365</v>
      </c>
      <c r="AG940" s="76"/>
      <c r="AH940" s="76">
        <v>1</v>
      </c>
      <c r="AI940" s="76">
        <v>1</v>
      </c>
      <c r="AJ940" s="73"/>
      <c r="AK940" s="57"/>
      <c r="AL940" s="45"/>
      <c r="AM940" s="45"/>
      <c r="AN940" s="45"/>
    </row>
    <row r="941" spans="1:40" hidden="1" outlineLevel="2" x14ac:dyDescent="0.25">
      <c r="A941" s="45"/>
      <c r="B941" s="54"/>
      <c r="C941" s="47">
        <f t="shared" si="176"/>
        <v>3</v>
      </c>
      <c r="D941" s="73"/>
      <c r="E941" s="70"/>
      <c r="F941" s="70" t="s">
        <v>3379</v>
      </c>
      <c r="G941" s="73"/>
      <c r="H941" s="76" t="s">
        <v>3744</v>
      </c>
      <c r="I941" s="96" t="s">
        <v>502</v>
      </c>
      <c r="J941" s="96"/>
      <c r="K941" s="76"/>
      <c r="L941" s="76"/>
      <c r="M941" s="76"/>
      <c r="N941" s="76"/>
      <c r="O941" s="76"/>
      <c r="P941" s="76"/>
      <c r="Q941" s="76"/>
      <c r="R941" s="76"/>
      <c r="S941" s="76"/>
      <c r="T941" s="76"/>
      <c r="U941" s="97">
        <v>0</v>
      </c>
      <c r="V941" s="255">
        <f t="shared" ref="V941:V944" si="222">U941</f>
        <v>0</v>
      </c>
      <c r="W941" s="255">
        <f t="shared" ref="W941:W942" si="223">U941</f>
        <v>0</v>
      </c>
      <c r="X941" s="255">
        <f t="shared" ref="X941:X942" si="224">V941</f>
        <v>0</v>
      </c>
      <c r="Y941" s="255">
        <f t="shared" ref="Y941:Y942" si="225">V941</f>
        <v>0</v>
      </c>
      <c r="Z941" s="255">
        <f t="shared" ref="Z941:Z944" si="226">AA941</f>
        <v>0</v>
      </c>
      <c r="AA941" s="97">
        <f>U941</f>
        <v>0</v>
      </c>
      <c r="AB941" s="255">
        <f t="shared" ref="AB941:AB944" si="227">AA941</f>
        <v>0</v>
      </c>
      <c r="AC941" s="255">
        <f t="shared" ref="AC941:AC944" si="228">AB941</f>
        <v>0</v>
      </c>
      <c r="AD941" s="255">
        <f t="shared" ref="AD941:AD944" si="229">AC941</f>
        <v>0</v>
      </c>
      <c r="AE941" s="76"/>
      <c r="AF941" s="97" t="s">
        <v>3366</v>
      </c>
      <c r="AG941" s="76"/>
      <c r="AH941" s="76">
        <v>1</v>
      </c>
      <c r="AI941" s="76">
        <v>1</v>
      </c>
      <c r="AJ941" s="73"/>
      <c r="AK941" s="57"/>
      <c r="AL941" s="45"/>
      <c r="AM941" s="45"/>
      <c r="AN941" s="45"/>
    </row>
    <row r="942" spans="1:40" hidden="1" outlineLevel="2" x14ac:dyDescent="0.25">
      <c r="A942" s="45"/>
      <c r="B942" s="54"/>
      <c r="C942" s="47">
        <f t="shared" si="176"/>
        <v>3</v>
      </c>
      <c r="D942" s="73"/>
      <c r="E942" s="70"/>
      <c r="F942" s="70" t="s">
        <v>3380</v>
      </c>
      <c r="G942" s="73"/>
      <c r="H942" s="76" t="s">
        <v>2511</v>
      </c>
      <c r="I942" s="96" t="s">
        <v>502</v>
      </c>
      <c r="J942" s="96"/>
      <c r="K942" s="76"/>
      <c r="L942" s="76"/>
      <c r="M942" s="76"/>
      <c r="N942" s="76"/>
      <c r="O942" s="76"/>
      <c r="P942" s="76"/>
      <c r="Q942" s="76"/>
      <c r="R942" s="76"/>
      <c r="S942" s="76"/>
      <c r="T942" s="76"/>
      <c r="U942" s="97">
        <v>0</v>
      </c>
      <c r="V942" s="255">
        <f t="shared" si="222"/>
        <v>0</v>
      </c>
      <c r="W942" s="255">
        <f t="shared" si="223"/>
        <v>0</v>
      </c>
      <c r="X942" s="255">
        <f t="shared" si="224"/>
        <v>0</v>
      </c>
      <c r="Y942" s="255">
        <f t="shared" si="225"/>
        <v>0</v>
      </c>
      <c r="Z942" s="255">
        <f t="shared" si="226"/>
        <v>0</v>
      </c>
      <c r="AA942" s="97">
        <f t="shared" ref="AA942:AA943" si="230">U942</f>
        <v>0</v>
      </c>
      <c r="AB942" s="255">
        <f t="shared" si="227"/>
        <v>0</v>
      </c>
      <c r="AC942" s="255">
        <f t="shared" si="228"/>
        <v>0</v>
      </c>
      <c r="AD942" s="255">
        <f t="shared" si="229"/>
        <v>0</v>
      </c>
      <c r="AE942" s="76"/>
      <c r="AF942" s="97" t="s">
        <v>3746</v>
      </c>
      <c r="AG942" s="76"/>
      <c r="AH942" s="97">
        <v>1</v>
      </c>
      <c r="AI942" s="97">
        <v>1</v>
      </c>
      <c r="AJ942" s="73"/>
      <c r="AK942" s="57"/>
      <c r="AL942" s="45"/>
      <c r="AM942" s="45"/>
      <c r="AN942" s="45"/>
    </row>
    <row r="943" spans="1:40" hidden="1" outlineLevel="2" x14ac:dyDescent="0.25">
      <c r="A943" s="45"/>
      <c r="B943" s="54"/>
      <c r="C943" s="47">
        <f t="shared" si="176"/>
        <v>3</v>
      </c>
      <c r="D943" s="73"/>
      <c r="E943" s="70"/>
      <c r="F943" s="70" t="s">
        <v>3381</v>
      </c>
      <c r="G943" s="73"/>
      <c r="H943" s="76" t="s">
        <v>2512</v>
      </c>
      <c r="I943" s="96" t="s">
        <v>502</v>
      </c>
      <c r="J943" s="96"/>
      <c r="K943" s="76"/>
      <c r="L943" s="76"/>
      <c r="M943" s="76"/>
      <c r="N943" s="76"/>
      <c r="O943" s="76"/>
      <c r="P943" s="76"/>
      <c r="Q943" s="76"/>
      <c r="R943" s="76"/>
      <c r="S943" s="76"/>
      <c r="T943" s="76"/>
      <c r="U943" s="97">
        <v>4.4400000000000002E-2</v>
      </c>
      <c r="V943" s="255">
        <f t="shared" si="222"/>
        <v>4.4400000000000002E-2</v>
      </c>
      <c r="W943" s="255">
        <f>U943</f>
        <v>4.4400000000000002E-2</v>
      </c>
      <c r="X943" s="255">
        <f>V943</f>
        <v>4.4400000000000002E-2</v>
      </c>
      <c r="Y943" s="255">
        <f>V943</f>
        <v>4.4400000000000002E-2</v>
      </c>
      <c r="Z943" s="255">
        <f t="shared" si="226"/>
        <v>4.4400000000000002E-2</v>
      </c>
      <c r="AA943" s="97">
        <f t="shared" si="230"/>
        <v>4.4400000000000002E-2</v>
      </c>
      <c r="AB943" s="255">
        <f t="shared" si="227"/>
        <v>4.4400000000000002E-2</v>
      </c>
      <c r="AC943" s="255">
        <f t="shared" si="228"/>
        <v>4.4400000000000002E-2</v>
      </c>
      <c r="AD943" s="255">
        <f t="shared" si="229"/>
        <v>4.4400000000000002E-2</v>
      </c>
      <c r="AE943" s="76"/>
      <c r="AF943" s="97"/>
      <c r="AG943" s="76"/>
      <c r="AH943" s="97">
        <v>1</v>
      </c>
      <c r="AI943" s="97">
        <v>1</v>
      </c>
      <c r="AJ943" s="73"/>
      <c r="AK943" s="57"/>
      <c r="AL943" s="45"/>
      <c r="AM943" s="45"/>
      <c r="AN943" s="45"/>
    </row>
    <row r="944" spans="1:40" hidden="1" outlineLevel="2" x14ac:dyDescent="0.25">
      <c r="A944" s="45"/>
      <c r="B944" s="54"/>
      <c r="C944" s="47">
        <f t="shared" si="176"/>
        <v>3</v>
      </c>
      <c r="D944" s="73"/>
      <c r="E944" s="70"/>
      <c r="F944" s="70" t="s">
        <v>3382</v>
      </c>
      <c r="G944" s="73"/>
      <c r="H944" s="76" t="s">
        <v>2513</v>
      </c>
      <c r="I944" s="96" t="s">
        <v>502</v>
      </c>
      <c r="J944" s="96"/>
      <c r="K944" s="76"/>
      <c r="L944" s="76"/>
      <c r="M944" s="76"/>
      <c r="N944" s="76"/>
      <c r="O944" s="76"/>
      <c r="P944" s="76"/>
      <c r="Q944" s="76"/>
      <c r="R944" s="76"/>
      <c r="S944" s="76"/>
      <c r="T944" s="76"/>
      <c r="U944" s="253">
        <f>U943</f>
        <v>4.4400000000000002E-2</v>
      </c>
      <c r="V944" s="76">
        <f t="shared" si="222"/>
        <v>4.4400000000000002E-2</v>
      </c>
      <c r="W944" s="76">
        <f>U944</f>
        <v>4.4400000000000002E-2</v>
      </c>
      <c r="X944" s="76">
        <f>V944</f>
        <v>4.4400000000000002E-2</v>
      </c>
      <c r="Y944" s="76">
        <f>V944</f>
        <v>4.4400000000000002E-2</v>
      </c>
      <c r="Z944" s="76">
        <f t="shared" si="226"/>
        <v>4.4400000000000002E-2</v>
      </c>
      <c r="AA944" s="253">
        <f>AA943</f>
        <v>4.4400000000000002E-2</v>
      </c>
      <c r="AB944" s="76">
        <f t="shared" si="227"/>
        <v>4.4400000000000002E-2</v>
      </c>
      <c r="AC944" s="76">
        <f t="shared" si="228"/>
        <v>4.4400000000000002E-2</v>
      </c>
      <c r="AD944" s="76">
        <f t="shared" si="229"/>
        <v>4.4400000000000002E-2</v>
      </c>
      <c r="AE944" s="76"/>
      <c r="AF944" s="264" t="s">
        <v>3365</v>
      </c>
      <c r="AG944" s="76"/>
      <c r="AH944" s="76">
        <v>1</v>
      </c>
      <c r="AI944" s="76">
        <v>1</v>
      </c>
      <c r="AJ944" s="73"/>
      <c r="AK944" s="57"/>
      <c r="AL944" s="45"/>
      <c r="AM944" s="45"/>
      <c r="AN944" s="45"/>
    </row>
    <row r="945" spans="1:40" hidden="1" outlineLevel="2" x14ac:dyDescent="0.25">
      <c r="A945" s="45"/>
      <c r="B945" s="54"/>
      <c r="C945" s="47">
        <f t="shared" si="176"/>
        <v>3</v>
      </c>
      <c r="D945" s="73"/>
      <c r="E945" s="70"/>
      <c r="F945" s="70" t="s">
        <v>3384</v>
      </c>
      <c r="G945" s="73"/>
      <c r="H945" s="76" t="s">
        <v>3745</v>
      </c>
      <c r="I945" s="96" t="s">
        <v>502</v>
      </c>
      <c r="J945" s="96"/>
      <c r="K945" s="76"/>
      <c r="L945" s="76"/>
      <c r="M945" s="76"/>
      <c r="N945" s="76"/>
      <c r="O945" s="76"/>
      <c r="P945" s="76"/>
      <c r="Q945" s="76"/>
      <c r="R945" s="76"/>
      <c r="S945" s="76"/>
      <c r="T945" s="76"/>
      <c r="U945" s="97">
        <v>0</v>
      </c>
      <c r="V945" s="255">
        <f t="shared" ref="V945:V948" si="231">U945</f>
        <v>0</v>
      </c>
      <c r="W945" s="255">
        <f t="shared" ref="W945:W946" si="232">U945</f>
        <v>0</v>
      </c>
      <c r="X945" s="255">
        <f t="shared" ref="X945:X946" si="233">V945</f>
        <v>0</v>
      </c>
      <c r="Y945" s="255">
        <f t="shared" ref="Y945:Y946" si="234">V945</f>
        <v>0</v>
      </c>
      <c r="Z945" s="255">
        <f t="shared" ref="Z945:Z948" si="235">AA945</f>
        <v>0</v>
      </c>
      <c r="AA945" s="97">
        <f>U945</f>
        <v>0</v>
      </c>
      <c r="AB945" s="255">
        <f t="shared" ref="AB945:AB948" si="236">AA945</f>
        <v>0</v>
      </c>
      <c r="AC945" s="255">
        <f t="shared" ref="AC945:AC948" si="237">AB945</f>
        <v>0</v>
      </c>
      <c r="AD945" s="255">
        <f t="shared" ref="AD945:AD948" si="238">AC945</f>
        <v>0</v>
      </c>
      <c r="AE945" s="76"/>
      <c r="AF945" s="97" t="s">
        <v>3366</v>
      </c>
      <c r="AG945" s="76"/>
      <c r="AH945" s="76">
        <v>1</v>
      </c>
      <c r="AI945" s="76">
        <v>1</v>
      </c>
      <c r="AJ945" s="73"/>
      <c r="AK945" s="57"/>
      <c r="AL945" s="45"/>
      <c r="AM945" s="45"/>
      <c r="AN945" s="45"/>
    </row>
    <row r="946" spans="1:40" hidden="1" outlineLevel="2" x14ac:dyDescent="0.25">
      <c r="A946" s="45"/>
      <c r="B946" s="54"/>
      <c r="C946" s="47">
        <f t="shared" ref="C946:C984" si="239">INT($C$29)+2</f>
        <v>3</v>
      </c>
      <c r="D946" s="73"/>
      <c r="E946" s="70"/>
      <c r="F946" s="70" t="s">
        <v>3385</v>
      </c>
      <c r="G946" s="73"/>
      <c r="H946" s="76" t="s">
        <v>2511</v>
      </c>
      <c r="I946" s="96" t="s">
        <v>502</v>
      </c>
      <c r="J946" s="96"/>
      <c r="K946" s="76"/>
      <c r="L946" s="76"/>
      <c r="M946" s="76"/>
      <c r="N946" s="76"/>
      <c r="O946" s="76"/>
      <c r="P946" s="76"/>
      <c r="Q946" s="76"/>
      <c r="R946" s="76"/>
      <c r="S946" s="76"/>
      <c r="T946" s="76"/>
      <c r="U946" s="97">
        <v>0</v>
      </c>
      <c r="V946" s="255">
        <f t="shared" si="231"/>
        <v>0</v>
      </c>
      <c r="W946" s="255">
        <f t="shared" si="232"/>
        <v>0</v>
      </c>
      <c r="X946" s="255">
        <f t="shared" si="233"/>
        <v>0</v>
      </c>
      <c r="Y946" s="255">
        <f t="shared" si="234"/>
        <v>0</v>
      </c>
      <c r="Z946" s="255">
        <f t="shared" si="235"/>
        <v>0</v>
      </c>
      <c r="AA946" s="97">
        <f t="shared" ref="AA946:AA948" si="240">U946</f>
        <v>0</v>
      </c>
      <c r="AB946" s="255">
        <f t="shared" si="236"/>
        <v>0</v>
      </c>
      <c r="AC946" s="255">
        <f t="shared" si="237"/>
        <v>0</v>
      </c>
      <c r="AD946" s="255">
        <f t="shared" si="238"/>
        <v>0</v>
      </c>
      <c r="AE946" s="76"/>
      <c r="AF946" s="97" t="s">
        <v>3746</v>
      </c>
      <c r="AG946" s="76"/>
      <c r="AH946" s="97">
        <v>1</v>
      </c>
      <c r="AI946" s="97">
        <v>1</v>
      </c>
      <c r="AJ946" s="73"/>
      <c r="AK946" s="57"/>
      <c r="AL946" s="45"/>
      <c r="AM946" s="45"/>
      <c r="AN946" s="45"/>
    </row>
    <row r="947" spans="1:40" hidden="1" outlineLevel="2" x14ac:dyDescent="0.25">
      <c r="A947" s="45"/>
      <c r="B947" s="54"/>
      <c r="C947" s="47">
        <f t="shared" si="239"/>
        <v>3</v>
      </c>
      <c r="D947" s="73"/>
      <c r="E947" s="70"/>
      <c r="F947" s="70" t="s">
        <v>3386</v>
      </c>
      <c r="G947" s="73"/>
      <c r="H947" s="76" t="s">
        <v>2512</v>
      </c>
      <c r="I947" s="96" t="s">
        <v>502</v>
      </c>
      <c r="J947" s="96"/>
      <c r="K947" s="76"/>
      <c r="L947" s="76"/>
      <c r="M947" s="76"/>
      <c r="N947" s="76"/>
      <c r="O947" s="76"/>
      <c r="P947" s="76"/>
      <c r="Q947" s="76"/>
      <c r="R947" s="76"/>
      <c r="S947" s="76"/>
      <c r="T947" s="76"/>
      <c r="U947" s="97">
        <v>0.95</v>
      </c>
      <c r="V947" s="255">
        <f t="shared" si="231"/>
        <v>0.95</v>
      </c>
      <c r="W947" s="255">
        <f>U947</f>
        <v>0.95</v>
      </c>
      <c r="X947" s="255">
        <f>V947</f>
        <v>0.95</v>
      </c>
      <c r="Y947" s="255">
        <f>V947</f>
        <v>0.95</v>
      </c>
      <c r="Z947" s="255">
        <f t="shared" si="235"/>
        <v>0.95</v>
      </c>
      <c r="AA947" s="97">
        <f t="shared" si="240"/>
        <v>0.95</v>
      </c>
      <c r="AB947" s="255">
        <f t="shared" si="236"/>
        <v>0.95</v>
      </c>
      <c r="AC947" s="255">
        <f t="shared" si="237"/>
        <v>0.95</v>
      </c>
      <c r="AD947" s="255">
        <f t="shared" si="238"/>
        <v>0.95</v>
      </c>
      <c r="AE947" s="76"/>
      <c r="AF947" s="97"/>
      <c r="AG947" s="76"/>
      <c r="AH947" s="97">
        <v>1</v>
      </c>
      <c r="AI947" s="97">
        <v>1</v>
      </c>
      <c r="AJ947" s="73"/>
      <c r="AK947" s="57"/>
      <c r="AL947" s="45"/>
      <c r="AM947" s="45"/>
      <c r="AN947" s="45"/>
    </row>
    <row r="948" spans="1:40" hidden="1" outlineLevel="2" x14ac:dyDescent="0.25">
      <c r="A948" s="45"/>
      <c r="B948" s="54"/>
      <c r="C948" s="47">
        <f t="shared" si="239"/>
        <v>3</v>
      </c>
      <c r="D948" s="73"/>
      <c r="E948" s="70"/>
      <c r="F948" s="70" t="s">
        <v>3387</v>
      </c>
      <c r="G948" s="73"/>
      <c r="H948" s="76" t="s">
        <v>2513</v>
      </c>
      <c r="I948" s="96" t="s">
        <v>502</v>
      </c>
      <c r="J948" s="96"/>
      <c r="K948" s="76"/>
      <c r="L948" s="76"/>
      <c r="M948" s="76"/>
      <c r="N948" s="76"/>
      <c r="O948" s="76"/>
      <c r="P948" s="76"/>
      <c r="Q948" s="76"/>
      <c r="R948" s="76"/>
      <c r="S948" s="76"/>
      <c r="T948" s="76"/>
      <c r="U948" s="97">
        <v>1.6046</v>
      </c>
      <c r="V948" s="76">
        <f t="shared" si="231"/>
        <v>1.6046</v>
      </c>
      <c r="W948" s="76">
        <f>U948</f>
        <v>1.6046</v>
      </c>
      <c r="X948" s="76">
        <f>V948</f>
        <v>1.6046</v>
      </c>
      <c r="Y948" s="76">
        <f>V948</f>
        <v>1.6046</v>
      </c>
      <c r="Z948" s="76">
        <f t="shared" si="235"/>
        <v>1.6046</v>
      </c>
      <c r="AA948" s="97">
        <f t="shared" si="240"/>
        <v>1.6046</v>
      </c>
      <c r="AB948" s="76">
        <f t="shared" si="236"/>
        <v>1.6046</v>
      </c>
      <c r="AC948" s="76">
        <f t="shared" si="237"/>
        <v>1.6046</v>
      </c>
      <c r="AD948" s="76">
        <f t="shared" si="238"/>
        <v>1.6046</v>
      </c>
      <c r="AE948" s="76"/>
      <c r="AF948" s="264"/>
      <c r="AG948" s="76"/>
      <c r="AH948" s="76">
        <v>1</v>
      </c>
      <c r="AI948" s="76">
        <v>1</v>
      </c>
      <c r="AJ948" s="73"/>
      <c r="AK948" s="57"/>
      <c r="AL948" s="45"/>
      <c r="AM948" s="45"/>
      <c r="AN948" s="45"/>
    </row>
    <row r="949" spans="1:40" hidden="1" outlineLevel="2" x14ac:dyDescent="0.25">
      <c r="A949" s="45"/>
      <c r="B949" s="54"/>
      <c r="C949" s="47">
        <f t="shared" si="239"/>
        <v>3</v>
      </c>
      <c r="D949" s="73"/>
      <c r="E949" s="70"/>
      <c r="F949" s="70" t="s">
        <v>3388</v>
      </c>
      <c r="G949" s="73"/>
      <c r="H949" s="76" t="s">
        <v>3748</v>
      </c>
      <c r="I949" s="96" t="s">
        <v>502</v>
      </c>
      <c r="J949" s="96"/>
      <c r="K949" s="76"/>
      <c r="L949" s="76"/>
      <c r="M949" s="76"/>
      <c r="N949" s="76"/>
      <c r="O949" s="76"/>
      <c r="P949" s="76"/>
      <c r="Q949" s="76"/>
      <c r="R949" s="76"/>
      <c r="S949" s="76"/>
      <c r="T949" s="76"/>
      <c r="U949" s="97">
        <v>0</v>
      </c>
      <c r="V949" s="255">
        <f t="shared" ref="V949:V952" si="241">U949</f>
        <v>0</v>
      </c>
      <c r="W949" s="255">
        <f t="shared" ref="W949:W950" si="242">U949</f>
        <v>0</v>
      </c>
      <c r="X949" s="255">
        <f t="shared" ref="X949:X950" si="243">V949</f>
        <v>0</v>
      </c>
      <c r="Y949" s="255">
        <f t="shared" ref="Y949:Y950" si="244">V949</f>
        <v>0</v>
      </c>
      <c r="Z949" s="255">
        <f t="shared" ref="Z949:Z952" si="245">AA949</f>
        <v>0</v>
      </c>
      <c r="AA949" s="97">
        <f>U949</f>
        <v>0</v>
      </c>
      <c r="AB949" s="255">
        <f t="shared" ref="AB949:AB952" si="246">AA949</f>
        <v>0</v>
      </c>
      <c r="AC949" s="255">
        <f t="shared" ref="AC949:AC952" si="247">AB949</f>
        <v>0</v>
      </c>
      <c r="AD949" s="255">
        <f t="shared" ref="AD949:AD952" si="248">AC949</f>
        <v>0</v>
      </c>
      <c r="AE949" s="76"/>
      <c r="AF949" s="97" t="s">
        <v>3366</v>
      </c>
      <c r="AG949" s="76"/>
      <c r="AH949" s="76">
        <v>1</v>
      </c>
      <c r="AI949" s="76">
        <v>1</v>
      </c>
      <c r="AJ949" s="73"/>
      <c r="AK949" s="57"/>
      <c r="AL949" s="45"/>
      <c r="AM949" s="45"/>
      <c r="AN949" s="45"/>
    </row>
    <row r="950" spans="1:40" hidden="1" outlineLevel="2" x14ac:dyDescent="0.25">
      <c r="A950" s="45"/>
      <c r="B950" s="54"/>
      <c r="C950" s="47">
        <f t="shared" si="239"/>
        <v>3</v>
      </c>
      <c r="D950" s="73"/>
      <c r="E950" s="70"/>
      <c r="F950" s="70" t="s">
        <v>3389</v>
      </c>
      <c r="G950" s="73"/>
      <c r="H950" s="76" t="s">
        <v>2511</v>
      </c>
      <c r="I950" s="96" t="s">
        <v>502</v>
      </c>
      <c r="J950" s="96"/>
      <c r="K950" s="76"/>
      <c r="L950" s="76"/>
      <c r="M950" s="76"/>
      <c r="N950" s="76"/>
      <c r="O950" s="76"/>
      <c r="P950" s="76"/>
      <c r="Q950" s="76"/>
      <c r="R950" s="76"/>
      <c r="S950" s="76"/>
      <c r="T950" s="76"/>
      <c r="U950" s="97">
        <v>0</v>
      </c>
      <c r="V950" s="255">
        <f t="shared" si="241"/>
        <v>0</v>
      </c>
      <c r="W950" s="255">
        <f t="shared" si="242"/>
        <v>0</v>
      </c>
      <c r="X950" s="255">
        <f t="shared" si="243"/>
        <v>0</v>
      </c>
      <c r="Y950" s="255">
        <f t="shared" si="244"/>
        <v>0</v>
      </c>
      <c r="Z950" s="255">
        <f t="shared" si="245"/>
        <v>0</v>
      </c>
      <c r="AA950" s="97">
        <f t="shared" ref="AA950:AA951" si="249">U950</f>
        <v>0</v>
      </c>
      <c r="AB950" s="255">
        <f t="shared" si="246"/>
        <v>0</v>
      </c>
      <c r="AC950" s="255">
        <f t="shared" si="247"/>
        <v>0</v>
      </c>
      <c r="AD950" s="255">
        <f t="shared" si="248"/>
        <v>0</v>
      </c>
      <c r="AE950" s="76"/>
      <c r="AF950" s="97" t="s">
        <v>3383</v>
      </c>
      <c r="AG950" s="76"/>
      <c r="AH950" s="97">
        <v>1</v>
      </c>
      <c r="AI950" s="97">
        <v>1</v>
      </c>
      <c r="AJ950" s="73"/>
      <c r="AK950" s="57"/>
      <c r="AL950" s="45"/>
      <c r="AM950" s="45"/>
      <c r="AN950" s="45"/>
    </row>
    <row r="951" spans="1:40" hidden="1" outlineLevel="2" x14ac:dyDescent="0.25">
      <c r="A951" s="45"/>
      <c r="B951" s="54"/>
      <c r="C951" s="47">
        <f t="shared" si="239"/>
        <v>3</v>
      </c>
      <c r="D951" s="73"/>
      <c r="E951" s="70"/>
      <c r="F951" s="70" t="s">
        <v>3390</v>
      </c>
      <c r="G951" s="73"/>
      <c r="H951" s="76" t="s">
        <v>2512</v>
      </c>
      <c r="I951" s="96" t="s">
        <v>502</v>
      </c>
      <c r="J951" s="96"/>
      <c r="K951" s="76"/>
      <c r="L951" s="76"/>
      <c r="M951" s="76"/>
      <c r="N951" s="76"/>
      <c r="O951" s="76"/>
      <c r="P951" s="76"/>
      <c r="Q951" s="76"/>
      <c r="R951" s="76"/>
      <c r="S951" s="76"/>
      <c r="T951" s="76"/>
      <c r="U951" s="97">
        <v>0.1779</v>
      </c>
      <c r="V951" s="255">
        <f t="shared" si="241"/>
        <v>0.1779</v>
      </c>
      <c r="W951" s="255">
        <f>U951</f>
        <v>0.1779</v>
      </c>
      <c r="X951" s="255">
        <f>V951</f>
        <v>0.1779</v>
      </c>
      <c r="Y951" s="255">
        <f>V951</f>
        <v>0.1779</v>
      </c>
      <c r="Z951" s="255">
        <f t="shared" si="245"/>
        <v>0.1779</v>
      </c>
      <c r="AA951" s="97">
        <f t="shared" si="249"/>
        <v>0.1779</v>
      </c>
      <c r="AB951" s="255">
        <f t="shared" si="246"/>
        <v>0.1779</v>
      </c>
      <c r="AC951" s="255">
        <f t="shared" si="247"/>
        <v>0.1779</v>
      </c>
      <c r="AD951" s="255">
        <f t="shared" si="248"/>
        <v>0.1779</v>
      </c>
      <c r="AE951" s="76"/>
      <c r="AF951" s="97"/>
      <c r="AG951" s="76"/>
      <c r="AH951" s="97">
        <v>1</v>
      </c>
      <c r="AI951" s="97">
        <v>1</v>
      </c>
      <c r="AJ951" s="73"/>
      <c r="AK951" s="57"/>
      <c r="AL951" s="45"/>
      <c r="AM951" s="45"/>
      <c r="AN951" s="45"/>
    </row>
    <row r="952" spans="1:40" hidden="1" outlineLevel="2" x14ac:dyDescent="0.25">
      <c r="A952" s="45"/>
      <c r="B952" s="54"/>
      <c r="C952" s="47">
        <f t="shared" si="239"/>
        <v>3</v>
      </c>
      <c r="D952" s="73"/>
      <c r="E952" s="70"/>
      <c r="F952" s="70" t="s">
        <v>3391</v>
      </c>
      <c r="G952" s="73"/>
      <c r="H952" s="76" t="s">
        <v>2513</v>
      </c>
      <c r="I952" s="96" t="s">
        <v>502</v>
      </c>
      <c r="J952" s="96"/>
      <c r="K952" s="76"/>
      <c r="L952" s="76"/>
      <c r="M952" s="76"/>
      <c r="N952" s="76"/>
      <c r="O952" s="76"/>
      <c r="P952" s="76"/>
      <c r="Q952" s="76"/>
      <c r="R952" s="76"/>
      <c r="S952" s="76"/>
      <c r="T952" s="76"/>
      <c r="U952" s="253">
        <f>U951</f>
        <v>0.1779</v>
      </c>
      <c r="V952" s="76">
        <f t="shared" si="241"/>
        <v>0.1779</v>
      </c>
      <c r="W952" s="76">
        <f>U952</f>
        <v>0.1779</v>
      </c>
      <c r="X952" s="76">
        <f>V952</f>
        <v>0.1779</v>
      </c>
      <c r="Y952" s="76">
        <f>V952</f>
        <v>0.1779</v>
      </c>
      <c r="Z952" s="76">
        <f t="shared" si="245"/>
        <v>0.1779</v>
      </c>
      <c r="AA952" s="253">
        <f>AA951</f>
        <v>0.1779</v>
      </c>
      <c r="AB952" s="76">
        <f t="shared" si="246"/>
        <v>0.1779</v>
      </c>
      <c r="AC952" s="76">
        <f t="shared" si="247"/>
        <v>0.1779</v>
      </c>
      <c r="AD952" s="76">
        <f t="shared" si="248"/>
        <v>0.1779</v>
      </c>
      <c r="AE952" s="76"/>
      <c r="AF952" s="264" t="s">
        <v>3365</v>
      </c>
      <c r="AG952" s="76"/>
      <c r="AH952" s="76">
        <v>1</v>
      </c>
      <c r="AI952" s="76">
        <v>1</v>
      </c>
      <c r="AJ952" s="73"/>
      <c r="AK952" s="57"/>
      <c r="AL952" s="45"/>
      <c r="AM952" s="45"/>
      <c r="AN952" s="45"/>
    </row>
    <row r="953" spans="1:40" hidden="1" outlineLevel="2" x14ac:dyDescent="0.25">
      <c r="A953" s="45"/>
      <c r="B953" s="54"/>
      <c r="C953" s="47">
        <f t="shared" si="239"/>
        <v>3</v>
      </c>
      <c r="D953" s="73"/>
      <c r="E953" s="70"/>
      <c r="F953" s="70" t="s">
        <v>3392</v>
      </c>
      <c r="G953" s="73"/>
      <c r="H953" s="76" t="s">
        <v>3749</v>
      </c>
      <c r="I953" s="96" t="s">
        <v>502</v>
      </c>
      <c r="J953" s="96"/>
      <c r="K953" s="76"/>
      <c r="L953" s="76"/>
      <c r="M953" s="76"/>
      <c r="N953" s="76"/>
      <c r="O953" s="76"/>
      <c r="P953" s="76"/>
      <c r="Q953" s="76"/>
      <c r="R953" s="76"/>
      <c r="S953" s="76"/>
      <c r="T953" s="76"/>
      <c r="U953" s="97">
        <v>0</v>
      </c>
      <c r="V953" s="255">
        <f t="shared" ref="V953:V968" si="250">U953</f>
        <v>0</v>
      </c>
      <c r="W953" s="255">
        <f t="shared" ref="W953:W954" si="251">U953</f>
        <v>0</v>
      </c>
      <c r="X953" s="255">
        <f t="shared" ref="X953:X954" si="252">V953</f>
        <v>0</v>
      </c>
      <c r="Y953" s="255">
        <f t="shared" ref="Y953:Y954" si="253">V953</f>
        <v>0</v>
      </c>
      <c r="Z953" s="255">
        <f t="shared" ref="Z953:Z968" si="254">AA953</f>
        <v>0</v>
      </c>
      <c r="AA953" s="97">
        <f>U953</f>
        <v>0</v>
      </c>
      <c r="AB953" s="255">
        <f t="shared" ref="AB953:AB968" si="255">AA953</f>
        <v>0</v>
      </c>
      <c r="AC953" s="255">
        <f t="shared" ref="AC953:AC968" si="256">AB953</f>
        <v>0</v>
      </c>
      <c r="AD953" s="255">
        <f t="shared" ref="AD953:AD968" si="257">AC953</f>
        <v>0</v>
      </c>
      <c r="AE953" s="76"/>
      <c r="AF953" s="97" t="s">
        <v>3366</v>
      </c>
      <c r="AG953" s="76"/>
      <c r="AH953" s="76">
        <v>1</v>
      </c>
      <c r="AI953" s="76">
        <v>1</v>
      </c>
      <c r="AJ953" s="73"/>
      <c r="AK953" s="57"/>
      <c r="AL953" s="45"/>
      <c r="AM953" s="45"/>
      <c r="AN953" s="45"/>
    </row>
    <row r="954" spans="1:40" hidden="1" outlineLevel="2" x14ac:dyDescent="0.25">
      <c r="A954" s="45"/>
      <c r="B954" s="54"/>
      <c r="C954" s="47">
        <f t="shared" si="239"/>
        <v>3</v>
      </c>
      <c r="D954" s="73"/>
      <c r="E954" s="70"/>
      <c r="F954" s="70" t="s">
        <v>3393</v>
      </c>
      <c r="G954" s="73"/>
      <c r="H954" s="76" t="s">
        <v>2511</v>
      </c>
      <c r="I954" s="96" t="s">
        <v>502</v>
      </c>
      <c r="J954" s="96"/>
      <c r="K954" s="76"/>
      <c r="L954" s="76"/>
      <c r="M954" s="76"/>
      <c r="N954" s="76"/>
      <c r="O954" s="76"/>
      <c r="P954" s="76"/>
      <c r="Q954" s="76"/>
      <c r="R954" s="76"/>
      <c r="S954" s="76"/>
      <c r="T954" s="76"/>
      <c r="U954" s="97">
        <v>0</v>
      </c>
      <c r="V954" s="255">
        <f t="shared" si="250"/>
        <v>0</v>
      </c>
      <c r="W954" s="255">
        <f t="shared" si="251"/>
        <v>0</v>
      </c>
      <c r="X954" s="255">
        <f t="shared" si="252"/>
        <v>0</v>
      </c>
      <c r="Y954" s="255">
        <f t="shared" si="253"/>
        <v>0</v>
      </c>
      <c r="Z954" s="255">
        <f t="shared" si="254"/>
        <v>0</v>
      </c>
      <c r="AA954" s="97">
        <f t="shared" ref="AA954:AA955" si="258">U954</f>
        <v>0</v>
      </c>
      <c r="AB954" s="255">
        <f t="shared" si="255"/>
        <v>0</v>
      </c>
      <c r="AC954" s="255">
        <f t="shared" si="256"/>
        <v>0</v>
      </c>
      <c r="AD954" s="255">
        <f t="shared" si="257"/>
        <v>0</v>
      </c>
      <c r="AE954" s="76"/>
      <c r="AF954" s="97" t="s">
        <v>3383</v>
      </c>
      <c r="AG954" s="76"/>
      <c r="AH954" s="97">
        <v>1</v>
      </c>
      <c r="AI954" s="97">
        <v>1</v>
      </c>
      <c r="AJ954" s="73"/>
      <c r="AK954" s="57"/>
      <c r="AL954" s="45"/>
      <c r="AM954" s="45"/>
      <c r="AN954" s="45"/>
    </row>
    <row r="955" spans="1:40" hidden="1" outlineLevel="2" x14ac:dyDescent="0.25">
      <c r="A955" s="45"/>
      <c r="B955" s="54"/>
      <c r="C955" s="47">
        <f t="shared" si="239"/>
        <v>3</v>
      </c>
      <c r="D955" s="73"/>
      <c r="E955" s="70"/>
      <c r="F955" s="70" t="s">
        <v>3394</v>
      </c>
      <c r="G955" s="73"/>
      <c r="H955" s="76" t="s">
        <v>2512</v>
      </c>
      <c r="I955" s="96" t="s">
        <v>502</v>
      </c>
      <c r="J955" s="96"/>
      <c r="K955" s="76"/>
      <c r="L955" s="76"/>
      <c r="M955" s="76"/>
      <c r="N955" s="76"/>
      <c r="O955" s="76"/>
      <c r="P955" s="76"/>
      <c r="Q955" s="76"/>
      <c r="R955" s="76"/>
      <c r="S955" s="76"/>
      <c r="T955" s="76"/>
      <c r="U955" s="97">
        <v>-1.312E-3</v>
      </c>
      <c r="V955" s="255">
        <f t="shared" si="250"/>
        <v>-1.312E-3</v>
      </c>
      <c r="W955" s="255">
        <f>U955</f>
        <v>-1.312E-3</v>
      </c>
      <c r="X955" s="255">
        <f>V955</f>
        <v>-1.312E-3</v>
      </c>
      <c r="Y955" s="255">
        <f>V955</f>
        <v>-1.312E-3</v>
      </c>
      <c r="Z955" s="255">
        <f t="shared" si="254"/>
        <v>-1.312E-3</v>
      </c>
      <c r="AA955" s="97">
        <f t="shared" si="258"/>
        <v>-1.312E-3</v>
      </c>
      <c r="AB955" s="255">
        <f t="shared" si="255"/>
        <v>-1.312E-3</v>
      </c>
      <c r="AC955" s="255">
        <f t="shared" si="256"/>
        <v>-1.312E-3</v>
      </c>
      <c r="AD955" s="255">
        <f t="shared" si="257"/>
        <v>-1.312E-3</v>
      </c>
      <c r="AE955" s="76"/>
      <c r="AF955" s="97"/>
      <c r="AG955" s="76"/>
      <c r="AH955" s="97">
        <v>1</v>
      </c>
      <c r="AI955" s="97">
        <v>1</v>
      </c>
      <c r="AJ955" s="73"/>
      <c r="AK955" s="57"/>
      <c r="AL955" s="45"/>
      <c r="AM955" s="45"/>
      <c r="AN955" s="45"/>
    </row>
    <row r="956" spans="1:40" hidden="1" outlineLevel="2" x14ac:dyDescent="0.25">
      <c r="A956" s="45"/>
      <c r="B956" s="54"/>
      <c r="C956" s="47">
        <f t="shared" si="239"/>
        <v>3</v>
      </c>
      <c r="D956" s="73"/>
      <c r="E956" s="70"/>
      <c r="F956" s="70" t="s">
        <v>3395</v>
      </c>
      <c r="G956" s="73"/>
      <c r="H956" s="76" t="s">
        <v>2513</v>
      </c>
      <c r="I956" s="96" t="s">
        <v>502</v>
      </c>
      <c r="J956" s="96"/>
      <c r="K956" s="76"/>
      <c r="L956" s="76"/>
      <c r="M956" s="76"/>
      <c r="N956" s="76"/>
      <c r="O956" s="76"/>
      <c r="P956" s="76"/>
      <c r="Q956" s="76"/>
      <c r="R956" s="76"/>
      <c r="S956" s="76"/>
      <c r="T956" s="76"/>
      <c r="U956" s="253">
        <f>U955</f>
        <v>-1.312E-3</v>
      </c>
      <c r="V956" s="76">
        <f t="shared" si="250"/>
        <v>-1.312E-3</v>
      </c>
      <c r="W956" s="76">
        <f>U956</f>
        <v>-1.312E-3</v>
      </c>
      <c r="X956" s="76">
        <f>V956</f>
        <v>-1.312E-3</v>
      </c>
      <c r="Y956" s="76">
        <f>V956</f>
        <v>-1.312E-3</v>
      </c>
      <c r="Z956" s="76">
        <f t="shared" si="254"/>
        <v>-1.312E-3</v>
      </c>
      <c r="AA956" s="253">
        <f>AA955</f>
        <v>-1.312E-3</v>
      </c>
      <c r="AB956" s="76">
        <f t="shared" si="255"/>
        <v>-1.312E-3</v>
      </c>
      <c r="AC956" s="76">
        <f t="shared" si="256"/>
        <v>-1.312E-3</v>
      </c>
      <c r="AD956" s="76">
        <f t="shared" si="257"/>
        <v>-1.312E-3</v>
      </c>
      <c r="AE956" s="76"/>
      <c r="AF956" s="264" t="s">
        <v>3365</v>
      </c>
      <c r="AG956" s="76"/>
      <c r="AH956" s="76">
        <v>1</v>
      </c>
      <c r="AI956" s="76">
        <v>1</v>
      </c>
      <c r="AJ956" s="73"/>
      <c r="AK956" s="57"/>
      <c r="AL956" s="45"/>
      <c r="AM956" s="45"/>
      <c r="AN956" s="45"/>
    </row>
    <row r="957" spans="1:40" hidden="1" outlineLevel="2" x14ac:dyDescent="0.25">
      <c r="A957" s="45"/>
      <c r="B957" s="54"/>
      <c r="C957" s="47">
        <f t="shared" si="239"/>
        <v>3</v>
      </c>
      <c r="D957" s="73"/>
      <c r="E957" s="70"/>
      <c r="F957" s="70" t="s">
        <v>3396</v>
      </c>
      <c r="G957" s="73"/>
      <c r="H957" s="76" t="s">
        <v>3750</v>
      </c>
      <c r="I957" s="96" t="s">
        <v>502</v>
      </c>
      <c r="J957" s="96"/>
      <c r="K957" s="76"/>
      <c r="L957" s="76"/>
      <c r="M957" s="76"/>
      <c r="N957" s="76"/>
      <c r="O957" s="76"/>
      <c r="P957" s="76"/>
      <c r="Q957" s="76"/>
      <c r="R957" s="76"/>
      <c r="S957" s="76"/>
      <c r="T957" s="76"/>
      <c r="U957" s="97">
        <v>0</v>
      </c>
      <c r="V957" s="255">
        <f t="shared" si="250"/>
        <v>0</v>
      </c>
      <c r="W957" s="255">
        <f t="shared" ref="W957:W958" si="259">U957</f>
        <v>0</v>
      </c>
      <c r="X957" s="255">
        <f t="shared" ref="X957:X958" si="260">V957</f>
        <v>0</v>
      </c>
      <c r="Y957" s="255">
        <f t="shared" ref="Y957:Y958" si="261">V957</f>
        <v>0</v>
      </c>
      <c r="Z957" s="255">
        <f t="shared" si="254"/>
        <v>0</v>
      </c>
      <c r="AA957" s="97">
        <f>U957</f>
        <v>0</v>
      </c>
      <c r="AB957" s="255">
        <f t="shared" si="255"/>
        <v>0</v>
      </c>
      <c r="AC957" s="255">
        <f t="shared" si="256"/>
        <v>0</v>
      </c>
      <c r="AD957" s="255">
        <f t="shared" si="257"/>
        <v>0</v>
      </c>
      <c r="AE957" s="76"/>
      <c r="AF957" s="97" t="s">
        <v>3366</v>
      </c>
      <c r="AG957" s="76"/>
      <c r="AH957" s="76">
        <v>1</v>
      </c>
      <c r="AI957" s="76">
        <v>1</v>
      </c>
      <c r="AJ957" s="73"/>
      <c r="AK957" s="57"/>
      <c r="AL957" s="45"/>
      <c r="AM957" s="45"/>
      <c r="AN957" s="45"/>
    </row>
    <row r="958" spans="1:40" hidden="1" outlineLevel="2" x14ac:dyDescent="0.25">
      <c r="A958" s="45"/>
      <c r="B958" s="54"/>
      <c r="C958" s="47">
        <f t="shared" si="239"/>
        <v>3</v>
      </c>
      <c r="D958" s="73"/>
      <c r="E958" s="70"/>
      <c r="F958" s="70" t="s">
        <v>3397</v>
      </c>
      <c r="G958" s="73"/>
      <c r="H958" s="76" t="s">
        <v>2511</v>
      </c>
      <c r="I958" s="96" t="s">
        <v>502</v>
      </c>
      <c r="J958" s="96"/>
      <c r="K958" s="76"/>
      <c r="L958" s="76"/>
      <c r="M958" s="76"/>
      <c r="N958" s="76"/>
      <c r="O958" s="76"/>
      <c r="P958" s="76"/>
      <c r="Q958" s="76"/>
      <c r="R958" s="76"/>
      <c r="S958" s="76"/>
      <c r="T958" s="76"/>
      <c r="U958" s="97">
        <v>0</v>
      </c>
      <c r="V958" s="255">
        <f t="shared" si="250"/>
        <v>0</v>
      </c>
      <c r="W958" s="255">
        <f t="shared" si="259"/>
        <v>0</v>
      </c>
      <c r="X958" s="255">
        <f t="shared" si="260"/>
        <v>0</v>
      </c>
      <c r="Y958" s="255">
        <f t="shared" si="261"/>
        <v>0</v>
      </c>
      <c r="Z958" s="255">
        <f t="shared" si="254"/>
        <v>0</v>
      </c>
      <c r="AA958" s="97">
        <f t="shared" ref="AA958:AA959" si="262">U958</f>
        <v>0</v>
      </c>
      <c r="AB958" s="255">
        <f t="shared" si="255"/>
        <v>0</v>
      </c>
      <c r="AC958" s="255">
        <f t="shared" si="256"/>
        <v>0</v>
      </c>
      <c r="AD958" s="255">
        <f t="shared" si="257"/>
        <v>0</v>
      </c>
      <c r="AE958" s="76"/>
      <c r="AF958" s="97" t="s">
        <v>3383</v>
      </c>
      <c r="AG958" s="76"/>
      <c r="AH958" s="97">
        <v>1</v>
      </c>
      <c r="AI958" s="97">
        <v>1</v>
      </c>
      <c r="AJ958" s="73"/>
      <c r="AK958" s="57"/>
      <c r="AL958" s="45"/>
      <c r="AM958" s="45"/>
      <c r="AN958" s="45"/>
    </row>
    <row r="959" spans="1:40" hidden="1" outlineLevel="2" x14ac:dyDescent="0.25">
      <c r="A959" s="45"/>
      <c r="B959" s="54"/>
      <c r="C959" s="47">
        <f t="shared" si="239"/>
        <v>3</v>
      </c>
      <c r="D959" s="73"/>
      <c r="E959" s="70"/>
      <c r="F959" s="70" t="s">
        <v>3398</v>
      </c>
      <c r="G959" s="73"/>
      <c r="H959" s="76" t="s">
        <v>2512</v>
      </c>
      <c r="I959" s="96" t="s">
        <v>502</v>
      </c>
      <c r="J959" s="96"/>
      <c r="K959" s="76"/>
      <c r="L959" s="76"/>
      <c r="M959" s="76"/>
      <c r="N959" s="76"/>
      <c r="O959" s="76"/>
      <c r="P959" s="76"/>
      <c r="Q959" s="76"/>
      <c r="R959" s="76"/>
      <c r="S959" s="76"/>
      <c r="T959" s="76"/>
      <c r="U959" s="97">
        <v>-5.5010000000000003E-2</v>
      </c>
      <c r="V959" s="255">
        <f t="shared" si="250"/>
        <v>-5.5010000000000003E-2</v>
      </c>
      <c r="W959" s="255">
        <f>U959</f>
        <v>-5.5010000000000003E-2</v>
      </c>
      <c r="X959" s="255">
        <f>V959</f>
        <v>-5.5010000000000003E-2</v>
      </c>
      <c r="Y959" s="255">
        <f>V959</f>
        <v>-5.5010000000000003E-2</v>
      </c>
      <c r="Z959" s="255">
        <f t="shared" si="254"/>
        <v>-5.5010000000000003E-2</v>
      </c>
      <c r="AA959" s="97">
        <f t="shared" si="262"/>
        <v>-5.5010000000000003E-2</v>
      </c>
      <c r="AB959" s="255">
        <f t="shared" si="255"/>
        <v>-5.5010000000000003E-2</v>
      </c>
      <c r="AC959" s="255">
        <f t="shared" si="256"/>
        <v>-5.5010000000000003E-2</v>
      </c>
      <c r="AD959" s="255">
        <f t="shared" si="257"/>
        <v>-5.5010000000000003E-2</v>
      </c>
      <c r="AE959" s="76"/>
      <c r="AF959" s="97"/>
      <c r="AG959" s="76"/>
      <c r="AH959" s="97">
        <v>1</v>
      </c>
      <c r="AI959" s="97">
        <v>1</v>
      </c>
      <c r="AJ959" s="73"/>
      <c r="AK959" s="57"/>
      <c r="AL959" s="45"/>
      <c r="AM959" s="45"/>
      <c r="AN959" s="45"/>
    </row>
    <row r="960" spans="1:40" hidden="1" outlineLevel="2" x14ac:dyDescent="0.25">
      <c r="A960" s="45"/>
      <c r="B960" s="54"/>
      <c r="C960" s="47">
        <f t="shared" si="239"/>
        <v>3</v>
      </c>
      <c r="D960" s="73"/>
      <c r="E960" s="70"/>
      <c r="F960" s="70" t="s">
        <v>3399</v>
      </c>
      <c r="G960" s="73"/>
      <c r="H960" s="76" t="s">
        <v>2513</v>
      </c>
      <c r="I960" s="96" t="s">
        <v>502</v>
      </c>
      <c r="J960" s="96"/>
      <c r="K960" s="76"/>
      <c r="L960" s="76"/>
      <c r="M960" s="76"/>
      <c r="N960" s="76"/>
      <c r="O960" s="76"/>
      <c r="P960" s="76"/>
      <c r="Q960" s="76"/>
      <c r="R960" s="76"/>
      <c r="S960" s="76"/>
      <c r="T960" s="76"/>
      <c r="U960" s="253">
        <f>U959</f>
        <v>-5.5010000000000003E-2</v>
      </c>
      <c r="V960" s="76">
        <f t="shared" si="250"/>
        <v>-5.5010000000000003E-2</v>
      </c>
      <c r="W960" s="76">
        <f>U960</f>
        <v>-5.5010000000000003E-2</v>
      </c>
      <c r="X960" s="76">
        <f>V960</f>
        <v>-5.5010000000000003E-2</v>
      </c>
      <c r="Y960" s="76">
        <f>V960</f>
        <v>-5.5010000000000003E-2</v>
      </c>
      <c r="Z960" s="76">
        <f t="shared" si="254"/>
        <v>-5.5010000000000003E-2</v>
      </c>
      <c r="AA960" s="253">
        <f>AA959</f>
        <v>-5.5010000000000003E-2</v>
      </c>
      <c r="AB960" s="76">
        <f t="shared" si="255"/>
        <v>-5.5010000000000003E-2</v>
      </c>
      <c r="AC960" s="76">
        <f t="shared" si="256"/>
        <v>-5.5010000000000003E-2</v>
      </c>
      <c r="AD960" s="76">
        <f t="shared" si="257"/>
        <v>-5.5010000000000003E-2</v>
      </c>
      <c r="AE960" s="76"/>
      <c r="AF960" s="264" t="s">
        <v>3365</v>
      </c>
      <c r="AG960" s="76"/>
      <c r="AH960" s="76">
        <v>1</v>
      </c>
      <c r="AI960" s="76">
        <v>1</v>
      </c>
      <c r="AJ960" s="73"/>
      <c r="AK960" s="57"/>
      <c r="AL960" s="45"/>
      <c r="AM960" s="45"/>
      <c r="AN960" s="45"/>
    </row>
    <row r="961" spans="1:40" hidden="1" outlineLevel="2" x14ac:dyDescent="0.25">
      <c r="A961" s="45"/>
      <c r="B961" s="54"/>
      <c r="C961" s="47">
        <f t="shared" si="239"/>
        <v>3</v>
      </c>
      <c r="D961" s="73"/>
      <c r="E961" s="70"/>
      <c r="F961" s="70" t="s">
        <v>3400</v>
      </c>
      <c r="G961" s="73"/>
      <c r="H961" s="76" t="s">
        <v>3751</v>
      </c>
      <c r="I961" s="96" t="s">
        <v>502</v>
      </c>
      <c r="J961" s="96"/>
      <c r="K961" s="76"/>
      <c r="L961" s="76"/>
      <c r="M961" s="76"/>
      <c r="N961" s="76"/>
      <c r="O961" s="76"/>
      <c r="P961" s="76"/>
      <c r="Q961" s="76"/>
      <c r="R961" s="76"/>
      <c r="S961" s="76"/>
      <c r="T961" s="76"/>
      <c r="U961" s="97">
        <v>0</v>
      </c>
      <c r="V961" s="255">
        <f t="shared" ref="V961:V964" si="263">U961</f>
        <v>0</v>
      </c>
      <c r="W961" s="255">
        <f t="shared" ref="W961:W962" si="264">U961</f>
        <v>0</v>
      </c>
      <c r="X961" s="255">
        <f t="shared" ref="X961:X962" si="265">V961</f>
        <v>0</v>
      </c>
      <c r="Y961" s="255">
        <f t="shared" ref="Y961:Y962" si="266">V961</f>
        <v>0</v>
      </c>
      <c r="Z961" s="255">
        <f t="shared" ref="Z961:Z964" si="267">AA961</f>
        <v>0</v>
      </c>
      <c r="AA961" s="97">
        <f>U961</f>
        <v>0</v>
      </c>
      <c r="AB961" s="255">
        <f t="shared" ref="AB961:AB964" si="268">AA961</f>
        <v>0</v>
      </c>
      <c r="AC961" s="255">
        <f t="shared" ref="AC961:AC964" si="269">AB961</f>
        <v>0</v>
      </c>
      <c r="AD961" s="255">
        <f t="shared" ref="AD961:AD964" si="270">AC961</f>
        <v>0</v>
      </c>
      <c r="AE961" s="76"/>
      <c r="AF961" s="97" t="s">
        <v>3366</v>
      </c>
      <c r="AG961" s="76"/>
      <c r="AH961" s="76">
        <v>1</v>
      </c>
      <c r="AI961" s="76">
        <v>1</v>
      </c>
      <c r="AJ961" s="73"/>
      <c r="AK961" s="57"/>
      <c r="AL961" s="45"/>
      <c r="AM961" s="45"/>
      <c r="AN961" s="45"/>
    </row>
    <row r="962" spans="1:40" hidden="1" outlineLevel="2" x14ac:dyDescent="0.25">
      <c r="A962" s="45"/>
      <c r="B962" s="54"/>
      <c r="C962" s="47">
        <f t="shared" si="239"/>
        <v>3</v>
      </c>
      <c r="D962" s="73"/>
      <c r="E962" s="70"/>
      <c r="F962" s="70" t="s">
        <v>3401</v>
      </c>
      <c r="G962" s="73"/>
      <c r="H962" s="76" t="s">
        <v>2511</v>
      </c>
      <c r="I962" s="96" t="s">
        <v>502</v>
      </c>
      <c r="J962" s="96"/>
      <c r="K962" s="76"/>
      <c r="L962" s="76"/>
      <c r="M962" s="76"/>
      <c r="N962" s="76"/>
      <c r="O962" s="76"/>
      <c r="P962" s="76"/>
      <c r="Q962" s="76"/>
      <c r="R962" s="76"/>
      <c r="S962" s="76"/>
      <c r="T962" s="76"/>
      <c r="U962" s="97">
        <v>0</v>
      </c>
      <c r="V962" s="255">
        <f t="shared" si="263"/>
        <v>0</v>
      </c>
      <c r="W962" s="255">
        <f t="shared" si="264"/>
        <v>0</v>
      </c>
      <c r="X962" s="255">
        <f t="shared" si="265"/>
        <v>0</v>
      </c>
      <c r="Y962" s="255">
        <f t="shared" si="266"/>
        <v>0</v>
      </c>
      <c r="Z962" s="255">
        <f t="shared" si="267"/>
        <v>0</v>
      </c>
      <c r="AA962" s="97">
        <f t="shared" ref="AA962:AA963" si="271">U962</f>
        <v>0</v>
      </c>
      <c r="AB962" s="255">
        <f t="shared" si="268"/>
        <v>0</v>
      </c>
      <c r="AC962" s="255">
        <f t="shared" si="269"/>
        <v>0</v>
      </c>
      <c r="AD962" s="255">
        <f t="shared" si="270"/>
        <v>0</v>
      </c>
      <c r="AE962" s="76"/>
      <c r="AF962" s="97" t="s">
        <v>3383</v>
      </c>
      <c r="AG962" s="76"/>
      <c r="AH962" s="97">
        <v>1</v>
      </c>
      <c r="AI962" s="97">
        <v>1</v>
      </c>
      <c r="AJ962" s="73"/>
      <c r="AK962" s="57"/>
      <c r="AL962" s="45"/>
      <c r="AM962" s="45"/>
      <c r="AN962" s="45"/>
    </row>
    <row r="963" spans="1:40" hidden="1" outlineLevel="2" x14ac:dyDescent="0.25">
      <c r="A963" s="45"/>
      <c r="B963" s="54"/>
      <c r="C963" s="47">
        <f t="shared" si="239"/>
        <v>3</v>
      </c>
      <c r="D963" s="73"/>
      <c r="E963" s="70"/>
      <c r="F963" s="70" t="s">
        <v>3402</v>
      </c>
      <c r="G963" s="73"/>
      <c r="H963" s="76" t="s">
        <v>2512</v>
      </c>
      <c r="I963" s="96" t="s">
        <v>502</v>
      </c>
      <c r="J963" s="96"/>
      <c r="K963" s="76"/>
      <c r="L963" s="76"/>
      <c r="M963" s="76"/>
      <c r="N963" s="76"/>
      <c r="O963" s="76"/>
      <c r="P963" s="76"/>
      <c r="Q963" s="76"/>
      <c r="R963" s="76"/>
      <c r="S963" s="76"/>
      <c r="T963" s="76"/>
      <c r="U963" s="97">
        <v>0</v>
      </c>
      <c r="V963" s="255">
        <f t="shared" si="263"/>
        <v>0</v>
      </c>
      <c r="W963" s="255">
        <f>U963</f>
        <v>0</v>
      </c>
      <c r="X963" s="255">
        <f>V963</f>
        <v>0</v>
      </c>
      <c r="Y963" s="255">
        <f>V963</f>
        <v>0</v>
      </c>
      <c r="Z963" s="255">
        <f t="shared" si="267"/>
        <v>0</v>
      </c>
      <c r="AA963" s="97">
        <f t="shared" si="271"/>
        <v>0</v>
      </c>
      <c r="AB963" s="255">
        <f t="shared" si="268"/>
        <v>0</v>
      </c>
      <c r="AC963" s="255">
        <f t="shared" si="269"/>
        <v>0</v>
      </c>
      <c r="AD963" s="255">
        <f t="shared" si="270"/>
        <v>0</v>
      </c>
      <c r="AE963" s="76"/>
      <c r="AF963" s="97"/>
      <c r="AG963" s="76"/>
      <c r="AH963" s="97">
        <v>1</v>
      </c>
      <c r="AI963" s="97">
        <v>1</v>
      </c>
      <c r="AJ963" s="73"/>
      <c r="AK963" s="57"/>
      <c r="AL963" s="45"/>
      <c r="AM963" s="45"/>
      <c r="AN963" s="45"/>
    </row>
    <row r="964" spans="1:40" hidden="1" outlineLevel="2" x14ac:dyDescent="0.25">
      <c r="A964" s="45"/>
      <c r="B964" s="54"/>
      <c r="C964" s="47">
        <f t="shared" si="239"/>
        <v>3</v>
      </c>
      <c r="D964" s="73"/>
      <c r="E964" s="70"/>
      <c r="F964" s="70" t="s">
        <v>3403</v>
      </c>
      <c r="G964" s="73"/>
      <c r="H964" s="76" t="s">
        <v>2513</v>
      </c>
      <c r="I964" s="96" t="s">
        <v>502</v>
      </c>
      <c r="J964" s="96"/>
      <c r="K964" s="76"/>
      <c r="L964" s="76"/>
      <c r="M964" s="76"/>
      <c r="N964" s="76"/>
      <c r="O964" s="76"/>
      <c r="P964" s="76"/>
      <c r="Q964" s="76"/>
      <c r="R964" s="76"/>
      <c r="S964" s="76"/>
      <c r="T964" s="76"/>
      <c r="U964" s="253">
        <f>U963</f>
        <v>0</v>
      </c>
      <c r="V964" s="76">
        <f t="shared" si="263"/>
        <v>0</v>
      </c>
      <c r="W964" s="76">
        <f>U964</f>
        <v>0</v>
      </c>
      <c r="X964" s="76">
        <f>V964</f>
        <v>0</v>
      </c>
      <c r="Y964" s="76">
        <f>V964</f>
        <v>0</v>
      </c>
      <c r="Z964" s="76">
        <f t="shared" si="267"/>
        <v>0</v>
      </c>
      <c r="AA964" s="253">
        <f>AA963</f>
        <v>0</v>
      </c>
      <c r="AB964" s="76">
        <f t="shared" si="268"/>
        <v>0</v>
      </c>
      <c r="AC964" s="76">
        <f t="shared" si="269"/>
        <v>0</v>
      </c>
      <c r="AD964" s="76">
        <f t="shared" si="270"/>
        <v>0</v>
      </c>
      <c r="AE964" s="76"/>
      <c r="AF964" s="264" t="s">
        <v>3365</v>
      </c>
      <c r="AG964" s="76"/>
      <c r="AH964" s="76">
        <v>1</v>
      </c>
      <c r="AI964" s="76">
        <v>1</v>
      </c>
      <c r="AJ964" s="73"/>
      <c r="AK964" s="57"/>
      <c r="AL964" s="45"/>
      <c r="AM964" s="45"/>
      <c r="AN964" s="45"/>
    </row>
    <row r="965" spans="1:40" hidden="1" outlineLevel="2" x14ac:dyDescent="0.25">
      <c r="A965" s="45"/>
      <c r="B965" s="54"/>
      <c r="C965" s="47">
        <f t="shared" si="239"/>
        <v>3</v>
      </c>
      <c r="D965" s="73"/>
      <c r="E965" s="70"/>
      <c r="F965" s="70" t="s">
        <v>3404</v>
      </c>
      <c r="G965" s="73"/>
      <c r="H965" s="76" t="s">
        <v>3752</v>
      </c>
      <c r="I965" s="96" t="s">
        <v>502</v>
      </c>
      <c r="J965" s="96"/>
      <c r="K965" s="76"/>
      <c r="L965" s="76"/>
      <c r="M965" s="76"/>
      <c r="N965" s="76"/>
      <c r="O965" s="76"/>
      <c r="P965" s="76"/>
      <c r="Q965" s="76"/>
      <c r="R965" s="76"/>
      <c r="S965" s="76"/>
      <c r="T965" s="76"/>
      <c r="U965" s="97">
        <v>0</v>
      </c>
      <c r="V965" s="255">
        <f t="shared" si="250"/>
        <v>0</v>
      </c>
      <c r="W965" s="255">
        <f t="shared" ref="W965:W966" si="272">U965</f>
        <v>0</v>
      </c>
      <c r="X965" s="255">
        <f t="shared" ref="X965:X966" si="273">V965</f>
        <v>0</v>
      </c>
      <c r="Y965" s="255">
        <f t="shared" ref="Y965:Y966" si="274">V965</f>
        <v>0</v>
      </c>
      <c r="Z965" s="255">
        <f t="shared" si="254"/>
        <v>0</v>
      </c>
      <c r="AA965" s="97">
        <f>U965</f>
        <v>0</v>
      </c>
      <c r="AB965" s="255">
        <f t="shared" si="255"/>
        <v>0</v>
      </c>
      <c r="AC965" s="255">
        <f t="shared" si="256"/>
        <v>0</v>
      </c>
      <c r="AD965" s="255">
        <f t="shared" si="257"/>
        <v>0</v>
      </c>
      <c r="AE965" s="76"/>
      <c r="AF965" s="97" t="s">
        <v>3366</v>
      </c>
      <c r="AG965" s="76"/>
      <c r="AH965" s="76">
        <v>1</v>
      </c>
      <c r="AI965" s="76">
        <v>1</v>
      </c>
      <c r="AJ965" s="73"/>
      <c r="AK965" s="57"/>
      <c r="AL965" s="45"/>
      <c r="AM965" s="45"/>
      <c r="AN965" s="45"/>
    </row>
    <row r="966" spans="1:40" hidden="1" outlineLevel="2" x14ac:dyDescent="0.25">
      <c r="A966" s="45"/>
      <c r="B966" s="54"/>
      <c r="C966" s="47">
        <f t="shared" si="239"/>
        <v>3</v>
      </c>
      <c r="D966" s="73"/>
      <c r="E966" s="70"/>
      <c r="F966" s="70" t="s">
        <v>3405</v>
      </c>
      <c r="G966" s="73"/>
      <c r="H966" s="76" t="s">
        <v>2511</v>
      </c>
      <c r="I966" s="96" t="s">
        <v>502</v>
      </c>
      <c r="J966" s="96"/>
      <c r="K966" s="76"/>
      <c r="L966" s="76"/>
      <c r="M966" s="76"/>
      <c r="N966" s="76"/>
      <c r="O966" s="76"/>
      <c r="P966" s="76"/>
      <c r="Q966" s="76"/>
      <c r="R966" s="76"/>
      <c r="S966" s="76"/>
      <c r="T966" s="76"/>
      <c r="U966" s="97">
        <v>0</v>
      </c>
      <c r="V966" s="255">
        <f t="shared" si="250"/>
        <v>0</v>
      </c>
      <c r="W966" s="255">
        <f t="shared" si="272"/>
        <v>0</v>
      </c>
      <c r="X966" s="255">
        <f t="shared" si="273"/>
        <v>0</v>
      </c>
      <c r="Y966" s="255">
        <f t="shared" si="274"/>
        <v>0</v>
      </c>
      <c r="Z966" s="255">
        <f t="shared" si="254"/>
        <v>0</v>
      </c>
      <c r="AA966" s="97">
        <f t="shared" ref="AA966:AA967" si="275">U966</f>
        <v>0</v>
      </c>
      <c r="AB966" s="255">
        <f t="shared" si="255"/>
        <v>0</v>
      </c>
      <c r="AC966" s="255">
        <f t="shared" si="256"/>
        <v>0</v>
      </c>
      <c r="AD966" s="255">
        <f t="shared" si="257"/>
        <v>0</v>
      </c>
      <c r="AE966" s="76"/>
      <c r="AF966" s="97" t="s">
        <v>3383</v>
      </c>
      <c r="AG966" s="76"/>
      <c r="AH966" s="97">
        <v>1</v>
      </c>
      <c r="AI966" s="97">
        <v>1</v>
      </c>
      <c r="AJ966" s="73"/>
      <c r="AK966" s="57"/>
      <c r="AL966" s="45"/>
      <c r="AM966" s="45"/>
      <c r="AN966" s="45"/>
    </row>
    <row r="967" spans="1:40" hidden="1" outlineLevel="2" x14ac:dyDescent="0.25">
      <c r="A967" s="45"/>
      <c r="B967" s="54"/>
      <c r="C967" s="47">
        <f t="shared" si="239"/>
        <v>3</v>
      </c>
      <c r="D967" s="73"/>
      <c r="E967" s="70"/>
      <c r="F967" s="70" t="s">
        <v>3406</v>
      </c>
      <c r="G967" s="73"/>
      <c r="H967" s="76" t="s">
        <v>2512</v>
      </c>
      <c r="I967" s="96" t="s">
        <v>502</v>
      </c>
      <c r="J967" s="96"/>
      <c r="K967" s="76"/>
      <c r="L967" s="76"/>
      <c r="M967" s="76"/>
      <c r="N967" s="76"/>
      <c r="O967" s="76"/>
      <c r="P967" s="76"/>
      <c r="Q967" s="76"/>
      <c r="R967" s="76"/>
      <c r="S967" s="76"/>
      <c r="T967" s="76"/>
      <c r="U967" s="97">
        <v>9.2600000000000002E-2</v>
      </c>
      <c r="V967" s="255">
        <f t="shared" si="250"/>
        <v>9.2600000000000002E-2</v>
      </c>
      <c r="W967" s="255">
        <f>U967</f>
        <v>9.2600000000000002E-2</v>
      </c>
      <c r="X967" s="255">
        <f>V967</f>
        <v>9.2600000000000002E-2</v>
      </c>
      <c r="Y967" s="255">
        <f>V967</f>
        <v>9.2600000000000002E-2</v>
      </c>
      <c r="Z967" s="255">
        <f t="shared" si="254"/>
        <v>9.2600000000000002E-2</v>
      </c>
      <c r="AA967" s="97">
        <f t="shared" si="275"/>
        <v>9.2600000000000002E-2</v>
      </c>
      <c r="AB967" s="255">
        <f t="shared" si="255"/>
        <v>9.2600000000000002E-2</v>
      </c>
      <c r="AC967" s="255">
        <f t="shared" si="256"/>
        <v>9.2600000000000002E-2</v>
      </c>
      <c r="AD967" s="255">
        <f t="shared" si="257"/>
        <v>9.2600000000000002E-2</v>
      </c>
      <c r="AE967" s="76"/>
      <c r="AF967" s="97"/>
      <c r="AG967" s="76"/>
      <c r="AH967" s="97">
        <v>1</v>
      </c>
      <c r="AI967" s="97">
        <v>1</v>
      </c>
      <c r="AJ967" s="73"/>
      <c r="AK967" s="57"/>
      <c r="AL967" s="45"/>
      <c r="AM967" s="45"/>
      <c r="AN967" s="45"/>
    </row>
    <row r="968" spans="1:40" hidden="1" outlineLevel="2" x14ac:dyDescent="0.25">
      <c r="A968" s="45"/>
      <c r="B968" s="54"/>
      <c r="C968" s="47">
        <f t="shared" si="239"/>
        <v>3</v>
      </c>
      <c r="D968" s="73"/>
      <c r="E968" s="70"/>
      <c r="F968" s="70" t="s">
        <v>3407</v>
      </c>
      <c r="G968" s="73"/>
      <c r="H968" s="76" t="s">
        <v>2513</v>
      </c>
      <c r="I968" s="96" t="s">
        <v>502</v>
      </c>
      <c r="J968" s="96"/>
      <c r="K968" s="76"/>
      <c r="L968" s="76"/>
      <c r="M968" s="76"/>
      <c r="N968" s="76"/>
      <c r="O968" s="76"/>
      <c r="P968" s="76"/>
      <c r="Q968" s="76"/>
      <c r="R968" s="76"/>
      <c r="S968" s="76"/>
      <c r="T968" s="76"/>
      <c r="U968" s="253">
        <f>U967</f>
        <v>9.2600000000000002E-2</v>
      </c>
      <c r="V968" s="76">
        <f t="shared" si="250"/>
        <v>9.2600000000000002E-2</v>
      </c>
      <c r="W968" s="76">
        <f>U968</f>
        <v>9.2600000000000002E-2</v>
      </c>
      <c r="X968" s="76">
        <f>V968</f>
        <v>9.2600000000000002E-2</v>
      </c>
      <c r="Y968" s="76">
        <f>V968</f>
        <v>9.2600000000000002E-2</v>
      </c>
      <c r="Z968" s="76">
        <f t="shared" si="254"/>
        <v>9.2600000000000002E-2</v>
      </c>
      <c r="AA968" s="253">
        <f>AA967</f>
        <v>9.2600000000000002E-2</v>
      </c>
      <c r="AB968" s="76">
        <f t="shared" si="255"/>
        <v>9.2600000000000002E-2</v>
      </c>
      <c r="AC968" s="76">
        <f t="shared" si="256"/>
        <v>9.2600000000000002E-2</v>
      </c>
      <c r="AD968" s="76">
        <f t="shared" si="257"/>
        <v>9.2600000000000002E-2</v>
      </c>
      <c r="AE968" s="76"/>
      <c r="AF968" s="264" t="s">
        <v>3365</v>
      </c>
      <c r="AG968" s="76"/>
      <c r="AH968" s="76">
        <v>1</v>
      </c>
      <c r="AI968" s="76">
        <v>1</v>
      </c>
      <c r="AJ968" s="73"/>
      <c r="AK968" s="57"/>
      <c r="AL968" s="45"/>
      <c r="AM968" s="45"/>
      <c r="AN968" s="45"/>
    </row>
    <row r="969" spans="1:40" hidden="1" outlineLevel="2" x14ac:dyDescent="0.25">
      <c r="A969" s="45"/>
      <c r="B969" s="54"/>
      <c r="C969" s="47">
        <f t="shared" si="239"/>
        <v>3</v>
      </c>
      <c r="D969" s="73"/>
      <c r="E969" s="70"/>
      <c r="F969" s="70" t="s">
        <v>3408</v>
      </c>
      <c r="G969" s="73"/>
      <c r="H969" s="76" t="s">
        <v>3753</v>
      </c>
      <c r="I969" s="96" t="s">
        <v>502</v>
      </c>
      <c r="J969" s="96"/>
      <c r="K969" s="76"/>
      <c r="L969" s="76"/>
      <c r="M969" s="76"/>
      <c r="N969" s="76"/>
      <c r="O969" s="76"/>
      <c r="P969" s="76"/>
      <c r="Q969" s="76"/>
      <c r="R969" s="76"/>
      <c r="S969" s="76"/>
      <c r="T969" s="76"/>
      <c r="U969" s="97">
        <v>0</v>
      </c>
      <c r="V969" s="255">
        <f t="shared" ref="V969:V976" si="276">U969</f>
        <v>0</v>
      </c>
      <c r="W969" s="255">
        <f t="shared" ref="W969:W970" si="277">U969</f>
        <v>0</v>
      </c>
      <c r="X969" s="255">
        <f t="shared" ref="X969:X970" si="278">V969</f>
        <v>0</v>
      </c>
      <c r="Y969" s="255">
        <f t="shared" ref="Y969:Y970" si="279">V969</f>
        <v>0</v>
      </c>
      <c r="Z969" s="255">
        <f t="shared" ref="Z969:Z976" si="280">AA969</f>
        <v>0</v>
      </c>
      <c r="AA969" s="97">
        <f>U969</f>
        <v>0</v>
      </c>
      <c r="AB969" s="255">
        <f t="shared" ref="AB969:AB976" si="281">AA969</f>
        <v>0</v>
      </c>
      <c r="AC969" s="255">
        <f t="shared" ref="AC969:AC976" si="282">AB969</f>
        <v>0</v>
      </c>
      <c r="AD969" s="255">
        <f t="shared" ref="AD969:AD976" si="283">AC969</f>
        <v>0</v>
      </c>
      <c r="AE969" s="76"/>
      <c r="AF969" s="97" t="s">
        <v>3366</v>
      </c>
      <c r="AG969" s="76"/>
      <c r="AH969" s="76">
        <v>1</v>
      </c>
      <c r="AI969" s="76">
        <v>1</v>
      </c>
      <c r="AJ969" s="73"/>
      <c r="AK969" s="57"/>
      <c r="AL969" s="45"/>
      <c r="AM969" s="45"/>
      <c r="AN969" s="45"/>
    </row>
    <row r="970" spans="1:40" hidden="1" outlineLevel="2" x14ac:dyDescent="0.25">
      <c r="A970" s="45"/>
      <c r="B970" s="54"/>
      <c r="C970" s="47">
        <f t="shared" si="239"/>
        <v>3</v>
      </c>
      <c r="D970" s="73"/>
      <c r="E970" s="70"/>
      <c r="F970" s="70" t="s">
        <v>3409</v>
      </c>
      <c r="G970" s="73"/>
      <c r="H970" s="76" t="s">
        <v>2511</v>
      </c>
      <c r="I970" s="96" t="s">
        <v>502</v>
      </c>
      <c r="J970" s="96"/>
      <c r="K970" s="76"/>
      <c r="L970" s="76"/>
      <c r="M970" s="76"/>
      <c r="N970" s="76"/>
      <c r="O970" s="76"/>
      <c r="P970" s="76"/>
      <c r="Q970" s="76"/>
      <c r="R970" s="76"/>
      <c r="S970" s="76"/>
      <c r="T970" s="76"/>
      <c r="U970" s="97">
        <v>0</v>
      </c>
      <c r="V970" s="255">
        <f t="shared" si="276"/>
        <v>0</v>
      </c>
      <c r="W970" s="255">
        <f t="shared" si="277"/>
        <v>0</v>
      </c>
      <c r="X970" s="255">
        <f t="shared" si="278"/>
        <v>0</v>
      </c>
      <c r="Y970" s="255">
        <f t="shared" si="279"/>
        <v>0</v>
      </c>
      <c r="Z970" s="255">
        <f t="shared" si="280"/>
        <v>0</v>
      </c>
      <c r="AA970" s="97">
        <f t="shared" ref="AA970:AA971" si="284">U970</f>
        <v>0</v>
      </c>
      <c r="AB970" s="255">
        <f t="shared" si="281"/>
        <v>0</v>
      </c>
      <c r="AC970" s="255">
        <f t="shared" si="282"/>
        <v>0</v>
      </c>
      <c r="AD970" s="255">
        <f t="shared" si="283"/>
        <v>0</v>
      </c>
      <c r="AE970" s="76"/>
      <c r="AF970" s="97" t="s">
        <v>3383</v>
      </c>
      <c r="AG970" s="76"/>
      <c r="AH970" s="97">
        <v>1</v>
      </c>
      <c r="AI970" s="97">
        <v>1</v>
      </c>
      <c r="AJ970" s="73"/>
      <c r="AK970" s="57"/>
      <c r="AL970" s="45"/>
      <c r="AM970" s="45"/>
      <c r="AN970" s="45"/>
    </row>
    <row r="971" spans="1:40" hidden="1" outlineLevel="2" x14ac:dyDescent="0.25">
      <c r="A971" s="45"/>
      <c r="B971" s="54"/>
      <c r="C971" s="47">
        <f t="shared" si="239"/>
        <v>3</v>
      </c>
      <c r="D971" s="73"/>
      <c r="E971" s="70"/>
      <c r="F971" s="70" t="s">
        <v>3410</v>
      </c>
      <c r="G971" s="73"/>
      <c r="H971" s="76" t="s">
        <v>2512</v>
      </c>
      <c r="I971" s="96" t="s">
        <v>502</v>
      </c>
      <c r="J971" s="96"/>
      <c r="K971" s="76"/>
      <c r="L971" s="76"/>
      <c r="M971" s="76"/>
      <c r="N971" s="76"/>
      <c r="O971" s="76"/>
      <c r="P971" s="76"/>
      <c r="Q971" s="76"/>
      <c r="R971" s="76"/>
      <c r="S971" s="76"/>
      <c r="T971" s="76"/>
      <c r="U971" s="97">
        <v>-2.2100000000000001E-4</v>
      </c>
      <c r="V971" s="255">
        <f t="shared" si="276"/>
        <v>-2.2100000000000001E-4</v>
      </c>
      <c r="W971" s="255">
        <f>U971</f>
        <v>-2.2100000000000001E-4</v>
      </c>
      <c r="X971" s="255">
        <f>V971</f>
        <v>-2.2100000000000001E-4</v>
      </c>
      <c r="Y971" s="255">
        <f>V971</f>
        <v>-2.2100000000000001E-4</v>
      </c>
      <c r="Z971" s="255">
        <f t="shared" si="280"/>
        <v>-2.2100000000000001E-4</v>
      </c>
      <c r="AA971" s="97">
        <f t="shared" si="284"/>
        <v>-2.2100000000000001E-4</v>
      </c>
      <c r="AB971" s="255">
        <f t="shared" si="281"/>
        <v>-2.2100000000000001E-4</v>
      </c>
      <c r="AC971" s="255">
        <f t="shared" si="282"/>
        <v>-2.2100000000000001E-4</v>
      </c>
      <c r="AD971" s="255">
        <f t="shared" si="283"/>
        <v>-2.2100000000000001E-4</v>
      </c>
      <c r="AE971" s="76"/>
      <c r="AF971" s="97"/>
      <c r="AG971" s="76"/>
      <c r="AH971" s="97">
        <v>1</v>
      </c>
      <c r="AI971" s="97">
        <v>1</v>
      </c>
      <c r="AJ971" s="73"/>
      <c r="AK971" s="57"/>
      <c r="AL971" s="45"/>
      <c r="AM971" s="45"/>
      <c r="AN971" s="45"/>
    </row>
    <row r="972" spans="1:40" hidden="1" outlineLevel="2" x14ac:dyDescent="0.25">
      <c r="A972" s="45"/>
      <c r="B972" s="54"/>
      <c r="C972" s="47">
        <f t="shared" si="239"/>
        <v>3</v>
      </c>
      <c r="D972" s="73"/>
      <c r="E972" s="70"/>
      <c r="F972" s="70" t="s">
        <v>3411</v>
      </c>
      <c r="G972" s="73"/>
      <c r="H972" s="76" t="s">
        <v>2513</v>
      </c>
      <c r="I972" s="96" t="s">
        <v>502</v>
      </c>
      <c r="J972" s="96"/>
      <c r="K972" s="76"/>
      <c r="L972" s="76"/>
      <c r="M972" s="76"/>
      <c r="N972" s="76"/>
      <c r="O972" s="76"/>
      <c r="P972" s="76"/>
      <c r="Q972" s="76"/>
      <c r="R972" s="76"/>
      <c r="S972" s="76"/>
      <c r="T972" s="76"/>
      <c r="U972" s="253">
        <f>U971</f>
        <v>-2.2100000000000001E-4</v>
      </c>
      <c r="V972" s="76">
        <f t="shared" si="276"/>
        <v>-2.2100000000000001E-4</v>
      </c>
      <c r="W972" s="76">
        <f>U972</f>
        <v>-2.2100000000000001E-4</v>
      </c>
      <c r="X972" s="76">
        <f>V972</f>
        <v>-2.2100000000000001E-4</v>
      </c>
      <c r="Y972" s="76">
        <f>V972</f>
        <v>-2.2100000000000001E-4</v>
      </c>
      <c r="Z972" s="76">
        <f t="shared" si="280"/>
        <v>-2.2100000000000001E-4</v>
      </c>
      <c r="AA972" s="253">
        <f>AA971</f>
        <v>-2.2100000000000001E-4</v>
      </c>
      <c r="AB972" s="76">
        <f t="shared" si="281"/>
        <v>-2.2100000000000001E-4</v>
      </c>
      <c r="AC972" s="76">
        <f t="shared" si="282"/>
        <v>-2.2100000000000001E-4</v>
      </c>
      <c r="AD972" s="76">
        <f t="shared" si="283"/>
        <v>-2.2100000000000001E-4</v>
      </c>
      <c r="AE972" s="76"/>
      <c r="AF972" s="264" t="s">
        <v>3365</v>
      </c>
      <c r="AG972" s="76"/>
      <c r="AH972" s="76">
        <v>1</v>
      </c>
      <c r="AI972" s="76">
        <v>1</v>
      </c>
      <c r="AJ972" s="73"/>
      <c r="AK972" s="57"/>
      <c r="AL972" s="45"/>
      <c r="AM972" s="45"/>
      <c r="AN972" s="45"/>
    </row>
    <row r="973" spans="1:40" hidden="1" outlineLevel="2" x14ac:dyDescent="0.25">
      <c r="A973" s="45"/>
      <c r="B973" s="54"/>
      <c r="C973" s="47">
        <f t="shared" si="239"/>
        <v>3</v>
      </c>
      <c r="D973" s="73"/>
      <c r="E973" s="70"/>
      <c r="F973" s="70" t="s">
        <v>3732</v>
      </c>
      <c r="G973" s="73"/>
      <c r="H973" s="76" t="s">
        <v>3754</v>
      </c>
      <c r="I973" s="96" t="s">
        <v>502</v>
      </c>
      <c r="J973" s="96"/>
      <c r="K973" s="76"/>
      <c r="L973" s="76"/>
      <c r="M973" s="76"/>
      <c r="N973" s="76"/>
      <c r="O973" s="76"/>
      <c r="P973" s="76"/>
      <c r="Q973" s="76"/>
      <c r="R973" s="76"/>
      <c r="S973" s="76"/>
      <c r="T973" s="76"/>
      <c r="U973" s="97">
        <v>0</v>
      </c>
      <c r="V973" s="255">
        <f t="shared" si="276"/>
        <v>0</v>
      </c>
      <c r="W973" s="255">
        <f t="shared" ref="W973:W974" si="285">U973</f>
        <v>0</v>
      </c>
      <c r="X973" s="255">
        <f t="shared" ref="X973:X974" si="286">V973</f>
        <v>0</v>
      </c>
      <c r="Y973" s="255">
        <f t="shared" ref="Y973:Y974" si="287">V973</f>
        <v>0</v>
      </c>
      <c r="Z973" s="255">
        <f t="shared" si="280"/>
        <v>0</v>
      </c>
      <c r="AA973" s="97">
        <f>U973</f>
        <v>0</v>
      </c>
      <c r="AB973" s="255">
        <f t="shared" si="281"/>
        <v>0</v>
      </c>
      <c r="AC973" s="255">
        <f t="shared" si="282"/>
        <v>0</v>
      </c>
      <c r="AD973" s="255">
        <f t="shared" si="283"/>
        <v>0</v>
      </c>
      <c r="AE973" s="76"/>
      <c r="AF973" s="97" t="s">
        <v>3366</v>
      </c>
      <c r="AG973" s="76"/>
      <c r="AH973" s="76">
        <v>1</v>
      </c>
      <c r="AI973" s="76">
        <v>1</v>
      </c>
      <c r="AJ973" s="73"/>
      <c r="AK973" s="57"/>
      <c r="AL973" s="45"/>
      <c r="AM973" s="45"/>
      <c r="AN973" s="45"/>
    </row>
    <row r="974" spans="1:40" hidden="1" outlineLevel="2" x14ac:dyDescent="0.25">
      <c r="A974" s="45"/>
      <c r="B974" s="54"/>
      <c r="C974" s="47">
        <f t="shared" si="239"/>
        <v>3</v>
      </c>
      <c r="D974" s="73"/>
      <c r="E974" s="70"/>
      <c r="F974" s="70" t="s">
        <v>3733</v>
      </c>
      <c r="G974" s="73"/>
      <c r="H974" s="76" t="s">
        <v>2511</v>
      </c>
      <c r="I974" s="96" t="s">
        <v>502</v>
      </c>
      <c r="J974" s="96"/>
      <c r="K974" s="76"/>
      <c r="L974" s="76"/>
      <c r="M974" s="76"/>
      <c r="N974" s="76"/>
      <c r="O974" s="76"/>
      <c r="P974" s="76"/>
      <c r="Q974" s="76"/>
      <c r="R974" s="76"/>
      <c r="S974" s="76"/>
      <c r="T974" s="76"/>
      <c r="U974" s="97">
        <v>0</v>
      </c>
      <c r="V974" s="255">
        <f t="shared" si="276"/>
        <v>0</v>
      </c>
      <c r="W974" s="255">
        <f t="shared" si="285"/>
        <v>0</v>
      </c>
      <c r="X974" s="255">
        <f t="shared" si="286"/>
        <v>0</v>
      </c>
      <c r="Y974" s="255">
        <f t="shared" si="287"/>
        <v>0</v>
      </c>
      <c r="Z974" s="255">
        <f t="shared" si="280"/>
        <v>0</v>
      </c>
      <c r="AA974" s="97">
        <f t="shared" ref="AA974:AA975" si="288">U974</f>
        <v>0</v>
      </c>
      <c r="AB974" s="255">
        <f t="shared" si="281"/>
        <v>0</v>
      </c>
      <c r="AC974" s="255">
        <f t="shared" si="282"/>
        <v>0</v>
      </c>
      <c r="AD974" s="255">
        <f t="shared" si="283"/>
        <v>0</v>
      </c>
      <c r="AE974" s="76"/>
      <c r="AF974" s="97" t="s">
        <v>3383</v>
      </c>
      <c r="AG974" s="76"/>
      <c r="AH974" s="97">
        <v>1</v>
      </c>
      <c r="AI974" s="97">
        <v>1</v>
      </c>
      <c r="AJ974" s="73"/>
      <c r="AK974" s="57"/>
      <c r="AL974" s="45"/>
      <c r="AM974" s="45"/>
      <c r="AN974" s="45"/>
    </row>
    <row r="975" spans="1:40" hidden="1" outlineLevel="2" x14ac:dyDescent="0.25">
      <c r="A975" s="45"/>
      <c r="B975" s="54"/>
      <c r="C975" s="47">
        <f t="shared" si="239"/>
        <v>3</v>
      </c>
      <c r="D975" s="73"/>
      <c r="E975" s="70"/>
      <c r="F975" s="70" t="s">
        <v>3734</v>
      </c>
      <c r="G975" s="73"/>
      <c r="H975" s="76" t="s">
        <v>2512</v>
      </c>
      <c r="I975" s="96" t="s">
        <v>502</v>
      </c>
      <c r="J975" s="96"/>
      <c r="K975" s="76"/>
      <c r="L975" s="76"/>
      <c r="M975" s="76"/>
      <c r="N975" s="76"/>
      <c r="O975" s="76"/>
      <c r="P975" s="76"/>
      <c r="Q975" s="76"/>
      <c r="R975" s="76"/>
      <c r="S975" s="76"/>
      <c r="T975" s="76"/>
      <c r="U975" s="97">
        <v>-6.34</v>
      </c>
      <c r="V975" s="255">
        <f t="shared" si="276"/>
        <v>-6.34</v>
      </c>
      <c r="W975" s="255">
        <f>U975</f>
        <v>-6.34</v>
      </c>
      <c r="X975" s="255">
        <f>V975</f>
        <v>-6.34</v>
      </c>
      <c r="Y975" s="255">
        <f>V975</f>
        <v>-6.34</v>
      </c>
      <c r="Z975" s="255">
        <f t="shared" si="280"/>
        <v>-6.34</v>
      </c>
      <c r="AA975" s="97">
        <f t="shared" si="288"/>
        <v>-6.34</v>
      </c>
      <c r="AB975" s="255">
        <f t="shared" si="281"/>
        <v>-6.34</v>
      </c>
      <c r="AC975" s="255">
        <f t="shared" si="282"/>
        <v>-6.34</v>
      </c>
      <c r="AD975" s="255">
        <f t="shared" si="283"/>
        <v>-6.34</v>
      </c>
      <c r="AE975" s="76"/>
      <c r="AF975" s="97"/>
      <c r="AG975" s="76"/>
      <c r="AH975" s="97">
        <v>1</v>
      </c>
      <c r="AI975" s="97">
        <v>1</v>
      </c>
      <c r="AJ975" s="73"/>
      <c r="AK975" s="57"/>
      <c r="AL975" s="45"/>
      <c r="AM975" s="45"/>
      <c r="AN975" s="45"/>
    </row>
    <row r="976" spans="1:40" hidden="1" outlineLevel="2" x14ac:dyDescent="0.25">
      <c r="A976" s="45"/>
      <c r="B976" s="54"/>
      <c r="C976" s="47">
        <f t="shared" si="239"/>
        <v>3</v>
      </c>
      <c r="D976" s="73"/>
      <c r="E976" s="70"/>
      <c r="F976" s="70" t="s">
        <v>3735</v>
      </c>
      <c r="G976" s="73"/>
      <c r="H976" s="76" t="s">
        <v>2513</v>
      </c>
      <c r="I976" s="96" t="s">
        <v>502</v>
      </c>
      <c r="J976" s="96"/>
      <c r="K976" s="76"/>
      <c r="L976" s="76"/>
      <c r="M976" s="76"/>
      <c r="N976" s="76"/>
      <c r="O976" s="76"/>
      <c r="P976" s="76"/>
      <c r="Q976" s="76"/>
      <c r="R976" s="76"/>
      <c r="S976" s="76"/>
      <c r="T976" s="76"/>
      <c r="U976" s="253">
        <f>U975</f>
        <v>-6.34</v>
      </c>
      <c r="V976" s="76">
        <f t="shared" si="276"/>
        <v>-6.34</v>
      </c>
      <c r="W976" s="76">
        <f>U976</f>
        <v>-6.34</v>
      </c>
      <c r="X976" s="76">
        <f>V976</f>
        <v>-6.34</v>
      </c>
      <c r="Y976" s="76">
        <f>V976</f>
        <v>-6.34</v>
      </c>
      <c r="Z976" s="76">
        <f t="shared" si="280"/>
        <v>-6.34</v>
      </c>
      <c r="AA976" s="253">
        <f>AA975</f>
        <v>-6.34</v>
      </c>
      <c r="AB976" s="76">
        <f t="shared" si="281"/>
        <v>-6.34</v>
      </c>
      <c r="AC976" s="76">
        <f t="shared" si="282"/>
        <v>-6.34</v>
      </c>
      <c r="AD976" s="76">
        <f t="shared" si="283"/>
        <v>-6.34</v>
      </c>
      <c r="AE976" s="76"/>
      <c r="AF976" s="264" t="s">
        <v>3365</v>
      </c>
      <c r="AG976" s="76"/>
      <c r="AH976" s="76">
        <v>1</v>
      </c>
      <c r="AI976" s="76">
        <v>1</v>
      </c>
      <c r="AJ976" s="73"/>
      <c r="AK976" s="57"/>
      <c r="AL976" s="45"/>
      <c r="AM976" s="45"/>
      <c r="AN976" s="45"/>
    </row>
    <row r="977" spans="1:40" hidden="1" outlineLevel="2" x14ac:dyDescent="0.25">
      <c r="A977" s="45"/>
      <c r="B977" s="54"/>
      <c r="C977" s="47">
        <f t="shared" si="239"/>
        <v>3</v>
      </c>
      <c r="D977" s="73"/>
      <c r="E977" s="70"/>
      <c r="F977" s="70" t="s">
        <v>3755</v>
      </c>
      <c r="G977" s="73"/>
      <c r="H977" s="76" t="s">
        <v>3765</v>
      </c>
      <c r="I977" s="96" t="s">
        <v>502</v>
      </c>
      <c r="J977" s="96"/>
      <c r="K977" s="76"/>
      <c r="L977" s="76"/>
      <c r="M977" s="76"/>
      <c r="N977" s="76"/>
      <c r="O977" s="76"/>
      <c r="P977" s="76"/>
      <c r="Q977" s="76"/>
      <c r="R977" s="76"/>
      <c r="S977" s="76"/>
      <c r="T977" s="76"/>
      <c r="U977" s="97">
        <v>0</v>
      </c>
      <c r="V977" s="255">
        <f t="shared" ref="V977:V980" si="289">U977</f>
        <v>0</v>
      </c>
      <c r="W977" s="255">
        <f t="shared" ref="W977:W978" si="290">U977</f>
        <v>0</v>
      </c>
      <c r="X977" s="255">
        <f t="shared" ref="X977:X978" si="291">V977</f>
        <v>0</v>
      </c>
      <c r="Y977" s="255">
        <f t="shared" ref="Y977:Y978" si="292">V977</f>
        <v>0</v>
      </c>
      <c r="Z977" s="255">
        <f t="shared" ref="Z977:Z980" si="293">AA977</f>
        <v>0</v>
      </c>
      <c r="AA977" s="97">
        <f>U977</f>
        <v>0</v>
      </c>
      <c r="AB977" s="255">
        <f t="shared" ref="AB977:AB980" si="294">AA977</f>
        <v>0</v>
      </c>
      <c r="AC977" s="255">
        <f t="shared" ref="AC977:AC980" si="295">AB977</f>
        <v>0</v>
      </c>
      <c r="AD977" s="255">
        <f t="shared" ref="AD977:AD980" si="296">AC977</f>
        <v>0</v>
      </c>
      <c r="AE977" s="76"/>
      <c r="AF977" s="97" t="s">
        <v>3763</v>
      </c>
      <c r="AG977" s="76"/>
      <c r="AH977" s="76">
        <v>1</v>
      </c>
      <c r="AI977" s="76">
        <v>1</v>
      </c>
      <c r="AJ977" s="73"/>
      <c r="AK977" s="57"/>
      <c r="AL977" s="45"/>
      <c r="AM977" s="45"/>
      <c r="AN977" s="45"/>
    </row>
    <row r="978" spans="1:40" hidden="1" outlineLevel="2" x14ac:dyDescent="0.25">
      <c r="A978" s="45"/>
      <c r="B978" s="54"/>
      <c r="C978" s="47">
        <f t="shared" si="239"/>
        <v>3</v>
      </c>
      <c r="D978" s="73"/>
      <c r="E978" s="70"/>
      <c r="F978" s="70" t="s">
        <v>3756</v>
      </c>
      <c r="G978" s="73"/>
      <c r="H978" s="76" t="s">
        <v>2511</v>
      </c>
      <c r="I978" s="96" t="s">
        <v>502</v>
      </c>
      <c r="J978" s="96"/>
      <c r="K978" s="76"/>
      <c r="L978" s="76"/>
      <c r="M978" s="76"/>
      <c r="N978" s="76"/>
      <c r="O978" s="76"/>
      <c r="P978" s="76"/>
      <c r="Q978" s="76"/>
      <c r="R978" s="76"/>
      <c r="S978" s="76"/>
      <c r="T978" s="76"/>
      <c r="U978" s="97">
        <v>0</v>
      </c>
      <c r="V978" s="255">
        <f t="shared" si="289"/>
        <v>0</v>
      </c>
      <c r="W978" s="255">
        <f t="shared" si="290"/>
        <v>0</v>
      </c>
      <c r="X978" s="255">
        <f t="shared" si="291"/>
        <v>0</v>
      </c>
      <c r="Y978" s="255">
        <f t="shared" si="292"/>
        <v>0</v>
      </c>
      <c r="Z978" s="255">
        <f t="shared" si="293"/>
        <v>0</v>
      </c>
      <c r="AA978" s="97">
        <f t="shared" ref="AA978:AA979" si="297">U978</f>
        <v>0</v>
      </c>
      <c r="AB978" s="255">
        <f t="shared" si="294"/>
        <v>0</v>
      </c>
      <c r="AC978" s="255">
        <f t="shared" si="295"/>
        <v>0</v>
      </c>
      <c r="AD978" s="255">
        <f t="shared" si="296"/>
        <v>0</v>
      </c>
      <c r="AE978" s="76"/>
      <c r="AF978" s="97" t="s">
        <v>3764</v>
      </c>
      <c r="AG978" s="76"/>
      <c r="AH978" s="97">
        <v>1</v>
      </c>
      <c r="AI978" s="97">
        <v>1</v>
      </c>
      <c r="AJ978" s="73"/>
      <c r="AK978" s="57"/>
      <c r="AL978" s="45"/>
      <c r="AM978" s="45"/>
      <c r="AN978" s="45"/>
    </row>
    <row r="979" spans="1:40" hidden="1" outlineLevel="2" x14ac:dyDescent="0.25">
      <c r="A979" s="45"/>
      <c r="B979" s="54"/>
      <c r="C979" s="47">
        <f t="shared" si="239"/>
        <v>3</v>
      </c>
      <c r="D979" s="73"/>
      <c r="E979" s="70"/>
      <c r="F979" s="70" t="s">
        <v>3757</v>
      </c>
      <c r="G979" s="73"/>
      <c r="H979" s="76" t="s">
        <v>2512</v>
      </c>
      <c r="I979" s="96" t="s">
        <v>502</v>
      </c>
      <c r="J979" s="96"/>
      <c r="K979" s="76"/>
      <c r="L979" s="76"/>
      <c r="M979" s="76"/>
      <c r="N979" s="76"/>
      <c r="O979" s="76"/>
      <c r="P979" s="76"/>
      <c r="Q979" s="76"/>
      <c r="R979" s="76"/>
      <c r="S979" s="76"/>
      <c r="T979" s="76"/>
      <c r="U979" s="97">
        <v>4.3999999999999997E-2</v>
      </c>
      <c r="V979" s="255">
        <f t="shared" si="289"/>
        <v>4.3999999999999997E-2</v>
      </c>
      <c r="W979" s="255">
        <f>U979</f>
        <v>4.3999999999999997E-2</v>
      </c>
      <c r="X979" s="255">
        <f>V979</f>
        <v>4.3999999999999997E-2</v>
      </c>
      <c r="Y979" s="255">
        <f>V979</f>
        <v>4.3999999999999997E-2</v>
      </c>
      <c r="Z979" s="255">
        <f t="shared" si="293"/>
        <v>4.3999999999999997E-2</v>
      </c>
      <c r="AA979" s="97">
        <f t="shared" si="297"/>
        <v>4.3999999999999997E-2</v>
      </c>
      <c r="AB979" s="255">
        <f t="shared" si="294"/>
        <v>4.3999999999999997E-2</v>
      </c>
      <c r="AC979" s="255">
        <f t="shared" si="295"/>
        <v>4.3999999999999997E-2</v>
      </c>
      <c r="AD979" s="255">
        <f t="shared" si="296"/>
        <v>4.3999999999999997E-2</v>
      </c>
      <c r="AE979" s="76"/>
      <c r="AF979" s="97"/>
      <c r="AG979" s="76"/>
      <c r="AH979" s="97">
        <v>1</v>
      </c>
      <c r="AI979" s="97">
        <v>1</v>
      </c>
      <c r="AJ979" s="73"/>
      <c r="AK979" s="57"/>
      <c r="AL979" s="45"/>
      <c r="AM979" s="45"/>
      <c r="AN979" s="45"/>
    </row>
    <row r="980" spans="1:40" hidden="1" outlineLevel="2" x14ac:dyDescent="0.25">
      <c r="A980" s="45"/>
      <c r="B980" s="54"/>
      <c r="C980" s="47">
        <f t="shared" si="239"/>
        <v>3</v>
      </c>
      <c r="D980" s="73"/>
      <c r="E980" s="70"/>
      <c r="F980" s="70" t="s">
        <v>3758</v>
      </c>
      <c r="G980" s="73"/>
      <c r="H980" s="76" t="s">
        <v>2513</v>
      </c>
      <c r="I980" s="96" t="s">
        <v>502</v>
      </c>
      <c r="J980" s="96"/>
      <c r="K980" s="76"/>
      <c r="L980" s="76"/>
      <c r="M980" s="76"/>
      <c r="N980" s="76"/>
      <c r="O980" s="76"/>
      <c r="P980" s="76"/>
      <c r="Q980" s="76"/>
      <c r="R980" s="76"/>
      <c r="S980" s="76"/>
      <c r="T980" s="76"/>
      <c r="U980" s="253">
        <f>U979</f>
        <v>4.3999999999999997E-2</v>
      </c>
      <c r="V980" s="76">
        <f t="shared" si="289"/>
        <v>4.3999999999999997E-2</v>
      </c>
      <c r="W980" s="76">
        <f>U980</f>
        <v>4.3999999999999997E-2</v>
      </c>
      <c r="X980" s="76">
        <f>V980</f>
        <v>4.3999999999999997E-2</v>
      </c>
      <c r="Y980" s="76">
        <f>V980</f>
        <v>4.3999999999999997E-2</v>
      </c>
      <c r="Z980" s="76">
        <f t="shared" si="293"/>
        <v>4.3999999999999997E-2</v>
      </c>
      <c r="AA980" s="253">
        <f>AA979</f>
        <v>4.3999999999999997E-2</v>
      </c>
      <c r="AB980" s="76">
        <f t="shared" si="294"/>
        <v>4.3999999999999997E-2</v>
      </c>
      <c r="AC980" s="76">
        <f t="shared" si="295"/>
        <v>4.3999999999999997E-2</v>
      </c>
      <c r="AD980" s="76">
        <f t="shared" si="296"/>
        <v>4.3999999999999997E-2</v>
      </c>
      <c r="AE980" s="76"/>
      <c r="AF980" s="264" t="s">
        <v>3365</v>
      </c>
      <c r="AG980" s="76"/>
      <c r="AH980" s="76">
        <v>1</v>
      </c>
      <c r="AI980" s="76">
        <v>1</v>
      </c>
      <c r="AJ980" s="73"/>
      <c r="AK980" s="57"/>
      <c r="AL980" s="45"/>
      <c r="AM980" s="45"/>
      <c r="AN980" s="45"/>
    </row>
    <row r="981" spans="1:40" hidden="1" outlineLevel="2" x14ac:dyDescent="0.25">
      <c r="A981" s="45"/>
      <c r="B981" s="54"/>
      <c r="C981" s="47">
        <f t="shared" si="239"/>
        <v>3</v>
      </c>
      <c r="D981" s="73"/>
      <c r="E981" s="70"/>
      <c r="F981" s="70" t="s">
        <v>3759</v>
      </c>
      <c r="G981" s="73"/>
      <c r="H981" s="76" t="s">
        <v>3766</v>
      </c>
      <c r="I981" s="96" t="s">
        <v>502</v>
      </c>
      <c r="J981" s="96"/>
      <c r="K981" s="76"/>
      <c r="L981" s="76"/>
      <c r="M981" s="76"/>
      <c r="N981" s="76"/>
      <c r="O981" s="76"/>
      <c r="P981" s="76"/>
      <c r="Q981" s="76"/>
      <c r="R981" s="76"/>
      <c r="S981" s="76"/>
      <c r="T981" s="76"/>
      <c r="U981" s="97">
        <v>1</v>
      </c>
      <c r="V981" s="255">
        <f t="shared" ref="V981:V984" si="298">U981</f>
        <v>1</v>
      </c>
      <c r="W981" s="255">
        <f t="shared" ref="W981:W982" si="299">U981</f>
        <v>1</v>
      </c>
      <c r="X981" s="255">
        <f t="shared" ref="X981:X982" si="300">V981</f>
        <v>1</v>
      </c>
      <c r="Y981" s="255">
        <f t="shared" ref="Y981:Y982" si="301">V981</f>
        <v>1</v>
      </c>
      <c r="Z981" s="255">
        <f t="shared" ref="Z981:Z984" si="302">AA981</f>
        <v>1</v>
      </c>
      <c r="AA981" s="97">
        <f>U981</f>
        <v>1</v>
      </c>
      <c r="AB981" s="255">
        <f t="shared" ref="AB981:AB984" si="303">AA981</f>
        <v>1</v>
      </c>
      <c r="AC981" s="255">
        <f t="shared" ref="AC981:AC984" si="304">AB981</f>
        <v>1</v>
      </c>
      <c r="AD981" s="255">
        <f t="shared" ref="AD981:AD984" si="305">AC981</f>
        <v>1</v>
      </c>
      <c r="AE981" s="76"/>
      <c r="AF981" s="97" t="s">
        <v>3763</v>
      </c>
      <c r="AG981" s="76"/>
      <c r="AH981" s="76">
        <v>1</v>
      </c>
      <c r="AI981" s="76">
        <v>1</v>
      </c>
      <c r="AJ981" s="73"/>
      <c r="AK981" s="57"/>
      <c r="AL981" s="45"/>
      <c r="AM981" s="45"/>
      <c r="AN981" s="45"/>
    </row>
    <row r="982" spans="1:40" hidden="1" outlineLevel="2" x14ac:dyDescent="0.25">
      <c r="A982" s="45"/>
      <c r="B982" s="54"/>
      <c r="C982" s="47">
        <f t="shared" si="239"/>
        <v>3</v>
      </c>
      <c r="D982" s="73"/>
      <c r="E982" s="70"/>
      <c r="F982" s="70" t="s">
        <v>3760</v>
      </c>
      <c r="G982" s="73"/>
      <c r="H982" s="76" t="s">
        <v>2511</v>
      </c>
      <c r="I982" s="96" t="s">
        <v>502</v>
      </c>
      <c r="J982" s="96"/>
      <c r="K982" s="76"/>
      <c r="L982" s="76"/>
      <c r="M982" s="76"/>
      <c r="N982" s="76"/>
      <c r="O982" s="76"/>
      <c r="P982" s="76"/>
      <c r="Q982" s="76"/>
      <c r="R982" s="76"/>
      <c r="S982" s="76"/>
      <c r="T982" s="76"/>
      <c r="U982" s="97">
        <v>1</v>
      </c>
      <c r="V982" s="255">
        <f t="shared" si="298"/>
        <v>1</v>
      </c>
      <c r="W982" s="255">
        <f t="shared" si="299"/>
        <v>1</v>
      </c>
      <c r="X982" s="255">
        <f t="shared" si="300"/>
        <v>1</v>
      </c>
      <c r="Y982" s="255">
        <f t="shared" si="301"/>
        <v>1</v>
      </c>
      <c r="Z982" s="255">
        <f t="shared" si="302"/>
        <v>1</v>
      </c>
      <c r="AA982" s="97">
        <f t="shared" ref="AA982:AA983" si="306">U982</f>
        <v>1</v>
      </c>
      <c r="AB982" s="255">
        <f t="shared" si="303"/>
        <v>1</v>
      </c>
      <c r="AC982" s="255">
        <f t="shared" si="304"/>
        <v>1</v>
      </c>
      <c r="AD982" s="255">
        <f t="shared" si="305"/>
        <v>1</v>
      </c>
      <c r="AE982" s="76"/>
      <c r="AF982" s="97" t="s">
        <v>3764</v>
      </c>
      <c r="AG982" s="76"/>
      <c r="AH982" s="97">
        <v>1</v>
      </c>
      <c r="AI982" s="97">
        <v>1</v>
      </c>
      <c r="AJ982" s="73"/>
      <c r="AK982" s="57"/>
      <c r="AL982" s="45"/>
      <c r="AM982" s="45"/>
      <c r="AN982" s="45"/>
    </row>
    <row r="983" spans="1:40" hidden="1" outlineLevel="2" x14ac:dyDescent="0.25">
      <c r="A983" s="45"/>
      <c r="B983" s="54"/>
      <c r="C983" s="47">
        <f t="shared" si="239"/>
        <v>3</v>
      </c>
      <c r="D983" s="73"/>
      <c r="E983" s="70"/>
      <c r="F983" s="70" t="s">
        <v>3761</v>
      </c>
      <c r="G983" s="73"/>
      <c r="H983" s="76" t="s">
        <v>2512</v>
      </c>
      <c r="I983" s="96" t="s">
        <v>502</v>
      </c>
      <c r="J983" s="96"/>
      <c r="K983" s="76"/>
      <c r="L983" s="76"/>
      <c r="M983" s="76"/>
      <c r="N983" s="76"/>
      <c r="O983" s="76"/>
      <c r="P983" s="76"/>
      <c r="Q983" s="76"/>
      <c r="R983" s="76"/>
      <c r="S983" s="76"/>
      <c r="T983" s="76"/>
      <c r="U983" s="97">
        <v>0.75</v>
      </c>
      <c r="V983" s="255">
        <f t="shared" si="298"/>
        <v>0.75</v>
      </c>
      <c r="W983" s="255">
        <f>U983</f>
        <v>0.75</v>
      </c>
      <c r="X983" s="255">
        <f>V983</f>
        <v>0.75</v>
      </c>
      <c r="Y983" s="255">
        <f>V983</f>
        <v>0.75</v>
      </c>
      <c r="Z983" s="255">
        <f t="shared" si="302"/>
        <v>0.75</v>
      </c>
      <c r="AA983" s="97">
        <f t="shared" si="306"/>
        <v>0.75</v>
      </c>
      <c r="AB983" s="255">
        <f t="shared" si="303"/>
        <v>0.75</v>
      </c>
      <c r="AC983" s="255">
        <f t="shared" si="304"/>
        <v>0.75</v>
      </c>
      <c r="AD983" s="255">
        <f t="shared" si="305"/>
        <v>0.75</v>
      </c>
      <c r="AE983" s="76"/>
      <c r="AF983" s="97"/>
      <c r="AG983" s="76"/>
      <c r="AH983" s="97">
        <v>1</v>
      </c>
      <c r="AI983" s="97">
        <v>1</v>
      </c>
      <c r="AJ983" s="73"/>
      <c r="AK983" s="57"/>
      <c r="AL983" s="45"/>
      <c r="AM983" s="45"/>
      <c r="AN983" s="45"/>
    </row>
    <row r="984" spans="1:40" hidden="1" outlineLevel="2" x14ac:dyDescent="0.25">
      <c r="A984" s="45"/>
      <c r="B984" s="54"/>
      <c r="C984" s="47">
        <f t="shared" si="239"/>
        <v>3</v>
      </c>
      <c r="D984" s="73"/>
      <c r="E984" s="70"/>
      <c r="F984" s="70" t="s">
        <v>3762</v>
      </c>
      <c r="G984" s="73"/>
      <c r="H984" s="76" t="s">
        <v>2513</v>
      </c>
      <c r="I984" s="96" t="s">
        <v>502</v>
      </c>
      <c r="J984" s="96"/>
      <c r="K984" s="76"/>
      <c r="L984" s="76"/>
      <c r="M984" s="76"/>
      <c r="N984" s="76"/>
      <c r="O984" s="76"/>
      <c r="P984" s="76"/>
      <c r="Q984" s="76"/>
      <c r="R984" s="76"/>
      <c r="S984" s="76"/>
      <c r="T984" s="76"/>
      <c r="U984" s="253">
        <f>U983</f>
        <v>0.75</v>
      </c>
      <c r="V984" s="76">
        <f t="shared" si="298"/>
        <v>0.75</v>
      </c>
      <c r="W984" s="76">
        <f>U984</f>
        <v>0.75</v>
      </c>
      <c r="X984" s="76">
        <f>V984</f>
        <v>0.75</v>
      </c>
      <c r="Y984" s="76">
        <f>V984</f>
        <v>0.75</v>
      </c>
      <c r="Z984" s="76">
        <f t="shared" si="302"/>
        <v>0.75</v>
      </c>
      <c r="AA984" s="253">
        <f>AA983</f>
        <v>0.75</v>
      </c>
      <c r="AB984" s="76">
        <f t="shared" si="303"/>
        <v>0.75</v>
      </c>
      <c r="AC984" s="76">
        <f t="shared" si="304"/>
        <v>0.75</v>
      </c>
      <c r="AD984" s="76">
        <f t="shared" si="305"/>
        <v>0.75</v>
      </c>
      <c r="AE984" s="76"/>
      <c r="AF984" s="264" t="s">
        <v>3365</v>
      </c>
      <c r="AG984" s="76"/>
      <c r="AH984" s="76">
        <v>1</v>
      </c>
      <c r="AI984" s="76">
        <v>1</v>
      </c>
      <c r="AJ984" s="73"/>
      <c r="AK984" s="57"/>
      <c r="AL984" s="45"/>
      <c r="AM984" s="45"/>
      <c r="AN984" s="45"/>
    </row>
    <row r="985" spans="1:40" hidden="1" outlineLevel="1" collapsed="1" x14ac:dyDescent="0.2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2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2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7">INDEX($K987:$Q987,1,U$43)</f>
        <v>0.38900000000000001</v>
      </c>
      <c r="V987" s="253">
        <f t="shared" si="307"/>
        <v>0.38900000000000001</v>
      </c>
      <c r="W987" s="253">
        <f t="shared" si="307"/>
        <v>0.38900000000000001</v>
      </c>
      <c r="X987" s="253">
        <f t="shared" si="307"/>
        <v>0.38900000000000001</v>
      </c>
      <c r="Y987" s="253">
        <f t="shared" si="307"/>
        <v>0.38900000000000001</v>
      </c>
      <c r="Z987" s="253">
        <f t="shared" si="307"/>
        <v>0.48599999999999999</v>
      </c>
      <c r="AA987" s="253">
        <f t="shared" si="307"/>
        <v>0.48599999999999999</v>
      </c>
      <c r="AB987" s="253">
        <f t="shared" si="307"/>
        <v>0.48599999999999999</v>
      </c>
      <c r="AC987" s="253">
        <f t="shared" si="307"/>
        <v>0.48599999999999999</v>
      </c>
      <c r="AD987" s="253">
        <f t="shared" si="307"/>
        <v>0.48599999999999999</v>
      </c>
      <c r="AE987" s="76"/>
      <c r="AF987" s="76"/>
      <c r="AG987" s="76"/>
      <c r="AH987" s="97">
        <v>1</v>
      </c>
      <c r="AI987" s="97">
        <v>1</v>
      </c>
      <c r="AJ987" s="73"/>
      <c r="AK987" s="57"/>
      <c r="AL987" s="45"/>
      <c r="AM987" s="45"/>
      <c r="AN987" s="45"/>
    </row>
    <row r="988" spans="1:40" hidden="1" outlineLevel="2" x14ac:dyDescent="0.2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7"/>
        <v>0.622</v>
      </c>
      <c r="V988" s="253">
        <f t="shared" si="307"/>
        <v>0.622</v>
      </c>
      <c r="W988" s="253">
        <f t="shared" si="307"/>
        <v>0.622</v>
      </c>
      <c r="X988" s="253">
        <f t="shared" si="307"/>
        <v>0.622</v>
      </c>
      <c r="Y988" s="253">
        <f t="shared" si="307"/>
        <v>0.622</v>
      </c>
      <c r="Z988" s="253">
        <f t="shared" si="307"/>
        <v>0.77800000000000002</v>
      </c>
      <c r="AA988" s="253">
        <f t="shared" si="307"/>
        <v>0.77800000000000002</v>
      </c>
      <c r="AB988" s="253">
        <f t="shared" si="307"/>
        <v>0.77800000000000002</v>
      </c>
      <c r="AC988" s="253">
        <f t="shared" si="307"/>
        <v>0.77800000000000002</v>
      </c>
      <c r="AD988" s="253">
        <f t="shared" si="307"/>
        <v>0.77800000000000002</v>
      </c>
      <c r="AE988" s="76"/>
      <c r="AF988" s="76"/>
      <c r="AG988" s="76"/>
      <c r="AH988" s="97">
        <v>1</v>
      </c>
      <c r="AI988" s="97">
        <v>1</v>
      </c>
      <c r="AJ988" s="73"/>
      <c r="AK988" s="57"/>
      <c r="AL988" s="45"/>
      <c r="AM988" s="45"/>
      <c r="AN988" s="45"/>
    </row>
    <row r="989" spans="1:40" hidden="1" outlineLevel="2" collapsed="1" x14ac:dyDescent="0.2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7"/>
        <v>0.746</v>
      </c>
      <c r="V989" s="253">
        <f t="shared" si="307"/>
        <v>0.746</v>
      </c>
      <c r="W989" s="253">
        <f t="shared" si="307"/>
        <v>0.746</v>
      </c>
      <c r="X989" s="253">
        <f t="shared" si="307"/>
        <v>0.746</v>
      </c>
      <c r="Y989" s="253">
        <f t="shared" si="307"/>
        <v>0.746</v>
      </c>
      <c r="Z989" s="253">
        <f t="shared" si="307"/>
        <v>0.93400000000000005</v>
      </c>
      <c r="AA989" s="253">
        <f t="shared" si="307"/>
        <v>0.93400000000000005</v>
      </c>
      <c r="AB989" s="253">
        <f t="shared" si="307"/>
        <v>0.93400000000000005</v>
      </c>
      <c r="AC989" s="253">
        <f t="shared" si="307"/>
        <v>0.93400000000000005</v>
      </c>
      <c r="AD989" s="253">
        <f t="shared" si="307"/>
        <v>0.93400000000000005</v>
      </c>
      <c r="AE989" s="76"/>
      <c r="AF989" s="76"/>
      <c r="AG989" s="76"/>
      <c r="AH989" s="97">
        <v>1</v>
      </c>
      <c r="AI989" s="97">
        <v>1</v>
      </c>
      <c r="AJ989" s="73"/>
      <c r="AK989" s="57"/>
      <c r="AL989" s="45"/>
      <c r="AM989" s="45"/>
      <c r="AN989" s="45"/>
    </row>
    <row r="990" spans="1:40" hidden="1" outlineLevel="3" x14ac:dyDescent="0.25">
      <c r="A990" s="45"/>
      <c r="B990" s="54"/>
      <c r="C990" s="47">
        <f t="shared" ref="C990:C1021" si="308">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8"/>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8"/>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8"/>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8"/>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8"/>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8"/>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8"/>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8"/>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8"/>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8"/>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8"/>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8"/>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8"/>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8"/>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8"/>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8"/>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8"/>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8"/>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8"/>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8"/>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8"/>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8"/>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8"/>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8"/>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8"/>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8"/>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8"/>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8"/>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8"/>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8"/>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08"/>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ref="C1022:C1053" si="309">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9"/>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9"/>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9"/>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9"/>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9"/>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9"/>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9"/>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2" x14ac:dyDescent="0.25">
      <c r="A1030" s="45"/>
      <c r="B1030" s="54"/>
      <c r="C1030" s="47">
        <f t="shared" si="309"/>
        <v>4</v>
      </c>
      <c r="D1030" s="73"/>
      <c r="E1030" s="70"/>
      <c r="F1030" s="70" t="s">
        <v>1660</v>
      </c>
      <c r="G1030" s="73"/>
      <c r="H1030" s="76" t="s">
        <v>3814</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25">
      <c r="A1031" s="45"/>
      <c r="B1031" s="54"/>
      <c r="C1031" s="47">
        <f t="shared" si="309"/>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09"/>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09"/>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09"/>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09"/>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09"/>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09"/>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09"/>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09"/>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09"/>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collapsed="1" x14ac:dyDescent="0.25">
      <c r="A1041" s="45"/>
      <c r="B1041" s="54"/>
      <c r="C1041" s="47">
        <f t="shared" si="309"/>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9"/>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9"/>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9"/>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9"/>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9"/>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9"/>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9"/>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9"/>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9"/>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9"/>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9"/>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09"/>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2" x14ac:dyDescent="0.25">
      <c r="A1054" s="45"/>
      <c r="B1054" s="54"/>
      <c r="C1054" s="47">
        <f t="shared" ref="C1054:C1061" si="310">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25">
      <c r="A1055" s="45"/>
      <c r="B1055" s="54"/>
      <c r="C1055" s="47">
        <f t="shared" si="310"/>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si="310"/>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10"/>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10"/>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10"/>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10"/>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10"/>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2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11">INDEX($K1063:$Q1063,1,U$43)</f>
        <v>0.52400000000000002</v>
      </c>
      <c r="V1063" s="253">
        <f t="shared" si="311"/>
        <v>0.52400000000000002</v>
      </c>
      <c r="W1063" s="253">
        <f t="shared" si="311"/>
        <v>0.52400000000000002</v>
      </c>
      <c r="X1063" s="253">
        <f t="shared" si="311"/>
        <v>0.52400000000000002</v>
      </c>
      <c r="Y1063" s="253">
        <f t="shared" si="311"/>
        <v>0.52400000000000002</v>
      </c>
      <c r="Z1063" s="253">
        <f t="shared" si="311"/>
        <v>0.65500000000000003</v>
      </c>
      <c r="AA1063" s="253">
        <f t="shared" si="311"/>
        <v>0.65500000000000003</v>
      </c>
      <c r="AB1063" s="253">
        <f t="shared" si="311"/>
        <v>0.65500000000000003</v>
      </c>
      <c r="AC1063" s="253">
        <f t="shared" si="311"/>
        <v>0.65500000000000003</v>
      </c>
      <c r="AD1063" s="253">
        <f t="shared" si="311"/>
        <v>0.65500000000000003</v>
      </c>
      <c r="AE1063" s="76"/>
      <c r="AF1063" s="76"/>
      <c r="AG1063" s="76"/>
      <c r="AH1063" s="97">
        <v>1</v>
      </c>
      <c r="AI1063" s="97">
        <v>1</v>
      </c>
      <c r="AJ1063" s="73"/>
      <c r="AK1063" s="57"/>
      <c r="AL1063" s="45"/>
      <c r="AM1063" s="45"/>
      <c r="AN1063" s="45"/>
    </row>
    <row r="1064" spans="1:40" hidden="1" outlineLevel="2" x14ac:dyDescent="0.2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11"/>
        <v>0.70699999999999996</v>
      </c>
      <c r="V1064" s="253">
        <f t="shared" si="311"/>
        <v>0.70699999999999996</v>
      </c>
      <c r="W1064" s="253">
        <f t="shared" si="311"/>
        <v>0.70699999999999996</v>
      </c>
      <c r="X1064" s="253">
        <f t="shared" si="311"/>
        <v>0.70699999999999996</v>
      </c>
      <c r="Y1064" s="253">
        <f t="shared" si="311"/>
        <v>0.70699999999999996</v>
      </c>
      <c r="Z1064" s="253">
        <f t="shared" si="311"/>
        <v>0.88400000000000001</v>
      </c>
      <c r="AA1064" s="253">
        <f t="shared" si="311"/>
        <v>0.88400000000000001</v>
      </c>
      <c r="AB1064" s="253">
        <f t="shared" si="311"/>
        <v>0.88400000000000001</v>
      </c>
      <c r="AC1064" s="253">
        <f t="shared" si="311"/>
        <v>0.88400000000000001</v>
      </c>
      <c r="AD1064" s="253">
        <f t="shared" si="311"/>
        <v>0.88400000000000001</v>
      </c>
      <c r="AE1064" s="76"/>
      <c r="AF1064" s="76"/>
      <c r="AG1064" s="76"/>
      <c r="AH1064" s="97">
        <v>1</v>
      </c>
      <c r="AI1064" s="97">
        <v>1</v>
      </c>
      <c r="AJ1064" s="73"/>
      <c r="AK1064" s="57"/>
      <c r="AL1064" s="45"/>
      <c r="AM1064" s="45"/>
      <c r="AN1064" s="45"/>
    </row>
    <row r="1065" spans="1:40" hidden="1" outlineLevel="2" x14ac:dyDescent="0.2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11"/>
        <v>0.89100000000000001</v>
      </c>
      <c r="V1065" s="253">
        <f t="shared" si="311"/>
        <v>0.89100000000000001</v>
      </c>
      <c r="W1065" s="253">
        <f t="shared" si="311"/>
        <v>0.89100000000000001</v>
      </c>
      <c r="X1065" s="253">
        <f t="shared" si="311"/>
        <v>0.89100000000000001</v>
      </c>
      <c r="Y1065" s="253">
        <f t="shared" si="311"/>
        <v>0.89100000000000001</v>
      </c>
      <c r="Z1065" s="253">
        <f t="shared" si="311"/>
        <v>1.1140000000000001</v>
      </c>
      <c r="AA1065" s="253">
        <f t="shared" si="311"/>
        <v>1.1140000000000001</v>
      </c>
      <c r="AB1065" s="253">
        <f t="shared" si="311"/>
        <v>1.1140000000000001</v>
      </c>
      <c r="AC1065" s="253">
        <f t="shared" si="311"/>
        <v>1.1140000000000001</v>
      </c>
      <c r="AD1065" s="253">
        <f t="shared" si="311"/>
        <v>1.1140000000000001</v>
      </c>
      <c r="AE1065" s="76"/>
      <c r="AF1065" s="76"/>
      <c r="AG1065" s="76"/>
      <c r="AH1065" s="97">
        <v>1</v>
      </c>
      <c r="AI1065" s="97">
        <v>1</v>
      </c>
      <c r="AJ1065" s="73"/>
      <c r="AK1065" s="57"/>
      <c r="AL1065" s="45"/>
      <c r="AM1065" s="45"/>
      <c r="AN1065" s="45"/>
    </row>
    <row r="1066" spans="1:40" hidden="1" outlineLevel="3" x14ac:dyDescent="0.25">
      <c r="A1066" s="45"/>
      <c r="B1066" s="54"/>
      <c r="C1066" s="47">
        <f t="shared" ref="C1066:C1129" si="312">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12"/>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12"/>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12"/>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12"/>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12"/>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12"/>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12"/>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12"/>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12"/>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12"/>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12"/>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12"/>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12"/>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12"/>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12"/>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12"/>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12"/>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12"/>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12"/>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12"/>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12"/>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12"/>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12"/>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12"/>
        <v>4</v>
      </c>
      <c r="D1090" s="73"/>
      <c r="E1090" s="70"/>
      <c r="F1090" s="70" t="s">
        <v>3313</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12"/>
        <v>4</v>
      </c>
      <c r="D1091" s="73"/>
      <c r="E1091" s="70"/>
      <c r="F1091" s="70" t="s">
        <v>3314</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12"/>
        <v>4</v>
      </c>
      <c r="D1092" s="73"/>
      <c r="E1092" s="70"/>
      <c r="F1092" s="70" t="s">
        <v>3315</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12"/>
        <v>4</v>
      </c>
      <c r="D1093" s="73"/>
      <c r="E1093" s="70"/>
      <c r="F1093" s="70" t="s">
        <v>3316</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12"/>
        <v>4</v>
      </c>
      <c r="D1094" s="73"/>
      <c r="E1094" s="70"/>
      <c r="F1094" s="70" t="s">
        <v>3412</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12"/>
        <v>4</v>
      </c>
      <c r="D1095" s="73"/>
      <c r="E1095" s="70"/>
      <c r="F1095" s="70" t="s">
        <v>3413</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12"/>
        <v>4</v>
      </c>
      <c r="D1096" s="73"/>
      <c r="E1096" s="70"/>
      <c r="F1096" s="70" t="s">
        <v>3414</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12"/>
        <v>4</v>
      </c>
      <c r="D1097" s="73"/>
      <c r="E1097" s="70"/>
      <c r="F1097" s="70" t="s">
        <v>3415</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12"/>
        <v>4</v>
      </c>
      <c r="D1098" s="73"/>
      <c r="E1098" s="70"/>
      <c r="F1098" s="70" t="s">
        <v>3416</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12"/>
        <v>4</v>
      </c>
      <c r="D1099" s="73"/>
      <c r="E1099" s="70"/>
      <c r="F1099" s="70" t="s">
        <v>3417</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12"/>
        <v>4</v>
      </c>
      <c r="D1100" s="73"/>
      <c r="E1100" s="70"/>
      <c r="F1100" s="70" t="s">
        <v>3418</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12"/>
        <v>4</v>
      </c>
      <c r="D1101" s="73"/>
      <c r="E1101" s="70"/>
      <c r="F1101" s="70" t="s">
        <v>3419</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12"/>
        <v>4</v>
      </c>
      <c r="D1102" s="73"/>
      <c r="E1102" s="70"/>
      <c r="F1102" s="70" t="s">
        <v>3420</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12"/>
        <v>4</v>
      </c>
      <c r="D1103" s="73"/>
      <c r="E1103" s="70"/>
      <c r="F1103" s="70" t="s">
        <v>3421</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12"/>
        <v>4</v>
      </c>
      <c r="D1104" s="73"/>
      <c r="E1104" s="70"/>
      <c r="F1104" s="70" t="s">
        <v>3422</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12"/>
        <v>4</v>
      </c>
      <c r="D1105" s="73"/>
      <c r="E1105" s="70"/>
      <c r="F1105" s="70" t="s">
        <v>3423</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12"/>
        <v>4</v>
      </c>
      <c r="D1106" s="73"/>
      <c r="E1106" s="70"/>
      <c r="F1106" s="70" t="s">
        <v>3424</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12"/>
        <v>4</v>
      </c>
      <c r="D1107" s="73"/>
      <c r="E1107" s="70"/>
      <c r="F1107" s="70" t="s">
        <v>3425</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12"/>
        <v>4</v>
      </c>
      <c r="D1108" s="73"/>
      <c r="E1108" s="70"/>
      <c r="F1108" s="70" t="s">
        <v>3426</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12"/>
        <v>4</v>
      </c>
      <c r="D1109" s="73"/>
      <c r="E1109" s="70"/>
      <c r="F1109" s="70" t="s">
        <v>3427</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12"/>
        <v>4</v>
      </c>
      <c r="D1110" s="73"/>
      <c r="E1110" s="70"/>
      <c r="F1110" s="70" t="s">
        <v>3428</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12"/>
        <v>4</v>
      </c>
      <c r="D1111" s="73"/>
      <c r="E1111" s="70"/>
      <c r="F1111" s="70" t="s">
        <v>3429</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12"/>
        <v>4</v>
      </c>
      <c r="D1112" s="73"/>
      <c r="E1112" s="70"/>
      <c r="F1112" s="70" t="s">
        <v>3430</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12"/>
        <v>4</v>
      </c>
      <c r="D1113" s="73"/>
      <c r="E1113" s="70"/>
      <c r="F1113" s="70" t="s">
        <v>3431</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12"/>
        <v>4</v>
      </c>
      <c r="D1114" s="73"/>
      <c r="E1114" s="70"/>
      <c r="F1114" s="70" t="s">
        <v>3432</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12"/>
        <v>4</v>
      </c>
      <c r="D1115" s="73"/>
      <c r="E1115" s="70"/>
      <c r="F1115" s="70" t="s">
        <v>3433</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12"/>
        <v>4</v>
      </c>
      <c r="D1116" s="73"/>
      <c r="E1116" s="70"/>
      <c r="F1116" s="70" t="s">
        <v>3434</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12"/>
        <v>4</v>
      </c>
      <c r="D1117" s="73"/>
      <c r="E1117" s="70"/>
      <c r="F1117" s="70" t="s">
        <v>3435</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12"/>
        <v>4</v>
      </c>
      <c r="D1118" s="73"/>
      <c r="E1118" s="70"/>
      <c r="F1118" s="70" t="s">
        <v>3436</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12"/>
        <v>4</v>
      </c>
      <c r="D1119" s="73"/>
      <c r="E1119" s="70"/>
      <c r="F1119" s="70" t="s">
        <v>3437</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12"/>
        <v>4</v>
      </c>
      <c r="D1120" s="73"/>
      <c r="E1120" s="70"/>
      <c r="F1120" s="70" t="s">
        <v>3438</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12"/>
        <v>4</v>
      </c>
      <c r="D1121" s="73"/>
      <c r="E1121" s="70"/>
      <c r="F1121" s="70" t="s">
        <v>3439</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12"/>
        <v>4</v>
      </c>
      <c r="D1122" s="73"/>
      <c r="E1122" s="70"/>
      <c r="F1122" s="70" t="s">
        <v>3440</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12"/>
        <v>4</v>
      </c>
      <c r="D1123" s="73"/>
      <c r="E1123" s="70"/>
      <c r="F1123" s="70" t="s">
        <v>3441</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12"/>
        <v>4</v>
      </c>
      <c r="D1124" s="73"/>
      <c r="E1124" s="70"/>
      <c r="F1124" s="70" t="s">
        <v>3442</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12"/>
        <v>4</v>
      </c>
      <c r="D1125" s="73"/>
      <c r="E1125" s="70"/>
      <c r="F1125" s="70" t="s">
        <v>3443</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12"/>
        <v>4</v>
      </c>
      <c r="D1126" s="73"/>
      <c r="E1126" s="70"/>
      <c r="F1126" s="70" t="s">
        <v>3444</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12"/>
        <v>4</v>
      </c>
      <c r="D1127" s="73"/>
      <c r="E1127" s="70"/>
      <c r="F1127" s="70" t="s">
        <v>3445</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12"/>
        <v>4</v>
      </c>
      <c r="D1128" s="73"/>
      <c r="E1128" s="70"/>
      <c r="F1128" s="70" t="s">
        <v>3446</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12"/>
        <v>4</v>
      </c>
      <c r="D1129" s="73"/>
      <c r="E1129" s="70"/>
      <c r="F1129" s="70" t="s">
        <v>3447</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ref="C1130:C1149" si="313">INT($C$29)+3</f>
        <v>4</v>
      </c>
      <c r="D1130" s="73"/>
      <c r="E1130" s="70"/>
      <c r="F1130" s="70" t="s">
        <v>3448</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13"/>
        <v>4</v>
      </c>
      <c r="D1131" s="73"/>
      <c r="E1131" s="70"/>
      <c r="F1131" s="70" t="s">
        <v>3449</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13"/>
        <v>4</v>
      </c>
      <c r="D1132" s="73"/>
      <c r="E1132" s="70"/>
      <c r="F1132" s="70" t="s">
        <v>3450</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13"/>
        <v>4</v>
      </c>
      <c r="D1133" s="73"/>
      <c r="E1133" s="70"/>
      <c r="F1133" s="70" t="s">
        <v>3451</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13"/>
        <v>4</v>
      </c>
      <c r="D1134" s="73"/>
      <c r="E1134" s="70"/>
      <c r="F1134" s="70" t="s">
        <v>3452</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13"/>
        <v>4</v>
      </c>
      <c r="D1135" s="73"/>
      <c r="E1135" s="70"/>
      <c r="F1135" s="70" t="s">
        <v>3453</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13"/>
        <v>4</v>
      </c>
      <c r="D1136" s="73"/>
      <c r="E1136" s="70"/>
      <c r="F1136" s="70" t="s">
        <v>3454</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13"/>
        <v>4</v>
      </c>
      <c r="D1137" s="73"/>
      <c r="E1137" s="70"/>
      <c r="F1137" s="70" t="s">
        <v>3455</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13"/>
        <v>4</v>
      </c>
      <c r="D1138" s="73"/>
      <c r="E1138" s="70"/>
      <c r="F1138" s="70" t="s">
        <v>3736</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13"/>
        <v>4</v>
      </c>
      <c r="D1139" s="73"/>
      <c r="E1139" s="70"/>
      <c r="F1139" s="70" t="s">
        <v>3737</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13"/>
        <v>4</v>
      </c>
      <c r="D1140" s="73"/>
      <c r="E1140" s="70"/>
      <c r="F1140" s="70" t="s">
        <v>3738</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13"/>
        <v>4</v>
      </c>
      <c r="D1141" s="73"/>
      <c r="E1141" s="70"/>
      <c r="F1141" s="70" t="s">
        <v>3739</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13"/>
        <v>4</v>
      </c>
      <c r="D1142" s="73"/>
      <c r="E1142" s="70"/>
      <c r="F1142" s="70" t="s">
        <v>3771</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13"/>
        <v>4</v>
      </c>
      <c r="D1143" s="73"/>
      <c r="E1143" s="70"/>
      <c r="F1143" s="70" t="s">
        <v>3772</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13"/>
        <v>4</v>
      </c>
      <c r="D1144" s="73"/>
      <c r="E1144" s="70"/>
      <c r="F1144" s="70" t="s">
        <v>3773</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13"/>
        <v>4</v>
      </c>
      <c r="D1145" s="73"/>
      <c r="E1145" s="70"/>
      <c r="F1145" s="70" t="s">
        <v>3774</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13"/>
        <v>4</v>
      </c>
      <c r="D1146" s="73"/>
      <c r="E1146" s="70"/>
      <c r="F1146" s="70" t="s">
        <v>3767</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13"/>
        <v>4</v>
      </c>
      <c r="D1147" s="73"/>
      <c r="E1147" s="70"/>
      <c r="F1147" s="70" t="s">
        <v>3768</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13"/>
        <v>4</v>
      </c>
      <c r="D1148" s="73"/>
      <c r="E1148" s="70"/>
      <c r="F1148" s="70" t="s">
        <v>3769</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13"/>
        <v>4</v>
      </c>
      <c r="D1149" s="73"/>
      <c r="E1149" s="70"/>
      <c r="F1149" s="70" t="s">
        <v>3770</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1" collapsed="1" x14ac:dyDescent="0.2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2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4">INDEX($K1151:$Q1151,1,U$43)</f>
        <v>0.99704199999999998</v>
      </c>
      <c r="V1151" s="253">
        <f t="shared" si="314"/>
        <v>0.99704199999999998</v>
      </c>
      <c r="W1151" s="253">
        <f t="shared" si="314"/>
        <v>0.99704199999999998</v>
      </c>
      <c r="X1151" s="253">
        <f t="shared" si="314"/>
        <v>0.99704199999999998</v>
      </c>
      <c r="Y1151" s="253">
        <f t="shared" si="314"/>
        <v>0.99704199999999998</v>
      </c>
      <c r="Z1151" s="253">
        <f t="shared" si="314"/>
        <v>0.99704199999999998</v>
      </c>
      <c r="AA1151" s="253">
        <f t="shared" si="314"/>
        <v>0.99704199999999998</v>
      </c>
      <c r="AB1151" s="253">
        <f t="shared" si="314"/>
        <v>0.99704199999999998</v>
      </c>
      <c r="AC1151" s="253">
        <f t="shared" si="314"/>
        <v>0.99704199999999998</v>
      </c>
      <c r="AD1151" s="253">
        <f t="shared" si="314"/>
        <v>0.99704199999999998</v>
      </c>
      <c r="AE1151" s="76"/>
      <c r="AF1151" s="76"/>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5">Y1153</f>
        <v>0.13739999999999999</v>
      </c>
      <c r="AA1153" s="255">
        <f t="shared" si="315"/>
        <v>0.13739999999999999</v>
      </c>
      <c r="AB1153" s="255">
        <f t="shared" si="315"/>
        <v>0.13739999999999999</v>
      </c>
      <c r="AC1153" s="255">
        <f t="shared" si="315"/>
        <v>0.13739999999999999</v>
      </c>
      <c r="AD1153" s="255">
        <f t="shared" si="315"/>
        <v>0.13739999999999999</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5"/>
        <v>0.16700000000000001</v>
      </c>
      <c r="AA1154" s="255">
        <f t="shared" si="315"/>
        <v>0.16700000000000001</v>
      </c>
      <c r="AB1154" s="255">
        <f t="shared" si="315"/>
        <v>0.16700000000000001</v>
      </c>
      <c r="AC1154" s="255">
        <f t="shared" si="315"/>
        <v>0.16700000000000001</v>
      </c>
      <c r="AD1154" s="255">
        <f t="shared" si="315"/>
        <v>0.16700000000000001</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5"/>
        <v>0.08</v>
      </c>
      <c r="AA1155" s="255">
        <f t="shared" si="315"/>
        <v>0.08</v>
      </c>
      <c r="AB1155" s="255">
        <f t="shared" si="315"/>
        <v>0.08</v>
      </c>
      <c r="AC1155" s="255">
        <f t="shared" si="315"/>
        <v>0.08</v>
      </c>
      <c r="AD1155" s="255">
        <f t="shared" si="315"/>
        <v>0.08</v>
      </c>
      <c r="AE1155" s="76"/>
      <c r="AF1155" s="76"/>
      <c r="AG1155" s="76"/>
      <c r="AH1155" s="97">
        <v>1</v>
      </c>
      <c r="AI1155" s="97">
        <v>1</v>
      </c>
      <c r="AJ1155" s="73"/>
      <c r="AK1155" s="57"/>
      <c r="AL1155" s="45"/>
      <c r="AM1155" s="45"/>
      <c r="AN1155" s="45"/>
    </row>
    <row r="1156" spans="1:40" hidden="1" outlineLevel="1" collapsed="1" x14ac:dyDescent="0.2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collapsed="1" x14ac:dyDescent="0.25">
      <c r="A1157" s="45"/>
      <c r="B1157" s="54"/>
      <c r="C1157" s="47">
        <f t="shared" ref="C1157:C1164" si="316">INT($C$29)+2</f>
        <v>3</v>
      </c>
      <c r="D1157" s="73"/>
      <c r="E1157" s="70"/>
      <c r="F1157" s="70" t="s">
        <v>1717</v>
      </c>
      <c r="G1157" s="73"/>
      <c r="H1157" s="76" t="s">
        <v>3481</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6"/>
        <v>3</v>
      </c>
      <c r="D1158" s="73"/>
      <c r="E1158" s="70"/>
      <c r="F1158" s="70" t="s">
        <v>3492</v>
      </c>
      <c r="G1158" s="73"/>
      <c r="H1158" s="76" t="s">
        <v>3488</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6"/>
        <v>3</v>
      </c>
      <c r="D1159" s="73"/>
      <c r="E1159" s="70"/>
      <c r="F1159" s="70" t="s">
        <v>1718</v>
      </c>
      <c r="G1159" s="73"/>
      <c r="H1159" s="76" t="s">
        <v>3489</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6"/>
        <v>3</v>
      </c>
      <c r="D1160" s="73"/>
      <c r="E1160" s="70"/>
      <c r="F1160" s="70" t="s">
        <v>3493</v>
      </c>
      <c r="G1160" s="73"/>
      <c r="H1160" s="76" t="s">
        <v>3490</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6"/>
        <v>3</v>
      </c>
      <c r="D1161" s="73"/>
      <c r="E1161" s="70"/>
      <c r="F1161" s="70" t="s">
        <v>1721</v>
      </c>
      <c r="G1161" s="73"/>
      <c r="H1161" s="76" t="s">
        <v>3491</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6"/>
        <v>3</v>
      </c>
      <c r="D1162" s="73"/>
      <c r="E1162" s="70"/>
      <c r="F1162" s="70" t="s">
        <v>3494</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6"/>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16"/>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ref="C1165:C1196" si="317">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7"/>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7"/>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7"/>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7"/>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7"/>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7"/>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7"/>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7"/>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7"/>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7"/>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7"/>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7"/>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7"/>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7"/>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7"/>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7"/>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7"/>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7"/>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7"/>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7"/>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7"/>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7"/>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7"/>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7"/>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7"/>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7"/>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7"/>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7"/>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7"/>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7"/>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17"/>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ref="C1197:C1228" si="318">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8"/>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8"/>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8"/>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8"/>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8"/>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8"/>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8"/>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8"/>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8"/>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8"/>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8"/>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8"/>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8"/>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8"/>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8"/>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8"/>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8"/>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8"/>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8"/>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8"/>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8"/>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8"/>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8"/>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8"/>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8"/>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8"/>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8"/>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8"/>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8"/>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8"/>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18"/>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ref="C1229:C1252" si="319">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9"/>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9"/>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9"/>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9"/>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9"/>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9"/>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9"/>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9"/>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9"/>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9"/>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9"/>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9"/>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9"/>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9"/>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9"/>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9"/>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9"/>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9"/>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9"/>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9"/>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9"/>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9"/>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19"/>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2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2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20">U1255</f>
        <v>9.9999999999999985E-3</v>
      </c>
      <c r="V1254" s="253">
        <f t="shared" si="320"/>
        <v>9.9999999999999985E-3</v>
      </c>
      <c r="W1254" s="253">
        <f t="shared" si="320"/>
        <v>9.9999999999999985E-3</v>
      </c>
      <c r="X1254" s="253">
        <f t="shared" si="320"/>
        <v>9.9999999999999985E-3</v>
      </c>
      <c r="Y1254" s="253">
        <f t="shared" si="320"/>
        <v>9.9999999999999985E-3</v>
      </c>
      <c r="Z1254" s="253">
        <f t="shared" si="320"/>
        <v>9.9999999999999985E-3</v>
      </c>
      <c r="AA1254" s="253">
        <f t="shared" si="320"/>
        <v>9.9999999999999985E-3</v>
      </c>
      <c r="AB1254" s="253">
        <f t="shared" si="320"/>
        <v>9.9999999999999985E-3</v>
      </c>
      <c r="AC1254" s="253">
        <f t="shared" si="320"/>
        <v>9.9999999999999985E-3</v>
      </c>
      <c r="AD1254" s="253">
        <f t="shared" si="320"/>
        <v>9.9999999999999985E-3</v>
      </c>
      <c r="AE1254" s="76"/>
      <c r="AF1254" s="76"/>
      <c r="AG1254" s="76"/>
      <c r="AH1254" s="253">
        <f>AH1255</f>
        <v>1</v>
      </c>
      <c r="AI1254" s="253">
        <f>AI1255</f>
        <v>1</v>
      </c>
      <c r="AJ1254" s="73"/>
      <c r="AK1254" s="57"/>
      <c r="AL1254" s="45"/>
      <c r="AM1254" s="45"/>
      <c r="AN1254" s="45"/>
    </row>
    <row r="1255" spans="1:40" hidden="1" outlineLevel="2" x14ac:dyDescent="0.2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21">Y1255</f>
        <v>9.9999999999999985E-3</v>
      </c>
      <c r="AA1255" s="255">
        <f t="shared" si="321"/>
        <v>9.9999999999999985E-3</v>
      </c>
      <c r="AB1255" s="255">
        <f t="shared" si="321"/>
        <v>9.9999999999999985E-3</v>
      </c>
      <c r="AC1255" s="255">
        <f t="shared" si="321"/>
        <v>9.9999999999999985E-3</v>
      </c>
      <c r="AD1255" s="255">
        <f t="shared" si="321"/>
        <v>9.9999999999999985E-3</v>
      </c>
      <c r="AE1255" s="76"/>
      <c r="AF1255" s="76"/>
      <c r="AG1255" s="76"/>
      <c r="AH1255" s="97">
        <v>1</v>
      </c>
      <c r="AI1255" s="97">
        <v>1</v>
      </c>
      <c r="AJ1255" s="73"/>
      <c r="AK1255" s="57"/>
      <c r="AL1255" s="45"/>
      <c r="AM1255" s="45"/>
      <c r="AN1255" s="45"/>
    </row>
    <row r="1256" spans="1:40" hidden="1" outlineLevel="2" collapsed="1" x14ac:dyDescent="0.2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21"/>
        <v>9.0000000000000011E-3</v>
      </c>
      <c r="AA1256" s="255">
        <f t="shared" si="321"/>
        <v>9.0000000000000011E-3</v>
      </c>
      <c r="AB1256" s="255">
        <f t="shared" si="321"/>
        <v>9.0000000000000011E-3</v>
      </c>
      <c r="AC1256" s="255">
        <f t="shared" si="321"/>
        <v>9.0000000000000011E-3</v>
      </c>
      <c r="AD1256" s="255">
        <f t="shared" si="321"/>
        <v>9.0000000000000011E-3</v>
      </c>
      <c r="AE1256" s="76"/>
      <c r="AF1256" s="76"/>
      <c r="AG1256" s="76"/>
      <c r="AH1256" s="97">
        <v>1</v>
      </c>
      <c r="AI1256" s="97">
        <v>1</v>
      </c>
      <c r="AJ1256" s="73"/>
      <c r="AK1256" s="57"/>
      <c r="AL1256" s="45"/>
      <c r="AM1256" s="45"/>
      <c r="AN1256" s="45"/>
    </row>
    <row r="1257" spans="1:40" hidden="1" outlineLevel="3" x14ac:dyDescent="0.2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2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22">Y1260</f>
        <v>0</v>
      </c>
      <c r="AA1260" s="255">
        <f t="shared" si="322"/>
        <v>0</v>
      </c>
      <c r="AB1260" s="255">
        <f t="shared" si="322"/>
        <v>0</v>
      </c>
      <c r="AC1260" s="255">
        <f t="shared" si="322"/>
        <v>0</v>
      </c>
      <c r="AD1260" s="255">
        <f t="shared" si="322"/>
        <v>0</v>
      </c>
      <c r="AE1260" s="76"/>
      <c r="AF1260" s="97" t="s">
        <v>2146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22"/>
        <v>0</v>
      </c>
      <c r="AA1261" s="255">
        <f t="shared" si="322"/>
        <v>0</v>
      </c>
      <c r="AB1261" s="255">
        <f t="shared" si="322"/>
        <v>0</v>
      </c>
      <c r="AC1261" s="255">
        <f t="shared" si="322"/>
        <v>0</v>
      </c>
      <c r="AD1261" s="255">
        <f t="shared" si="322"/>
        <v>0</v>
      </c>
      <c r="AE1261" s="76"/>
      <c r="AF1261" s="97" t="s">
        <v>1835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23">U1263</f>
        <v>-1.9E-2</v>
      </c>
      <c r="V1262" s="253">
        <f t="shared" si="323"/>
        <v>-1.9E-2</v>
      </c>
      <c r="W1262" s="253">
        <f t="shared" si="323"/>
        <v>-1.9E-2</v>
      </c>
      <c r="X1262" s="253">
        <f t="shared" si="323"/>
        <v>-1.9E-2</v>
      </c>
      <c r="Y1262" s="253">
        <f t="shared" si="323"/>
        <v>-1.9E-2</v>
      </c>
      <c r="Z1262" s="253">
        <f t="shared" si="323"/>
        <v>-1.9E-2</v>
      </c>
      <c r="AA1262" s="253">
        <f t="shared" si="323"/>
        <v>-1.9E-2</v>
      </c>
      <c r="AB1262" s="253">
        <f t="shared" si="323"/>
        <v>-1.9E-2</v>
      </c>
      <c r="AC1262" s="253">
        <f t="shared" si="323"/>
        <v>-1.9E-2</v>
      </c>
      <c r="AD1262" s="253">
        <f t="shared" si="323"/>
        <v>-1.9E-2</v>
      </c>
      <c r="AE1262" s="76"/>
      <c r="AF1262" s="76"/>
      <c r="AG1262" s="76"/>
      <c r="AH1262" s="253">
        <f>AH1263</f>
        <v>1</v>
      </c>
      <c r="AI1262" s="253">
        <f>AI1263</f>
        <v>1</v>
      </c>
      <c r="AJ1262" s="73"/>
      <c r="AK1262" s="57"/>
      <c r="AL1262" s="45"/>
      <c r="AM1262" s="45"/>
      <c r="AN1262" s="45"/>
    </row>
    <row r="1263" spans="1:40" hidden="1" outlineLevel="2" x14ac:dyDescent="0.2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4">Y1263</f>
        <v>-1.9E-2</v>
      </c>
      <c r="AA1263" s="255">
        <f t="shared" si="324"/>
        <v>-1.9E-2</v>
      </c>
      <c r="AB1263" s="255">
        <f t="shared" si="324"/>
        <v>-1.9E-2</v>
      </c>
      <c r="AC1263" s="255">
        <f t="shared" si="324"/>
        <v>-1.9E-2</v>
      </c>
      <c r="AD1263" s="255">
        <f t="shared" si="324"/>
        <v>-1.9E-2</v>
      </c>
      <c r="AE1263" s="76"/>
      <c r="AF1263" s="76"/>
      <c r="AG1263" s="76"/>
      <c r="AH1263" s="97">
        <v>1</v>
      </c>
      <c r="AI1263" s="97">
        <v>1</v>
      </c>
      <c r="AJ1263" s="73"/>
      <c r="AK1263" s="57"/>
      <c r="AL1263" s="45"/>
      <c r="AM1263" s="45"/>
      <c r="AN1263" s="45"/>
    </row>
    <row r="1264" spans="1:40" hidden="1" outlineLevel="2" collapsed="1" x14ac:dyDescent="0.2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4"/>
        <v>-3.1E-2</v>
      </c>
      <c r="AA1264" s="255">
        <f t="shared" si="324"/>
        <v>-3.1E-2</v>
      </c>
      <c r="AB1264" s="255">
        <f t="shared" si="324"/>
        <v>-3.1E-2</v>
      </c>
      <c r="AC1264" s="255">
        <f t="shared" si="324"/>
        <v>-3.1E-2</v>
      </c>
      <c r="AD1264" s="255">
        <f t="shared" si="324"/>
        <v>-3.1E-2</v>
      </c>
      <c r="AE1264" s="76"/>
      <c r="AF1264" s="76"/>
      <c r="AG1264" s="76"/>
      <c r="AH1264" s="97">
        <v>1</v>
      </c>
      <c r="AI1264" s="97">
        <v>1</v>
      </c>
      <c r="AJ1264" s="73"/>
      <c r="AK1264" s="57"/>
      <c r="AL1264" s="45"/>
      <c r="AM1264" s="45"/>
      <c r="AN1264" s="45"/>
    </row>
    <row r="1265" spans="1:40" hidden="1" outlineLevel="3" x14ac:dyDescent="0.2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collapsed="1" x14ac:dyDescent="0.2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25">
      <c r="A1269" s="45"/>
      <c r="B1269" s="54"/>
      <c r="C1269" s="47">
        <f t="shared" ref="C1269:C1284" si="325">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5"/>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5"/>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5"/>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5"/>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5"/>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5"/>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5"/>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5"/>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5"/>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5"/>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5"/>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5"/>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5"/>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5"/>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25"/>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2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2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6">U1287</f>
        <v>8.5699999999999995E-3</v>
      </c>
      <c r="V1286" s="253">
        <f t="shared" si="326"/>
        <v>8.5699999999999995E-3</v>
      </c>
      <c r="W1286" s="253">
        <f t="shared" si="326"/>
        <v>8.5699999999999995E-3</v>
      </c>
      <c r="X1286" s="253">
        <f t="shared" si="326"/>
        <v>8.5699999999999995E-3</v>
      </c>
      <c r="Y1286" s="253">
        <f t="shared" si="326"/>
        <v>8.5699999999999995E-3</v>
      </c>
      <c r="Z1286" s="253">
        <f t="shared" si="326"/>
        <v>2.7799999999999999E-3</v>
      </c>
      <c r="AA1286" s="253">
        <f t="shared" si="326"/>
        <v>2.7799999999999999E-3</v>
      </c>
      <c r="AB1286" s="253">
        <f t="shared" si="326"/>
        <v>2.7799999999999999E-3</v>
      </c>
      <c r="AC1286" s="253">
        <f t="shared" si="326"/>
        <v>2.7799999999999999E-3</v>
      </c>
      <c r="AD1286" s="253">
        <f t="shared" si="326"/>
        <v>2.7799999999999999E-3</v>
      </c>
      <c r="AE1286" s="76"/>
      <c r="AF1286" s="97" t="s">
        <v>2159</v>
      </c>
      <c r="AG1286" s="76"/>
      <c r="AH1286" s="253">
        <f>AH1287</f>
        <v>1</v>
      </c>
      <c r="AI1286" s="253">
        <f>AI1287</f>
        <v>1</v>
      </c>
      <c r="AJ1286" s="73"/>
      <c r="AK1286" s="57"/>
      <c r="AL1286" s="45"/>
      <c r="AM1286" s="45"/>
      <c r="AN1286" s="45"/>
    </row>
    <row r="1287" spans="1:40" hidden="1" outlineLevel="2" x14ac:dyDescent="0.2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7">AA1287</f>
        <v>2.7799999999999999E-3</v>
      </c>
      <c r="AC1287" s="400">
        <f t="shared" si="327"/>
        <v>2.7799999999999999E-3</v>
      </c>
      <c r="AD1287" s="400">
        <f t="shared" si="327"/>
        <v>2.7799999999999999E-3</v>
      </c>
      <c r="AE1287" s="76"/>
      <c r="AF1287" s="76"/>
      <c r="AG1287" s="76"/>
      <c r="AH1287" s="97">
        <v>1</v>
      </c>
      <c r="AI1287" s="97">
        <v>1</v>
      </c>
      <c r="AJ1287" s="73"/>
      <c r="AK1287" s="57"/>
      <c r="AL1287" s="45"/>
      <c r="AM1287" s="45"/>
      <c r="AN1287" s="45"/>
    </row>
    <row r="1288" spans="1:40" hidden="1" outlineLevel="2" collapsed="1" x14ac:dyDescent="0.2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7"/>
        <v>1.6129999999999999E-2</v>
      </c>
      <c r="AC1288" s="400">
        <f t="shared" si="327"/>
        <v>1.6129999999999999E-2</v>
      </c>
      <c r="AD1288" s="400">
        <f t="shared" si="327"/>
        <v>1.6129999999999999E-2</v>
      </c>
      <c r="AE1288" s="76"/>
      <c r="AF1288" s="76"/>
      <c r="AG1288" s="76"/>
      <c r="AH1288" s="97">
        <v>1</v>
      </c>
      <c r="AI1288" s="97">
        <v>1</v>
      </c>
      <c r="AJ1288" s="73"/>
      <c r="AK1288" s="57"/>
      <c r="AL1288" s="45"/>
      <c r="AM1288" s="45"/>
      <c r="AN1288" s="45"/>
    </row>
    <row r="1289" spans="1:40" hidden="1" outlineLevel="3" x14ac:dyDescent="0.2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25">
      <c r="A1292" s="45"/>
      <c r="B1292" s="54"/>
      <c r="C1292" s="47">
        <f t="shared" ref="C1292:C1308" si="328">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9">AA1292</f>
        <v>4.2411000000000003</v>
      </c>
      <c r="AC1292" s="411">
        <f t="shared" si="329"/>
        <v>4.2411000000000003</v>
      </c>
      <c r="AD1292" s="411">
        <f t="shared" si="329"/>
        <v>4.2411000000000003</v>
      </c>
      <c r="AE1292" s="184"/>
      <c r="AF1292" s="184"/>
      <c r="AG1292" s="184"/>
      <c r="AH1292" s="409">
        <v>1</v>
      </c>
      <c r="AI1292" s="409">
        <v>1</v>
      </c>
      <c r="AJ1292" s="73"/>
      <c r="AK1292" s="57"/>
      <c r="AL1292" s="45"/>
      <c r="AM1292" s="45"/>
      <c r="AN1292" s="45"/>
    </row>
    <row r="1293" spans="1:40" hidden="1" outlineLevel="2" x14ac:dyDescent="0.25">
      <c r="A1293" s="45"/>
      <c r="B1293" s="54"/>
      <c r="C1293" s="47">
        <f t="shared" si="328"/>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9"/>
        <v>0.13919999999999999</v>
      </c>
      <c r="AC1293" s="401">
        <f t="shared" si="329"/>
        <v>0.13919999999999999</v>
      </c>
      <c r="AD1293" s="401">
        <f t="shared" si="329"/>
        <v>0.13919999999999999</v>
      </c>
      <c r="AE1293" s="105"/>
      <c r="AF1293" s="119" t="s">
        <v>1275</v>
      </c>
      <c r="AG1293" s="105"/>
      <c r="AH1293" s="119">
        <v>1</v>
      </c>
      <c r="AI1293" s="119">
        <v>1</v>
      </c>
      <c r="AJ1293" s="73"/>
      <c r="AK1293" s="57"/>
      <c r="AL1293" s="45"/>
      <c r="AM1293" s="45"/>
      <c r="AN1293" s="45"/>
    </row>
    <row r="1294" spans="1:40" hidden="1" outlineLevel="2" x14ac:dyDescent="0.25">
      <c r="A1294" s="45"/>
      <c r="B1294" s="54"/>
      <c r="C1294" s="47">
        <f t="shared" si="328"/>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30">U1295</f>
        <v>0.03</v>
      </c>
      <c r="V1294" s="253">
        <f t="shared" si="330"/>
        <v>0.03</v>
      </c>
      <c r="W1294" s="253">
        <f t="shared" si="330"/>
        <v>0.03</v>
      </c>
      <c r="X1294" s="253">
        <f t="shared" si="330"/>
        <v>0.03</v>
      </c>
      <c r="Y1294" s="253">
        <f t="shared" si="330"/>
        <v>0.03</v>
      </c>
      <c r="Z1294" s="253">
        <f t="shared" si="330"/>
        <v>7.0000000000000062E-3</v>
      </c>
      <c r="AA1294" s="253">
        <f t="shared" si="330"/>
        <v>7.0000000000000062E-3</v>
      </c>
      <c r="AB1294" s="253">
        <f t="shared" si="330"/>
        <v>7.0000000000000062E-3</v>
      </c>
      <c r="AC1294" s="253">
        <f t="shared" si="330"/>
        <v>7.0000000000000062E-3</v>
      </c>
      <c r="AD1294" s="253">
        <f t="shared" si="330"/>
        <v>7.0000000000000062E-3</v>
      </c>
      <c r="AE1294" s="76"/>
      <c r="AF1294" s="97" t="s">
        <v>2159</v>
      </c>
      <c r="AG1294" s="76"/>
      <c r="AH1294" s="253">
        <f>AH1295</f>
        <v>1</v>
      </c>
      <c r="AI1294" s="253">
        <f>AI1295</f>
        <v>1</v>
      </c>
      <c r="AJ1294" s="73"/>
      <c r="AK1294" s="57"/>
      <c r="AL1294" s="45"/>
      <c r="AM1294" s="45"/>
      <c r="AN1294" s="45"/>
    </row>
    <row r="1295" spans="1:40" hidden="1" outlineLevel="2" x14ac:dyDescent="0.25">
      <c r="A1295" s="45"/>
      <c r="B1295" s="54"/>
      <c r="C1295" s="47">
        <f t="shared" si="328"/>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31">AA1295</f>
        <v>7.0000000000000062E-3</v>
      </c>
      <c r="AA1295" s="97">
        <f>0.1462-AA$1293</f>
        <v>7.0000000000000062E-3</v>
      </c>
      <c r="AB1295" s="255">
        <f t="shared" ref="AB1295:AD1301" si="332">AA1295</f>
        <v>7.0000000000000062E-3</v>
      </c>
      <c r="AC1295" s="255">
        <f t="shared" si="332"/>
        <v>7.0000000000000062E-3</v>
      </c>
      <c r="AD1295" s="255">
        <f t="shared" si="332"/>
        <v>7.0000000000000062E-3</v>
      </c>
      <c r="AE1295" s="76"/>
      <c r="AF1295" s="76"/>
      <c r="AG1295" s="76"/>
      <c r="AH1295" s="97">
        <v>1</v>
      </c>
      <c r="AI1295" s="97">
        <v>1</v>
      </c>
      <c r="AJ1295" s="73"/>
      <c r="AK1295" s="57"/>
      <c r="AL1295" s="45"/>
      <c r="AM1295" s="45"/>
      <c r="AN1295" s="45"/>
    </row>
    <row r="1296" spans="1:40" hidden="1" outlineLevel="2" x14ac:dyDescent="0.25">
      <c r="A1296" s="45"/>
      <c r="B1296" s="54"/>
      <c r="C1296" s="47">
        <f t="shared" si="328"/>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31"/>
        <v>-3.0299999999999994E-2</v>
      </c>
      <c r="AA1296" s="97">
        <f>0.1089-AA$1293</f>
        <v>-3.0299999999999994E-2</v>
      </c>
      <c r="AB1296" s="255">
        <f t="shared" si="332"/>
        <v>-3.0299999999999994E-2</v>
      </c>
      <c r="AC1296" s="255">
        <f t="shared" si="332"/>
        <v>-3.0299999999999994E-2</v>
      </c>
      <c r="AD1296" s="255">
        <f t="shared" si="332"/>
        <v>-3.0299999999999994E-2</v>
      </c>
      <c r="AE1296" s="76"/>
      <c r="AF1296" s="76"/>
      <c r="AG1296" s="76"/>
      <c r="AH1296" s="97">
        <v>1</v>
      </c>
      <c r="AI1296" s="97">
        <v>1</v>
      </c>
      <c r="AJ1296" s="73"/>
      <c r="AK1296" s="57"/>
      <c r="AL1296" s="45"/>
      <c r="AM1296" s="45"/>
      <c r="AN1296" s="45"/>
    </row>
    <row r="1297" spans="1:40" hidden="1" outlineLevel="2" x14ac:dyDescent="0.25">
      <c r="A1297" s="45"/>
      <c r="B1297" s="54"/>
      <c r="C1297" s="47">
        <f t="shared" si="328"/>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31"/>
        <v>-0.13919999999999999</v>
      </c>
      <c r="AA1297" s="97">
        <f>0-AA$1293</f>
        <v>-0.13919999999999999</v>
      </c>
      <c r="AB1297" s="255">
        <f t="shared" si="332"/>
        <v>-0.13919999999999999</v>
      </c>
      <c r="AC1297" s="255">
        <f t="shared" si="332"/>
        <v>-0.13919999999999999</v>
      </c>
      <c r="AD1297" s="255">
        <f t="shared" si="332"/>
        <v>-0.13919999999999999</v>
      </c>
      <c r="AE1297" s="76"/>
      <c r="AF1297" s="76"/>
      <c r="AG1297" s="76"/>
      <c r="AH1297" s="97">
        <v>1</v>
      </c>
      <c r="AI1297" s="97">
        <v>1</v>
      </c>
      <c r="AJ1297" s="73"/>
      <c r="AK1297" s="57"/>
      <c r="AL1297" s="45"/>
      <c r="AM1297" s="45"/>
      <c r="AN1297" s="45"/>
    </row>
    <row r="1298" spans="1:40" hidden="1" outlineLevel="2" x14ac:dyDescent="0.25">
      <c r="A1298" s="45"/>
      <c r="B1298" s="54"/>
      <c r="C1298" s="47">
        <f t="shared" si="328"/>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31"/>
        <v>0</v>
      </c>
      <c r="AA1298" s="76">
        <v>0</v>
      </c>
      <c r="AB1298" s="255">
        <f t="shared" si="332"/>
        <v>0</v>
      </c>
      <c r="AC1298" s="255">
        <f t="shared" si="332"/>
        <v>0</v>
      </c>
      <c r="AD1298" s="255">
        <f t="shared" si="332"/>
        <v>0</v>
      </c>
      <c r="AE1298" s="76"/>
      <c r="AF1298" s="76"/>
      <c r="AG1298" s="76"/>
      <c r="AH1298" s="97">
        <v>1</v>
      </c>
      <c r="AI1298" s="97">
        <v>1</v>
      </c>
      <c r="AJ1298" s="73"/>
      <c r="AK1298" s="57"/>
      <c r="AL1298" s="45"/>
      <c r="AM1298" s="45"/>
      <c r="AN1298" s="45"/>
    </row>
    <row r="1299" spans="1:40" hidden="1" outlineLevel="2" x14ac:dyDescent="0.25">
      <c r="A1299" s="45"/>
      <c r="B1299" s="54"/>
      <c r="C1299" s="47">
        <f t="shared" si="328"/>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31"/>
        <v>0</v>
      </c>
      <c r="AA1299" s="76">
        <v>0</v>
      </c>
      <c r="AB1299" s="255">
        <f t="shared" si="332"/>
        <v>0</v>
      </c>
      <c r="AC1299" s="255">
        <f t="shared" si="332"/>
        <v>0</v>
      </c>
      <c r="AD1299" s="255">
        <f t="shared" si="332"/>
        <v>0</v>
      </c>
      <c r="AE1299" s="76"/>
      <c r="AF1299" s="76"/>
      <c r="AG1299" s="76"/>
      <c r="AH1299" s="97">
        <v>1</v>
      </c>
      <c r="AI1299" s="97">
        <v>1</v>
      </c>
      <c r="AJ1299" s="73"/>
      <c r="AK1299" s="57"/>
      <c r="AL1299" s="45"/>
      <c r="AM1299" s="45"/>
      <c r="AN1299" s="45"/>
    </row>
    <row r="1300" spans="1:40" hidden="1" outlineLevel="2" x14ac:dyDescent="0.25">
      <c r="A1300" s="45"/>
      <c r="B1300" s="54"/>
      <c r="C1300" s="47">
        <f t="shared" si="328"/>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31"/>
        <v>24.748000000000001</v>
      </c>
      <c r="AA1300" s="97">
        <f>27.01-0.2262*10</f>
        <v>24.748000000000001</v>
      </c>
      <c r="AB1300" s="255">
        <f t="shared" si="332"/>
        <v>24.748000000000001</v>
      </c>
      <c r="AC1300" s="255">
        <f t="shared" si="332"/>
        <v>24.748000000000001</v>
      </c>
      <c r="AD1300" s="255">
        <f t="shared" si="332"/>
        <v>24.748000000000001</v>
      </c>
      <c r="AE1300" s="76"/>
      <c r="AF1300" s="76"/>
      <c r="AG1300" s="76"/>
      <c r="AH1300" s="97">
        <v>1</v>
      </c>
      <c r="AI1300" s="97">
        <v>1</v>
      </c>
      <c r="AJ1300" s="73"/>
      <c r="AK1300" s="57"/>
      <c r="AL1300" s="45"/>
      <c r="AM1300" s="45"/>
      <c r="AN1300" s="45"/>
    </row>
    <row r="1301" spans="1:40" hidden="1" outlineLevel="2" x14ac:dyDescent="0.25">
      <c r="A1301" s="45"/>
      <c r="B1301" s="54"/>
      <c r="C1301" s="47">
        <f t="shared" si="328"/>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31"/>
        <v>2.0499999999999997E-3</v>
      </c>
      <c r="AA1301" s="97">
        <f>2.05/1000</f>
        <v>2.0499999999999997E-3</v>
      </c>
      <c r="AB1301" s="255">
        <f t="shared" si="332"/>
        <v>2.0499999999999997E-3</v>
      </c>
      <c r="AC1301" s="255">
        <f t="shared" si="332"/>
        <v>2.0499999999999997E-3</v>
      </c>
      <c r="AD1301" s="255">
        <f t="shared" si="332"/>
        <v>2.0499999999999997E-3</v>
      </c>
      <c r="AE1301" s="76"/>
      <c r="AF1301" s="97" t="s">
        <v>1280</v>
      </c>
      <c r="AG1301" s="76"/>
      <c r="AH1301" s="97">
        <v>1</v>
      </c>
      <c r="AI1301" s="97">
        <v>1</v>
      </c>
      <c r="AJ1301" s="73"/>
      <c r="AK1301" s="57"/>
      <c r="AL1301" s="45"/>
      <c r="AM1301" s="45"/>
      <c r="AN1301" s="45"/>
    </row>
    <row r="1302" spans="1:40" hidden="1" outlineLevel="2" x14ac:dyDescent="0.25">
      <c r="A1302" s="45"/>
      <c r="B1302" s="54"/>
      <c r="C1302" s="47">
        <f t="shared" si="328"/>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33">U1303</f>
        <v>-5.9999999999999724E-5</v>
      </c>
      <c r="V1302" s="253">
        <f t="shared" si="333"/>
        <v>-5.9999999999999724E-5</v>
      </c>
      <c r="W1302" s="253">
        <f t="shared" si="333"/>
        <v>-5.9999999999999724E-5</v>
      </c>
      <c r="X1302" s="253">
        <f t="shared" si="333"/>
        <v>-5.9999999999999724E-5</v>
      </c>
      <c r="Y1302" s="253">
        <f t="shared" si="333"/>
        <v>-5.9999999999999724E-5</v>
      </c>
      <c r="Z1302" s="253">
        <f t="shared" si="333"/>
        <v>-5.9999999999999724E-5</v>
      </c>
      <c r="AA1302" s="253">
        <f t="shared" si="333"/>
        <v>-5.9999999999999724E-5</v>
      </c>
      <c r="AB1302" s="253">
        <f t="shared" si="333"/>
        <v>-5.9999999999999724E-5</v>
      </c>
      <c r="AC1302" s="253">
        <f t="shared" si="333"/>
        <v>-5.9999999999999724E-5</v>
      </c>
      <c r="AD1302" s="253">
        <f t="shared" si="333"/>
        <v>-5.9999999999999724E-5</v>
      </c>
      <c r="AE1302" s="76"/>
      <c r="AF1302" s="76"/>
      <c r="AG1302" s="76"/>
      <c r="AH1302" s="253">
        <f>AH1303</f>
        <v>1</v>
      </c>
      <c r="AI1302" s="253">
        <f>AI1303</f>
        <v>1</v>
      </c>
      <c r="AJ1302" s="73"/>
      <c r="AK1302" s="57"/>
      <c r="AL1302" s="45"/>
      <c r="AM1302" s="45"/>
      <c r="AN1302" s="45"/>
    </row>
    <row r="1303" spans="1:40" hidden="1" outlineLevel="2" x14ac:dyDescent="0.25">
      <c r="A1303" s="45"/>
      <c r="B1303" s="54"/>
      <c r="C1303" s="47">
        <f t="shared" si="328"/>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4">AA1303</f>
        <v>-5.9999999999999724E-5</v>
      </c>
      <c r="AA1303" s="97">
        <f>1.99/1000-AA$1301</f>
        <v>-5.9999999999999724E-5</v>
      </c>
      <c r="AB1303" s="255">
        <f t="shared" ref="AB1303:AD1308" si="335">AA1303</f>
        <v>-5.9999999999999724E-5</v>
      </c>
      <c r="AC1303" s="255">
        <f t="shared" si="335"/>
        <v>-5.9999999999999724E-5</v>
      </c>
      <c r="AD1303" s="255">
        <f t="shared" si="335"/>
        <v>-5.9999999999999724E-5</v>
      </c>
      <c r="AE1303" s="76"/>
      <c r="AF1303" s="76"/>
      <c r="AG1303" s="76"/>
      <c r="AH1303" s="97">
        <v>1</v>
      </c>
      <c r="AI1303" s="97">
        <v>1</v>
      </c>
      <c r="AJ1303" s="73"/>
      <c r="AK1303" s="57"/>
      <c r="AL1303" s="45"/>
      <c r="AM1303" s="45"/>
      <c r="AN1303" s="45"/>
    </row>
    <row r="1304" spans="1:40" hidden="1" outlineLevel="2" x14ac:dyDescent="0.25">
      <c r="A1304" s="45"/>
      <c r="B1304" s="54"/>
      <c r="C1304" s="47">
        <f t="shared" si="328"/>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4"/>
        <v>-6.4999999999999975E-4</v>
      </c>
      <c r="AA1304" s="97">
        <f>1.4/1000-AA$1301</f>
        <v>-6.4999999999999975E-4</v>
      </c>
      <c r="AB1304" s="255">
        <f t="shared" si="335"/>
        <v>-6.4999999999999975E-4</v>
      </c>
      <c r="AC1304" s="255">
        <f t="shared" si="335"/>
        <v>-6.4999999999999975E-4</v>
      </c>
      <c r="AD1304" s="255">
        <f t="shared" si="335"/>
        <v>-6.4999999999999975E-4</v>
      </c>
      <c r="AE1304" s="76"/>
      <c r="AF1304" s="76"/>
      <c r="AG1304" s="76"/>
      <c r="AH1304" s="97">
        <v>1</v>
      </c>
      <c r="AI1304" s="97">
        <v>1</v>
      </c>
      <c r="AJ1304" s="73"/>
      <c r="AK1304" s="57"/>
      <c r="AL1304" s="45"/>
      <c r="AM1304" s="45"/>
      <c r="AN1304" s="45"/>
    </row>
    <row r="1305" spans="1:40" hidden="1" outlineLevel="2" x14ac:dyDescent="0.25">
      <c r="A1305" s="45"/>
      <c r="B1305" s="54"/>
      <c r="C1305" s="47">
        <f t="shared" si="328"/>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4"/>
        <v>-2.0499999999999997E-3</v>
      </c>
      <c r="AA1305" s="97">
        <f>0-AA$1301</f>
        <v>-2.0499999999999997E-3</v>
      </c>
      <c r="AB1305" s="255">
        <f t="shared" si="335"/>
        <v>-2.0499999999999997E-3</v>
      </c>
      <c r="AC1305" s="255">
        <f t="shared" si="335"/>
        <v>-2.0499999999999997E-3</v>
      </c>
      <c r="AD1305" s="255">
        <f t="shared" si="335"/>
        <v>-2.0499999999999997E-3</v>
      </c>
      <c r="AE1305" s="76"/>
      <c r="AF1305" s="76"/>
      <c r="AG1305" s="76"/>
      <c r="AH1305" s="97">
        <v>1</v>
      </c>
      <c r="AI1305" s="97">
        <v>1</v>
      </c>
      <c r="AJ1305" s="73"/>
      <c r="AK1305" s="57"/>
      <c r="AL1305" s="45"/>
      <c r="AM1305" s="45"/>
      <c r="AN1305" s="45"/>
    </row>
    <row r="1306" spans="1:40" hidden="1" outlineLevel="2" x14ac:dyDescent="0.25">
      <c r="A1306" s="45"/>
      <c r="B1306" s="54"/>
      <c r="C1306" s="47">
        <f t="shared" si="328"/>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4"/>
        <v>1.02E-4</v>
      </c>
      <c r="AA1306" s="97">
        <f>0.102/1000</f>
        <v>1.02E-4</v>
      </c>
      <c r="AB1306" s="255">
        <f t="shared" si="335"/>
        <v>1.02E-4</v>
      </c>
      <c r="AC1306" s="255">
        <f t="shared" si="335"/>
        <v>1.02E-4</v>
      </c>
      <c r="AD1306" s="255">
        <f t="shared" si="335"/>
        <v>1.02E-4</v>
      </c>
      <c r="AE1306" s="76"/>
      <c r="AF1306" s="76"/>
      <c r="AG1306" s="76"/>
      <c r="AH1306" s="97">
        <v>1</v>
      </c>
      <c r="AI1306" s="97">
        <v>1</v>
      </c>
      <c r="AJ1306" s="73"/>
      <c r="AK1306" s="57"/>
      <c r="AL1306" s="45"/>
      <c r="AM1306" s="45"/>
      <c r="AN1306" s="45"/>
    </row>
    <row r="1307" spans="1:40" hidden="1" outlineLevel="2" x14ac:dyDescent="0.25">
      <c r="A1307" s="45"/>
      <c r="B1307" s="54"/>
      <c r="C1307" s="47">
        <f t="shared" si="328"/>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4"/>
        <v>-1.9000000000000001E-8</v>
      </c>
      <c r="AA1307" s="97">
        <f>-0.000019/1000</f>
        <v>-1.9000000000000001E-8</v>
      </c>
      <c r="AB1307" s="255">
        <f t="shared" si="335"/>
        <v>-1.9000000000000001E-8</v>
      </c>
      <c r="AC1307" s="255">
        <f t="shared" si="335"/>
        <v>-1.9000000000000001E-8</v>
      </c>
      <c r="AD1307" s="255">
        <f t="shared" si="335"/>
        <v>-1.9000000000000001E-8</v>
      </c>
      <c r="AE1307" s="76"/>
      <c r="AF1307" s="76"/>
      <c r="AG1307" s="76"/>
      <c r="AH1307" s="97">
        <v>1</v>
      </c>
      <c r="AI1307" s="97">
        <v>1</v>
      </c>
      <c r="AJ1307" s="73"/>
      <c r="AK1307" s="57"/>
      <c r="AL1307" s="45"/>
      <c r="AM1307" s="45"/>
      <c r="AN1307" s="45"/>
    </row>
    <row r="1308" spans="1:40" hidden="1" outlineLevel="2" x14ac:dyDescent="0.25">
      <c r="A1308" s="45"/>
      <c r="B1308" s="54"/>
      <c r="C1308" s="47">
        <f t="shared" si="328"/>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4"/>
        <v>1.49E-2</v>
      </c>
      <c r="AA1308" s="97">
        <f>14.9/1000</f>
        <v>1.49E-2</v>
      </c>
      <c r="AB1308" s="255">
        <f t="shared" si="335"/>
        <v>1.49E-2</v>
      </c>
      <c r="AC1308" s="255">
        <f t="shared" si="335"/>
        <v>1.49E-2</v>
      </c>
      <c r="AD1308" s="255">
        <f t="shared" si="335"/>
        <v>1.49E-2</v>
      </c>
      <c r="AE1308" s="76"/>
      <c r="AF1308" s="76"/>
      <c r="AG1308" s="76"/>
      <c r="AH1308" s="97">
        <v>1</v>
      </c>
      <c r="AI1308" s="97">
        <v>1</v>
      </c>
      <c r="AJ1308" s="73"/>
      <c r="AK1308" s="57"/>
      <c r="AL1308" s="45"/>
      <c r="AM1308" s="45"/>
      <c r="AN1308" s="45"/>
    </row>
    <row r="1309" spans="1:40" hidden="1" outlineLevel="2" x14ac:dyDescent="0.25">
      <c r="A1309" s="45"/>
      <c r="B1309" s="54"/>
      <c r="C1309" s="47">
        <f>INT($C$29)+2</f>
        <v>3</v>
      </c>
      <c r="D1309" s="73"/>
      <c r="E1309" s="402"/>
      <c r="F1309" s="402" t="s">
        <v>3335</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3336</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3337</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3338</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INT($C$29)+3</f>
        <v>4</v>
      </c>
      <c r="D1313" s="73"/>
      <c r="E1313" s="70"/>
      <c r="F1313" s="70" t="s">
        <v>3339</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collapsed="1" x14ac:dyDescent="0.25">
      <c r="A1314" s="45"/>
      <c r="B1314" s="54"/>
      <c r="C1314" s="47">
        <f>INT($C$29)+3</f>
        <v>4</v>
      </c>
      <c r="D1314" s="73"/>
      <c r="E1314" s="70"/>
      <c r="F1314" s="70" t="s">
        <v>3340</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INT($C$29)+3</f>
        <v>4</v>
      </c>
      <c r="D1315" s="73"/>
      <c r="E1315" s="70"/>
      <c r="F1315" s="70" t="s">
        <v>3341</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25">
      <c r="A1316" s="45"/>
      <c r="B1316" s="54"/>
      <c r="C1316" s="47">
        <f t="shared" ref="C1316" si="336">INT($C$29)+2</f>
        <v>3</v>
      </c>
      <c r="D1316" s="73"/>
      <c r="E1316" s="406"/>
      <c r="F1316" s="406" t="s">
        <v>3342</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hidden="1" outlineLevel="1" x14ac:dyDescent="0.2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0</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25">
      <c r="A1318" s="45"/>
      <c r="B1318" s="54"/>
      <c r="C1318" s="47">
        <f t="shared" ref="C1318:C1337" si="337">INT($C$29)+3</f>
        <v>4</v>
      </c>
      <c r="D1318" s="73"/>
      <c r="E1318" s="70"/>
      <c r="F1318" s="70" t="s">
        <v>1909</v>
      </c>
      <c r="G1318" s="73"/>
      <c r="H1318" s="76" t="s">
        <v>3482</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7"/>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7"/>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7"/>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7"/>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7"/>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7"/>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7"/>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7"/>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7"/>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7"/>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7"/>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7"/>
        <v>4</v>
      </c>
      <c r="D1330" s="73"/>
      <c r="E1330" s="70"/>
      <c r="F1330" s="70" t="str">
        <f>SUBSTITUTE(F1325,",7)",",12)")</f>
        <v>C(U2,0,12)</v>
      </c>
      <c r="G1330" s="73"/>
      <c r="H1330" s="76" t="s">
        <v>3329</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7"/>
        <v>4</v>
      </c>
      <c r="D1331" s="73"/>
      <c r="E1331" s="70"/>
      <c r="F1331" s="70" t="str">
        <f>SUBSTITUTE(F1325,",7)",",13)")</f>
        <v>C(U2,0,13)</v>
      </c>
      <c r="G1331" s="73"/>
      <c r="H1331" s="76" t="s">
        <v>3330</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7"/>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7"/>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7"/>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7"/>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7"/>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37"/>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ref="C1341:C1352" si="338">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8"/>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8"/>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8"/>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8"/>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8"/>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8"/>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8"/>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8"/>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8"/>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8"/>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38"/>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ref="C1356:C1367" si="339">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9"/>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9"/>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9"/>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9"/>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9"/>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9"/>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9"/>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9"/>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9"/>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9"/>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39"/>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ref="C1371:C1382" si="340">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40"/>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40"/>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40"/>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40"/>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40"/>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40"/>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40"/>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40"/>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40"/>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40"/>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40"/>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ref="C1386:C1397" si="341">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41"/>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41"/>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41"/>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41"/>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41"/>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41"/>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41"/>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41"/>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41"/>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41"/>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41"/>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ref="C1401:C1412" si="342">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42"/>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42"/>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42"/>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42"/>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42"/>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42"/>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42"/>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42"/>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42"/>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42"/>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42"/>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ref="C1416:C1427" si="343">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43"/>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43"/>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43"/>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43"/>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43"/>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43"/>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43"/>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43"/>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43"/>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43"/>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43"/>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ref="C1435:C1436" si="344">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si="344"/>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2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5">U1438</f>
        <v>3.157</v>
      </c>
      <c r="X1438" s="405">
        <f t="shared" si="345"/>
        <v>3.157</v>
      </c>
      <c r="Y1438" s="405">
        <f>V1438</f>
        <v>3.157</v>
      </c>
      <c r="Z1438" s="405">
        <f>AA1438</f>
        <v>2.9750000000000001</v>
      </c>
      <c r="AA1438" s="404">
        <v>2.9750000000000001</v>
      </c>
      <c r="AB1438" s="405">
        <f t="shared" ref="AB1438:AD1440" si="346">AA1438</f>
        <v>2.9750000000000001</v>
      </c>
      <c r="AC1438" s="405">
        <f t="shared" si="346"/>
        <v>2.9750000000000001</v>
      </c>
      <c r="AD1438" s="405">
        <f t="shared" si="346"/>
        <v>2.9750000000000001</v>
      </c>
      <c r="AE1438" s="181"/>
      <c r="AF1438" s="404" t="s">
        <v>2562</v>
      </c>
      <c r="AG1438" s="181"/>
      <c r="AH1438" s="404">
        <v>1</v>
      </c>
      <c r="AI1438" s="404">
        <v>1</v>
      </c>
      <c r="AJ1438" s="73"/>
      <c r="AK1438" s="57"/>
      <c r="AL1438" s="45"/>
      <c r="AM1438" s="45"/>
      <c r="AN1438" s="45"/>
    </row>
    <row r="1439" spans="1:40" hidden="1" outlineLevel="2" x14ac:dyDescent="0.2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5"/>
        <v>-0.28570000000000001</v>
      </c>
      <c r="X1439" s="255">
        <f t="shared" si="345"/>
        <v>-0.28570000000000001</v>
      </c>
      <c r="Y1439" s="255">
        <f>V1439</f>
        <v>-0.28570000000000001</v>
      </c>
      <c r="Z1439" s="400">
        <f>AA1439</f>
        <v>-0.23649999999999999</v>
      </c>
      <c r="AA1439" s="97">
        <v>-0.23649999999999999</v>
      </c>
      <c r="AB1439" s="400">
        <f t="shared" si="346"/>
        <v>-0.23649999999999999</v>
      </c>
      <c r="AC1439" s="400">
        <f t="shared" si="346"/>
        <v>-0.23649999999999999</v>
      </c>
      <c r="AD1439" s="400">
        <f t="shared" si="346"/>
        <v>-0.23649999999999999</v>
      </c>
      <c r="AE1439" s="76"/>
      <c r="AF1439" s="76"/>
      <c r="AG1439" s="76"/>
      <c r="AH1439" s="97">
        <v>1</v>
      </c>
      <c r="AI1439" s="97">
        <v>1</v>
      </c>
      <c r="AJ1439" s="73"/>
      <c r="AK1439" s="57"/>
      <c r="AL1439" s="45"/>
      <c r="AM1439" s="45"/>
      <c r="AN1439" s="45"/>
    </row>
    <row r="1440" spans="1:40" hidden="1" outlineLevel="2" collapsed="1" x14ac:dyDescent="0.2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5"/>
        <v>-7.9950000000000004E-3</v>
      </c>
      <c r="X1440" s="255">
        <f t="shared" si="345"/>
        <v>-7.9950000000000004E-3</v>
      </c>
      <c r="Y1440" s="255">
        <f>V1440</f>
        <v>-7.9950000000000004E-3</v>
      </c>
      <c r="Z1440" s="400">
        <f>AA1440</f>
        <v>-1.761E-3</v>
      </c>
      <c r="AA1440" s="97">
        <v>-1.761E-3</v>
      </c>
      <c r="AB1440" s="400">
        <f t="shared" si="346"/>
        <v>-1.761E-3</v>
      </c>
      <c r="AC1440" s="400">
        <f t="shared" si="346"/>
        <v>-1.761E-3</v>
      </c>
      <c r="AD1440" s="400">
        <f t="shared" si="346"/>
        <v>-1.761E-3</v>
      </c>
      <c r="AE1440" s="76"/>
      <c r="AF1440" s="76"/>
      <c r="AG1440" s="76"/>
      <c r="AH1440" s="97">
        <v>1</v>
      </c>
      <c r="AI1440" s="97">
        <v>1</v>
      </c>
      <c r="AJ1440" s="73"/>
      <c r="AK1440" s="57"/>
      <c r="AL1440" s="45"/>
      <c r="AM1440" s="45"/>
      <c r="AN1440" s="45"/>
    </row>
    <row r="1441" spans="1:40" hidden="1" outlineLevel="3" x14ac:dyDescent="0.2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2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7">AA1442</f>
        <v>0</v>
      </c>
      <c r="AC1442" s="400">
        <f t="shared" si="347"/>
        <v>0</v>
      </c>
      <c r="AD1442" s="400">
        <f t="shared" si="347"/>
        <v>0</v>
      </c>
      <c r="AE1442" s="76"/>
      <c r="AF1442" s="76"/>
      <c r="AG1442" s="76"/>
      <c r="AH1442" s="97">
        <v>1</v>
      </c>
      <c r="AI1442" s="97">
        <v>1</v>
      </c>
      <c r="AJ1442" s="73"/>
      <c r="AK1442" s="57"/>
      <c r="AL1442" s="45"/>
      <c r="AM1442" s="45"/>
      <c r="AN1442" s="45"/>
    </row>
    <row r="1443" spans="1:40" hidden="1" outlineLevel="2" collapsed="1" x14ac:dyDescent="0.2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7"/>
        <v>0</v>
      </c>
      <c r="AC1443" s="400">
        <f t="shared" si="347"/>
        <v>0</v>
      </c>
      <c r="AD1443" s="400">
        <f t="shared" si="347"/>
        <v>0</v>
      </c>
      <c r="AE1443" s="76"/>
      <c r="AF1443" s="76"/>
      <c r="AG1443" s="76"/>
      <c r="AH1443" s="97">
        <v>1</v>
      </c>
      <c r="AI1443" s="97">
        <v>1</v>
      </c>
      <c r="AJ1443" s="73"/>
      <c r="AK1443" s="57"/>
      <c r="AL1443" s="45"/>
      <c r="AM1443" s="45"/>
      <c r="AN1443" s="45"/>
    </row>
    <row r="1444" spans="1:40" hidden="1" outlineLevel="3" x14ac:dyDescent="0.25">
      <c r="A1444" s="45"/>
      <c r="B1444" s="54"/>
      <c r="C1444" s="47">
        <f t="shared" ref="C1444:C1451" si="348">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8"/>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8"/>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8"/>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8"/>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8"/>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8"/>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48"/>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outlineLevel="2" collapsed="1" x14ac:dyDescent="0.2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3286</v>
      </c>
      <c r="U1452" s="409">
        <v>1.7397800000000001</v>
      </c>
      <c r="V1452" s="255">
        <f t="shared" ref="V1452" si="349">U1452</f>
        <v>1.7397800000000001</v>
      </c>
      <c r="W1452" s="631">
        <f>$V1452+0-0.932592606</f>
        <v>0.80718739400000006</v>
      </c>
      <c r="X1452" s="631">
        <f>$V1452+0-0.505993137</f>
        <v>1.2337868630000002</v>
      </c>
      <c r="Y1452" s="631">
        <f>$V1452+0.120292695</f>
        <v>1.8600726950000002</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2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2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ref="C1461:C1472" si="350">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50"/>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50"/>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50"/>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50"/>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50"/>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50"/>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50"/>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50"/>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50"/>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50"/>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50"/>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ref="C1476:C1487" si="351">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51"/>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51"/>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51"/>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51"/>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51"/>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51"/>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51"/>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51"/>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51"/>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51"/>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51"/>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ref="C1491:C1502" si="352">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52"/>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52"/>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52"/>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52"/>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52"/>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52"/>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52"/>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52"/>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52"/>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52"/>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52"/>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ref="C1506:C1517" si="353">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53"/>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53"/>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53"/>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53"/>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53"/>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53"/>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53"/>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53"/>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53"/>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53"/>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53"/>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ref="C1521:C1532" si="354">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54"/>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54"/>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54"/>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54"/>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54"/>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54"/>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54"/>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54"/>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54"/>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54"/>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54"/>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ref="C1536:C1547" si="355">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5"/>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5"/>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5"/>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5"/>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5"/>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5"/>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5"/>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5"/>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5"/>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5"/>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55"/>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ref="C1551:C1562" si="356">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6"/>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6"/>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6"/>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6"/>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6"/>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6"/>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6"/>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6"/>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6"/>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6"/>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56"/>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ref="C1566:C1577" si="357">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7"/>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7"/>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7"/>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7"/>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7"/>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7"/>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7"/>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7"/>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7"/>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7"/>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57"/>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ref="C1581:C1592" si="358">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8"/>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8"/>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8"/>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8"/>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8"/>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8"/>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8"/>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8"/>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8"/>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8"/>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58"/>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ref="C1596:C1607" si="359">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9"/>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9"/>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9"/>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9"/>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9"/>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9"/>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9"/>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9"/>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9"/>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9"/>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59"/>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ref="C1615:C1616" si="360">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si="360"/>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2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61">Y1618</f>
        <v>0.57699999999999996</v>
      </c>
      <c r="AA1618" s="255">
        <f t="shared" si="361"/>
        <v>0.57699999999999996</v>
      </c>
      <c r="AB1618" s="255">
        <f t="shared" si="361"/>
        <v>0.57699999999999996</v>
      </c>
      <c r="AC1618" s="255">
        <f t="shared" si="361"/>
        <v>0.57699999999999996</v>
      </c>
      <c r="AD1618" s="255">
        <f t="shared" si="361"/>
        <v>0.57699999999999996</v>
      </c>
      <c r="AE1618" s="76"/>
      <c r="AF1618" s="97" t="s">
        <v>2041</v>
      </c>
      <c r="AG1618" s="76"/>
      <c r="AH1618" s="97">
        <v>1</v>
      </c>
      <c r="AI1618" s="97">
        <v>1</v>
      </c>
      <c r="AJ1618" s="73"/>
      <c r="AK1618" s="57"/>
      <c r="AL1618" s="45"/>
      <c r="AM1618" s="45"/>
      <c r="AN1618" s="45"/>
    </row>
    <row r="1619" spans="1:40" hidden="1" outlineLevel="2" collapsed="1" x14ac:dyDescent="0.2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61"/>
        <v>-1.2E-2</v>
      </c>
      <c r="AA1619" s="255">
        <f t="shared" si="361"/>
        <v>-1.2E-2</v>
      </c>
      <c r="AB1619" s="255">
        <f t="shared" si="361"/>
        <v>-1.2E-2</v>
      </c>
      <c r="AC1619" s="255">
        <f t="shared" si="361"/>
        <v>-1.2E-2</v>
      </c>
      <c r="AD1619" s="255">
        <f t="shared" si="361"/>
        <v>-1.2E-2</v>
      </c>
      <c r="AE1619" s="76"/>
      <c r="AF1619" s="76"/>
      <c r="AG1619" s="76"/>
      <c r="AH1619" s="97">
        <v>1</v>
      </c>
      <c r="AI1619" s="97">
        <v>1</v>
      </c>
      <c r="AJ1619" s="73"/>
      <c r="AK1619" s="57"/>
      <c r="AL1619" s="45"/>
      <c r="AM1619" s="45"/>
      <c r="AN1619" s="45"/>
    </row>
    <row r="1620" spans="1:40" hidden="1" outlineLevel="3" x14ac:dyDescent="0.2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ref="C1624:C1631" si="362">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62"/>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62"/>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62"/>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62"/>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62"/>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62"/>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62"/>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2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2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ref="C1645:C1646" si="363">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si="363"/>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2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64">Y1648</f>
        <v>-8.4959000000000007</v>
      </c>
      <c r="AA1648" s="261">
        <f t="shared" si="364"/>
        <v>-8.4959000000000007</v>
      </c>
      <c r="AB1648" s="261">
        <f t="shared" si="364"/>
        <v>-8.4959000000000007</v>
      </c>
      <c r="AC1648" s="261">
        <f t="shared" si="364"/>
        <v>-8.4959000000000007</v>
      </c>
      <c r="AD1648" s="261">
        <f t="shared" si="364"/>
        <v>-8.4959000000000007</v>
      </c>
      <c r="AE1648" s="76"/>
      <c r="AF1648" s="97" t="s">
        <v>2738</v>
      </c>
      <c r="AG1648" s="76"/>
      <c r="AH1648" s="97">
        <v>1</v>
      </c>
      <c r="AI1648" s="97">
        <v>1</v>
      </c>
      <c r="AJ1648" s="73"/>
      <c r="AK1648" s="57"/>
      <c r="AL1648" s="45"/>
      <c r="AM1648" s="45"/>
      <c r="AN1648" s="45"/>
    </row>
    <row r="1649" spans="1:40" hidden="1" outlineLevel="2" collapsed="1" x14ac:dyDescent="0.2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64"/>
        <v>1.38185</v>
      </c>
      <c r="AA1649" s="261">
        <f t="shared" si="364"/>
        <v>1.38185</v>
      </c>
      <c r="AB1649" s="261">
        <f t="shared" si="364"/>
        <v>1.38185</v>
      </c>
      <c r="AC1649" s="261">
        <f t="shared" si="364"/>
        <v>1.38185</v>
      </c>
      <c r="AD1649" s="261">
        <f t="shared" si="364"/>
        <v>1.38185</v>
      </c>
      <c r="AE1649" s="76"/>
      <c r="AF1649" s="76"/>
      <c r="AG1649" s="76"/>
      <c r="AH1649" s="97">
        <v>1</v>
      </c>
      <c r="AI1649" s="97">
        <v>1</v>
      </c>
      <c r="AJ1649" s="73"/>
      <c r="AK1649" s="57"/>
      <c r="AL1649" s="45"/>
      <c r="AM1649" s="45"/>
      <c r="AN1649" s="45"/>
    </row>
    <row r="1650" spans="1:40" hidden="1" outlineLevel="3" x14ac:dyDescent="0.25">
      <c r="A1650" s="45"/>
      <c r="B1650" s="54"/>
      <c r="C1650" s="47">
        <f t="shared" ref="C1650:C1661" si="365">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5"/>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5"/>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5"/>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5"/>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5"/>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65"/>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5"/>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5"/>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5"/>
        <v>4</v>
      </c>
      <c r="D1659" s="73"/>
      <c r="E1659" s="70"/>
      <c r="F1659" s="70" t="str">
        <f>SUBSTITUTE(F1655,",7)",",11)")</f>
        <v>C(U2,22,11)</v>
      </c>
      <c r="G1659" s="73"/>
      <c r="H1659" s="373" t="s">
        <v>3332</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5"/>
        <v>4</v>
      </c>
      <c r="D1660" s="73"/>
      <c r="E1660" s="70"/>
      <c r="F1660" s="70" t="str">
        <f>SUBSTITUTE(F1654,",6)",",12)")</f>
        <v>C(U2,22,12)</v>
      </c>
      <c r="G1660" s="73"/>
      <c r="H1660" s="373" t="s">
        <v>3333</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65"/>
        <v>4</v>
      </c>
      <c r="D1661" s="73"/>
      <c r="E1661" s="70"/>
      <c r="F1661" s="70" t="str">
        <f>SUBSTITUTE(F1655,",7)",",13)")</f>
        <v>C(U2,22,13)</v>
      </c>
      <c r="G1661" s="73"/>
      <c r="H1661" s="373" t="s">
        <v>3334</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2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6">U1662</f>
        <v>7.50061</v>
      </c>
      <c r="X1662" s="261">
        <f t="shared" si="366"/>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2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6"/>
        <v>-4.5568499999999998</v>
      </c>
      <c r="X1663" s="255">
        <f t="shared" si="366"/>
        <v>-4.5568499999999998</v>
      </c>
      <c r="Y1663" s="255">
        <f>V1663</f>
        <v>-4.5568499999999998</v>
      </c>
      <c r="Z1663" s="255">
        <f>AA1663</f>
        <v>-4.5568499999999998</v>
      </c>
      <c r="AA1663" s="97">
        <f>-(4.55685)</f>
        <v>-4.5568499999999998</v>
      </c>
      <c r="AB1663" s="255">
        <f t="shared" ref="AB1663:AD1665" si="367">AA1663</f>
        <v>-4.5568499999999998</v>
      </c>
      <c r="AC1663" s="255">
        <f t="shared" si="367"/>
        <v>-4.5568499999999998</v>
      </c>
      <c r="AD1663" s="255">
        <f t="shared" si="367"/>
        <v>-4.5568499999999998</v>
      </c>
      <c r="AE1663" s="76"/>
      <c r="AF1663" s="97" t="s">
        <v>3331</v>
      </c>
      <c r="AG1663" s="76"/>
      <c r="AH1663" s="76">
        <v>1</v>
      </c>
      <c r="AI1663" s="76">
        <v>1</v>
      </c>
      <c r="AJ1663" s="73"/>
      <c r="AK1663" s="57"/>
      <c r="AL1663" s="45"/>
      <c r="AM1663" s="45"/>
      <c r="AN1663" s="45"/>
    </row>
    <row r="1664" spans="1:40" hidden="1" outlineLevel="2" x14ac:dyDescent="0.2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6"/>
        <v>0.69092500000000001</v>
      </c>
      <c r="X1664" s="255">
        <f t="shared" si="366"/>
        <v>0.69092500000000001</v>
      </c>
      <c r="Y1664" s="255">
        <f>V1664</f>
        <v>0.69092500000000001</v>
      </c>
      <c r="Z1664" s="255">
        <f>AA1664</f>
        <v>0.69092500000000001</v>
      </c>
      <c r="AA1664" s="97">
        <f>-(-0.690925)</f>
        <v>0.69092500000000001</v>
      </c>
      <c r="AB1664" s="255">
        <f t="shared" si="367"/>
        <v>0.69092500000000001</v>
      </c>
      <c r="AC1664" s="255">
        <f t="shared" si="367"/>
        <v>0.69092500000000001</v>
      </c>
      <c r="AD1664" s="255">
        <f t="shared" si="367"/>
        <v>0.69092500000000001</v>
      </c>
      <c r="AE1664" s="76"/>
      <c r="AF1664" s="76"/>
      <c r="AG1664" s="76"/>
      <c r="AH1664" s="76">
        <v>1</v>
      </c>
      <c r="AI1664" s="76">
        <v>1</v>
      </c>
      <c r="AJ1664" s="73"/>
      <c r="AK1664" s="57"/>
      <c r="AL1664" s="45"/>
      <c r="AM1664" s="45"/>
      <c r="AN1664" s="45"/>
    </row>
    <row r="1665" spans="1:40" hidden="1" outlineLevel="2" collapsed="1" x14ac:dyDescent="0.25">
      <c r="A1665" s="45"/>
      <c r="B1665" s="54"/>
      <c r="C1665" s="47">
        <f t="shared" ref="C1665:C1676" si="368">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6"/>
        <v>-0.15570000000000001</v>
      </c>
      <c r="X1665" s="255">
        <f t="shared" si="366"/>
        <v>-0.15570000000000001</v>
      </c>
      <c r="Y1665" s="255">
        <f>V1665</f>
        <v>-0.15570000000000001</v>
      </c>
      <c r="Z1665" s="255">
        <f>AA1665</f>
        <v>-0.15570000000000001</v>
      </c>
      <c r="AA1665" s="97">
        <f>-(0.1557)</f>
        <v>-0.15570000000000001</v>
      </c>
      <c r="AB1665" s="255">
        <f t="shared" si="367"/>
        <v>-0.15570000000000001</v>
      </c>
      <c r="AC1665" s="255">
        <f t="shared" si="367"/>
        <v>-0.15570000000000001</v>
      </c>
      <c r="AD1665" s="255">
        <f t="shared" si="367"/>
        <v>-0.15570000000000001</v>
      </c>
      <c r="AE1665" s="76"/>
      <c r="AF1665" s="97"/>
      <c r="AG1665" s="76"/>
      <c r="AH1665" s="97">
        <v>1</v>
      </c>
      <c r="AI1665" s="97">
        <v>1</v>
      </c>
      <c r="AJ1665" s="73"/>
      <c r="AK1665" s="57"/>
      <c r="AL1665" s="45"/>
      <c r="AM1665" s="45"/>
      <c r="AN1665" s="45"/>
    </row>
    <row r="1666" spans="1:40" hidden="1" outlineLevel="3" collapsed="1" x14ac:dyDescent="0.25">
      <c r="A1666" s="45"/>
      <c r="B1666" s="54"/>
      <c r="C1666" s="47">
        <f t="shared" si="368"/>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8"/>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8"/>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8"/>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8"/>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8"/>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8"/>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8"/>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8"/>
        <v>4</v>
      </c>
      <c r="D1674" s="73"/>
      <c r="E1674" s="70"/>
      <c r="F1674" s="70" t="str">
        <f>SUBSTITUTE(F1670,",7)",",11)")</f>
        <v>C(U2,23,11)</v>
      </c>
      <c r="G1674" s="73"/>
      <c r="H1674" s="373" t="s">
        <v>3332</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68"/>
        <v>4</v>
      </c>
      <c r="D1675" s="73"/>
      <c r="E1675" s="70"/>
      <c r="F1675" s="70" t="str">
        <f>SUBSTITUTE(F1669,",6)",",12)")</f>
        <v>C(U2,23,12)</v>
      </c>
      <c r="G1675" s="73"/>
      <c r="H1675" s="373" t="s">
        <v>3483</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25">
      <c r="A1676" s="45"/>
      <c r="B1676" s="54"/>
      <c r="C1676" s="47">
        <f t="shared" si="368"/>
        <v>4</v>
      </c>
      <c r="D1676" s="73"/>
      <c r="E1676" s="70"/>
      <c r="F1676" s="70" t="s">
        <v>3484</v>
      </c>
      <c r="G1676" s="73"/>
      <c r="H1676" s="374" t="s">
        <v>2795</v>
      </c>
      <c r="I1676" s="96"/>
      <c r="J1676" s="76"/>
      <c r="K1676" s="76"/>
      <c r="L1676" s="76"/>
      <c r="M1676" s="76"/>
      <c r="N1676" s="76"/>
      <c r="O1676" s="76"/>
      <c r="P1676" s="76"/>
      <c r="Q1676" s="76"/>
      <c r="R1676" s="76"/>
      <c r="S1676" s="76"/>
      <c r="T1676" s="76"/>
      <c r="U1676" s="337">
        <f t="shared" ref="U1676:AD1676" si="369">-U$1663/(2*U$1664)</f>
        <v>3.2976444621340955</v>
      </c>
      <c r="V1676" s="337">
        <f t="shared" si="369"/>
        <v>3.2976444621340955</v>
      </c>
      <c r="W1676" s="337">
        <f t="shared" si="369"/>
        <v>3.2976444621340955</v>
      </c>
      <c r="X1676" s="337">
        <f t="shared" si="369"/>
        <v>3.2976444621340955</v>
      </c>
      <c r="Y1676" s="337">
        <f t="shared" si="369"/>
        <v>3.2976444621340955</v>
      </c>
      <c r="Z1676" s="337">
        <f t="shared" si="369"/>
        <v>3.2976444621340955</v>
      </c>
      <c r="AA1676" s="337">
        <f t="shared" si="369"/>
        <v>3.2976444621340955</v>
      </c>
      <c r="AB1676" s="337">
        <f t="shared" si="369"/>
        <v>3.2976444621340955</v>
      </c>
      <c r="AC1676" s="337">
        <f t="shared" si="369"/>
        <v>3.2976444621340955</v>
      </c>
      <c r="AD1676" s="337">
        <f t="shared" si="369"/>
        <v>3.2976444621340955</v>
      </c>
      <c r="AE1676" s="76"/>
      <c r="AF1676" s="76"/>
      <c r="AG1676" s="76"/>
      <c r="AH1676" s="76">
        <v>1</v>
      </c>
      <c r="AI1676" s="76">
        <v>1</v>
      </c>
      <c r="AJ1676" s="73"/>
      <c r="AK1676" s="57"/>
      <c r="AL1676" s="45"/>
      <c r="AM1676" s="45"/>
      <c r="AN1676" s="45"/>
    </row>
    <row r="1677" spans="1:40" hidden="1" outlineLevel="2" x14ac:dyDescent="0.2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70">U1677</f>
        <v>2.0276899999999998</v>
      </c>
      <c r="W1677" s="255">
        <f t="shared" ref="W1677:X1683" si="371">U1677</f>
        <v>2.0276899999999998</v>
      </c>
      <c r="X1677" s="255">
        <f t="shared" si="371"/>
        <v>2.0276899999999998</v>
      </c>
      <c r="Y1677" s="255">
        <f t="shared" ref="Y1677:Y1683" si="372">V1677</f>
        <v>2.0276899999999998</v>
      </c>
      <c r="Z1677" s="255">
        <f t="shared" ref="Z1677:Z1683" si="373">AA1677</f>
        <v>3.64628</v>
      </c>
      <c r="AA1677" s="97">
        <f>-(-3.64628)</f>
        <v>3.64628</v>
      </c>
      <c r="AB1677" s="255">
        <f t="shared" ref="AB1677:AD1683" si="374">AA1677</f>
        <v>3.64628</v>
      </c>
      <c r="AC1677" s="255">
        <f t="shared" si="374"/>
        <v>3.64628</v>
      </c>
      <c r="AD1677" s="255">
        <f t="shared" si="374"/>
        <v>3.64628</v>
      </c>
      <c r="AE1677" s="76"/>
      <c r="AF1677" s="97"/>
      <c r="AG1677" s="76"/>
      <c r="AH1677" s="97">
        <v>1</v>
      </c>
      <c r="AI1677" s="97">
        <v>1</v>
      </c>
      <c r="AJ1677" s="73"/>
      <c r="AK1677" s="57"/>
      <c r="AL1677" s="45"/>
      <c r="AM1677" s="45"/>
      <c r="AN1677" s="45"/>
    </row>
    <row r="1678" spans="1:40" hidden="1" outlineLevel="2" x14ac:dyDescent="0.2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70"/>
        <v>-0.26</v>
      </c>
      <c r="W1678" s="255">
        <f t="shared" si="371"/>
        <v>-0.26</v>
      </c>
      <c r="X1678" s="255">
        <f t="shared" si="371"/>
        <v>-0.26</v>
      </c>
      <c r="Y1678" s="255">
        <f t="shared" si="372"/>
        <v>-0.26</v>
      </c>
      <c r="Z1678" s="255">
        <f t="shared" si="373"/>
        <v>-0.27389999999999998</v>
      </c>
      <c r="AA1678" s="97">
        <v>-0.27389999999999998</v>
      </c>
      <c r="AB1678" s="255">
        <f t="shared" si="374"/>
        <v>-0.27389999999999998</v>
      </c>
      <c r="AC1678" s="255">
        <f t="shared" si="374"/>
        <v>-0.27389999999999998</v>
      </c>
      <c r="AD1678" s="255">
        <f t="shared" si="374"/>
        <v>-0.27389999999999998</v>
      </c>
      <c r="AE1678" s="76"/>
      <c r="AF1678" s="97" t="s">
        <v>3787</v>
      </c>
      <c r="AG1678" s="76"/>
      <c r="AH1678" s="97">
        <v>1</v>
      </c>
      <c r="AI1678" s="97">
        <v>1</v>
      </c>
      <c r="AJ1678" s="73"/>
      <c r="AK1678" s="57"/>
      <c r="AL1678" s="45"/>
      <c r="AM1678" s="45"/>
      <c r="AN1678" s="45"/>
    </row>
    <row r="1679" spans="1:40" hidden="1" outlineLevel="2" x14ac:dyDescent="0.2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70"/>
        <v>1.91E-3</v>
      </c>
      <c r="W1679" s="255">
        <f t="shared" si="371"/>
        <v>1.91E-3</v>
      </c>
      <c r="X1679" s="255">
        <f t="shared" si="371"/>
        <v>1.91E-3</v>
      </c>
      <c r="Y1679" s="255">
        <f t="shared" si="372"/>
        <v>1.91E-3</v>
      </c>
      <c r="Z1679" s="255">
        <f t="shared" si="373"/>
        <v>2.1199999999999999E-3</v>
      </c>
      <c r="AA1679" s="97">
        <v>2.1199999999999999E-3</v>
      </c>
      <c r="AB1679" s="255">
        <f t="shared" si="374"/>
        <v>2.1199999999999999E-3</v>
      </c>
      <c r="AC1679" s="255">
        <f t="shared" si="374"/>
        <v>2.1199999999999999E-3</v>
      </c>
      <c r="AD1679" s="255">
        <f t="shared" si="374"/>
        <v>2.1199999999999999E-3</v>
      </c>
      <c r="AE1679" s="76"/>
      <c r="AF1679" s="97" t="s">
        <v>3786</v>
      </c>
      <c r="AG1679" s="76"/>
      <c r="AH1679" s="97">
        <v>1</v>
      </c>
      <c r="AI1679" s="97">
        <v>1</v>
      </c>
      <c r="AJ1679" s="73"/>
      <c r="AK1679" s="57"/>
      <c r="AL1679" s="45"/>
      <c r="AM1679" s="45"/>
      <c r="AN1679" s="45"/>
    </row>
    <row r="1680" spans="1:40" hidden="1" outlineLevel="2" collapsed="1" x14ac:dyDescent="0.25">
      <c r="A1680" s="45"/>
      <c r="B1680" s="54"/>
      <c r="C1680" s="47">
        <f t="shared" ref="C1680:C1691" si="375">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25">
      <c r="A1681" s="45"/>
      <c r="B1681" s="54"/>
      <c r="C1681" s="47">
        <f t="shared" si="375"/>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25">
      <c r="A1682" s="45"/>
      <c r="B1682" s="54"/>
      <c r="C1682" s="47">
        <f t="shared" si="375"/>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70"/>
        <v>-5.1499999999999997E-2</v>
      </c>
      <c r="W1682" s="255">
        <f t="shared" si="371"/>
        <v>-5.1499999999999997E-2</v>
      </c>
      <c r="X1682" s="255">
        <f t="shared" si="371"/>
        <v>-5.1499999999999997E-2</v>
      </c>
      <c r="Y1682" s="255">
        <f t="shared" si="372"/>
        <v>-5.1499999999999997E-2</v>
      </c>
      <c r="Z1682" s="255">
        <f t="shared" si="373"/>
        <v>-2.75E-2</v>
      </c>
      <c r="AA1682" s="97">
        <v>-2.75E-2</v>
      </c>
      <c r="AB1682" s="255">
        <f t="shared" si="374"/>
        <v>-2.75E-2</v>
      </c>
      <c r="AC1682" s="255">
        <f t="shared" si="374"/>
        <v>-2.75E-2</v>
      </c>
      <c r="AD1682" s="255">
        <f t="shared" si="374"/>
        <v>-2.75E-2</v>
      </c>
      <c r="AE1682" s="76"/>
      <c r="AF1682" s="76"/>
      <c r="AG1682" s="76"/>
      <c r="AH1682" s="97">
        <v>1</v>
      </c>
      <c r="AI1682" s="97">
        <v>1</v>
      </c>
      <c r="AJ1682" s="73"/>
      <c r="AK1682" s="57"/>
      <c r="AL1682" s="45"/>
      <c r="AM1682" s="45"/>
      <c r="AN1682" s="45"/>
    </row>
    <row r="1683" spans="1:40" hidden="1" outlineLevel="2" x14ac:dyDescent="0.25">
      <c r="A1683" s="45"/>
      <c r="B1683" s="54"/>
      <c r="C1683" s="47">
        <f t="shared" si="375"/>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70"/>
        <v>8.916204986149583E-5</v>
      </c>
      <c r="W1683" s="255">
        <f t="shared" si="371"/>
        <v>8.916204986149583E-5</v>
      </c>
      <c r="X1683" s="255">
        <f t="shared" si="371"/>
        <v>8.916204986149583E-5</v>
      </c>
      <c r="Y1683" s="255">
        <f t="shared" si="372"/>
        <v>8.916204986149583E-5</v>
      </c>
      <c r="Z1683" s="255">
        <f t="shared" si="373"/>
        <v>4.7610803324099718E-5</v>
      </c>
      <c r="AA1683" s="97">
        <f>-AA1682/(2*9.5*30.4)</f>
        <v>4.7610803324099718E-5</v>
      </c>
      <c r="AB1683" s="255">
        <f t="shared" si="374"/>
        <v>4.7610803324099718E-5</v>
      </c>
      <c r="AC1683" s="255">
        <f t="shared" si="374"/>
        <v>4.7610803324099718E-5</v>
      </c>
      <c r="AD1683" s="255">
        <f t="shared" si="374"/>
        <v>4.7610803324099718E-5</v>
      </c>
      <c r="AE1683" s="76"/>
      <c r="AF1683" s="76"/>
      <c r="AG1683" s="76"/>
      <c r="AH1683" s="76">
        <v>1</v>
      </c>
      <c r="AI1683" s="76">
        <v>1</v>
      </c>
      <c r="AJ1683" s="73"/>
      <c r="AK1683" s="57"/>
      <c r="AL1683" s="45"/>
      <c r="AM1683" s="45"/>
      <c r="AN1683" s="45"/>
    </row>
    <row r="1684" spans="1:40" hidden="1" outlineLevel="2" collapsed="1" x14ac:dyDescent="0.25">
      <c r="A1684" s="45"/>
      <c r="B1684" s="54"/>
      <c r="C1684" s="47">
        <f t="shared" si="375"/>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25">
      <c r="A1685" s="45"/>
      <c r="B1685" s="54"/>
      <c r="C1685" s="47">
        <f t="shared" si="375"/>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25">
      <c r="A1686" s="45"/>
      <c r="B1686" s="54"/>
      <c r="C1686" s="47">
        <f t="shared" si="375"/>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5"/>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5"/>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75"/>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25">
      <c r="A1690" s="45"/>
      <c r="B1690" s="54"/>
      <c r="C1690" s="47">
        <f t="shared" si="375"/>
        <v>4</v>
      </c>
      <c r="D1690" s="73"/>
      <c r="E1690" s="70"/>
      <c r="F1690" s="70" t="s">
        <v>3325</v>
      </c>
      <c r="G1690" s="73"/>
      <c r="H1690" s="374" t="s">
        <v>3324</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25">
      <c r="A1691" s="45"/>
      <c r="B1691" s="54"/>
      <c r="C1691" s="47">
        <f t="shared" si="375"/>
        <v>4</v>
      </c>
      <c r="D1691" s="73"/>
      <c r="E1691" s="70"/>
      <c r="F1691" s="70" t="s">
        <v>3326</v>
      </c>
      <c r="G1691" s="73"/>
      <c r="H1691" s="374" t="s">
        <v>3323</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2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6">U1692</f>
        <v>15.275</v>
      </c>
      <c r="X1692" s="255">
        <f t="shared" si="376"/>
        <v>15.275</v>
      </c>
      <c r="Y1692" s="255">
        <f>V1692</f>
        <v>15.275</v>
      </c>
      <c r="Z1692" s="255">
        <f>AA1692</f>
        <v>11.141</v>
      </c>
      <c r="AA1692" s="97">
        <v>11.141</v>
      </c>
      <c r="AB1692" s="255">
        <f t="shared" ref="AB1692:AD1709" si="377">AA1692</f>
        <v>11.141</v>
      </c>
      <c r="AC1692" s="255">
        <f t="shared" si="377"/>
        <v>11.141</v>
      </c>
      <c r="AD1692" s="255">
        <f t="shared" si="377"/>
        <v>11.141</v>
      </c>
      <c r="AE1692" s="76"/>
      <c r="AF1692" s="76"/>
      <c r="AG1692" s="76"/>
      <c r="AH1692" s="97">
        <v>1</v>
      </c>
      <c r="AI1692" s="97">
        <v>1</v>
      </c>
      <c r="AJ1692" s="73"/>
      <c r="AK1692" s="57"/>
      <c r="AL1692" s="45"/>
      <c r="AM1692" s="45"/>
      <c r="AN1692" s="45"/>
    </row>
    <row r="1693" spans="1:40" hidden="1" outlineLevel="2" x14ac:dyDescent="0.25">
      <c r="A1693" s="45"/>
      <c r="B1693" s="54"/>
      <c r="C1693" s="47">
        <f>INT($C$29)+2</f>
        <v>3</v>
      </c>
      <c r="D1693" s="73"/>
      <c r="E1693" s="70"/>
      <c r="F1693" s="70" t="s">
        <v>2451</v>
      </c>
      <c r="G1693" s="73"/>
      <c r="H1693" s="76" t="s">
        <v>3776</v>
      </c>
      <c r="I1693" s="76"/>
      <c r="J1693" s="76"/>
      <c r="K1693" s="76"/>
      <c r="L1693" s="76"/>
      <c r="M1693" s="76"/>
      <c r="N1693" s="76"/>
      <c r="O1693" s="76"/>
      <c r="P1693" s="76"/>
      <c r="Q1693" s="76"/>
      <c r="R1693" s="76"/>
      <c r="S1693" s="76"/>
      <c r="T1693" s="76"/>
      <c r="U1693" s="97">
        <v>-0.24499299999999999</v>
      </c>
      <c r="V1693" s="255">
        <f t="shared" ref="V1693:V1707" si="378">U1693</f>
        <v>-0.24499299999999999</v>
      </c>
      <c r="W1693" s="255">
        <f t="shared" ref="W1693:W1695" si="379">V1693</f>
        <v>-0.24499299999999999</v>
      </c>
      <c r="X1693" s="255">
        <f t="shared" ref="X1693:X1695" si="380">W1693</f>
        <v>-0.24499299999999999</v>
      </c>
      <c r="Y1693" s="628">
        <f t="shared" ref="Y1693" si="381">Y1708</f>
        <v>-9.8000000000000004E-2</v>
      </c>
      <c r="Z1693" s="255">
        <f>AA1693</f>
        <v>-0.24499299999999999</v>
      </c>
      <c r="AA1693" s="97">
        <f>$U1693</f>
        <v>-0.24499299999999999</v>
      </c>
      <c r="AB1693" s="255">
        <f t="shared" si="377"/>
        <v>-0.24499299999999999</v>
      </c>
      <c r="AC1693" s="255">
        <f t="shared" si="377"/>
        <v>-0.24499299999999999</v>
      </c>
      <c r="AD1693" s="255">
        <f t="shared" si="377"/>
        <v>-0.24499299999999999</v>
      </c>
      <c r="AE1693" s="76"/>
      <c r="AF1693" s="97" t="s">
        <v>3775</v>
      </c>
      <c r="AG1693" s="76"/>
      <c r="AH1693" s="97">
        <v>1</v>
      </c>
      <c r="AI1693" s="97">
        <v>1</v>
      </c>
      <c r="AJ1693" s="73"/>
      <c r="AK1693" s="57"/>
      <c r="AL1693" s="45"/>
      <c r="AM1693" s="45"/>
      <c r="AN1693" s="45"/>
    </row>
    <row r="1694" spans="1:40" hidden="1" outlineLevel="2" x14ac:dyDescent="0.2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82">U1694</f>
        <v>1.5045E-3</v>
      </c>
      <c r="W1694" s="255">
        <f t="shared" si="379"/>
        <v>1.5045E-3</v>
      </c>
      <c r="X1694" s="255">
        <f t="shared" si="380"/>
        <v>1.5045E-3</v>
      </c>
      <c r="Y1694" s="628">
        <f t="shared" ref="Y1694" si="383">Y1709</f>
        <v>0</v>
      </c>
      <c r="Z1694" s="255">
        <f>AA1694</f>
        <v>1.5045E-3</v>
      </c>
      <c r="AA1694" s="97">
        <f>$U1694</f>
        <v>1.5045E-3</v>
      </c>
      <c r="AB1694" s="255">
        <f t="shared" ref="AB1694" si="384">AA1694</f>
        <v>1.5045E-3</v>
      </c>
      <c r="AC1694" s="255">
        <f t="shared" ref="AC1694" si="385">AB1694</f>
        <v>1.5045E-3</v>
      </c>
      <c r="AD1694" s="255">
        <f t="shared" ref="AD1694" si="386">AC1694</f>
        <v>1.5045E-3</v>
      </c>
      <c r="AE1694" s="76"/>
      <c r="AF1694" s="76"/>
      <c r="AG1694" s="76"/>
      <c r="AH1694" s="76">
        <v>1</v>
      </c>
      <c r="AI1694" s="76">
        <v>1</v>
      </c>
      <c r="AJ1694" s="73"/>
      <c r="AK1694" s="57"/>
      <c r="AL1694" s="45"/>
      <c r="AM1694" s="45"/>
      <c r="AN1694" s="45"/>
    </row>
    <row r="1695" spans="1:40" hidden="1" outlineLevel="2" collapsed="1" x14ac:dyDescent="0.25">
      <c r="A1695" s="45"/>
      <c r="B1695" s="54"/>
      <c r="C1695" s="47">
        <f t="shared" ref="C1695:C1706" si="387">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255">
        <f t="shared" si="379"/>
        <v>-1.0594000000000001E-4</v>
      </c>
      <c r="X1695" s="255">
        <f t="shared" si="380"/>
        <v>-1.0594000000000001E-4</v>
      </c>
      <c r="Y1695" s="628">
        <f t="shared" ref="Y1695" si="388">Y1710</f>
        <v>0</v>
      </c>
      <c r="Z1695" s="255">
        <f>AA1695</f>
        <v>-1.0594000000000001E-4</v>
      </c>
      <c r="AA1695" s="97">
        <f t="shared" ref="AA1695:AA1707" si="389">$U1695</f>
        <v>-1.0594000000000001E-4</v>
      </c>
      <c r="AB1695" s="255">
        <f>AA1695</f>
        <v>-1.0594000000000001E-4</v>
      </c>
      <c r="AC1695" s="255">
        <f>AB1695</f>
        <v>-1.0594000000000001E-4</v>
      </c>
      <c r="AD1695" s="255">
        <f>AC1695</f>
        <v>-1.0594000000000001E-4</v>
      </c>
      <c r="AE1695" s="76"/>
      <c r="AF1695" s="97" t="s">
        <v>3794</v>
      </c>
      <c r="AG1695" s="76"/>
      <c r="AH1695" s="97">
        <v>1</v>
      </c>
      <c r="AI1695" s="97">
        <v>1</v>
      </c>
      <c r="AJ1695" s="73"/>
      <c r="AK1695" s="57"/>
      <c r="AL1695" s="45"/>
      <c r="AM1695" s="45"/>
      <c r="AN1695" s="45"/>
    </row>
    <row r="1696" spans="1:40" hidden="1" outlineLevel="3" x14ac:dyDescent="0.25">
      <c r="A1696" s="45"/>
      <c r="B1696" s="54"/>
      <c r="C1696" s="47">
        <f t="shared" si="387"/>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76">
        <v>0</v>
      </c>
      <c r="X1696" s="76">
        <v>0</v>
      </c>
      <c r="Y1696" s="628">
        <f t="shared" ref="Y1696" si="390">Y1711</f>
        <v>0</v>
      </c>
      <c r="Z1696" s="76">
        <v>0</v>
      </c>
      <c r="AA1696" s="76">
        <f t="shared" si="389"/>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25">
      <c r="A1697" s="45"/>
      <c r="B1697" s="54"/>
      <c r="C1697" s="47">
        <f t="shared" si="387"/>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76">
        <v>0</v>
      </c>
      <c r="X1697" s="76">
        <v>0</v>
      </c>
      <c r="Y1697" s="628">
        <f t="shared" ref="Y1697" si="391">Y1712</f>
        <v>0</v>
      </c>
      <c r="Z1697" s="76">
        <v>0</v>
      </c>
      <c r="AA1697" s="76">
        <f t="shared" si="389"/>
        <v>0</v>
      </c>
      <c r="AB1697" s="76">
        <v>0</v>
      </c>
      <c r="AC1697" s="76">
        <v>0</v>
      </c>
      <c r="AD1697" s="76">
        <v>0</v>
      </c>
      <c r="AE1697" s="76"/>
      <c r="AF1697" s="76"/>
      <c r="AG1697" s="76"/>
      <c r="AH1697" s="97">
        <v>1</v>
      </c>
      <c r="AI1697" s="97">
        <v>1</v>
      </c>
      <c r="AJ1697" s="73"/>
      <c r="AK1697" s="57"/>
      <c r="AL1697" s="45"/>
      <c r="AM1697" s="45"/>
      <c r="AN1697" s="45"/>
    </row>
    <row r="1698" spans="1:40" hidden="1" outlineLevel="3" x14ac:dyDescent="0.25">
      <c r="A1698" s="45"/>
      <c r="B1698" s="54"/>
      <c r="C1698" s="47">
        <f t="shared" si="387"/>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76">
        <v>0</v>
      </c>
      <c r="X1698" s="76">
        <v>0</v>
      </c>
      <c r="Y1698" s="628">
        <f t="shared" ref="Y1698" si="392">Y1713</f>
        <v>0</v>
      </c>
      <c r="Z1698" s="76">
        <v>0</v>
      </c>
      <c r="AA1698" s="76">
        <f t="shared" si="389"/>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25">
      <c r="A1699" s="45"/>
      <c r="B1699" s="54"/>
      <c r="C1699" s="47">
        <f t="shared" si="387"/>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8"/>
        <v>-3.6999999999999998E-2</v>
      </c>
      <c r="W1699" s="255">
        <f t="shared" ref="W1699:W1700" si="393">V1699</f>
        <v>-3.6999999999999998E-2</v>
      </c>
      <c r="X1699" s="255">
        <f t="shared" ref="X1699:X1700" si="394">W1699</f>
        <v>-3.6999999999999998E-2</v>
      </c>
      <c r="Y1699" s="628">
        <f t="shared" ref="Y1699" si="395">Y1714</f>
        <v>-3.7749999999999999E-2</v>
      </c>
      <c r="Z1699" s="255">
        <f>AA1699</f>
        <v>-3.6999999999999998E-2</v>
      </c>
      <c r="AA1699" s="97">
        <f t="shared" si="389"/>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25">
      <c r="A1700" s="45"/>
      <c r="B1700" s="54"/>
      <c r="C1700" s="47">
        <f t="shared" si="387"/>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8"/>
        <v>0</v>
      </c>
      <c r="W1700" s="255">
        <f t="shared" si="393"/>
        <v>0</v>
      </c>
      <c r="X1700" s="255">
        <f t="shared" si="394"/>
        <v>0</v>
      </c>
      <c r="Y1700" s="628">
        <f t="shared" ref="Y1700" si="396">Y1715</f>
        <v>0</v>
      </c>
      <c r="Z1700" s="76">
        <v>0</v>
      </c>
      <c r="AA1700" s="76">
        <f t="shared" si="389"/>
        <v>0</v>
      </c>
      <c r="AB1700" s="76">
        <v>0</v>
      </c>
      <c r="AC1700" s="76">
        <v>0</v>
      </c>
      <c r="AD1700" s="76">
        <v>0</v>
      </c>
      <c r="AE1700" s="76"/>
      <c r="AF1700" s="76"/>
      <c r="AG1700" s="76"/>
      <c r="AH1700" s="76">
        <v>1</v>
      </c>
      <c r="AI1700" s="76">
        <v>1</v>
      </c>
      <c r="AJ1700" s="73"/>
      <c r="AK1700" s="57"/>
      <c r="AL1700" s="45"/>
      <c r="AM1700" s="45"/>
      <c r="AN1700" s="45"/>
    </row>
    <row r="1701" spans="1:40" hidden="1" outlineLevel="2" x14ac:dyDescent="0.25">
      <c r="A1701" s="45"/>
      <c r="B1701" s="54"/>
      <c r="C1701" s="47">
        <f t="shared" si="387"/>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76">
        <v>0</v>
      </c>
      <c r="X1701" s="76">
        <v>0</v>
      </c>
      <c r="Y1701" s="628">
        <f t="shared" ref="Y1701" si="397">Y1716</f>
        <v>0.05</v>
      </c>
      <c r="Z1701" s="76">
        <v>0</v>
      </c>
      <c r="AA1701" s="76">
        <f t="shared" si="389"/>
        <v>0</v>
      </c>
      <c r="AB1701" s="76">
        <v>0</v>
      </c>
      <c r="AC1701" s="76">
        <v>0</v>
      </c>
      <c r="AD1701" s="76">
        <v>0</v>
      </c>
      <c r="AE1701" s="76"/>
      <c r="AF1701" s="76"/>
      <c r="AG1701" s="76"/>
      <c r="AH1701" s="76">
        <v>1</v>
      </c>
      <c r="AI1701" s="76">
        <v>1</v>
      </c>
      <c r="AJ1701" s="73"/>
      <c r="AK1701" s="57"/>
      <c r="AL1701" s="45"/>
      <c r="AM1701" s="45"/>
      <c r="AN1701" s="45"/>
    </row>
    <row r="1702" spans="1:40" hidden="1" outlineLevel="2" x14ac:dyDescent="0.25">
      <c r="A1702" s="45"/>
      <c r="B1702" s="54"/>
      <c r="C1702" s="47">
        <f t="shared" si="387"/>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8"/>
        <v>-9.3500000000000007E-3</v>
      </c>
      <c r="W1702" s="255">
        <f t="shared" ref="W1702:W1705" si="398">V1702</f>
        <v>-9.3500000000000007E-3</v>
      </c>
      <c r="X1702" s="255">
        <f t="shared" ref="X1702:X1705" si="399">W1702</f>
        <v>-9.3500000000000007E-3</v>
      </c>
      <c r="Y1702" s="628">
        <f t="shared" ref="Y1702" si="400">Y1717</f>
        <v>-9.3500000000000007E-3</v>
      </c>
      <c r="Z1702" s="255">
        <f>AA1702</f>
        <v>-9.3500000000000007E-3</v>
      </c>
      <c r="AA1702" s="97">
        <f t="shared" si="389"/>
        <v>-9.3500000000000007E-3</v>
      </c>
      <c r="AB1702" s="255">
        <f t="shared" ref="AB1702:AB1707" si="401">AA1702</f>
        <v>-9.3500000000000007E-3</v>
      </c>
      <c r="AC1702" s="255">
        <f t="shared" ref="AC1702:AC1707" si="402">AB1702</f>
        <v>-9.3500000000000007E-3</v>
      </c>
      <c r="AD1702" s="255">
        <f t="shared" ref="AD1702:AD1707" si="403">AC1702</f>
        <v>-9.3500000000000007E-3</v>
      </c>
      <c r="AE1702" s="76"/>
      <c r="AF1702" s="76"/>
      <c r="AG1702" s="76"/>
      <c r="AH1702" s="76">
        <v>1</v>
      </c>
      <c r="AI1702" s="76">
        <v>1</v>
      </c>
      <c r="AJ1702" s="73"/>
      <c r="AK1702" s="57"/>
      <c r="AL1702" s="45"/>
      <c r="AM1702" s="45"/>
      <c r="AN1702" s="45"/>
    </row>
    <row r="1703" spans="1:40" hidden="1" outlineLevel="2" x14ac:dyDescent="0.25">
      <c r="A1703" s="45"/>
      <c r="B1703" s="54"/>
      <c r="C1703" s="47">
        <f t="shared" si="387"/>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8"/>
        <v>-7.0369200000000003E-3</v>
      </c>
      <c r="W1703" s="255">
        <f t="shared" si="398"/>
        <v>-7.0369200000000003E-3</v>
      </c>
      <c r="X1703" s="255">
        <f t="shared" si="399"/>
        <v>-7.0369200000000003E-3</v>
      </c>
      <c r="Y1703" s="628">
        <f t="shared" ref="Y1703" si="404">Y1718</f>
        <v>-7.0369200000000003E-3</v>
      </c>
      <c r="Z1703" s="255">
        <f>AA1703</f>
        <v>-7.0369200000000003E-3</v>
      </c>
      <c r="AA1703" s="97">
        <f t="shared" si="389"/>
        <v>-7.0369200000000003E-3</v>
      </c>
      <c r="AB1703" s="255">
        <f t="shared" si="401"/>
        <v>-7.0369200000000003E-3</v>
      </c>
      <c r="AC1703" s="255">
        <f t="shared" si="402"/>
        <v>-7.0369200000000003E-3</v>
      </c>
      <c r="AD1703" s="255">
        <f t="shared" si="403"/>
        <v>-7.0369200000000003E-3</v>
      </c>
      <c r="AE1703" s="76"/>
      <c r="AF1703" s="76"/>
      <c r="AG1703" s="76"/>
      <c r="AH1703" s="76">
        <v>1</v>
      </c>
      <c r="AI1703" s="76">
        <v>1</v>
      </c>
      <c r="AJ1703" s="73"/>
      <c r="AK1703" s="57"/>
      <c r="AL1703" s="45"/>
      <c r="AM1703" s="45"/>
      <c r="AN1703" s="45"/>
    </row>
    <row r="1704" spans="1:40" hidden="1" outlineLevel="2" x14ac:dyDescent="0.25">
      <c r="A1704" s="45"/>
      <c r="B1704" s="54"/>
      <c r="C1704" s="47">
        <f t="shared" si="387"/>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8"/>
        <v>7.4569999999999999E-5</v>
      </c>
      <c r="W1704" s="255">
        <f t="shared" si="398"/>
        <v>7.4569999999999999E-5</v>
      </c>
      <c r="X1704" s="255">
        <f t="shared" si="399"/>
        <v>7.4569999999999999E-5</v>
      </c>
      <c r="Y1704" s="628">
        <f t="shared" ref="Y1704" si="405">Y1719</f>
        <v>7.4569999999999999E-5</v>
      </c>
      <c r="Z1704" s="255">
        <f>AA1704</f>
        <v>7.4569999999999999E-5</v>
      </c>
      <c r="AA1704" s="97">
        <f t="shared" si="389"/>
        <v>7.4569999999999999E-5</v>
      </c>
      <c r="AB1704" s="255">
        <f t="shared" si="401"/>
        <v>7.4569999999999999E-5</v>
      </c>
      <c r="AC1704" s="255">
        <f t="shared" si="402"/>
        <v>7.4569999999999999E-5</v>
      </c>
      <c r="AD1704" s="255">
        <f t="shared" si="403"/>
        <v>7.4569999999999999E-5</v>
      </c>
      <c r="AE1704" s="76"/>
      <c r="AF1704" s="76"/>
      <c r="AG1704" s="76"/>
      <c r="AH1704" s="76">
        <v>1</v>
      </c>
      <c r="AI1704" s="76">
        <v>1</v>
      </c>
      <c r="AJ1704" s="73"/>
      <c r="AK1704" s="57"/>
      <c r="AL1704" s="45"/>
      <c r="AM1704" s="45"/>
      <c r="AN1704" s="45"/>
    </row>
    <row r="1705" spans="1:40" hidden="1" outlineLevel="2" collapsed="1" x14ac:dyDescent="0.25">
      <c r="A1705" s="45"/>
      <c r="B1705" s="54"/>
      <c r="C1705" s="47">
        <f t="shared" si="387"/>
        <v>4</v>
      </c>
      <c r="D1705" s="73"/>
      <c r="E1705" s="70"/>
      <c r="F1705" s="70" t="s">
        <v>3327</v>
      </c>
      <c r="G1705" s="73"/>
      <c r="H1705" s="374" t="s">
        <v>3324</v>
      </c>
      <c r="I1705" s="96"/>
      <c r="J1705" s="76"/>
      <c r="K1705" s="76"/>
      <c r="L1705" s="76"/>
      <c r="M1705" s="76"/>
      <c r="N1705" s="76"/>
      <c r="O1705" s="76"/>
      <c r="P1705" s="76"/>
      <c r="Q1705" s="76"/>
      <c r="R1705" s="76"/>
      <c r="S1705" s="76"/>
      <c r="T1705" s="76"/>
      <c r="U1705" s="97">
        <v>-0.63980999999999999</v>
      </c>
      <c r="V1705" s="255">
        <f t="shared" si="378"/>
        <v>-0.63980999999999999</v>
      </c>
      <c r="W1705" s="255">
        <f t="shared" si="398"/>
        <v>-0.63980999999999999</v>
      </c>
      <c r="X1705" s="255">
        <f t="shared" si="399"/>
        <v>-0.63980999999999999</v>
      </c>
      <c r="Y1705" s="628">
        <f t="shared" ref="Y1705:Y1706" si="406">Y1720</f>
        <v>0</v>
      </c>
      <c r="Z1705" s="255">
        <f>AA1705</f>
        <v>-0.63980999999999999</v>
      </c>
      <c r="AA1705" s="97">
        <f t="shared" si="389"/>
        <v>-0.63980999999999999</v>
      </c>
      <c r="AB1705" s="255">
        <f t="shared" ref="AB1705" si="407">AA1705</f>
        <v>-0.63980999999999999</v>
      </c>
      <c r="AC1705" s="255">
        <f t="shared" ref="AC1705" si="408">AB1705</f>
        <v>-0.63980999999999999</v>
      </c>
      <c r="AD1705" s="255">
        <f t="shared" ref="AD1705" si="409">AC1705</f>
        <v>-0.63980999999999999</v>
      </c>
      <c r="AE1705" s="76"/>
      <c r="AF1705" s="76"/>
      <c r="AG1705" s="76"/>
      <c r="AH1705" s="97">
        <v>1</v>
      </c>
      <c r="AI1705" s="97">
        <v>1</v>
      </c>
      <c r="AJ1705" s="73"/>
      <c r="AK1705" s="57"/>
      <c r="AL1705" s="45"/>
      <c r="AM1705" s="45"/>
      <c r="AN1705" s="45"/>
    </row>
    <row r="1706" spans="1:40" hidden="1" outlineLevel="3" x14ac:dyDescent="0.25">
      <c r="A1706" s="45"/>
      <c r="B1706" s="54"/>
      <c r="C1706" s="47">
        <f t="shared" si="387"/>
        <v>4</v>
      </c>
      <c r="D1706" s="73"/>
      <c r="E1706" s="70"/>
      <c r="F1706" s="70" t="s">
        <v>3328</v>
      </c>
      <c r="G1706" s="73"/>
      <c r="H1706" s="374" t="s">
        <v>3323</v>
      </c>
      <c r="I1706" s="96"/>
      <c r="J1706" s="76"/>
      <c r="K1706" s="76"/>
      <c r="L1706" s="76"/>
      <c r="M1706" s="76"/>
      <c r="N1706" s="76"/>
      <c r="O1706" s="76"/>
      <c r="P1706" s="76"/>
      <c r="Q1706" s="76"/>
      <c r="R1706" s="76"/>
      <c r="S1706" s="76"/>
      <c r="T1706" s="76"/>
      <c r="U1706" s="76">
        <v>0</v>
      </c>
      <c r="V1706" s="76">
        <v>0</v>
      </c>
      <c r="W1706" s="76">
        <v>0</v>
      </c>
      <c r="X1706" s="76">
        <v>0</v>
      </c>
      <c r="Y1706" s="628">
        <f t="shared" si="406"/>
        <v>0</v>
      </c>
      <c r="Z1706" s="76">
        <v>0</v>
      </c>
      <c r="AA1706" s="76">
        <f t="shared" si="389"/>
        <v>0</v>
      </c>
      <c r="AB1706" s="76">
        <v>0</v>
      </c>
      <c r="AC1706" s="76">
        <v>0</v>
      </c>
      <c r="AD1706" s="76">
        <v>0</v>
      </c>
      <c r="AE1706" s="76"/>
      <c r="AF1706" s="76"/>
      <c r="AG1706" s="76"/>
      <c r="AH1706" s="76">
        <v>1</v>
      </c>
      <c r="AI1706" s="76">
        <v>1</v>
      </c>
      <c r="AJ1706" s="73"/>
      <c r="AK1706" s="57"/>
      <c r="AL1706" s="45"/>
      <c r="AM1706" s="45"/>
      <c r="AN1706" s="45"/>
    </row>
    <row r="1707" spans="1:40" hidden="1" outlineLevel="2" x14ac:dyDescent="0.2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8"/>
        <v>7.5825149999999999</v>
      </c>
      <c r="W1707" s="255">
        <f t="shared" ref="W1707" si="410">V1707</f>
        <v>7.5825149999999999</v>
      </c>
      <c r="X1707" s="255">
        <f t="shared" ref="X1707" si="411">W1707</f>
        <v>7.5825149999999999</v>
      </c>
      <c r="Y1707" s="628">
        <f t="shared" ref="Y1707" si="412">Y1722</f>
        <v>-1.8110552</v>
      </c>
      <c r="Z1707" s="255">
        <f>AA1707</f>
        <v>7.5825149999999999</v>
      </c>
      <c r="AA1707" s="97">
        <f t="shared" si="389"/>
        <v>7.5825149999999999</v>
      </c>
      <c r="AB1707" s="255">
        <f t="shared" si="401"/>
        <v>7.5825149999999999</v>
      </c>
      <c r="AC1707" s="255">
        <f t="shared" si="402"/>
        <v>7.5825149999999999</v>
      </c>
      <c r="AD1707" s="255">
        <f t="shared" si="403"/>
        <v>7.5825149999999999</v>
      </c>
      <c r="AE1707" s="76"/>
      <c r="AF1707" s="97" t="s">
        <v>2729</v>
      </c>
      <c r="AG1707" s="76"/>
      <c r="AH1707" s="97">
        <v>1</v>
      </c>
      <c r="AI1707" s="97">
        <v>1</v>
      </c>
      <c r="AJ1707" s="73"/>
      <c r="AK1707" s="57"/>
      <c r="AL1707" s="45"/>
      <c r="AM1707" s="45"/>
      <c r="AN1707" s="45"/>
    </row>
    <row r="1708" spans="1:40" hidden="1" outlineLevel="2" x14ac:dyDescent="0.25">
      <c r="A1708" s="45"/>
      <c r="B1708" s="54"/>
      <c r="C1708" s="47">
        <f>INT($C$29)+2</f>
        <v>3</v>
      </c>
      <c r="D1708" s="73"/>
      <c r="E1708" s="70"/>
      <c r="F1708" s="70" t="s">
        <v>3300</v>
      </c>
      <c r="G1708" s="73"/>
      <c r="H1708" s="76" t="s">
        <v>3793</v>
      </c>
      <c r="I1708" s="76"/>
      <c r="J1708" s="76"/>
      <c r="K1708" s="76"/>
      <c r="L1708" s="76"/>
      <c r="M1708" s="76"/>
      <c r="N1708" s="76"/>
      <c r="O1708" s="76"/>
      <c r="P1708" s="76"/>
      <c r="Q1708" s="76"/>
      <c r="R1708" s="76"/>
      <c r="S1708" s="76"/>
      <c r="T1708" s="76"/>
      <c r="U1708" s="97">
        <v>-9.8000000000000004E-2</v>
      </c>
      <c r="V1708" s="255">
        <f>U1708</f>
        <v>-9.8000000000000004E-2</v>
      </c>
      <c r="W1708" s="255">
        <f t="shared" si="376"/>
        <v>-9.8000000000000004E-2</v>
      </c>
      <c r="X1708" s="255">
        <f t="shared" si="376"/>
        <v>-9.8000000000000004E-2</v>
      </c>
      <c r="Y1708" s="255">
        <f>V1708</f>
        <v>-9.8000000000000004E-2</v>
      </c>
      <c r="Z1708" s="255">
        <f>AA1708</f>
        <v>-3.9480000000000001E-2</v>
      </c>
      <c r="AA1708" s="97">
        <v>-3.9480000000000001E-2</v>
      </c>
      <c r="AB1708" s="255">
        <f t="shared" si="377"/>
        <v>-3.9480000000000001E-2</v>
      </c>
      <c r="AC1708" s="255">
        <f t="shared" si="377"/>
        <v>-3.9480000000000001E-2</v>
      </c>
      <c r="AD1708" s="255">
        <f t="shared" si="377"/>
        <v>-3.9480000000000001E-2</v>
      </c>
      <c r="AE1708" s="76"/>
      <c r="AF1708" s="97" t="s">
        <v>3777</v>
      </c>
      <c r="AG1708" s="76"/>
      <c r="AH1708" s="97">
        <v>1</v>
      </c>
      <c r="AI1708" s="97">
        <v>1</v>
      </c>
      <c r="AJ1708" s="73"/>
      <c r="AK1708" s="57"/>
      <c r="AL1708" s="45"/>
      <c r="AM1708" s="45"/>
      <c r="AN1708" s="45"/>
    </row>
    <row r="1709" spans="1:40" hidden="1" outlineLevel="2" collapsed="1" x14ac:dyDescent="0.25">
      <c r="A1709" s="45"/>
      <c r="B1709" s="54"/>
      <c r="C1709" s="47">
        <f>INT($C$29)+2</f>
        <v>3</v>
      </c>
      <c r="D1709" s="73"/>
      <c r="E1709" s="70"/>
      <c r="F1709" s="70" t="s">
        <v>3302</v>
      </c>
      <c r="G1709" s="73"/>
      <c r="H1709" s="76" t="s">
        <v>2475</v>
      </c>
      <c r="I1709" s="76"/>
      <c r="J1709" s="76"/>
      <c r="K1709" s="76"/>
      <c r="L1709" s="76"/>
      <c r="M1709" s="76"/>
      <c r="N1709" s="76"/>
      <c r="O1709" s="76"/>
      <c r="P1709" s="76"/>
      <c r="Q1709" s="76"/>
      <c r="R1709" s="76"/>
      <c r="S1709" s="76"/>
      <c r="T1709" s="76"/>
      <c r="U1709" s="97">
        <v>0</v>
      </c>
      <c r="V1709" s="255">
        <f>U1709</f>
        <v>0</v>
      </c>
      <c r="W1709" s="255">
        <f t="shared" si="376"/>
        <v>0</v>
      </c>
      <c r="X1709" s="255">
        <f t="shared" si="376"/>
        <v>0</v>
      </c>
      <c r="Y1709" s="255">
        <f>V1709</f>
        <v>0</v>
      </c>
      <c r="Z1709" s="255">
        <f>AA1709</f>
        <v>0</v>
      </c>
      <c r="AA1709" s="97">
        <v>0</v>
      </c>
      <c r="AB1709" s="255">
        <f t="shared" si="377"/>
        <v>0</v>
      </c>
      <c r="AC1709" s="255">
        <f t="shared" si="377"/>
        <v>0</v>
      </c>
      <c r="AD1709" s="255">
        <f t="shared" si="377"/>
        <v>0</v>
      </c>
      <c r="AE1709" s="76"/>
      <c r="AF1709" s="97" t="s">
        <v>3788</v>
      </c>
      <c r="AG1709" s="76"/>
      <c r="AH1709" s="97">
        <v>1</v>
      </c>
      <c r="AI1709" s="97">
        <v>1</v>
      </c>
      <c r="AJ1709" s="73"/>
      <c r="AK1709" s="57"/>
      <c r="AL1709" s="45"/>
      <c r="AM1709" s="45"/>
      <c r="AN1709" s="45"/>
    </row>
    <row r="1710" spans="1:40" hidden="1" outlineLevel="3" collapsed="1" x14ac:dyDescent="0.25">
      <c r="A1710" s="45"/>
      <c r="B1710" s="54"/>
      <c r="C1710" s="47">
        <f t="shared" ref="C1710:C1721" si="413">INT($C$29)+3</f>
        <v>4</v>
      </c>
      <c r="D1710" s="73"/>
      <c r="E1710" s="70"/>
      <c r="F1710" s="70" t="s">
        <v>3301</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25">
      <c r="A1711" s="45"/>
      <c r="B1711" s="54"/>
      <c r="C1711" s="47">
        <f t="shared" si="413"/>
        <v>4</v>
      </c>
      <c r="D1711" s="73"/>
      <c r="E1711" s="70"/>
      <c r="F1711" s="70" t="s">
        <v>3303</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25">
      <c r="A1712" s="45"/>
      <c r="B1712" s="54"/>
      <c r="C1712" s="47">
        <f t="shared" si="413"/>
        <v>4</v>
      </c>
      <c r="D1712" s="73"/>
      <c r="E1712" s="70"/>
      <c r="F1712" s="70" t="s">
        <v>3304</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25">
      <c r="A1713" s="45"/>
      <c r="B1713" s="54"/>
      <c r="C1713" s="47">
        <f t="shared" si="413"/>
        <v>4</v>
      </c>
      <c r="D1713" s="73"/>
      <c r="E1713" s="70"/>
      <c r="F1713" s="70" t="s">
        <v>3305</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25">
      <c r="A1714" s="45"/>
      <c r="B1714" s="54"/>
      <c r="C1714" s="47">
        <f t="shared" si="413"/>
        <v>4</v>
      </c>
      <c r="D1714" s="73"/>
      <c r="E1714" s="70"/>
      <c r="F1714" s="70" t="s">
        <v>3306</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25">
      <c r="A1715" s="45"/>
      <c r="B1715" s="54"/>
      <c r="C1715" s="47">
        <f t="shared" si="413"/>
        <v>4</v>
      </c>
      <c r="D1715" s="73"/>
      <c r="E1715" s="70"/>
      <c r="F1715" s="70" t="s">
        <v>3307</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25">
      <c r="A1716" s="45"/>
      <c r="B1716" s="54"/>
      <c r="C1716" s="47">
        <f t="shared" si="413"/>
        <v>4</v>
      </c>
      <c r="D1716" s="73"/>
      <c r="E1716" s="70"/>
      <c r="F1716" s="70" t="s">
        <v>3308</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14">U1716</f>
        <v>0.05</v>
      </c>
      <c r="X1716" s="255">
        <f t="shared" si="414"/>
        <v>0.05</v>
      </c>
      <c r="Y1716" s="255">
        <f>V1716</f>
        <v>0.05</v>
      </c>
      <c r="Z1716" s="255">
        <f>AA1716</f>
        <v>0</v>
      </c>
      <c r="AA1716" s="97">
        <v>0</v>
      </c>
      <c r="AB1716" s="255">
        <f t="shared" ref="AB1716:AD1725" si="415">AA1716</f>
        <v>0</v>
      </c>
      <c r="AC1716" s="255">
        <f t="shared" si="415"/>
        <v>0</v>
      </c>
      <c r="AD1716" s="255">
        <f t="shared" si="415"/>
        <v>0</v>
      </c>
      <c r="AE1716" s="76"/>
      <c r="AF1716" s="76"/>
      <c r="AG1716" s="76"/>
      <c r="AH1716" s="76">
        <v>1</v>
      </c>
      <c r="AI1716" s="76">
        <v>1</v>
      </c>
      <c r="AJ1716" s="73"/>
      <c r="AK1716" s="57"/>
      <c r="AL1716" s="45"/>
      <c r="AM1716" s="45"/>
      <c r="AN1716" s="45"/>
    </row>
    <row r="1717" spans="1:40" hidden="1" outlineLevel="2" x14ac:dyDescent="0.25">
      <c r="A1717" s="45"/>
      <c r="B1717" s="54"/>
      <c r="C1717" s="47">
        <f t="shared" si="413"/>
        <v>4</v>
      </c>
      <c r="D1717" s="73"/>
      <c r="E1717" s="70"/>
      <c r="F1717" s="70" t="s">
        <v>3309</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14"/>
        <v>-9.3500000000000007E-3</v>
      </c>
      <c r="X1717" s="255">
        <f t="shared" si="414"/>
        <v>-9.3500000000000007E-3</v>
      </c>
      <c r="Y1717" s="255">
        <f>V1717</f>
        <v>-9.3500000000000007E-3</v>
      </c>
      <c r="Z1717" s="255">
        <f>AA1717</f>
        <v>-9.3500000000000007E-3</v>
      </c>
      <c r="AA1717" s="97">
        <v>-9.3500000000000007E-3</v>
      </c>
      <c r="AB1717" s="255">
        <f t="shared" si="415"/>
        <v>-9.3500000000000007E-3</v>
      </c>
      <c r="AC1717" s="255">
        <f t="shared" si="415"/>
        <v>-9.3500000000000007E-3</v>
      </c>
      <c r="AD1717" s="255">
        <f t="shared" si="415"/>
        <v>-9.3500000000000007E-3</v>
      </c>
      <c r="AE1717" s="76"/>
      <c r="AF1717" s="76"/>
      <c r="AG1717" s="76"/>
      <c r="AH1717" s="76">
        <v>1</v>
      </c>
      <c r="AI1717" s="76">
        <v>1</v>
      </c>
      <c r="AJ1717" s="73"/>
      <c r="AK1717" s="57"/>
      <c r="AL1717" s="45"/>
      <c r="AM1717" s="45"/>
      <c r="AN1717" s="45"/>
    </row>
    <row r="1718" spans="1:40" hidden="1" outlineLevel="2" x14ac:dyDescent="0.25">
      <c r="A1718" s="45"/>
      <c r="B1718" s="54"/>
      <c r="C1718" s="47">
        <f t="shared" si="413"/>
        <v>4</v>
      </c>
      <c r="D1718" s="73"/>
      <c r="E1718" s="70"/>
      <c r="F1718" s="70" t="s">
        <v>3310</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14"/>
        <v>-7.0369200000000003E-3</v>
      </c>
      <c r="X1718" s="255">
        <f t="shared" si="414"/>
        <v>-7.0369200000000003E-3</v>
      </c>
      <c r="Y1718" s="255">
        <f>V1718</f>
        <v>-7.0369200000000003E-3</v>
      </c>
      <c r="Z1718" s="255">
        <f>AA1718</f>
        <v>-7.0369200000000003E-3</v>
      </c>
      <c r="AA1718" s="97">
        <v>-7.0369200000000003E-3</v>
      </c>
      <c r="AB1718" s="255">
        <f t="shared" si="415"/>
        <v>-7.0369200000000003E-3</v>
      </c>
      <c r="AC1718" s="255">
        <f t="shared" si="415"/>
        <v>-7.0369200000000003E-3</v>
      </c>
      <c r="AD1718" s="255">
        <f t="shared" si="415"/>
        <v>-7.0369200000000003E-3</v>
      </c>
      <c r="AE1718" s="76"/>
      <c r="AF1718" s="76"/>
      <c r="AG1718" s="76"/>
      <c r="AH1718" s="76">
        <v>1</v>
      </c>
      <c r="AI1718" s="76">
        <v>1</v>
      </c>
      <c r="AJ1718" s="73"/>
      <c r="AK1718" s="57"/>
      <c r="AL1718" s="45"/>
      <c r="AM1718" s="45"/>
      <c r="AN1718" s="45"/>
    </row>
    <row r="1719" spans="1:40" hidden="1" outlineLevel="2" collapsed="1" x14ac:dyDescent="0.25">
      <c r="A1719" s="45"/>
      <c r="B1719" s="54"/>
      <c r="C1719" s="47">
        <f t="shared" si="413"/>
        <v>4</v>
      </c>
      <c r="D1719" s="73"/>
      <c r="E1719" s="70"/>
      <c r="F1719" s="70" t="s">
        <v>3311</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14"/>
        <v>7.4569999999999999E-5</v>
      </c>
      <c r="X1719" s="255">
        <f t="shared" si="414"/>
        <v>7.4569999999999999E-5</v>
      </c>
      <c r="Y1719" s="255">
        <f>V1719</f>
        <v>7.4569999999999999E-5</v>
      </c>
      <c r="Z1719" s="255">
        <f>AA1719</f>
        <v>7.4569999999999999E-5</v>
      </c>
      <c r="AA1719" s="97">
        <v>7.4569999999999999E-5</v>
      </c>
      <c r="AB1719" s="255">
        <f t="shared" si="415"/>
        <v>7.4569999999999999E-5</v>
      </c>
      <c r="AC1719" s="255">
        <f t="shared" si="415"/>
        <v>7.4569999999999999E-5</v>
      </c>
      <c r="AD1719" s="255">
        <f t="shared" si="415"/>
        <v>7.4569999999999999E-5</v>
      </c>
      <c r="AE1719" s="76"/>
      <c r="AF1719" s="76"/>
      <c r="AG1719" s="76"/>
      <c r="AH1719" s="76">
        <v>1</v>
      </c>
      <c r="AI1719" s="76">
        <v>1</v>
      </c>
      <c r="AJ1719" s="73"/>
      <c r="AK1719" s="57"/>
      <c r="AL1719" s="45"/>
      <c r="AM1719" s="45"/>
      <c r="AN1719" s="45"/>
    </row>
    <row r="1720" spans="1:40" hidden="1" outlineLevel="3" x14ac:dyDescent="0.25">
      <c r="A1720" s="45"/>
      <c r="B1720" s="54"/>
      <c r="C1720" s="47">
        <f t="shared" si="413"/>
        <v>4</v>
      </c>
      <c r="D1720" s="73"/>
      <c r="E1720" s="70"/>
      <c r="F1720" s="70" t="s">
        <v>3321</v>
      </c>
      <c r="G1720" s="73"/>
      <c r="H1720" s="374" t="s">
        <v>3324</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25">
      <c r="A1721" s="45"/>
      <c r="B1721" s="54"/>
      <c r="C1721" s="47">
        <f t="shared" si="413"/>
        <v>4</v>
      </c>
      <c r="D1721" s="73"/>
      <c r="E1721" s="70"/>
      <c r="F1721" s="70" t="s">
        <v>3322</v>
      </c>
      <c r="G1721" s="73"/>
      <c r="H1721" s="374" t="s">
        <v>3323</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25">
      <c r="A1722" s="45"/>
      <c r="B1722" s="54"/>
      <c r="C1722" s="47">
        <f>INT($C$29)+2</f>
        <v>3</v>
      </c>
      <c r="D1722" s="73"/>
      <c r="E1722" s="70"/>
      <c r="F1722" s="70" t="s">
        <v>3312</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14"/>
        <v>-1.8110552</v>
      </c>
      <c r="X1722" s="255">
        <f t="shared" si="414"/>
        <v>-1.8110552</v>
      </c>
      <c r="Y1722" s="255">
        <f>V1722</f>
        <v>-1.8110552</v>
      </c>
      <c r="Z1722" s="255">
        <f>AA1722</f>
        <v>-0.49941732500000002</v>
      </c>
      <c r="AA1722" s="97">
        <v>-0.49941732500000002</v>
      </c>
      <c r="AB1722" s="255">
        <f t="shared" si="415"/>
        <v>-0.49941732500000002</v>
      </c>
      <c r="AC1722" s="255">
        <f t="shared" si="415"/>
        <v>-0.49941732500000002</v>
      </c>
      <c r="AD1722" s="255">
        <f t="shared" si="415"/>
        <v>-0.49941732500000002</v>
      </c>
      <c r="AE1722" s="76"/>
      <c r="AF1722" s="76"/>
      <c r="AG1722" s="76"/>
      <c r="AH1722" s="97">
        <v>1</v>
      </c>
      <c r="AI1722" s="97">
        <v>1</v>
      </c>
      <c r="AJ1722" s="73"/>
      <c r="AK1722" s="57"/>
      <c r="AL1722" s="45"/>
      <c r="AM1722" s="45"/>
      <c r="AN1722" s="45"/>
    </row>
    <row r="1723" spans="1:40" hidden="1" outlineLevel="2" x14ac:dyDescent="0.25">
      <c r="A1723" s="45"/>
      <c r="B1723" s="54"/>
      <c r="C1723" s="47">
        <f>INT($C$29)+2</f>
        <v>3</v>
      </c>
      <c r="D1723" s="73"/>
      <c r="E1723" s="70"/>
      <c r="F1723" s="70" t="s">
        <v>3343</v>
      </c>
      <c r="G1723" s="73"/>
      <c r="H1723" s="76" t="s">
        <v>3352</v>
      </c>
      <c r="I1723" s="76"/>
      <c r="J1723" s="76"/>
      <c r="K1723" s="76"/>
      <c r="L1723" s="76"/>
      <c r="M1723" s="76"/>
      <c r="N1723" s="76"/>
      <c r="O1723" s="76"/>
      <c r="P1723" s="76"/>
      <c r="Q1723" s="76"/>
      <c r="R1723" s="76"/>
      <c r="S1723" s="76"/>
      <c r="T1723" s="76"/>
      <c r="U1723" s="97">
        <v>-1.0469999999999999</v>
      </c>
      <c r="V1723" s="255">
        <f>U1723</f>
        <v>-1.0469999999999999</v>
      </c>
      <c r="W1723" s="255">
        <f t="shared" si="414"/>
        <v>-1.0469999999999999</v>
      </c>
      <c r="X1723" s="255">
        <f t="shared" si="414"/>
        <v>-1.0469999999999999</v>
      </c>
      <c r="Y1723" s="255">
        <f>V1723</f>
        <v>-1.0469999999999999</v>
      </c>
      <c r="Z1723" s="255">
        <f>AA1723</f>
        <v>-1.0469999999999999</v>
      </c>
      <c r="AA1723" s="97">
        <f>U1723</f>
        <v>-1.0469999999999999</v>
      </c>
      <c r="AB1723" s="255">
        <f t="shared" si="415"/>
        <v>-1.0469999999999999</v>
      </c>
      <c r="AC1723" s="255">
        <f t="shared" si="415"/>
        <v>-1.0469999999999999</v>
      </c>
      <c r="AD1723" s="255">
        <f t="shared" si="415"/>
        <v>-1.0469999999999999</v>
      </c>
      <c r="AE1723" s="76"/>
      <c r="AF1723" s="97" t="s">
        <v>3596</v>
      </c>
      <c r="AG1723" s="76"/>
      <c r="AH1723" s="76">
        <v>1</v>
      </c>
      <c r="AI1723" s="76">
        <v>1</v>
      </c>
      <c r="AJ1723" s="73"/>
      <c r="AK1723" s="57"/>
      <c r="AL1723" s="45"/>
      <c r="AM1723" s="45"/>
      <c r="AN1723" s="45"/>
    </row>
    <row r="1724" spans="1:40" hidden="1" outlineLevel="2" x14ac:dyDescent="0.25">
      <c r="A1724" s="45"/>
      <c r="B1724" s="54"/>
      <c r="C1724" s="47">
        <f>INT($C$29)+2</f>
        <v>3</v>
      </c>
      <c r="D1724" s="73"/>
      <c r="E1724" s="70"/>
      <c r="F1724" s="70" t="s">
        <v>3344</v>
      </c>
      <c r="G1724" s="73"/>
      <c r="H1724" s="76" t="s">
        <v>3353</v>
      </c>
      <c r="I1724" s="76"/>
      <c r="J1724" s="76"/>
      <c r="K1724" s="76"/>
      <c r="L1724" s="76"/>
      <c r="M1724" s="76"/>
      <c r="N1724" s="76"/>
      <c r="O1724" s="76"/>
      <c r="P1724" s="76"/>
      <c r="Q1724" s="76"/>
      <c r="R1724" s="76"/>
      <c r="S1724" s="76"/>
      <c r="T1724" s="76"/>
      <c r="U1724" s="97">
        <v>7.5389999999999997E-3</v>
      </c>
      <c r="V1724" s="255">
        <f>U1724</f>
        <v>7.5389999999999997E-3</v>
      </c>
      <c r="W1724" s="255">
        <f t="shared" si="414"/>
        <v>7.5389999999999997E-3</v>
      </c>
      <c r="X1724" s="255">
        <f t="shared" si="414"/>
        <v>7.5389999999999997E-3</v>
      </c>
      <c r="Y1724" s="255">
        <f>V1724</f>
        <v>7.5389999999999997E-3</v>
      </c>
      <c r="Z1724" s="255">
        <f>AA1724</f>
        <v>7.5389999999999997E-3</v>
      </c>
      <c r="AA1724" s="97">
        <f t="shared" ref="AA1724:AA1726" si="416">U1724</f>
        <v>7.5389999999999997E-3</v>
      </c>
      <c r="AB1724" s="255">
        <f t="shared" si="415"/>
        <v>7.5389999999999997E-3</v>
      </c>
      <c r="AC1724" s="255">
        <f t="shared" si="415"/>
        <v>7.5389999999999997E-3</v>
      </c>
      <c r="AD1724" s="255">
        <f t="shared" si="415"/>
        <v>7.5389999999999997E-3</v>
      </c>
      <c r="AE1724" s="76"/>
      <c r="AF1724" s="97" t="s">
        <v>3354</v>
      </c>
      <c r="AG1724" s="76"/>
      <c r="AH1724" s="76">
        <v>1</v>
      </c>
      <c r="AI1724" s="76">
        <v>1</v>
      </c>
      <c r="AJ1724" s="73"/>
      <c r="AK1724" s="57"/>
      <c r="AL1724" s="45"/>
      <c r="AM1724" s="45"/>
      <c r="AN1724" s="45"/>
    </row>
    <row r="1725" spans="1:40" hidden="1" outlineLevel="2" x14ac:dyDescent="0.25">
      <c r="A1725" s="45"/>
      <c r="B1725" s="54"/>
      <c r="C1725" s="47">
        <f t="shared" ref="C1725:C1736" si="417">INT($C$29)+3</f>
        <v>4</v>
      </c>
      <c r="D1725" s="73"/>
      <c r="E1725" s="70"/>
      <c r="F1725" s="70" t="s">
        <v>3345</v>
      </c>
      <c r="G1725" s="73"/>
      <c r="H1725" s="76" t="s">
        <v>3592</v>
      </c>
      <c r="I1725" s="76"/>
      <c r="J1725" s="76"/>
      <c r="K1725" s="76"/>
      <c r="L1725" s="76"/>
      <c r="M1725" s="76"/>
      <c r="N1725" s="76"/>
      <c r="O1725" s="76"/>
      <c r="P1725" s="76"/>
      <c r="Q1725" s="76"/>
      <c r="R1725" s="76"/>
      <c r="S1725" s="76"/>
      <c r="T1725" s="76"/>
      <c r="U1725" s="97">
        <v>0.24360000000000001</v>
      </c>
      <c r="V1725" s="255">
        <f>U1725</f>
        <v>0.24360000000000001</v>
      </c>
      <c r="W1725" s="255">
        <f t="shared" si="414"/>
        <v>0.24360000000000001</v>
      </c>
      <c r="X1725" s="255">
        <f t="shared" si="414"/>
        <v>0.24360000000000001</v>
      </c>
      <c r="Y1725" s="255">
        <f>V1725</f>
        <v>0.24360000000000001</v>
      </c>
      <c r="Z1725" s="255">
        <f>AA1725</f>
        <v>0.24360000000000001</v>
      </c>
      <c r="AA1725" s="97">
        <f t="shared" si="416"/>
        <v>0.24360000000000001</v>
      </c>
      <c r="AB1725" s="255">
        <f t="shared" si="415"/>
        <v>0.24360000000000001</v>
      </c>
      <c r="AC1725" s="255">
        <f t="shared" si="415"/>
        <v>0.24360000000000001</v>
      </c>
      <c r="AD1725" s="255">
        <f t="shared" si="415"/>
        <v>0.24360000000000001</v>
      </c>
      <c r="AE1725" s="76"/>
      <c r="AF1725" s="97" t="s">
        <v>3355</v>
      </c>
      <c r="AG1725" s="76"/>
      <c r="AH1725" s="97">
        <v>1</v>
      </c>
      <c r="AI1725" s="97">
        <v>1</v>
      </c>
      <c r="AJ1725" s="73"/>
      <c r="AK1725" s="57"/>
      <c r="AL1725" s="45"/>
      <c r="AM1725" s="45"/>
      <c r="AN1725" s="45"/>
    </row>
    <row r="1726" spans="1:40" hidden="1" outlineLevel="2" collapsed="1" x14ac:dyDescent="0.25">
      <c r="A1726" s="45"/>
      <c r="B1726" s="54"/>
      <c r="C1726" s="47">
        <f t="shared" si="417"/>
        <v>4</v>
      </c>
      <c r="D1726" s="73"/>
      <c r="E1726" s="70"/>
      <c r="F1726" s="70" t="s">
        <v>3346</v>
      </c>
      <c r="G1726" s="73"/>
      <c r="H1726" s="76" t="s">
        <v>3593</v>
      </c>
      <c r="I1726" s="76"/>
      <c r="J1726" s="76"/>
      <c r="K1726" s="76"/>
      <c r="L1726" s="76"/>
      <c r="M1726" s="76"/>
      <c r="N1726" s="76"/>
      <c r="O1726" s="76"/>
      <c r="P1726" s="76"/>
      <c r="Q1726" s="76"/>
      <c r="R1726" s="76"/>
      <c r="S1726" s="76"/>
      <c r="T1726" s="76"/>
      <c r="U1726" s="97"/>
      <c r="V1726" s="255">
        <f t="shared" ref="V1726" si="418">U1726</f>
        <v>0</v>
      </c>
      <c r="W1726" s="255">
        <f t="shared" ref="W1726:W1727" si="419">U1726</f>
        <v>0</v>
      </c>
      <c r="X1726" s="255">
        <f t="shared" ref="X1726:X1727" si="420">V1726</f>
        <v>0</v>
      </c>
      <c r="Y1726" s="255">
        <f t="shared" ref="Y1726" si="421">V1726</f>
        <v>0</v>
      </c>
      <c r="Z1726" s="255">
        <f t="shared" ref="Z1726" si="422">AA1726</f>
        <v>0</v>
      </c>
      <c r="AA1726" s="97">
        <f t="shared" si="416"/>
        <v>0</v>
      </c>
      <c r="AB1726" s="255">
        <f t="shared" ref="AB1726:AB1727" si="423">AA1726</f>
        <v>0</v>
      </c>
      <c r="AC1726" s="255">
        <f t="shared" ref="AC1726:AC1727" si="424">AB1726</f>
        <v>0</v>
      </c>
      <c r="AD1726" s="255">
        <f t="shared" ref="AD1726:AD1727" si="425">AC1726</f>
        <v>0</v>
      </c>
      <c r="AE1726" s="76"/>
      <c r="AF1726" s="76"/>
      <c r="AG1726" s="76"/>
      <c r="AH1726" s="76">
        <v>1</v>
      </c>
      <c r="AI1726" s="76">
        <v>1</v>
      </c>
      <c r="AJ1726" s="73"/>
      <c r="AK1726" s="57"/>
      <c r="AL1726" s="45"/>
      <c r="AM1726" s="45"/>
      <c r="AN1726" s="45"/>
    </row>
    <row r="1727" spans="1:40" hidden="1" outlineLevel="3" x14ac:dyDescent="0.25">
      <c r="A1727" s="45"/>
      <c r="B1727" s="54"/>
      <c r="C1727" s="47">
        <f t="shared" si="417"/>
        <v>4</v>
      </c>
      <c r="D1727" s="73"/>
      <c r="E1727" s="70"/>
      <c r="F1727" s="70" t="s">
        <v>3347</v>
      </c>
      <c r="G1727" s="73"/>
      <c r="H1727" s="76" t="s">
        <v>3594</v>
      </c>
      <c r="I1727" s="76"/>
      <c r="J1727" s="76"/>
      <c r="K1727" s="76"/>
      <c r="L1727" s="76"/>
      <c r="M1727" s="76"/>
      <c r="N1727" s="76"/>
      <c r="O1727" s="76"/>
      <c r="P1727" s="76"/>
      <c r="Q1727" s="76"/>
      <c r="R1727" s="76"/>
      <c r="S1727" s="76"/>
      <c r="T1727" s="76"/>
      <c r="U1727" s="97">
        <v>0.24360000000000001</v>
      </c>
      <c r="V1727" s="255">
        <f>U1727</f>
        <v>0.24360000000000001</v>
      </c>
      <c r="W1727" s="255">
        <f t="shared" si="419"/>
        <v>0.24360000000000001</v>
      </c>
      <c r="X1727" s="255">
        <f t="shared" si="420"/>
        <v>0.24360000000000001</v>
      </c>
      <c r="Y1727" s="255">
        <f>V1727</f>
        <v>0.24360000000000001</v>
      </c>
      <c r="Z1727" s="255">
        <f>AA1727</f>
        <v>0.24360000000000001</v>
      </c>
      <c r="AA1727" s="97">
        <f t="shared" ref="AA1727:AA1728" si="426">U1727</f>
        <v>0.24360000000000001</v>
      </c>
      <c r="AB1727" s="255">
        <f t="shared" si="423"/>
        <v>0.24360000000000001</v>
      </c>
      <c r="AC1727" s="255">
        <f t="shared" si="424"/>
        <v>0.24360000000000001</v>
      </c>
      <c r="AD1727" s="255">
        <f t="shared" si="425"/>
        <v>0.24360000000000001</v>
      </c>
      <c r="AE1727" s="76"/>
      <c r="AF1727" s="76"/>
      <c r="AG1727" s="76"/>
      <c r="AH1727" s="97">
        <v>1</v>
      </c>
      <c r="AI1727" s="97">
        <v>1</v>
      </c>
      <c r="AJ1727" s="73"/>
      <c r="AK1727" s="57"/>
      <c r="AL1727" s="45"/>
      <c r="AM1727" s="45"/>
      <c r="AN1727" s="45"/>
    </row>
    <row r="1728" spans="1:40" hidden="1" outlineLevel="3" x14ac:dyDescent="0.25">
      <c r="A1728" s="45"/>
      <c r="B1728" s="54"/>
      <c r="C1728" s="47">
        <f t="shared" si="417"/>
        <v>4</v>
      </c>
      <c r="D1728" s="73"/>
      <c r="E1728" s="70"/>
      <c r="F1728" s="70" t="s">
        <v>3348</v>
      </c>
      <c r="G1728" s="73"/>
      <c r="H1728" s="76" t="s">
        <v>3595</v>
      </c>
      <c r="I1728" s="76"/>
      <c r="J1728" s="76"/>
      <c r="K1728" s="76"/>
      <c r="L1728" s="76"/>
      <c r="M1728" s="76"/>
      <c r="N1728" s="76"/>
      <c r="O1728" s="76"/>
      <c r="P1728" s="76"/>
      <c r="Q1728" s="76"/>
      <c r="R1728" s="76"/>
      <c r="S1728" s="76"/>
      <c r="T1728" s="76"/>
      <c r="U1728" s="97"/>
      <c r="V1728" s="255">
        <f t="shared" ref="V1728" si="427">U1728</f>
        <v>0</v>
      </c>
      <c r="W1728" s="255">
        <f t="shared" ref="W1728" si="428">U1728</f>
        <v>0</v>
      </c>
      <c r="X1728" s="255">
        <f t="shared" ref="X1728" si="429">V1728</f>
        <v>0</v>
      </c>
      <c r="Y1728" s="255">
        <f t="shared" ref="Y1728" si="430">V1728</f>
        <v>0</v>
      </c>
      <c r="Z1728" s="255">
        <f t="shared" ref="Z1728" si="431">AA1728</f>
        <v>0</v>
      </c>
      <c r="AA1728" s="97">
        <f t="shared" si="426"/>
        <v>0</v>
      </c>
      <c r="AB1728" s="255">
        <f t="shared" ref="AB1728" si="432">AA1728</f>
        <v>0</v>
      </c>
      <c r="AC1728" s="255">
        <f t="shared" ref="AC1728" si="433">AB1728</f>
        <v>0</v>
      </c>
      <c r="AD1728" s="255">
        <f t="shared" ref="AD1728" si="434">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17"/>
        <v>4</v>
      </c>
      <c r="D1729" s="73"/>
      <c r="E1729" s="70"/>
      <c r="F1729" s="70" t="s">
        <v>3349</v>
      </c>
      <c r="G1729" s="73"/>
      <c r="H1729" s="373" t="s">
        <v>3356</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417"/>
        <v>4</v>
      </c>
      <c r="D1730" s="73"/>
      <c r="E1730" s="70"/>
      <c r="F1730" s="70" t="s">
        <v>3350</v>
      </c>
      <c r="G1730" s="73"/>
      <c r="H1730" s="373" t="s">
        <v>3357</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17"/>
        <v>4</v>
      </c>
      <c r="D1731" s="73"/>
      <c r="E1731" s="70"/>
      <c r="F1731" s="70" t="str">
        <f>SUBSTITUTE(F1727,",4)",",8)")</f>
        <v>C(U2,27,8)</v>
      </c>
      <c r="G1731" s="73"/>
      <c r="H1731" s="373" t="s">
        <v>3358</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17"/>
        <v>4</v>
      </c>
      <c r="D1732" s="73"/>
      <c r="E1732" s="70"/>
      <c r="F1732" s="70" t="str">
        <f>SUBSTITUTE(F1728,",5)",",9)")</f>
        <v>C(U2,27,9)</v>
      </c>
      <c r="G1732" s="73"/>
      <c r="H1732" s="373" t="s">
        <v>3359</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17"/>
        <v>4</v>
      </c>
      <c r="D1733" s="73"/>
      <c r="E1733" s="70"/>
      <c r="F1733" s="70" t="str">
        <f>SUBSTITUTE(F1729,",6)",",10)")</f>
        <v>C(U2,27,10)</v>
      </c>
      <c r="G1733" s="73"/>
      <c r="H1733" s="373" t="s">
        <v>3360</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25">
      <c r="A1734" s="45"/>
      <c r="B1734" s="54"/>
      <c r="C1734" s="47">
        <f t="shared" si="417"/>
        <v>4</v>
      </c>
      <c r="D1734" s="73"/>
      <c r="E1734" s="70"/>
      <c r="F1734" s="70" t="str">
        <f>SUBSTITUTE(F1730,",7)",",11)")</f>
        <v>C(U2,27,11)</v>
      </c>
      <c r="G1734" s="73"/>
      <c r="H1734" s="373" t="s">
        <v>3361</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17"/>
        <v>4</v>
      </c>
      <c r="D1735" s="73"/>
      <c r="E1735" s="70"/>
      <c r="F1735" s="70" t="str">
        <f>SUBSTITUTE(F1729,",6)",",12)")</f>
        <v>C(U2,27,12)</v>
      </c>
      <c r="G1735" s="73"/>
      <c r="H1735" s="373" t="s">
        <v>3362</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17"/>
        <v>4</v>
      </c>
      <c r="D1736" s="73"/>
      <c r="E1736" s="70"/>
      <c r="F1736" s="70" t="str">
        <f>SUBSTITUTE(F1730,",7)",",13)")</f>
        <v>C(U2,27,13)</v>
      </c>
      <c r="G1736" s="73"/>
      <c r="H1736" s="373" t="s">
        <v>3363</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25">
      <c r="A1737" s="45"/>
      <c r="B1737" s="54"/>
      <c r="C1737" s="47">
        <f>INT($C$29)+2</f>
        <v>3</v>
      </c>
      <c r="D1737" s="73"/>
      <c r="E1737" s="70"/>
      <c r="F1737" s="70" t="s">
        <v>3351</v>
      </c>
      <c r="G1737" s="73"/>
      <c r="H1737" s="76" t="s">
        <v>3364</v>
      </c>
      <c r="I1737" s="76"/>
      <c r="J1737" s="76"/>
      <c r="K1737" s="76"/>
      <c r="L1737" s="76"/>
      <c r="M1737" s="76"/>
      <c r="N1737" s="76"/>
      <c r="O1737" s="76"/>
      <c r="P1737" s="76"/>
      <c r="Q1737" s="76"/>
      <c r="R1737" s="76"/>
      <c r="S1737" s="76"/>
      <c r="T1737" s="76"/>
      <c r="U1737" s="97">
        <v>28.52</v>
      </c>
      <c r="V1737" s="255">
        <f t="shared" ref="V1737" si="435">U1737</f>
        <v>28.52</v>
      </c>
      <c r="W1737" s="255">
        <f t="shared" ref="W1737" si="436">U1737</f>
        <v>28.52</v>
      </c>
      <c r="X1737" s="255">
        <f t="shared" ref="X1737" si="437">V1737</f>
        <v>28.52</v>
      </c>
      <c r="Y1737" s="255">
        <f t="shared" ref="Y1737" si="438">V1737</f>
        <v>28.52</v>
      </c>
      <c r="Z1737" s="255">
        <f t="shared" ref="Z1737" si="439">AA1737</f>
        <v>28.52</v>
      </c>
      <c r="AA1737" s="97">
        <f>U1737</f>
        <v>28.52</v>
      </c>
      <c r="AB1737" s="255">
        <f t="shared" ref="AB1737" si="440">AA1737</f>
        <v>28.52</v>
      </c>
      <c r="AC1737" s="255">
        <f t="shared" ref="AC1737" si="441">AB1737</f>
        <v>28.52</v>
      </c>
      <c r="AD1737" s="255">
        <f t="shared" ref="AD1737" si="442">AC1737</f>
        <v>28.52</v>
      </c>
      <c r="AE1737" s="76"/>
      <c r="AF1737" s="97"/>
      <c r="AG1737" s="76"/>
      <c r="AH1737" s="97">
        <v>1</v>
      </c>
      <c r="AI1737" s="97">
        <v>1</v>
      </c>
      <c r="AJ1737" s="73"/>
      <c r="AK1737" s="57"/>
      <c r="AL1737" s="45"/>
      <c r="AM1737" s="45"/>
      <c r="AN1737" s="45"/>
    </row>
    <row r="1738" spans="1:40" hidden="1" outlineLevel="1" collapsed="1" x14ac:dyDescent="0.25">
      <c r="A1738" s="45"/>
      <c r="B1738" s="54"/>
      <c r="C1738" s="47">
        <f>INT($C$29)+1</f>
        <v>2</v>
      </c>
      <c r="D1738" s="73"/>
      <c r="E1738" s="70"/>
      <c r="F1738" s="265" t="s">
        <v>1702</v>
      </c>
      <c r="G1738" s="73"/>
      <c r="H1738" s="267" t="s">
        <v>3740</v>
      </c>
      <c r="I1738" s="129"/>
      <c r="J1738" s="129" t="s">
        <v>1044</v>
      </c>
      <c r="K1738" s="76"/>
      <c r="L1738" s="76"/>
      <c r="M1738" s="76"/>
      <c r="N1738" s="76"/>
      <c r="O1738" s="76"/>
      <c r="P1738" s="76"/>
      <c r="Q1738" s="76"/>
      <c r="R1738" s="76"/>
      <c r="S1738" s="76"/>
      <c r="T1738" s="76"/>
      <c r="U1738" s="79">
        <v>24</v>
      </c>
      <c r="V1738" s="79">
        <v>15</v>
      </c>
      <c r="W1738" s="79">
        <v>0</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collapsed="1" x14ac:dyDescent="0.25">
      <c r="A1739" s="45"/>
      <c r="B1739" s="54"/>
      <c r="C1739" s="47">
        <f t="shared" ref="C1739:C1758" si="443">INT($C$29)+3</f>
        <v>4</v>
      </c>
      <c r="D1739" s="73"/>
      <c r="E1739" s="70"/>
      <c r="F1739" s="70" t="s">
        <v>3511</v>
      </c>
      <c r="G1739" s="73"/>
      <c r="H1739" s="76" t="s">
        <v>3507</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43"/>
        <v>4</v>
      </c>
      <c r="D1740" s="73"/>
      <c r="E1740" s="70"/>
      <c r="F1740" s="70" t="s">
        <v>3512</v>
      </c>
      <c r="G1740" s="73"/>
      <c r="H1740" s="76" t="s">
        <v>3495</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43"/>
        <v>4</v>
      </c>
      <c r="D1741" s="73"/>
      <c r="E1741" s="70"/>
      <c r="F1741" s="70" t="s">
        <v>3513</v>
      </c>
      <c r="G1741" s="73"/>
      <c r="H1741" s="76" t="s">
        <v>3502</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43"/>
        <v>4</v>
      </c>
      <c r="D1742" s="73"/>
      <c r="E1742" s="70"/>
      <c r="F1742" s="70" t="s">
        <v>3514</v>
      </c>
      <c r="G1742" s="73"/>
      <c r="H1742" s="76" t="s">
        <v>3496</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43"/>
        <v>4</v>
      </c>
      <c r="D1743" s="73"/>
      <c r="E1743" s="70"/>
      <c r="F1743" s="70" t="s">
        <v>3515</v>
      </c>
      <c r="G1743" s="73"/>
      <c r="H1743" s="76" t="s">
        <v>3503</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43"/>
        <v>4</v>
      </c>
      <c r="D1744" s="73"/>
      <c r="E1744" s="70"/>
      <c r="F1744" s="70" t="s">
        <v>3516</v>
      </c>
      <c r="G1744" s="73"/>
      <c r="H1744" s="76" t="s">
        <v>3497</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43"/>
        <v>4</v>
      </c>
      <c r="D1745" s="73"/>
      <c r="E1745" s="70"/>
      <c r="F1745" s="70" t="s">
        <v>3517</v>
      </c>
      <c r="G1745" s="73"/>
      <c r="H1745" s="76" t="s">
        <v>3504</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43"/>
        <v>4</v>
      </c>
      <c r="D1746" s="73"/>
      <c r="E1746" s="70"/>
      <c r="F1746" s="70" t="s">
        <v>3518</v>
      </c>
      <c r="G1746" s="73"/>
      <c r="H1746" s="76" t="s">
        <v>3498</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43"/>
        <v>4</v>
      </c>
      <c r="D1747" s="73"/>
      <c r="E1747" s="70"/>
      <c r="F1747" s="70" t="str">
        <f>SUBSTITUTE(F1743,",4)",",8)")</f>
        <v>C(U6,0,8)</v>
      </c>
      <c r="G1747" s="73"/>
      <c r="H1747" s="76" t="s">
        <v>3505</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43"/>
        <v>4</v>
      </c>
      <c r="D1748" s="73"/>
      <c r="E1748" s="70"/>
      <c r="F1748" s="70" t="str">
        <f>SUBSTITUTE(F1744,",5)",",9)")</f>
        <v>C(U6,0,9)</v>
      </c>
      <c r="G1748" s="73"/>
      <c r="H1748" s="76" t="s">
        <v>3499</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43"/>
        <v>4</v>
      </c>
      <c r="D1749" s="73"/>
      <c r="E1749" s="70"/>
      <c r="F1749" s="70" t="str">
        <f>SUBSTITUTE(F1745,",6)",",10)")</f>
        <v>C(U6,0,10)</v>
      </c>
      <c r="G1749" s="73"/>
      <c r="H1749" s="76" t="s">
        <v>3506</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43"/>
        <v>4</v>
      </c>
      <c r="D1750" s="73"/>
      <c r="E1750" s="70"/>
      <c r="F1750" s="70" t="str">
        <f>SUBSTITUTE(F1746,",7)",",11)")</f>
        <v>C(U6,0,11)</v>
      </c>
      <c r="G1750" s="73"/>
      <c r="H1750" s="76" t="s">
        <v>3500</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43"/>
        <v>4</v>
      </c>
      <c r="D1751" s="73"/>
      <c r="E1751" s="70"/>
      <c r="F1751" s="70" t="str">
        <f>SUBSTITUTE(F1746,",7)",",12)")</f>
        <v>C(U6,0,12)</v>
      </c>
      <c r="G1751" s="73"/>
      <c r="H1751" s="76" t="s">
        <v>3329</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43"/>
        <v>4</v>
      </c>
      <c r="D1752" s="73"/>
      <c r="E1752" s="70"/>
      <c r="F1752" s="70" t="str">
        <f>SUBSTITUTE(F1746,",7)",",13)")</f>
        <v>C(U6,0,13)</v>
      </c>
      <c r="G1752" s="73"/>
      <c r="H1752" s="76" t="s">
        <v>3501</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43"/>
        <v>4</v>
      </c>
      <c r="D1753" s="73"/>
      <c r="E1753" s="70"/>
      <c r="F1753" s="70" t="s">
        <v>3519</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43"/>
        <v>4</v>
      </c>
      <c r="D1754" s="73"/>
      <c r="E1754" s="70"/>
      <c r="F1754" s="70" t="s">
        <v>3520</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43"/>
        <v>4</v>
      </c>
      <c r="D1755" s="73"/>
      <c r="E1755" s="70"/>
      <c r="F1755" s="70" t="s">
        <v>3521</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43"/>
        <v>4</v>
      </c>
      <c r="D1756" s="73"/>
      <c r="E1756" s="70"/>
      <c r="F1756" s="70" t="s">
        <v>3522</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43"/>
        <v>4</v>
      </c>
      <c r="D1757" s="73"/>
      <c r="E1757" s="70"/>
      <c r="F1757" s="70" t="s">
        <v>3523</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43"/>
        <v>4</v>
      </c>
      <c r="D1758" s="73"/>
      <c r="E1758" s="70"/>
      <c r="F1758" s="70" t="s">
        <v>3524</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3525</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3526</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3527</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ref="C1762:C1773" si="444">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44"/>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44"/>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44"/>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44"/>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44"/>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44"/>
        <v>4</v>
      </c>
      <c r="D1768" s="73"/>
      <c r="E1768" s="70"/>
      <c r="F1768" s="70" t="s">
        <v>3528</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44"/>
        <v>4</v>
      </c>
      <c r="D1769" s="73"/>
      <c r="E1769" s="70"/>
      <c r="F1769" s="70" t="s">
        <v>3529</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44"/>
        <v>4</v>
      </c>
      <c r="D1770" s="73"/>
      <c r="E1770" s="70"/>
      <c r="F1770" s="70" t="s">
        <v>3530</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44"/>
        <v>4</v>
      </c>
      <c r="D1771" s="73"/>
      <c r="E1771" s="70"/>
      <c r="F1771" s="70" t="s">
        <v>3531</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44"/>
        <v>4</v>
      </c>
      <c r="D1772" s="73"/>
      <c r="E1772" s="70"/>
      <c r="F1772" s="70" t="s">
        <v>3532</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44"/>
        <v>4</v>
      </c>
      <c r="D1773" s="73"/>
      <c r="E1773" s="70"/>
      <c r="F1773" s="70" t="s">
        <v>3533</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3534</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3535</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3536</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ref="C1777:C1788" si="445">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45"/>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45"/>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45"/>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45"/>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45"/>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45"/>
        <v>4</v>
      </c>
      <c r="D1783" s="73"/>
      <c r="E1783" s="70"/>
      <c r="F1783" s="70" t="s">
        <v>3537</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45"/>
        <v>4</v>
      </c>
      <c r="D1784" s="73"/>
      <c r="E1784" s="70"/>
      <c r="F1784" s="70" t="s">
        <v>3538</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45"/>
        <v>4</v>
      </c>
      <c r="D1785" s="73"/>
      <c r="E1785" s="70"/>
      <c r="F1785" s="70" t="s">
        <v>3539</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45"/>
        <v>4</v>
      </c>
      <c r="D1786" s="73"/>
      <c r="E1786" s="70"/>
      <c r="F1786" s="70" t="s">
        <v>3540</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45"/>
        <v>4</v>
      </c>
      <c r="D1787" s="73"/>
      <c r="E1787" s="70"/>
      <c r="F1787" s="70" t="s">
        <v>3541</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45"/>
        <v>4</v>
      </c>
      <c r="D1788" s="73"/>
      <c r="E1788" s="70"/>
      <c r="F1788" s="70" t="s">
        <v>3542</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3543</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3544</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3545</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ref="C1792:C1803" si="446">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46"/>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46"/>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46"/>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46"/>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46"/>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46"/>
        <v>4</v>
      </c>
      <c r="D1798" s="73"/>
      <c r="E1798" s="70"/>
      <c r="F1798" s="70" t="s">
        <v>3546</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46"/>
        <v>4</v>
      </c>
      <c r="D1799" s="73"/>
      <c r="E1799" s="70"/>
      <c r="F1799" s="70" t="s">
        <v>3547</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46"/>
        <v>4</v>
      </c>
      <c r="D1800" s="73"/>
      <c r="E1800" s="70"/>
      <c r="F1800" s="70" t="s">
        <v>3548</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46"/>
        <v>4</v>
      </c>
      <c r="D1801" s="73"/>
      <c r="E1801" s="70"/>
      <c r="F1801" s="70" t="s">
        <v>3549</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46"/>
        <v>4</v>
      </c>
      <c r="D1802" s="73"/>
      <c r="E1802" s="70"/>
      <c r="F1802" s="70" t="s">
        <v>3550</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46"/>
        <v>4</v>
      </c>
      <c r="D1803" s="73"/>
      <c r="E1803" s="70"/>
      <c r="F1803" s="70" t="s">
        <v>3551</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3552</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3553</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3554</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ref="C1807:C1818" si="447">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47"/>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47"/>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47"/>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47"/>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47"/>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47"/>
        <v>4</v>
      </c>
      <c r="D1813" s="73"/>
      <c r="E1813" s="70"/>
      <c r="F1813" s="70" t="s">
        <v>3555</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47"/>
        <v>4</v>
      </c>
      <c r="D1814" s="73"/>
      <c r="E1814" s="70"/>
      <c r="F1814" s="70" t="s">
        <v>3556</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47"/>
        <v>4</v>
      </c>
      <c r="D1815" s="73"/>
      <c r="E1815" s="70"/>
      <c r="F1815" s="70" t="s">
        <v>3557</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47"/>
        <v>4</v>
      </c>
      <c r="D1816" s="73"/>
      <c r="E1816" s="70"/>
      <c r="F1816" s="70" t="s">
        <v>3558</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47"/>
        <v>4</v>
      </c>
      <c r="D1817" s="73"/>
      <c r="E1817" s="70"/>
      <c r="F1817" s="70" t="s">
        <v>3559</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47"/>
        <v>4</v>
      </c>
      <c r="D1818" s="73"/>
      <c r="E1818" s="70"/>
      <c r="F1818" s="70" t="s">
        <v>3560</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3561</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3562</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3563</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ref="C1822:C1833" si="448">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48"/>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48"/>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48"/>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48"/>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48"/>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48"/>
        <v>4</v>
      </c>
      <c r="D1828" s="73"/>
      <c r="E1828" s="70"/>
      <c r="F1828" s="70" t="s">
        <v>3564</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48"/>
        <v>4</v>
      </c>
      <c r="D1829" s="73"/>
      <c r="E1829" s="70"/>
      <c r="F1829" s="70" t="s">
        <v>3565</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48"/>
        <v>4</v>
      </c>
      <c r="D1830" s="73"/>
      <c r="E1830" s="70"/>
      <c r="F1830" s="70" t="s">
        <v>3566</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48"/>
        <v>4</v>
      </c>
      <c r="D1831" s="73"/>
      <c r="E1831" s="70"/>
      <c r="F1831" s="70" t="s">
        <v>3567</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48"/>
        <v>4</v>
      </c>
      <c r="D1832" s="73"/>
      <c r="E1832" s="70"/>
      <c r="F1832" s="70" t="s">
        <v>3568</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48"/>
        <v>4</v>
      </c>
      <c r="D1833" s="73"/>
      <c r="E1833" s="70"/>
      <c r="F1833" s="70" t="s">
        <v>3569</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3570</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3571</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3572</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ref="C1837:C1848" si="449">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49"/>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49"/>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49"/>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49"/>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49"/>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49"/>
        <v>4</v>
      </c>
      <c r="D1843" s="73"/>
      <c r="E1843" s="70"/>
      <c r="F1843" s="70" t="s">
        <v>3573</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49"/>
        <v>4</v>
      </c>
      <c r="D1844" s="73"/>
      <c r="E1844" s="70"/>
      <c r="F1844" s="70" t="s">
        <v>3574</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49"/>
        <v>4</v>
      </c>
      <c r="D1845" s="73"/>
      <c r="E1845" s="70"/>
      <c r="F1845" s="70" t="s">
        <v>3575</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49"/>
        <v>4</v>
      </c>
      <c r="D1846" s="73"/>
      <c r="E1846" s="70"/>
      <c r="F1846" s="70" t="s">
        <v>3576</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49"/>
        <v>4</v>
      </c>
      <c r="D1847" s="73"/>
      <c r="E1847" s="70"/>
      <c r="F1847" s="70" t="s">
        <v>3577</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49"/>
        <v>4</v>
      </c>
      <c r="D1848" s="73"/>
      <c r="E1848" s="70"/>
      <c r="F1848" s="70" t="s">
        <v>3578</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3579</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3580</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3581</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ref="C1856:C1857" si="450">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si="450"/>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INT($C$29)+3</f>
        <v>4</v>
      </c>
      <c r="D1858" s="73"/>
      <c r="E1858" s="398"/>
      <c r="F1858" s="398" t="s">
        <v>3582</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25">
      <c r="A1859" s="45"/>
      <c r="B1859" s="54"/>
      <c r="C1859" s="47">
        <f>INT($C$29)+2</f>
        <v>3</v>
      </c>
      <c r="D1859" s="73"/>
      <c r="E1859" s="402"/>
      <c r="F1859" s="402" t="s">
        <v>3583</v>
      </c>
      <c r="G1859" s="403"/>
      <c r="H1859" s="181" t="s">
        <v>3747</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51">U1859</f>
        <v>0.52490000000000003</v>
      </c>
      <c r="X1859" s="405">
        <f t="shared" ref="X1859:X1860" si="452">V1859</f>
        <v>0.52490000000000003</v>
      </c>
      <c r="Y1859" s="405">
        <f>V1859</f>
        <v>0.52490000000000003</v>
      </c>
      <c r="Z1859" s="405">
        <f>AA1859</f>
        <v>0.52490000000000003</v>
      </c>
      <c r="AA1859" s="404">
        <f>U1859</f>
        <v>0.52490000000000003</v>
      </c>
      <c r="AB1859" s="405">
        <f t="shared" ref="AB1859:AB1860" si="453">AA1859</f>
        <v>0.52490000000000003</v>
      </c>
      <c r="AC1859" s="405">
        <f t="shared" ref="AC1859:AC1860" si="454">AB1859</f>
        <v>0.52490000000000003</v>
      </c>
      <c r="AD1859" s="405">
        <f t="shared" ref="AD1859:AD1860" si="455">AC1859</f>
        <v>0.52490000000000003</v>
      </c>
      <c r="AE1859" s="181"/>
      <c r="AF1859" s="404" t="s">
        <v>3510</v>
      </c>
      <c r="AG1859" s="181"/>
      <c r="AH1859" s="404">
        <v>1</v>
      </c>
      <c r="AI1859" s="404">
        <v>1</v>
      </c>
      <c r="AJ1859" s="73"/>
      <c r="AK1859" s="57"/>
      <c r="AL1859" s="45"/>
      <c r="AM1859" s="45"/>
      <c r="AN1859" s="45"/>
    </row>
    <row r="1860" spans="1:40" hidden="1" outlineLevel="2" collapsed="1" x14ac:dyDescent="0.25">
      <c r="A1860" s="45"/>
      <c r="B1860" s="54"/>
      <c r="C1860" s="47">
        <f>INT($C$29)+2</f>
        <v>3</v>
      </c>
      <c r="D1860" s="73"/>
      <c r="E1860" s="70"/>
      <c r="F1860" s="70" t="s">
        <v>3584</v>
      </c>
      <c r="G1860" s="234"/>
      <c r="H1860" s="76" t="s">
        <v>3508</v>
      </c>
      <c r="I1860" s="76"/>
      <c r="J1860" s="76"/>
      <c r="K1860" s="76"/>
      <c r="L1860" s="76"/>
      <c r="M1860" s="76"/>
      <c r="N1860" s="76"/>
      <c r="O1860" s="76"/>
      <c r="P1860" s="76"/>
      <c r="Q1860" s="76"/>
      <c r="R1860" s="76"/>
      <c r="S1860" s="76"/>
      <c r="T1860" s="76"/>
      <c r="U1860" s="97">
        <v>-4.2820000000000002E-3</v>
      </c>
      <c r="V1860" s="255">
        <f>U1860</f>
        <v>-4.2820000000000002E-3</v>
      </c>
      <c r="W1860" s="255">
        <f t="shared" si="451"/>
        <v>-4.2820000000000002E-3</v>
      </c>
      <c r="X1860" s="255">
        <f t="shared" si="452"/>
        <v>-4.2820000000000002E-3</v>
      </c>
      <c r="Y1860" s="255">
        <f>V1860</f>
        <v>-4.2820000000000002E-3</v>
      </c>
      <c r="Z1860" s="400">
        <f>AA1860</f>
        <v>-4.2820000000000002E-3</v>
      </c>
      <c r="AA1860" s="97">
        <f t="shared" ref="AA1860:AA1873" si="456">U1860</f>
        <v>-4.2820000000000002E-3</v>
      </c>
      <c r="AB1860" s="400">
        <f t="shared" si="453"/>
        <v>-4.2820000000000002E-3</v>
      </c>
      <c r="AC1860" s="400">
        <f t="shared" si="454"/>
        <v>-4.2820000000000002E-3</v>
      </c>
      <c r="AD1860" s="400">
        <f t="shared" si="455"/>
        <v>-4.2820000000000002E-3</v>
      </c>
      <c r="AE1860" s="76"/>
      <c r="AF1860" s="97" t="s">
        <v>3785</v>
      </c>
      <c r="AG1860" s="76"/>
      <c r="AH1860" s="97">
        <v>1</v>
      </c>
      <c r="AI1860" s="97">
        <v>1</v>
      </c>
      <c r="AJ1860" s="73"/>
      <c r="AK1860" s="57"/>
      <c r="AL1860" s="45"/>
      <c r="AM1860" s="45"/>
      <c r="AN1860" s="45"/>
    </row>
    <row r="1861" spans="1:40" hidden="1" outlineLevel="3" x14ac:dyDescent="0.25">
      <c r="A1861" s="45"/>
      <c r="B1861" s="54"/>
      <c r="C1861" s="47">
        <f>INT($C$29)+2</f>
        <v>3</v>
      </c>
      <c r="D1861" s="73"/>
      <c r="E1861" s="70"/>
      <c r="F1861" s="70" t="s">
        <v>3585</v>
      </c>
      <c r="G1861" s="234"/>
      <c r="H1861" s="76" t="s">
        <v>3502</v>
      </c>
      <c r="I1861" s="76"/>
      <c r="J1861" s="76"/>
      <c r="K1861" s="76"/>
      <c r="L1861" s="76"/>
      <c r="M1861" s="76"/>
      <c r="N1861" s="76"/>
      <c r="O1861" s="76"/>
      <c r="P1861" s="76"/>
      <c r="Q1861" s="76"/>
      <c r="R1861" s="76"/>
      <c r="S1861" s="76"/>
      <c r="T1861" s="76"/>
      <c r="U1861" s="76"/>
      <c r="V1861" s="76"/>
      <c r="W1861" s="76"/>
      <c r="X1861" s="76"/>
      <c r="Y1861" s="76"/>
      <c r="Z1861" s="76"/>
      <c r="AA1861" s="76">
        <f t="shared" si="456"/>
        <v>0</v>
      </c>
      <c r="AB1861" s="76"/>
      <c r="AC1861" s="76"/>
      <c r="AD1861" s="76"/>
      <c r="AE1861" s="76"/>
      <c r="AF1861" s="76"/>
      <c r="AG1861" s="76"/>
      <c r="AH1861" s="76">
        <v>1</v>
      </c>
      <c r="AI1861" s="76">
        <v>1</v>
      </c>
      <c r="AJ1861" s="73"/>
      <c r="AK1861" s="57"/>
      <c r="AL1861" s="45"/>
      <c r="AM1861" s="45"/>
      <c r="AN1861" s="45"/>
    </row>
    <row r="1862" spans="1:40" hidden="1" outlineLevel="3" x14ac:dyDescent="0.25">
      <c r="A1862" s="45"/>
      <c r="B1862" s="54"/>
      <c r="C1862" s="47">
        <f>INT($C$29)+3</f>
        <v>4</v>
      </c>
      <c r="D1862" s="73"/>
      <c r="E1862" s="70"/>
      <c r="F1862" s="70" t="s">
        <v>3586</v>
      </c>
      <c r="G1862" s="234"/>
      <c r="H1862" s="76" t="s">
        <v>3496</v>
      </c>
      <c r="I1862" s="96"/>
      <c r="J1862" s="76"/>
      <c r="K1862" s="76"/>
      <c r="L1862" s="76"/>
      <c r="M1862" s="76"/>
      <c r="N1862" s="76"/>
      <c r="O1862" s="76"/>
      <c r="P1862" s="76"/>
      <c r="Q1862" s="76"/>
      <c r="R1862" s="76"/>
      <c r="S1862" s="76"/>
      <c r="T1862" s="76"/>
      <c r="U1862" s="76"/>
      <c r="V1862" s="76"/>
      <c r="W1862" s="76"/>
      <c r="X1862" s="76"/>
      <c r="Y1862" s="76"/>
      <c r="Z1862" s="76"/>
      <c r="AA1862" s="76">
        <f t="shared" si="456"/>
        <v>0</v>
      </c>
      <c r="AB1862" s="76"/>
      <c r="AC1862" s="76"/>
      <c r="AD1862" s="76"/>
      <c r="AE1862" s="76"/>
      <c r="AF1862" s="76"/>
      <c r="AG1862" s="76"/>
      <c r="AH1862" s="76">
        <v>1</v>
      </c>
      <c r="AI1862" s="76">
        <v>1</v>
      </c>
      <c r="AJ1862" s="73"/>
      <c r="AK1862" s="57"/>
      <c r="AL1862" s="45"/>
      <c r="AM1862" s="45"/>
      <c r="AN1862" s="45"/>
    </row>
    <row r="1863" spans="1:40" hidden="1" outlineLevel="2" collapsed="1" x14ac:dyDescent="0.25">
      <c r="A1863" s="45"/>
      <c r="B1863" s="54"/>
      <c r="C1863" s="47">
        <f>INT($C$29)+2</f>
        <v>3</v>
      </c>
      <c r="D1863" s="73"/>
      <c r="E1863" s="70"/>
      <c r="F1863" s="70" t="s">
        <v>3587</v>
      </c>
      <c r="G1863" s="234"/>
      <c r="H1863" s="76" t="s">
        <v>3503</v>
      </c>
      <c r="I1863" s="76"/>
      <c r="J1863" s="76"/>
      <c r="K1863" s="76"/>
      <c r="L1863" s="76"/>
      <c r="M1863" s="76"/>
      <c r="N1863" s="76"/>
      <c r="O1863" s="76"/>
      <c r="P1863" s="76"/>
      <c r="Q1863" s="76"/>
      <c r="R1863" s="76"/>
      <c r="S1863" s="76"/>
      <c r="T1863" s="76"/>
      <c r="U1863" s="97">
        <v>5.5010000000000003E-2</v>
      </c>
      <c r="V1863" s="255">
        <f>U1863</f>
        <v>5.5010000000000003E-2</v>
      </c>
      <c r="W1863" s="255">
        <f t="shared" ref="W1863" si="457">U1863</f>
        <v>5.5010000000000003E-2</v>
      </c>
      <c r="X1863" s="255">
        <f t="shared" ref="X1863" si="458">V1863</f>
        <v>5.5010000000000003E-2</v>
      </c>
      <c r="Y1863" s="255">
        <f>V1863</f>
        <v>5.5010000000000003E-2</v>
      </c>
      <c r="Z1863" s="400">
        <f>AA1863</f>
        <v>5.5010000000000003E-2</v>
      </c>
      <c r="AA1863" s="97">
        <f t="shared" si="456"/>
        <v>5.5010000000000003E-2</v>
      </c>
      <c r="AB1863" s="400">
        <f t="shared" ref="AB1863" si="459">AA1863</f>
        <v>5.5010000000000003E-2</v>
      </c>
      <c r="AC1863" s="400">
        <f t="shared" ref="AC1863" si="460">AB1863</f>
        <v>5.5010000000000003E-2</v>
      </c>
      <c r="AD1863" s="400">
        <f t="shared" ref="AD1863" si="461">AC1863</f>
        <v>5.5010000000000003E-2</v>
      </c>
      <c r="AE1863" s="76"/>
      <c r="AF1863" s="76"/>
      <c r="AG1863" s="76"/>
      <c r="AH1863" s="97">
        <v>1</v>
      </c>
      <c r="AI1863" s="97">
        <v>1</v>
      </c>
      <c r="AJ1863" s="73"/>
      <c r="AK1863" s="57"/>
      <c r="AL1863" s="45"/>
      <c r="AM1863" s="45"/>
      <c r="AN1863" s="45"/>
    </row>
    <row r="1864" spans="1:40" hidden="1" outlineLevel="3" x14ac:dyDescent="0.25">
      <c r="A1864" s="45"/>
      <c r="B1864" s="54"/>
      <c r="C1864" s="47">
        <f>INT($C$29)+2</f>
        <v>3</v>
      </c>
      <c r="D1864" s="73"/>
      <c r="E1864" s="70"/>
      <c r="F1864" s="70" t="s">
        <v>3588</v>
      </c>
      <c r="G1864" s="234"/>
      <c r="H1864" s="76" t="s">
        <v>3497</v>
      </c>
      <c r="I1864" s="76"/>
      <c r="J1864" s="76"/>
      <c r="K1864" s="76"/>
      <c r="L1864" s="76"/>
      <c r="M1864" s="76"/>
      <c r="N1864" s="76"/>
      <c r="O1864" s="76"/>
      <c r="P1864" s="76"/>
      <c r="Q1864" s="76"/>
      <c r="R1864" s="76"/>
      <c r="S1864" s="76"/>
      <c r="T1864" s="76"/>
      <c r="U1864" s="76"/>
      <c r="V1864" s="76"/>
      <c r="W1864" s="76"/>
      <c r="X1864" s="76"/>
      <c r="Y1864" s="76"/>
      <c r="Z1864" s="76"/>
      <c r="AA1864" s="76">
        <f t="shared" si="456"/>
        <v>0</v>
      </c>
      <c r="AB1864" s="76"/>
      <c r="AC1864" s="76"/>
      <c r="AD1864" s="76"/>
      <c r="AE1864" s="76"/>
      <c r="AF1864" s="76"/>
      <c r="AG1864" s="76"/>
      <c r="AH1864" s="76">
        <v>1</v>
      </c>
      <c r="AI1864" s="76">
        <v>1</v>
      </c>
      <c r="AJ1864" s="73"/>
      <c r="AK1864" s="57"/>
      <c r="AL1864" s="45"/>
      <c r="AM1864" s="45"/>
      <c r="AN1864" s="45"/>
    </row>
    <row r="1865" spans="1:40" hidden="1" outlineLevel="2" x14ac:dyDescent="0.25">
      <c r="A1865" s="45"/>
      <c r="B1865" s="54"/>
      <c r="C1865" s="47">
        <f t="shared" ref="C1865:C1872" si="462">INT($C$29)+3</f>
        <v>4</v>
      </c>
      <c r="D1865" s="73"/>
      <c r="E1865" s="70"/>
      <c r="F1865" s="70" t="s">
        <v>3589</v>
      </c>
      <c r="G1865" s="234"/>
      <c r="H1865" s="76" t="s">
        <v>3504</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56"/>
        <v>0.14710000000000001</v>
      </c>
      <c r="AB1865" s="400">
        <f t="shared" ref="AB1865:AB1866" si="463">AA1865</f>
        <v>0.14710000000000001</v>
      </c>
      <c r="AC1865" s="400">
        <f t="shared" ref="AC1865:AC1866" si="464">AB1865</f>
        <v>0.14710000000000001</v>
      </c>
      <c r="AD1865" s="400">
        <f t="shared" ref="AD1865:AD1866" si="465">AC1865</f>
        <v>0.14710000000000001</v>
      </c>
      <c r="AE1865" s="76"/>
      <c r="AF1865" s="76"/>
      <c r="AG1865" s="76"/>
      <c r="AH1865" s="97">
        <v>1</v>
      </c>
      <c r="AI1865" s="97">
        <v>1</v>
      </c>
      <c r="AJ1865" s="73"/>
      <c r="AK1865" s="57"/>
      <c r="AL1865" s="45"/>
      <c r="AM1865" s="45"/>
      <c r="AN1865" s="45"/>
    </row>
    <row r="1866" spans="1:40" hidden="1" outlineLevel="2" collapsed="1" x14ac:dyDescent="0.25">
      <c r="A1866" s="45"/>
      <c r="B1866" s="54"/>
      <c r="C1866" s="47">
        <f t="shared" si="462"/>
        <v>4</v>
      </c>
      <c r="D1866" s="73"/>
      <c r="E1866" s="70"/>
      <c r="F1866" s="70" t="s">
        <v>3590</v>
      </c>
      <c r="G1866" s="234"/>
      <c r="H1866" s="76" t="s">
        <v>3498</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56"/>
        <v>-3.7910000000000001E-3</v>
      </c>
      <c r="AB1866" s="400">
        <f t="shared" si="463"/>
        <v>-3.7910000000000001E-3</v>
      </c>
      <c r="AC1866" s="400">
        <f t="shared" si="464"/>
        <v>-3.7910000000000001E-3</v>
      </c>
      <c r="AD1866" s="400">
        <f t="shared" si="465"/>
        <v>-3.7910000000000001E-3</v>
      </c>
      <c r="AE1866" s="76"/>
      <c r="AF1866" s="76"/>
      <c r="AG1866" s="76"/>
      <c r="AH1866" s="97">
        <v>1</v>
      </c>
      <c r="AI1866" s="97">
        <v>1</v>
      </c>
      <c r="AJ1866" s="73"/>
      <c r="AK1866" s="57"/>
      <c r="AL1866" s="45"/>
      <c r="AM1866" s="45"/>
      <c r="AN1866" s="45"/>
    </row>
    <row r="1867" spans="1:40" hidden="1" outlineLevel="3" x14ac:dyDescent="0.25">
      <c r="A1867" s="45"/>
      <c r="B1867" s="54"/>
      <c r="C1867" s="47">
        <f t="shared" si="462"/>
        <v>4</v>
      </c>
      <c r="D1867" s="73"/>
      <c r="E1867" s="70"/>
      <c r="F1867" s="70" t="str">
        <f>SUBSTITUTE(F1863,",4)",",8)")</f>
        <v>C(U6,8,8)</v>
      </c>
      <c r="G1867" s="73"/>
      <c r="H1867" s="76" t="s">
        <v>3505</v>
      </c>
      <c r="I1867" s="96"/>
      <c r="J1867" s="76"/>
      <c r="K1867" s="76"/>
      <c r="L1867" s="76"/>
      <c r="M1867" s="76"/>
      <c r="N1867" s="76"/>
      <c r="O1867" s="76"/>
      <c r="P1867" s="76"/>
      <c r="Q1867" s="76"/>
      <c r="R1867" s="76"/>
      <c r="S1867" s="76"/>
      <c r="T1867" s="76"/>
      <c r="U1867" s="76"/>
      <c r="V1867" s="76"/>
      <c r="W1867" s="76"/>
      <c r="X1867" s="76"/>
      <c r="Y1867" s="76"/>
      <c r="Z1867" s="76"/>
      <c r="AA1867" s="76">
        <f t="shared" si="456"/>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62"/>
        <v>4</v>
      </c>
      <c r="D1868" s="73"/>
      <c r="E1868" s="70"/>
      <c r="F1868" s="70" t="str">
        <f>SUBSTITUTE(F1864,",5)",",9)")</f>
        <v>C(U6,8,9)</v>
      </c>
      <c r="G1868" s="73"/>
      <c r="H1868" s="76" t="s">
        <v>3499</v>
      </c>
      <c r="I1868" s="96"/>
      <c r="J1868" s="76"/>
      <c r="K1868" s="76"/>
      <c r="L1868" s="76"/>
      <c r="M1868" s="76"/>
      <c r="N1868" s="76"/>
      <c r="O1868" s="76"/>
      <c r="P1868" s="76"/>
      <c r="Q1868" s="76"/>
      <c r="R1868" s="76"/>
      <c r="S1868" s="76"/>
      <c r="T1868" s="76"/>
      <c r="U1868" s="76"/>
      <c r="V1868" s="76"/>
      <c r="W1868" s="76"/>
      <c r="X1868" s="76"/>
      <c r="Y1868" s="76"/>
      <c r="Z1868" s="76"/>
      <c r="AA1868" s="76">
        <f t="shared" si="456"/>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62"/>
        <v>4</v>
      </c>
      <c r="D1869" s="73"/>
      <c r="E1869" s="70"/>
      <c r="F1869" s="70" t="str">
        <f>SUBSTITUTE(F1865,",6)",",10)")</f>
        <v>C(U6,8,10)</v>
      </c>
      <c r="G1869" s="73"/>
      <c r="H1869" s="76" t="s">
        <v>3506</v>
      </c>
      <c r="I1869" s="96"/>
      <c r="J1869" s="76"/>
      <c r="K1869" s="76"/>
      <c r="L1869" s="76"/>
      <c r="M1869" s="76"/>
      <c r="N1869" s="76"/>
      <c r="O1869" s="76"/>
      <c r="P1869" s="76"/>
      <c r="Q1869" s="76"/>
      <c r="R1869" s="76"/>
      <c r="S1869" s="76"/>
      <c r="T1869" s="76"/>
      <c r="U1869" s="76"/>
      <c r="V1869" s="76"/>
      <c r="W1869" s="76"/>
      <c r="X1869" s="76"/>
      <c r="Y1869" s="76"/>
      <c r="Z1869" s="76"/>
      <c r="AA1869" s="76">
        <f t="shared" si="456"/>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62"/>
        <v>4</v>
      </c>
      <c r="D1870" s="73"/>
      <c r="E1870" s="70"/>
      <c r="F1870" s="70" t="str">
        <f>SUBSTITUTE(F1866,",7)",",11)")</f>
        <v>C(U6,8,11)</v>
      </c>
      <c r="G1870" s="73"/>
      <c r="H1870" s="76" t="s">
        <v>3500</v>
      </c>
      <c r="I1870" s="96"/>
      <c r="J1870" s="76"/>
      <c r="K1870" s="76"/>
      <c r="L1870" s="76"/>
      <c r="M1870" s="76"/>
      <c r="N1870" s="76"/>
      <c r="O1870" s="76"/>
      <c r="P1870" s="76"/>
      <c r="Q1870" s="76"/>
      <c r="R1870" s="76"/>
      <c r="S1870" s="76"/>
      <c r="T1870" s="76"/>
      <c r="U1870" s="76"/>
      <c r="V1870" s="76"/>
      <c r="W1870" s="76"/>
      <c r="X1870" s="76"/>
      <c r="Y1870" s="76"/>
      <c r="Z1870" s="76"/>
      <c r="AA1870" s="76">
        <f t="shared" si="456"/>
        <v>0</v>
      </c>
      <c r="AB1870" s="76"/>
      <c r="AC1870" s="76"/>
      <c r="AD1870" s="76"/>
      <c r="AE1870" s="76"/>
      <c r="AF1870" s="76"/>
      <c r="AG1870" s="76"/>
      <c r="AH1870" s="76">
        <v>1</v>
      </c>
      <c r="AI1870" s="76">
        <v>1</v>
      </c>
      <c r="AJ1870" s="73"/>
      <c r="AK1870" s="57"/>
      <c r="AL1870" s="45"/>
      <c r="AM1870" s="45"/>
      <c r="AN1870" s="45"/>
    </row>
    <row r="1871" spans="1:40" hidden="1" outlineLevel="2" collapsed="1" x14ac:dyDescent="0.25">
      <c r="A1871" s="45"/>
      <c r="B1871" s="54"/>
      <c r="C1871" s="47">
        <f t="shared" si="462"/>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66">U1871</f>
        <v>-7.9950000000000004E-3</v>
      </c>
      <c r="X1871" s="255">
        <f t="shared" ref="X1871" si="467">V1871</f>
        <v>-7.9950000000000004E-3</v>
      </c>
      <c r="Y1871" s="255">
        <f>V1871</f>
        <v>-7.9950000000000004E-3</v>
      </c>
      <c r="Z1871" s="400">
        <f>AA1871</f>
        <v>-7.9950000000000004E-3</v>
      </c>
      <c r="AA1871" s="97">
        <f t="shared" si="456"/>
        <v>-7.9950000000000004E-3</v>
      </c>
      <c r="AB1871" s="400">
        <f t="shared" ref="AB1871" si="468">AA1871</f>
        <v>-7.9950000000000004E-3</v>
      </c>
      <c r="AC1871" s="400">
        <f t="shared" ref="AC1871" si="469">AB1871</f>
        <v>-7.9950000000000004E-3</v>
      </c>
      <c r="AD1871" s="400">
        <f t="shared" ref="AD1871" si="470">AC1871</f>
        <v>-7.9950000000000004E-3</v>
      </c>
      <c r="AE1871" s="76"/>
      <c r="AF1871" s="76"/>
      <c r="AG1871" s="76"/>
      <c r="AH1871" s="97">
        <v>1</v>
      </c>
      <c r="AI1871" s="97">
        <v>1</v>
      </c>
      <c r="AJ1871" s="73"/>
      <c r="AK1871" s="57"/>
      <c r="AL1871" s="45"/>
      <c r="AM1871" s="45"/>
      <c r="AN1871" s="45"/>
    </row>
    <row r="1872" spans="1:40" hidden="1" outlineLevel="3" x14ac:dyDescent="0.25">
      <c r="A1872" s="45"/>
      <c r="B1872" s="54"/>
      <c r="C1872" s="47">
        <f t="shared" si="462"/>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56"/>
        <v>0</v>
      </c>
      <c r="AB1872" s="76"/>
      <c r="AC1872" s="76"/>
      <c r="AD1872" s="76"/>
      <c r="AE1872" s="76"/>
      <c r="AF1872" s="76"/>
      <c r="AG1872" s="76"/>
      <c r="AH1872" s="76">
        <v>1</v>
      </c>
      <c r="AI1872" s="76">
        <v>1</v>
      </c>
      <c r="AJ1872" s="73"/>
      <c r="AK1872" s="57"/>
      <c r="AL1872" s="45"/>
      <c r="AM1872" s="45"/>
      <c r="AN1872" s="45"/>
    </row>
    <row r="1873" spans="1:40" hidden="1" outlineLevel="2" collapsed="1" x14ac:dyDescent="0.25">
      <c r="A1873" s="45"/>
      <c r="B1873" s="54"/>
      <c r="C1873" s="47">
        <f>INT($C$29)+2</f>
        <v>3</v>
      </c>
      <c r="D1873" s="73"/>
      <c r="E1873" s="406"/>
      <c r="F1873" s="406" t="s">
        <v>3591</v>
      </c>
      <c r="G1873" s="407"/>
      <c r="H1873" s="184" t="s">
        <v>3509</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71">V1873</f>
        <v>-6.7655397499999994</v>
      </c>
      <c r="X1873" s="410">
        <f t="shared" si="471"/>
        <v>-6.7655397499999994</v>
      </c>
      <c r="Y1873" s="410">
        <f t="shared" si="471"/>
        <v>-6.7655397499999994</v>
      </c>
      <c r="Z1873" s="410">
        <f>AA1873</f>
        <v>-6.7655397499999994</v>
      </c>
      <c r="AA1873" s="409">
        <f t="shared" si="456"/>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25">
      <c r="A1874" s="45"/>
      <c r="B1874" s="54"/>
      <c r="C1874" s="47">
        <f t="shared" ref="C1874:C1878" si="472">INT($C$29)+3</f>
        <v>4</v>
      </c>
      <c r="D1874" s="73"/>
      <c r="E1874" s="70"/>
      <c r="F1874" s="70" t="s">
        <v>3597</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72"/>
        <v>4</v>
      </c>
      <c r="D1875" s="73"/>
      <c r="E1875" s="70"/>
      <c r="F1875" s="70" t="s">
        <v>3598</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72"/>
        <v>4</v>
      </c>
      <c r="D1876" s="73"/>
      <c r="E1876" s="70"/>
      <c r="F1876" s="70" t="s">
        <v>3599</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72"/>
        <v>4</v>
      </c>
      <c r="D1877" s="73"/>
      <c r="E1877" s="70"/>
      <c r="F1877" s="70" t="s">
        <v>3600</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72"/>
        <v>4</v>
      </c>
      <c r="D1878" s="73"/>
      <c r="E1878" s="70"/>
      <c r="F1878" s="70" t="s">
        <v>3601</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3602</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3603</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3604</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ref="C1882:C1893" si="473">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73"/>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73"/>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73"/>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73"/>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73"/>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73"/>
        <v>4</v>
      </c>
      <c r="D1888" s="73"/>
      <c r="E1888" s="70"/>
      <c r="F1888" s="70" t="s">
        <v>3605</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73"/>
        <v>4</v>
      </c>
      <c r="D1889" s="73"/>
      <c r="E1889" s="70"/>
      <c r="F1889" s="70" t="s">
        <v>3606</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73"/>
        <v>4</v>
      </c>
      <c r="D1890" s="73"/>
      <c r="E1890" s="70"/>
      <c r="F1890" s="70" t="s">
        <v>3607</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73"/>
        <v>4</v>
      </c>
      <c r="D1891" s="73"/>
      <c r="E1891" s="70"/>
      <c r="F1891" s="70" t="s">
        <v>3608</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73"/>
        <v>4</v>
      </c>
      <c r="D1892" s="73"/>
      <c r="E1892" s="70"/>
      <c r="F1892" s="70" t="s">
        <v>3609</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73"/>
        <v>4</v>
      </c>
      <c r="D1893" s="73"/>
      <c r="E1893" s="70"/>
      <c r="F1893" s="70" t="s">
        <v>3610</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3611</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3612</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3613</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ref="C1897:C1908" si="474">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74"/>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74"/>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74"/>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74"/>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74"/>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74"/>
        <v>4</v>
      </c>
      <c r="D1903" s="73"/>
      <c r="E1903" s="70"/>
      <c r="F1903" s="70" t="s">
        <v>3614</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74"/>
        <v>4</v>
      </c>
      <c r="D1904" s="73"/>
      <c r="E1904" s="70"/>
      <c r="F1904" s="70" t="s">
        <v>3615</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74"/>
        <v>4</v>
      </c>
      <c r="D1905" s="73"/>
      <c r="E1905" s="70"/>
      <c r="F1905" s="70" t="s">
        <v>3616</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74"/>
        <v>4</v>
      </c>
      <c r="D1906" s="73"/>
      <c r="E1906" s="70"/>
      <c r="F1906" s="70" t="s">
        <v>3617</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74"/>
        <v>4</v>
      </c>
      <c r="D1907" s="73"/>
      <c r="E1907" s="70"/>
      <c r="F1907" s="70" t="s">
        <v>3618</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74"/>
        <v>4</v>
      </c>
      <c r="D1908" s="73"/>
      <c r="E1908" s="70"/>
      <c r="F1908" s="70" t="s">
        <v>3619</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3620</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3621</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3622</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ref="C1912:C1923" si="475">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75"/>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75"/>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75"/>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75"/>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75"/>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75"/>
        <v>4</v>
      </c>
      <c r="D1918" s="73"/>
      <c r="E1918" s="70"/>
      <c r="F1918" s="70" t="s">
        <v>3623</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75"/>
        <v>4</v>
      </c>
      <c r="D1919" s="73"/>
      <c r="E1919" s="70"/>
      <c r="F1919" s="70" t="s">
        <v>3624</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75"/>
        <v>4</v>
      </c>
      <c r="D1920" s="73"/>
      <c r="E1920" s="70"/>
      <c r="F1920" s="70" t="s">
        <v>3625</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75"/>
        <v>4</v>
      </c>
      <c r="D1921" s="73"/>
      <c r="E1921" s="70"/>
      <c r="F1921" s="70" t="s">
        <v>3626</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75"/>
        <v>4</v>
      </c>
      <c r="D1922" s="73"/>
      <c r="E1922" s="70"/>
      <c r="F1922" s="70" t="s">
        <v>3627</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75"/>
        <v>4</v>
      </c>
      <c r="D1923" s="73"/>
      <c r="E1923" s="70"/>
      <c r="F1923" s="70" t="s">
        <v>3628</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3629</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3630</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3631</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ref="C1927:C1938" si="476">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76"/>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76"/>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76"/>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76"/>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76"/>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76"/>
        <v>4</v>
      </c>
      <c r="D1933" s="73"/>
      <c r="E1933" s="70"/>
      <c r="F1933" s="70" t="s">
        <v>3632</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76"/>
        <v>4</v>
      </c>
      <c r="D1934" s="73"/>
      <c r="E1934" s="70"/>
      <c r="F1934" s="70" t="s">
        <v>3633</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76"/>
        <v>4</v>
      </c>
      <c r="D1935" s="73"/>
      <c r="E1935" s="70"/>
      <c r="F1935" s="70" t="s">
        <v>3634</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76"/>
        <v>4</v>
      </c>
      <c r="D1936" s="73"/>
      <c r="E1936" s="70"/>
      <c r="F1936" s="70" t="s">
        <v>3635</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76"/>
        <v>4</v>
      </c>
      <c r="D1937" s="73"/>
      <c r="E1937" s="70"/>
      <c r="F1937" s="70" t="s">
        <v>3636</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76"/>
        <v>4</v>
      </c>
      <c r="D1938" s="73"/>
      <c r="E1938" s="70"/>
      <c r="F1938" s="70" t="s">
        <v>3637</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3638</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3639</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3640</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ref="C1942:C1953" si="477">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77"/>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77"/>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77"/>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77"/>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77"/>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77"/>
        <v>4</v>
      </c>
      <c r="D1948" s="73"/>
      <c r="E1948" s="70"/>
      <c r="F1948" s="70" t="s">
        <v>3641</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77"/>
        <v>4</v>
      </c>
      <c r="D1949" s="73"/>
      <c r="E1949" s="70"/>
      <c r="F1949" s="70" t="s">
        <v>3642</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77"/>
        <v>4</v>
      </c>
      <c r="D1950" s="73"/>
      <c r="E1950" s="70"/>
      <c r="F1950" s="70" t="s">
        <v>3643</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77"/>
        <v>4</v>
      </c>
      <c r="D1951" s="73"/>
      <c r="E1951" s="70"/>
      <c r="F1951" s="70" t="s">
        <v>3644</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77"/>
        <v>4</v>
      </c>
      <c r="D1952" s="73"/>
      <c r="E1952" s="70"/>
      <c r="F1952" s="70" t="s">
        <v>3645</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77"/>
        <v>4</v>
      </c>
      <c r="D1953" s="73"/>
      <c r="E1953" s="70"/>
      <c r="F1953" s="70" t="s">
        <v>3646</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3647</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3648</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3649</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ref="C1957:C1968" si="478">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78"/>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78"/>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78"/>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78"/>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78"/>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78"/>
        <v>4</v>
      </c>
      <c r="D1963" s="73"/>
      <c r="E1963" s="70"/>
      <c r="F1963" s="70" t="s">
        <v>3650</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78"/>
        <v>4</v>
      </c>
      <c r="D1964" s="73"/>
      <c r="E1964" s="70"/>
      <c r="F1964" s="70" t="s">
        <v>3651</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78"/>
        <v>4</v>
      </c>
      <c r="D1965" s="73"/>
      <c r="E1965" s="70"/>
      <c r="F1965" s="70" t="s">
        <v>3652</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78"/>
        <v>4</v>
      </c>
      <c r="D1966" s="73"/>
      <c r="E1966" s="70"/>
      <c r="F1966" s="70" t="s">
        <v>3653</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78"/>
        <v>4</v>
      </c>
      <c r="D1967" s="73"/>
      <c r="E1967" s="70"/>
      <c r="F1967" s="70" t="s">
        <v>3654</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78"/>
        <v>4</v>
      </c>
      <c r="D1968" s="73"/>
      <c r="E1968" s="70"/>
      <c r="F1968" s="70" t="s">
        <v>3655</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3656</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3657</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3658</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ref="C1976:C1977" si="479">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si="479"/>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INT($C$29)+3</f>
        <v>4</v>
      </c>
      <c r="D1978" s="73"/>
      <c r="E1978" s="398"/>
      <c r="F1978" s="398" t="s">
        <v>3659</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25">
      <c r="A1979" s="45"/>
      <c r="B1979" s="54"/>
      <c r="C1979" s="47">
        <f t="shared" ref="C1979:C1983" si="480">INT($C$29)+3</f>
        <v>4</v>
      </c>
      <c r="D1979" s="73"/>
      <c r="E1979" s="70"/>
      <c r="F1979" s="70" t="s">
        <v>3660</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80"/>
        <v>4</v>
      </c>
      <c r="D1980" s="73"/>
      <c r="E1980" s="70"/>
      <c r="F1980" s="70" t="s">
        <v>3661</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80"/>
        <v>4</v>
      </c>
      <c r="D1981" s="73"/>
      <c r="E1981" s="70"/>
      <c r="F1981" s="70" t="s">
        <v>3662</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80"/>
        <v>4</v>
      </c>
      <c r="D1982" s="73"/>
      <c r="E1982" s="70"/>
      <c r="F1982" s="70" t="s">
        <v>3663</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80"/>
        <v>4</v>
      </c>
      <c r="D1983" s="73"/>
      <c r="E1983" s="70"/>
      <c r="F1983" s="70" t="s">
        <v>3664</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3665</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3666</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3667</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ref="C1987:C1998" si="481">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81"/>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81"/>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81"/>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81"/>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81"/>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81"/>
        <v>4</v>
      </c>
      <c r="D1993" s="73"/>
      <c r="E1993" s="70"/>
      <c r="F1993" s="70" t="s">
        <v>3668</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81"/>
        <v>4</v>
      </c>
      <c r="D1994" s="73"/>
      <c r="E1994" s="70"/>
      <c r="F1994" s="70" t="s">
        <v>3669</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81"/>
        <v>4</v>
      </c>
      <c r="D1995" s="73"/>
      <c r="E1995" s="70"/>
      <c r="F1995" s="70" t="s">
        <v>3670</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81"/>
        <v>4</v>
      </c>
      <c r="D1996" s="73"/>
      <c r="E1996" s="70"/>
      <c r="F1996" s="70" t="s">
        <v>3671</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81"/>
        <v>4</v>
      </c>
      <c r="D1997" s="73"/>
      <c r="E1997" s="70"/>
      <c r="F1997" s="70" t="s">
        <v>3672</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81"/>
        <v>4</v>
      </c>
      <c r="D1998" s="73"/>
      <c r="E1998" s="70"/>
      <c r="F1998" s="70" t="s">
        <v>3673</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3674</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3675</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3676</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ref="C2002:C2013" si="482">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82"/>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82"/>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82"/>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82"/>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82"/>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82"/>
        <v>4</v>
      </c>
      <c r="D2008" s="73"/>
      <c r="E2008" s="70"/>
      <c r="F2008" s="70" t="s">
        <v>3677</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82"/>
        <v>4</v>
      </c>
      <c r="D2009" s="73"/>
      <c r="E2009" s="70"/>
      <c r="F2009" s="70" t="s">
        <v>3678</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82"/>
        <v>4</v>
      </c>
      <c r="D2010" s="73"/>
      <c r="E2010" s="70"/>
      <c r="F2010" s="70" t="s">
        <v>3679</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82"/>
        <v>4</v>
      </c>
      <c r="D2011" s="73"/>
      <c r="E2011" s="70"/>
      <c r="F2011" s="70" t="s">
        <v>3680</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82"/>
        <v>4</v>
      </c>
      <c r="D2012" s="73"/>
      <c r="E2012" s="70"/>
      <c r="F2012" s="70" t="s">
        <v>3681</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82"/>
        <v>4</v>
      </c>
      <c r="D2013" s="73"/>
      <c r="E2013" s="70"/>
      <c r="F2013" s="70" t="s">
        <v>3682</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3683</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3684</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3685</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ref="C2017:C2028" si="483">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83"/>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83"/>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83"/>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83"/>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83"/>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83"/>
        <v>4</v>
      </c>
      <c r="D2023" s="73"/>
      <c r="E2023" s="70"/>
      <c r="F2023" s="70" t="s">
        <v>3686</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83"/>
        <v>4</v>
      </c>
      <c r="D2024" s="73"/>
      <c r="E2024" s="70"/>
      <c r="F2024" s="70" t="s">
        <v>3687</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83"/>
        <v>4</v>
      </c>
      <c r="D2025" s="73"/>
      <c r="E2025" s="70"/>
      <c r="F2025" s="70" t="s">
        <v>3688</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83"/>
        <v>4</v>
      </c>
      <c r="D2026" s="73"/>
      <c r="E2026" s="70"/>
      <c r="F2026" s="70" t="s">
        <v>3689</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83"/>
        <v>4</v>
      </c>
      <c r="D2027" s="73"/>
      <c r="E2027" s="70"/>
      <c r="F2027" s="70" t="s">
        <v>3690</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83"/>
        <v>4</v>
      </c>
      <c r="D2028" s="73"/>
      <c r="E2028" s="70"/>
      <c r="F2028" s="70" t="s">
        <v>3691</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3692</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3693</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3694</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ref="C2032:C2043" si="484">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84"/>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84"/>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84"/>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84"/>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84"/>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84"/>
        <v>4</v>
      </c>
      <c r="D2038" s="73"/>
      <c r="E2038" s="70"/>
      <c r="F2038" s="70" t="s">
        <v>3695</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84"/>
        <v>4</v>
      </c>
      <c r="D2039" s="73"/>
      <c r="E2039" s="70"/>
      <c r="F2039" s="70" t="s">
        <v>3696</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84"/>
        <v>4</v>
      </c>
      <c r="D2040" s="73"/>
      <c r="E2040" s="70"/>
      <c r="F2040" s="70" t="s">
        <v>3697</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84"/>
        <v>4</v>
      </c>
      <c r="D2041" s="73"/>
      <c r="E2041" s="70"/>
      <c r="F2041" s="70" t="s">
        <v>3698</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84"/>
        <v>4</v>
      </c>
      <c r="D2042" s="73"/>
      <c r="E2042" s="70"/>
      <c r="F2042" s="70" t="s">
        <v>3699</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84"/>
        <v>4</v>
      </c>
      <c r="D2043" s="73"/>
      <c r="E2043" s="70"/>
      <c r="F2043" s="70" t="s">
        <v>3700</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3701</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3702</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3703</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ref="C2047:C2058" si="485">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85"/>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85"/>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85"/>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85"/>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85"/>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85"/>
        <v>4</v>
      </c>
      <c r="D2053" s="73"/>
      <c r="E2053" s="70"/>
      <c r="F2053" s="70" t="s">
        <v>3704</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85"/>
        <v>4</v>
      </c>
      <c r="D2054" s="73"/>
      <c r="E2054" s="70"/>
      <c r="F2054" s="70" t="s">
        <v>3705</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85"/>
        <v>4</v>
      </c>
      <c r="D2055" s="73"/>
      <c r="E2055" s="70"/>
      <c r="F2055" s="70" t="s">
        <v>3706</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85"/>
        <v>4</v>
      </c>
      <c r="D2056" s="73"/>
      <c r="E2056" s="70"/>
      <c r="F2056" s="70" t="s">
        <v>3707</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85"/>
        <v>4</v>
      </c>
      <c r="D2057" s="73"/>
      <c r="E2057" s="70"/>
      <c r="F2057" s="70" t="s">
        <v>3708</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85"/>
        <v>4</v>
      </c>
      <c r="D2058" s="73"/>
      <c r="E2058" s="70"/>
      <c r="F2058" s="70" t="s">
        <v>3709</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3710</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3711</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3712</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ref="C2062:C2073" si="486">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86"/>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86"/>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86"/>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86"/>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86"/>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86"/>
        <v>4</v>
      </c>
      <c r="D2068" s="73"/>
      <c r="E2068" s="70"/>
      <c r="F2068" s="70" t="s">
        <v>3713</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86"/>
        <v>4</v>
      </c>
      <c r="D2069" s="73"/>
      <c r="E2069" s="70"/>
      <c r="F2069" s="70" t="s">
        <v>3714</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86"/>
        <v>4</v>
      </c>
      <c r="D2070" s="73"/>
      <c r="E2070" s="70"/>
      <c r="F2070" s="70" t="s">
        <v>3715</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86"/>
        <v>4</v>
      </c>
      <c r="D2071" s="73"/>
      <c r="E2071" s="70"/>
      <c r="F2071" s="70" t="s">
        <v>3716</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86"/>
        <v>4</v>
      </c>
      <c r="D2072" s="73"/>
      <c r="E2072" s="70"/>
      <c r="F2072" s="70" t="s">
        <v>3717</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86"/>
        <v>4</v>
      </c>
      <c r="D2073" s="73"/>
      <c r="E2073" s="70"/>
      <c r="F2073" s="70" t="s">
        <v>3718</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3719</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3720</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3721</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ref="C2081:C2082" si="487">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si="487"/>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INT($C$29)+3</f>
        <v>4</v>
      </c>
      <c r="D2083" s="73"/>
      <c r="E2083" s="398"/>
      <c r="F2083" s="398" t="s">
        <v>3722</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25">
      <c r="A2084" s="45"/>
      <c r="B2084" s="54"/>
      <c r="C2084" s="47">
        <f>INT($C$29)+2</f>
        <v>3</v>
      </c>
      <c r="D2084" s="73"/>
      <c r="E2084" s="70"/>
      <c r="F2084" s="70" t="s">
        <v>3723</v>
      </c>
      <c r="G2084" s="73"/>
      <c r="H2084" s="76" t="s">
        <v>3352</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88">U2084</f>
        <v>-1.0469999999999999</v>
      </c>
      <c r="X2084" s="255">
        <f t="shared" ref="X2084:X2085" si="489">V2084</f>
        <v>-1.0469999999999999</v>
      </c>
      <c r="Y2084" s="255">
        <f>V2084</f>
        <v>-1.0469999999999999</v>
      </c>
      <c r="Z2084" s="255">
        <f>AA2084</f>
        <v>-1.0469999999999999</v>
      </c>
      <c r="AA2084" s="97">
        <f>U2084</f>
        <v>-1.0469999999999999</v>
      </c>
      <c r="AB2084" s="255">
        <f t="shared" ref="AB2084:AB2085" si="490">AA2084</f>
        <v>-1.0469999999999999</v>
      </c>
      <c r="AC2084" s="255">
        <f t="shared" ref="AC2084:AC2085" si="491">AB2084</f>
        <v>-1.0469999999999999</v>
      </c>
      <c r="AD2084" s="255">
        <f t="shared" ref="AD2084:AD2085" si="492">AC2084</f>
        <v>-1.0469999999999999</v>
      </c>
      <c r="AE2084" s="76"/>
      <c r="AF2084" s="97" t="s">
        <v>3596</v>
      </c>
      <c r="AG2084" s="76"/>
      <c r="AH2084" s="76">
        <v>1</v>
      </c>
      <c r="AI2084" s="76">
        <v>1</v>
      </c>
      <c r="AJ2084" s="73"/>
      <c r="AK2084" s="57"/>
      <c r="AL2084" s="45"/>
      <c r="AM2084" s="45"/>
      <c r="AN2084" s="45"/>
    </row>
    <row r="2085" spans="1:40" hidden="1" outlineLevel="2" collapsed="1" x14ac:dyDescent="0.25">
      <c r="A2085" s="45"/>
      <c r="B2085" s="54"/>
      <c r="C2085" s="47">
        <f>INT($C$29)+2</f>
        <v>3</v>
      </c>
      <c r="D2085" s="73"/>
      <c r="E2085" s="70"/>
      <c r="F2085" s="70" t="s">
        <v>3724</v>
      </c>
      <c r="G2085" s="73"/>
      <c r="H2085" s="76" t="s">
        <v>3353</v>
      </c>
      <c r="I2085" s="76"/>
      <c r="J2085" s="76"/>
      <c r="K2085" s="76"/>
      <c r="L2085" s="76"/>
      <c r="M2085" s="76"/>
      <c r="N2085" s="76"/>
      <c r="O2085" s="76"/>
      <c r="P2085" s="76"/>
      <c r="Q2085" s="76"/>
      <c r="R2085" s="76"/>
      <c r="S2085" s="76"/>
      <c r="T2085" s="76"/>
      <c r="U2085" s="97">
        <v>7.5389999999999997E-3</v>
      </c>
      <c r="V2085" s="255">
        <f>U2085</f>
        <v>7.5389999999999997E-3</v>
      </c>
      <c r="W2085" s="255">
        <f t="shared" si="488"/>
        <v>7.5389999999999997E-3</v>
      </c>
      <c r="X2085" s="255">
        <f t="shared" si="489"/>
        <v>7.5389999999999997E-3</v>
      </c>
      <c r="Y2085" s="255">
        <f>V2085</f>
        <v>7.5389999999999997E-3</v>
      </c>
      <c r="Z2085" s="255">
        <f>AA2085</f>
        <v>7.5389999999999997E-3</v>
      </c>
      <c r="AA2085" s="97">
        <f t="shared" ref="AA2085" si="493">U2085</f>
        <v>7.5389999999999997E-3</v>
      </c>
      <c r="AB2085" s="255">
        <f t="shared" si="490"/>
        <v>7.5389999999999997E-3</v>
      </c>
      <c r="AC2085" s="255">
        <f t="shared" si="491"/>
        <v>7.5389999999999997E-3</v>
      </c>
      <c r="AD2085" s="255">
        <f t="shared" si="492"/>
        <v>7.5389999999999997E-3</v>
      </c>
      <c r="AE2085" s="76"/>
      <c r="AF2085" s="97" t="s">
        <v>3354</v>
      </c>
      <c r="AG2085" s="76"/>
      <c r="AH2085" s="76">
        <v>1</v>
      </c>
      <c r="AI2085" s="76">
        <v>1</v>
      </c>
      <c r="AJ2085" s="73"/>
      <c r="AK2085" s="57"/>
      <c r="AL2085" s="45"/>
      <c r="AM2085" s="45"/>
      <c r="AN2085" s="45"/>
    </row>
    <row r="2086" spans="1:40" hidden="1" outlineLevel="3" x14ac:dyDescent="0.25">
      <c r="A2086" s="45"/>
      <c r="B2086" s="54"/>
      <c r="C2086" s="47">
        <f t="shared" ref="C2086:C2097" si="494">INT($C$29)+3</f>
        <v>4</v>
      </c>
      <c r="D2086" s="73"/>
      <c r="E2086" s="70"/>
      <c r="F2086" s="70" t="s">
        <v>3725</v>
      </c>
      <c r="G2086" s="73"/>
      <c r="H2086" s="373" t="s">
        <v>3502</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25">
      <c r="A2087" s="45"/>
      <c r="B2087" s="54"/>
      <c r="C2087" s="47">
        <f t="shared" si="494"/>
        <v>4</v>
      </c>
      <c r="D2087" s="73"/>
      <c r="E2087" s="70"/>
      <c r="F2087" s="70" t="s">
        <v>3726</v>
      </c>
      <c r="G2087" s="73"/>
      <c r="H2087" s="373" t="s">
        <v>3496</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collapsed="1" x14ac:dyDescent="0.25">
      <c r="A2088" s="45"/>
      <c r="B2088" s="54"/>
      <c r="C2088" s="47">
        <f t="shared" si="494"/>
        <v>4</v>
      </c>
      <c r="D2088" s="73"/>
      <c r="E2088" s="70"/>
      <c r="F2088" s="70" t="s">
        <v>3727</v>
      </c>
      <c r="G2088" s="73"/>
      <c r="H2088" s="76" t="s">
        <v>3592</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95">U2088</f>
        <v>-0.23419999999999999</v>
      </c>
      <c r="X2088" s="255">
        <f t="shared" ref="X2088:X2091" si="496">V2088</f>
        <v>-0.23419999999999999</v>
      </c>
      <c r="Y2088" s="255">
        <f>V2088</f>
        <v>-0.23419999999999999</v>
      </c>
      <c r="Z2088" s="255">
        <f>AA2088</f>
        <v>-0.23419999999999999</v>
      </c>
      <c r="AA2088" s="97">
        <f t="shared" ref="AA2088:AA2091" si="497">U2088</f>
        <v>-0.23419999999999999</v>
      </c>
      <c r="AB2088" s="255">
        <f t="shared" ref="AB2088:AB2091" si="498">AA2088</f>
        <v>-0.23419999999999999</v>
      </c>
      <c r="AC2088" s="255">
        <f t="shared" ref="AC2088:AC2091" si="499">AB2088</f>
        <v>-0.23419999999999999</v>
      </c>
      <c r="AD2088" s="255">
        <f t="shared" ref="AD2088:AD2091" si="500">AC2088</f>
        <v>-0.23419999999999999</v>
      </c>
      <c r="AE2088" s="76"/>
      <c r="AF2088" s="76"/>
      <c r="AG2088" s="76"/>
      <c r="AH2088" s="97">
        <v>1</v>
      </c>
      <c r="AI2088" s="97">
        <v>1</v>
      </c>
      <c r="AJ2088" s="73"/>
      <c r="AK2088" s="57"/>
      <c r="AL2088" s="45"/>
      <c r="AM2088" s="45"/>
      <c r="AN2088" s="45"/>
    </row>
    <row r="2089" spans="1:40" hidden="1" outlineLevel="3" x14ac:dyDescent="0.25">
      <c r="A2089" s="45"/>
      <c r="B2089" s="54"/>
      <c r="C2089" s="47">
        <f t="shared" si="494"/>
        <v>4</v>
      </c>
      <c r="D2089" s="73"/>
      <c r="E2089" s="70"/>
      <c r="F2089" s="70" t="s">
        <v>3728</v>
      </c>
      <c r="G2089" s="73"/>
      <c r="H2089" s="76" t="s">
        <v>3593</v>
      </c>
      <c r="I2089" s="76"/>
      <c r="J2089" s="76"/>
      <c r="K2089" s="76"/>
      <c r="L2089" s="76"/>
      <c r="M2089" s="76"/>
      <c r="N2089" s="76"/>
      <c r="O2089" s="76"/>
      <c r="P2089" s="76"/>
      <c r="Q2089" s="76"/>
      <c r="R2089" s="76"/>
      <c r="S2089" s="76"/>
      <c r="T2089" s="76"/>
      <c r="U2089" s="97"/>
      <c r="V2089" s="255">
        <f t="shared" ref="V2089" si="501">U2089</f>
        <v>0</v>
      </c>
      <c r="W2089" s="255">
        <f t="shared" si="495"/>
        <v>0</v>
      </c>
      <c r="X2089" s="255">
        <f t="shared" si="496"/>
        <v>0</v>
      </c>
      <c r="Y2089" s="255">
        <f t="shared" ref="Y2089" si="502">V2089</f>
        <v>0</v>
      </c>
      <c r="Z2089" s="255">
        <f t="shared" ref="Z2089" si="503">AA2089</f>
        <v>0</v>
      </c>
      <c r="AA2089" s="97">
        <f t="shared" si="497"/>
        <v>0</v>
      </c>
      <c r="AB2089" s="255">
        <f t="shared" si="498"/>
        <v>0</v>
      </c>
      <c r="AC2089" s="255">
        <f t="shared" si="499"/>
        <v>0</v>
      </c>
      <c r="AD2089" s="255">
        <f t="shared" si="500"/>
        <v>0</v>
      </c>
      <c r="AE2089" s="76"/>
      <c r="AF2089" s="76"/>
      <c r="AG2089" s="76"/>
      <c r="AH2089" s="76">
        <v>1</v>
      </c>
      <c r="AI2089" s="76">
        <v>1</v>
      </c>
      <c r="AJ2089" s="73"/>
      <c r="AK2089" s="57"/>
      <c r="AL2089" s="45"/>
      <c r="AM2089" s="45"/>
      <c r="AN2089" s="45"/>
    </row>
    <row r="2090" spans="1:40" hidden="1" outlineLevel="2" collapsed="1" x14ac:dyDescent="0.25">
      <c r="A2090" s="45"/>
      <c r="B2090" s="54"/>
      <c r="C2090" s="47">
        <f t="shared" si="494"/>
        <v>4</v>
      </c>
      <c r="D2090" s="73"/>
      <c r="E2090" s="70"/>
      <c r="F2090" s="70" t="s">
        <v>3729</v>
      </c>
      <c r="G2090" s="73"/>
      <c r="H2090" s="76" t="s">
        <v>3594</v>
      </c>
      <c r="I2090" s="76"/>
      <c r="J2090" s="76"/>
      <c r="K2090" s="76"/>
      <c r="L2090" s="76"/>
      <c r="M2090" s="76"/>
      <c r="N2090" s="76"/>
      <c r="O2090" s="76"/>
      <c r="P2090" s="76"/>
      <c r="Q2090" s="76"/>
      <c r="R2090" s="76"/>
      <c r="S2090" s="76"/>
      <c r="T2090" s="76"/>
      <c r="U2090" s="97">
        <v>-0.24959999999999999</v>
      </c>
      <c r="V2090" s="255">
        <f>U2090</f>
        <v>-0.24959999999999999</v>
      </c>
      <c r="W2090" s="255">
        <f t="shared" si="495"/>
        <v>-0.24959999999999999</v>
      </c>
      <c r="X2090" s="255">
        <f t="shared" si="496"/>
        <v>-0.24959999999999999</v>
      </c>
      <c r="Y2090" s="255">
        <f>V2090</f>
        <v>-0.24959999999999999</v>
      </c>
      <c r="Z2090" s="255">
        <f>AA2090</f>
        <v>-0.24959999999999999</v>
      </c>
      <c r="AA2090" s="97">
        <f t="shared" si="497"/>
        <v>-0.24959999999999999</v>
      </c>
      <c r="AB2090" s="255">
        <f t="shared" si="498"/>
        <v>-0.24959999999999999</v>
      </c>
      <c r="AC2090" s="255">
        <f t="shared" si="499"/>
        <v>-0.24959999999999999</v>
      </c>
      <c r="AD2090" s="255">
        <f t="shared" si="500"/>
        <v>-0.24959999999999999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494"/>
        <v>4</v>
      </c>
      <c r="D2091" s="73"/>
      <c r="E2091" s="70"/>
      <c r="F2091" s="70" t="s">
        <v>3730</v>
      </c>
      <c r="G2091" s="73"/>
      <c r="H2091" s="76" t="s">
        <v>3595</v>
      </c>
      <c r="I2091" s="76"/>
      <c r="J2091" s="76"/>
      <c r="K2091" s="76"/>
      <c r="L2091" s="76"/>
      <c r="M2091" s="76"/>
      <c r="N2091" s="76"/>
      <c r="O2091" s="76"/>
      <c r="P2091" s="76"/>
      <c r="Q2091" s="76"/>
      <c r="R2091" s="76"/>
      <c r="S2091" s="76"/>
      <c r="T2091" s="76"/>
      <c r="U2091" s="97"/>
      <c r="V2091" s="255">
        <f t="shared" ref="V2091" si="504">U2091</f>
        <v>0</v>
      </c>
      <c r="W2091" s="255">
        <f t="shared" si="495"/>
        <v>0</v>
      </c>
      <c r="X2091" s="255">
        <f t="shared" si="496"/>
        <v>0</v>
      </c>
      <c r="Y2091" s="255">
        <f t="shared" ref="Y2091" si="505">V2091</f>
        <v>0</v>
      </c>
      <c r="Z2091" s="255">
        <f t="shared" ref="Z2091" si="506">AA2091</f>
        <v>0</v>
      </c>
      <c r="AA2091" s="97">
        <f t="shared" si="497"/>
        <v>0</v>
      </c>
      <c r="AB2091" s="255">
        <f t="shared" si="498"/>
        <v>0</v>
      </c>
      <c r="AC2091" s="255">
        <f t="shared" si="499"/>
        <v>0</v>
      </c>
      <c r="AD2091" s="255">
        <f t="shared" si="500"/>
        <v>0</v>
      </c>
      <c r="AE2091" s="76"/>
      <c r="AF2091" s="76"/>
      <c r="AG2091" s="76"/>
      <c r="AH2091" s="76">
        <v>1</v>
      </c>
      <c r="AI2091" s="76">
        <v>1</v>
      </c>
      <c r="AJ2091" s="73"/>
      <c r="AK2091" s="57"/>
      <c r="AL2091" s="45"/>
      <c r="AM2091" s="45"/>
      <c r="AN2091" s="45"/>
    </row>
    <row r="2092" spans="1:40" hidden="1" outlineLevel="3" x14ac:dyDescent="0.25">
      <c r="A2092" s="45"/>
      <c r="B2092" s="54"/>
      <c r="C2092" s="47">
        <f t="shared" si="494"/>
        <v>4</v>
      </c>
      <c r="D2092" s="73"/>
      <c r="E2092" s="70"/>
      <c r="F2092" s="70" t="str">
        <f>SUBSTITUTE(F2088,",4)",",8)")</f>
        <v>C(U6,23,8)</v>
      </c>
      <c r="G2092" s="73"/>
      <c r="H2092" s="373" t="s">
        <v>3358</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94"/>
        <v>4</v>
      </c>
      <c r="D2093" s="73"/>
      <c r="E2093" s="70"/>
      <c r="F2093" s="70" t="str">
        <f>SUBSTITUTE(F2089,",5)",",9)")</f>
        <v>C(U6,23,9)</v>
      </c>
      <c r="G2093" s="73"/>
      <c r="H2093" s="373" t="s">
        <v>3359</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494"/>
        <v>4</v>
      </c>
      <c r="D2094" s="73"/>
      <c r="E2094" s="70"/>
      <c r="F2094" s="70" t="str">
        <f>SUBSTITUTE(F2090,",6)",",10)")</f>
        <v>C(U6,23,10)</v>
      </c>
      <c r="G2094" s="73"/>
      <c r="H2094" s="373" t="s">
        <v>3360</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25">
      <c r="A2095" s="45"/>
      <c r="B2095" s="54"/>
      <c r="C2095" s="47">
        <f t="shared" si="494"/>
        <v>4</v>
      </c>
      <c r="D2095" s="73"/>
      <c r="E2095" s="70"/>
      <c r="F2095" s="70" t="str">
        <f>SUBSTITUTE(F2091,",7)",",11)")</f>
        <v>C(U6,23,11)</v>
      </c>
      <c r="G2095" s="73"/>
      <c r="H2095" s="373" t="s">
        <v>3361</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94"/>
        <v>4</v>
      </c>
      <c r="D2096" s="73"/>
      <c r="E2096" s="70"/>
      <c r="F2096" s="70" t="str">
        <f>SUBSTITUTE(F2090,",6)",",12)")</f>
        <v>C(U6,23,12)</v>
      </c>
      <c r="G2096" s="73"/>
      <c r="H2096" s="373" t="s">
        <v>3362</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494"/>
        <v>4</v>
      </c>
      <c r="D2097" s="73"/>
      <c r="E2097" s="70"/>
      <c r="F2097" s="70" t="str">
        <f>SUBSTITUTE(F2091,",7)",",13)")</f>
        <v>C(U6,23,13)</v>
      </c>
      <c r="G2097" s="73"/>
      <c r="H2097" s="373" t="s">
        <v>3363</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25">
      <c r="A2098" s="45"/>
      <c r="B2098" s="54"/>
      <c r="C2098" s="47">
        <f>INT($C$29)+2</f>
        <v>3</v>
      </c>
      <c r="D2098" s="73"/>
      <c r="E2098" s="70"/>
      <c r="F2098" s="70" t="s">
        <v>3731</v>
      </c>
      <c r="G2098" s="73"/>
      <c r="H2098" s="76" t="s">
        <v>3364</v>
      </c>
      <c r="I2098" s="76"/>
      <c r="J2098" s="76"/>
      <c r="K2098" s="76"/>
      <c r="L2098" s="76"/>
      <c r="M2098" s="76"/>
      <c r="N2098" s="76"/>
      <c r="O2098" s="76"/>
      <c r="P2098" s="76"/>
      <c r="Q2098" s="76"/>
      <c r="R2098" s="76"/>
      <c r="S2098" s="76"/>
      <c r="T2098" s="76"/>
      <c r="U2098" s="97">
        <v>28.52</v>
      </c>
      <c r="V2098" s="255">
        <f t="shared" ref="V2098" si="507">U2098</f>
        <v>28.52</v>
      </c>
      <c r="W2098" s="255">
        <f t="shared" ref="W2098" si="508">U2098</f>
        <v>28.52</v>
      </c>
      <c r="X2098" s="255">
        <f t="shared" ref="X2098" si="509">V2098</f>
        <v>28.52</v>
      </c>
      <c r="Y2098" s="255">
        <f t="shared" ref="Y2098" si="510">V2098</f>
        <v>28.52</v>
      </c>
      <c r="Z2098" s="255">
        <f t="shared" ref="Z2098" si="511">AA2098</f>
        <v>28.52</v>
      </c>
      <c r="AA2098" s="97">
        <f>U2098</f>
        <v>28.52</v>
      </c>
      <c r="AB2098" s="255">
        <f t="shared" ref="AB2098" si="512">AA2098</f>
        <v>28.52</v>
      </c>
      <c r="AC2098" s="255">
        <f t="shared" ref="AC2098" si="513">AB2098</f>
        <v>28.52</v>
      </c>
      <c r="AD2098" s="255">
        <f t="shared" ref="AD2098" si="514">AC2098</f>
        <v>28.52</v>
      </c>
      <c r="AE2098" s="76"/>
      <c r="AF2098" s="97"/>
      <c r="AG2098" s="76"/>
      <c r="AH2098" s="97">
        <v>1</v>
      </c>
      <c r="AI2098" s="97">
        <v>1</v>
      </c>
      <c r="AJ2098" s="73"/>
      <c r="AK2098" s="57"/>
      <c r="AL2098" s="45"/>
      <c r="AM2098" s="45"/>
      <c r="AN2098" s="45"/>
    </row>
    <row r="2099" spans="1:40" hidden="1" outlineLevel="2"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collapsed="1"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0999999999999996" hidden="1" customHeight="1" outlineLevel="3" x14ac:dyDescent="0.2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0999999999999996" hidden="1" customHeight="1" outlineLevel="2" x14ac:dyDescent="0.2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collapsed="1"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0999999999999996" hidden="1" customHeight="1" outlineLevel="3" x14ac:dyDescent="0.2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0999999999999996" hidden="1" customHeight="1" outlineLevel="2" x14ac:dyDescent="0.2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0999999999999996" hidden="1" customHeight="1" outlineLevel="1" x14ac:dyDescent="0.2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0999999999999996" hidden="1" customHeight="1" collapsed="1" x14ac:dyDescent="0.2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2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C2119" s="233" t="s">
        <v>419</v>
      </c>
    </row>
  </sheetData>
  <autoFilter ref="E36:AJ2112" xr:uid="{3C3415A5-FB2E-4A7F-A830-CC02AF06DF76}">
    <filterColumn colId="15">
      <filters>
        <filter val="calibration"/>
      </filters>
    </filterColumn>
  </autoFilter>
  <mergeCells count="2">
    <mergeCell ref="J12:AD12"/>
    <mergeCell ref="J11:AD11"/>
  </mergeCells>
  <phoneticPr fontId="43"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3" t="s">
        <v>2350</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0" t="s">
        <v>2361</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2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2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2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2887</v>
      </c>
      <c r="B3" s="487">
        <v>6.9999999999999994E-5</v>
      </c>
      <c r="C3" s="1" t="s">
        <v>2891</v>
      </c>
    </row>
    <row r="4" spans="1:3" x14ac:dyDescent="0.25">
      <c r="A4" t="s">
        <v>2888</v>
      </c>
      <c r="B4" s="487">
        <v>1.2999999999999999E-4</v>
      </c>
      <c r="C4" s="1" t="s">
        <v>2892</v>
      </c>
    </row>
    <row r="5" spans="1:3" x14ac:dyDescent="0.25">
      <c r="A5" t="s">
        <v>2889</v>
      </c>
      <c r="B5" s="487">
        <v>1.9000000000000001E-4</v>
      </c>
      <c r="C5" s="1" t="s">
        <v>2893</v>
      </c>
    </row>
    <row r="6" spans="1:3" x14ac:dyDescent="0.25">
      <c r="A6" t="s">
        <v>2890</v>
      </c>
      <c r="B6" s="487">
        <v>1.9000000000000001E-4</v>
      </c>
      <c r="C6" s="1" t="s">
        <v>2892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2899</v>
      </c>
      <c r="B14"/>
    </row>
    <row r="15" spans="1:3" x14ac:dyDescent="0.25">
      <c r="A15" s="341" t="str">
        <f>General!G66</f>
        <v>b</v>
      </c>
      <c r="B15">
        <v>20</v>
      </c>
      <c r="C15" s="1" t="s">
        <v>2897</v>
      </c>
    </row>
    <row r="16" spans="1:3" x14ac:dyDescent="0.25">
      <c r="A16" s="341" t="str">
        <f>General!G67</f>
        <v>bd</v>
      </c>
      <c r="B16">
        <v>20</v>
      </c>
      <c r="C16" s="1" t="s">
        <v>2897</v>
      </c>
    </row>
    <row r="17" spans="1:3" x14ac:dyDescent="0.25">
      <c r="A17" s="341" t="str">
        <f>General!G68</f>
        <v>f</v>
      </c>
      <c r="B17">
        <v>7</v>
      </c>
      <c r="C17" s="1" t="s">
        <v>2897</v>
      </c>
    </row>
    <row r="18" spans="1:3" x14ac:dyDescent="0.25">
      <c r="A18" s="341" t="str">
        <f>General!G69</f>
        <v>h</v>
      </c>
      <c r="B18">
        <v>20</v>
      </c>
      <c r="C18" s="1" t="s">
        <v>2897</v>
      </c>
    </row>
    <row r="19" spans="1:3" x14ac:dyDescent="0.25">
      <c r="A19" s="341" t="str">
        <f>General!G70</f>
        <v>i</v>
      </c>
      <c r="B19">
        <v>7</v>
      </c>
      <c r="C19" s="1" t="s">
        <v>2897</v>
      </c>
    </row>
    <row r="20" spans="1:3" x14ac:dyDescent="0.25">
      <c r="A20" s="341" t="str">
        <f>General!G71</f>
        <v>k</v>
      </c>
      <c r="B20">
        <v>7</v>
      </c>
      <c r="C20" s="1" t="s">
        <v>2897</v>
      </c>
    </row>
    <row r="21" spans="1:3" x14ac:dyDescent="0.25">
      <c r="A21" s="341" t="str">
        <f>General!G72</f>
        <v>l</v>
      </c>
      <c r="B21">
        <v>7</v>
      </c>
      <c r="C21" s="1" t="s">
        <v>2897</v>
      </c>
    </row>
    <row r="22" spans="1:3" x14ac:dyDescent="0.25">
      <c r="A22" s="341" t="str">
        <f>General!G73</f>
        <v>lf</v>
      </c>
      <c r="B22">
        <v>7</v>
      </c>
      <c r="C22" s="1" t="s">
        <v>2897</v>
      </c>
    </row>
    <row r="23" spans="1:3" x14ac:dyDescent="0.25">
      <c r="A23" s="341" t="str">
        <f>General!G74</f>
        <v>ms</v>
      </c>
      <c r="B23" s="524">
        <f>0.65*B15+0.35*B21</f>
        <v>15.45</v>
      </c>
      <c r="C23" s="1" t="s">
        <v>2897</v>
      </c>
    </row>
    <row r="24" spans="1:3" x14ac:dyDescent="0.25">
      <c r="A24" s="341" t="str">
        <f>General!G75</f>
        <v>o</v>
      </c>
      <c r="B24">
        <v>20</v>
      </c>
      <c r="C24" s="1" t="s">
        <v>2897</v>
      </c>
    </row>
    <row r="25" spans="1:3" x14ac:dyDescent="0.25">
      <c r="A25" s="341" t="str">
        <f>General!G76</f>
        <v>od</v>
      </c>
      <c r="B25">
        <v>20</v>
      </c>
      <c r="C25" s="1" t="s">
        <v>2897</v>
      </c>
    </row>
    <row r="26" spans="1:3" x14ac:dyDescent="0.25">
      <c r="A26" s="341" t="str">
        <f>General!G77</f>
        <v>of</v>
      </c>
      <c r="B26">
        <v>20</v>
      </c>
      <c r="C26" s="1" t="s">
        <v>2897</v>
      </c>
    </row>
    <row r="27" spans="1:3" x14ac:dyDescent="0.25">
      <c r="A27" s="341" t="str">
        <f>General!G78</f>
        <v>r</v>
      </c>
      <c r="B27">
        <v>7</v>
      </c>
      <c r="C27" s="1" t="s">
        <v>2897</v>
      </c>
    </row>
    <row r="28" spans="1:3" x14ac:dyDescent="0.25">
      <c r="A28" s="341" t="str">
        <f>General!G79</f>
        <v>rd</v>
      </c>
      <c r="B28">
        <v>7</v>
      </c>
      <c r="C28" s="1" t="s">
        <v>2897</v>
      </c>
    </row>
    <row r="29" spans="1:3" x14ac:dyDescent="0.25">
      <c r="A29" s="341" t="str">
        <f>General!G80</f>
        <v>v</v>
      </c>
      <c r="B29">
        <v>7</v>
      </c>
      <c r="C29" s="1" t="s">
        <v>2897</v>
      </c>
    </row>
    <row r="30" spans="1:3" x14ac:dyDescent="0.25">
      <c r="A30" s="341" t="str">
        <f>General!G81</f>
        <v>w</v>
      </c>
      <c r="B30">
        <v>20</v>
      </c>
      <c r="C30" s="1" t="s">
        <v>2897</v>
      </c>
    </row>
    <row r="31" spans="1:3" x14ac:dyDescent="0.25">
      <c r="A31" s="341" t="str">
        <f>General!G82</f>
        <v>wd</v>
      </c>
      <c r="B31">
        <v>20</v>
      </c>
      <c r="C31" s="1" t="s">
        <v>2897</v>
      </c>
    </row>
    <row r="32" spans="1:3" x14ac:dyDescent="0.25">
      <c r="A32" s="341" t="str">
        <f>General!G83</f>
        <v>z</v>
      </c>
      <c r="B32">
        <v>7</v>
      </c>
      <c r="C32" s="1" t="s">
        <v>2897</v>
      </c>
    </row>
    <row r="33" spans="1:3" x14ac:dyDescent="0.25">
      <c r="A33" s="341" t="str">
        <f>General!G84</f>
        <v>zd</v>
      </c>
      <c r="B33">
        <v>7</v>
      </c>
      <c r="C33" s="1" t="s">
        <v>2897</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188000</v>
      </c>
      <c r="C12" s="44">
        <v>1</v>
      </c>
      <c r="D12" s="44">
        <v>0</v>
      </c>
      <c r="E12" s="44">
        <v>0</v>
      </c>
      <c r="F12" s="44">
        <v>0</v>
      </c>
    </row>
    <row r="13" spans="1:17" x14ac:dyDescent="0.25">
      <c r="A13" t="s">
        <v>2763</v>
      </c>
      <c r="B13">
        <v>87000</v>
      </c>
      <c r="C13" s="44">
        <v>1</v>
      </c>
      <c r="D13" s="44">
        <v>0</v>
      </c>
      <c r="E13" s="44">
        <v>0</v>
      </c>
      <c r="F13" s="44">
        <v>0</v>
      </c>
    </row>
    <row r="14" spans="1:17" x14ac:dyDescent="0.25">
      <c r="A14" t="s">
        <v>2764</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2761</v>
      </c>
      <c r="B30" s="432">
        <v>1</v>
      </c>
    </row>
    <row r="31" spans="1:6" ht="7.35" customHeight="1" x14ac:dyDescent="0.25"/>
    <row r="32" spans="1:6" x14ac:dyDescent="0.25">
      <c r="A32" t="s">
        <v>2901</v>
      </c>
      <c r="B32">
        <v>8.6999999999999993</v>
      </c>
      <c r="C32" s="1" t="s">
        <v>2900</v>
      </c>
    </row>
    <row r="33" spans="1:3" ht="7.15" customHeight="1" x14ac:dyDescent="0.25"/>
    <row r="34" spans="1:3" x14ac:dyDescent="0.25">
      <c r="A34" t="s">
        <v>3280</v>
      </c>
      <c r="B34">
        <v>50</v>
      </c>
      <c r="C34" s="1" t="s">
        <v>2903</v>
      </c>
    </row>
    <row r="35" spans="1:3" ht="7.15" customHeight="1" x14ac:dyDescent="0.25"/>
    <row r="36" spans="1:3" x14ac:dyDescent="0.25">
      <c r="A36" t="s">
        <v>3281</v>
      </c>
      <c r="B36">
        <v>60</v>
      </c>
      <c r="C36" s="1" t="s">
        <v>3283</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2762</v>
      </c>
      <c r="B73" s="432">
        <v>1</v>
      </c>
    </row>
    <row r="74" spans="1:5" ht="7.35" customHeight="1" x14ac:dyDescent="0.25"/>
    <row r="75" spans="1:5" x14ac:dyDescent="0.25">
      <c r="A75" t="s">
        <v>2886</v>
      </c>
      <c r="B75">
        <v>63</v>
      </c>
    </row>
    <row r="76" spans="1:5" ht="7.15" customHeight="1" x14ac:dyDescent="0.25"/>
    <row r="77" spans="1:5" x14ac:dyDescent="0.25">
      <c r="A77" t="s">
        <v>3284</v>
      </c>
      <c r="B77">
        <f>0.3*harvest_maint</f>
        <v>16.5</v>
      </c>
      <c r="C77" s="1" t="s">
        <v>3285</v>
      </c>
    </row>
    <row r="78" spans="1:5" ht="7.15" customHeight="1" x14ac:dyDescent="0.25"/>
    <row r="79" spans="1:5" x14ac:dyDescent="0.25">
      <c r="A79" t="s">
        <v>2896</v>
      </c>
      <c r="B79"/>
    </row>
    <row r="80" spans="1:5" x14ac:dyDescent="0.25">
      <c r="A80" s="341" t="str">
        <f>General!G66</f>
        <v>b</v>
      </c>
      <c r="B80">
        <v>20</v>
      </c>
      <c r="C80" s="1" t="s">
        <v>2897</v>
      </c>
      <c r="E80" s="1" t="s">
        <v>2898</v>
      </c>
    </row>
    <row r="81" spans="1:3" x14ac:dyDescent="0.25">
      <c r="A81" s="341" t="str">
        <f>General!G67</f>
        <v>bd</v>
      </c>
      <c r="B81">
        <v>20</v>
      </c>
      <c r="C81" s="1" t="s">
        <v>2897</v>
      </c>
    </row>
    <row r="82" spans="1:3" x14ac:dyDescent="0.25">
      <c r="A82" s="341" t="str">
        <f>General!G68</f>
        <v>f</v>
      </c>
      <c r="B82">
        <v>12</v>
      </c>
      <c r="C82" s="1" t="s">
        <v>2897</v>
      </c>
    </row>
    <row r="83" spans="1:3" x14ac:dyDescent="0.25">
      <c r="A83" s="341" t="str">
        <f>General!G69</f>
        <v>h</v>
      </c>
      <c r="B83">
        <v>20</v>
      </c>
      <c r="C83" s="1" t="s">
        <v>2897</v>
      </c>
    </row>
    <row r="84" spans="1:3" x14ac:dyDescent="0.25">
      <c r="A84" s="341" t="str">
        <f>General!G70</f>
        <v>i</v>
      </c>
      <c r="B84">
        <v>12</v>
      </c>
      <c r="C84" s="1" t="s">
        <v>2897</v>
      </c>
    </row>
    <row r="85" spans="1:3" x14ac:dyDescent="0.25">
      <c r="A85" s="341" t="str">
        <f>General!G71</f>
        <v>k</v>
      </c>
      <c r="B85">
        <v>12</v>
      </c>
      <c r="C85" s="1" t="s">
        <v>2897</v>
      </c>
    </row>
    <row r="86" spans="1:3" x14ac:dyDescent="0.25">
      <c r="A86" s="341" t="str">
        <f>General!G72</f>
        <v>l</v>
      </c>
      <c r="B86">
        <v>12</v>
      </c>
      <c r="C86" s="1" t="s">
        <v>2897</v>
      </c>
    </row>
    <row r="87" spans="1:3" x14ac:dyDescent="0.25">
      <c r="A87" s="341" t="str">
        <f>General!G73</f>
        <v>lf</v>
      </c>
      <c r="B87">
        <v>12</v>
      </c>
      <c r="C87" s="1" t="s">
        <v>2897</v>
      </c>
    </row>
    <row r="88" spans="1:3" x14ac:dyDescent="0.25">
      <c r="A88" s="341" t="str">
        <f>General!G74</f>
        <v>ms</v>
      </c>
      <c r="B88" s="524">
        <f>0.65*B80+0.35*B86</f>
        <v>17.2</v>
      </c>
      <c r="C88" s="1" t="s">
        <v>2897</v>
      </c>
    </row>
    <row r="89" spans="1:3" x14ac:dyDescent="0.25">
      <c r="A89" s="341" t="str">
        <f>General!G75</f>
        <v>o</v>
      </c>
      <c r="B89">
        <v>20</v>
      </c>
      <c r="C89" s="1" t="s">
        <v>2897</v>
      </c>
    </row>
    <row r="90" spans="1:3" x14ac:dyDescent="0.25">
      <c r="A90" s="341" t="str">
        <f>General!G76</f>
        <v>od</v>
      </c>
      <c r="B90">
        <v>20</v>
      </c>
      <c r="C90" s="1" t="s">
        <v>2897</v>
      </c>
    </row>
    <row r="91" spans="1:3" x14ac:dyDescent="0.25">
      <c r="A91" s="341" t="str">
        <f>General!G77</f>
        <v>of</v>
      </c>
      <c r="B91">
        <v>20</v>
      </c>
      <c r="C91" s="1" t="s">
        <v>2897</v>
      </c>
    </row>
    <row r="92" spans="1:3" x14ac:dyDescent="0.25">
      <c r="A92" s="341" t="str">
        <f>General!G78</f>
        <v>r</v>
      </c>
      <c r="B92">
        <v>7</v>
      </c>
      <c r="C92" s="1" t="s">
        <v>2897</v>
      </c>
    </row>
    <row r="93" spans="1:3" x14ac:dyDescent="0.25">
      <c r="A93" s="341" t="str">
        <f>General!G79</f>
        <v>rd</v>
      </c>
      <c r="B93">
        <v>7</v>
      </c>
      <c r="C93" s="1" t="s">
        <v>2897</v>
      </c>
    </row>
    <row r="94" spans="1:3" x14ac:dyDescent="0.25">
      <c r="A94" s="341" t="str">
        <f>General!G80</f>
        <v>v</v>
      </c>
      <c r="B94">
        <v>12</v>
      </c>
      <c r="C94" s="1" t="s">
        <v>2897</v>
      </c>
    </row>
    <row r="95" spans="1:3" x14ac:dyDescent="0.25">
      <c r="A95" s="341" t="str">
        <f>General!G81</f>
        <v>w</v>
      </c>
      <c r="B95">
        <v>20</v>
      </c>
      <c r="C95" s="1" t="s">
        <v>2897</v>
      </c>
    </row>
    <row r="96" spans="1:3" x14ac:dyDescent="0.25">
      <c r="A96" s="341" t="str">
        <f>General!G82</f>
        <v>wd</v>
      </c>
      <c r="B96">
        <v>20</v>
      </c>
      <c r="C96" s="1" t="s">
        <v>2897</v>
      </c>
    </row>
    <row r="97" spans="1:3" x14ac:dyDescent="0.25">
      <c r="A97" s="341" t="str">
        <f>General!G83</f>
        <v>z</v>
      </c>
      <c r="B97">
        <v>7</v>
      </c>
      <c r="C97" s="1" t="s">
        <v>2897</v>
      </c>
    </row>
    <row r="98" spans="1:3" x14ac:dyDescent="0.25">
      <c r="A98" s="341" t="str">
        <f>General!G84</f>
        <v>zd</v>
      </c>
      <c r="B98">
        <v>7</v>
      </c>
      <c r="C98" s="1" t="s">
        <v>2897</v>
      </c>
    </row>
    <row r="100" spans="1:3" x14ac:dyDescent="0.25">
      <c r="A100" t="s">
        <v>37</v>
      </c>
      <c r="B100">
        <v>55</v>
      </c>
      <c r="C100" s="1" t="s">
        <v>2885</v>
      </c>
    </row>
    <row r="101" spans="1:3" ht="9" customHeight="1" x14ac:dyDescent="0.25"/>
    <row r="102" spans="1:3" x14ac:dyDescent="0.25">
      <c r="A102" t="s">
        <v>37</v>
      </c>
      <c r="B102" t="s">
        <v>3282</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33</v>
      </c>
      <c r="C124" s="1" t="s">
        <v>2904</v>
      </c>
    </row>
    <row r="125" spans="1:3" ht="4.1500000000000004" customHeight="1" x14ac:dyDescent="0.25"/>
    <row r="126" spans="1:3" x14ac:dyDescent="0.25">
      <c r="A126" t="s">
        <v>39</v>
      </c>
      <c r="B126">
        <v>30</v>
      </c>
      <c r="C126" s="1" t="s">
        <v>2903</v>
      </c>
    </row>
    <row r="127" spans="1:3" ht="3" customHeight="1" x14ac:dyDescent="0.25"/>
    <row r="128" spans="1:3" x14ac:dyDescent="0.25">
      <c r="A128" t="s">
        <v>40</v>
      </c>
      <c r="B128">
        <v>35</v>
      </c>
      <c r="C128" s="1" t="s">
        <v>3283</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2905</v>
      </c>
      <c r="B137" t="str">
        <f>General!K69</f>
        <v>mid</v>
      </c>
      <c r="C137">
        <v>25</v>
      </c>
    </row>
    <row r="138" spans="1:3" x14ac:dyDescent="0.25">
      <c r="A138" s="427" t="s">
        <v>2543</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3269</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2142</v>
      </c>
    </row>
    <row r="11" spans="1:6" x14ac:dyDescent="0.25">
      <c r="A11" t="s">
        <v>70</v>
      </c>
      <c r="B11" t="s">
        <v>71</v>
      </c>
      <c r="C11" t="s">
        <v>120</v>
      </c>
      <c r="D11" t="s">
        <v>121</v>
      </c>
      <c r="E11" t="s">
        <v>2894</v>
      </c>
      <c r="F11" t="s">
        <v>2895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2761</v>
      </c>
      <c r="B29" s="432">
        <v>1</v>
      </c>
    </row>
    <row r="30" spans="1:6" ht="7.35" customHeight="1" x14ac:dyDescent="0.25"/>
    <row r="31" spans="1:6" ht="4.9000000000000004" customHeight="1" x14ac:dyDescent="0.25"/>
    <row r="32" spans="1:6" x14ac:dyDescent="0.25">
      <c r="A32" t="s">
        <v>2901</v>
      </c>
      <c r="B32">
        <v>4</v>
      </c>
      <c r="C32" s="1" t="s">
        <v>2900</v>
      </c>
    </row>
    <row r="33" spans="1:3" ht="7.15" customHeight="1" x14ac:dyDescent="0.25"/>
    <row r="34" spans="1:3" x14ac:dyDescent="0.25">
      <c r="A34" t="s">
        <v>3280</v>
      </c>
      <c r="B34">
        <v>40</v>
      </c>
      <c r="C34" s="1" t="s">
        <v>2903</v>
      </c>
    </row>
    <row r="35" spans="1:3" ht="7.15" customHeight="1" x14ac:dyDescent="0.25"/>
    <row r="36" spans="1:3" x14ac:dyDescent="0.25">
      <c r="A36" t="s">
        <v>3281</v>
      </c>
      <c r="B36">
        <v>35</v>
      </c>
      <c r="C36" s="1" t="s">
        <v>3283</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2762</v>
      </c>
      <c r="B73" s="432">
        <v>1</v>
      </c>
    </row>
    <row r="74" spans="1:3" ht="7.35" customHeight="1" x14ac:dyDescent="0.25"/>
    <row r="75" spans="1:3" x14ac:dyDescent="0.25">
      <c r="A75" t="s">
        <v>36</v>
      </c>
      <c r="B75">
        <v>50</v>
      </c>
    </row>
    <row r="76" spans="1:3" ht="7.15" customHeight="1" x14ac:dyDescent="0.25"/>
    <row r="77" spans="1:3" x14ac:dyDescent="0.25">
      <c r="A77" t="s">
        <v>3284</v>
      </c>
      <c r="B77">
        <f>0.3*harvest_maint</f>
        <v>12</v>
      </c>
      <c r="C77" s="1" t="s">
        <v>3285</v>
      </c>
    </row>
    <row r="78" spans="1:3" ht="7.15" customHeight="1" x14ac:dyDescent="0.25"/>
    <row r="79" spans="1:3" x14ac:dyDescent="0.25">
      <c r="A79" t="s">
        <v>2896</v>
      </c>
      <c r="B79"/>
    </row>
    <row r="80" spans="1:3" x14ac:dyDescent="0.25">
      <c r="A80" s="341" t="str">
        <f>General!G66</f>
        <v>b</v>
      </c>
      <c r="B80">
        <f>'Mach 1'!B80*0.66</f>
        <v>13.200000000000001</v>
      </c>
      <c r="C80" s="1" t="s">
        <v>2897</v>
      </c>
    </row>
    <row r="81" spans="1:3" x14ac:dyDescent="0.25">
      <c r="A81" s="341" t="str">
        <f>General!G67</f>
        <v>bd</v>
      </c>
      <c r="B81">
        <f>'Mach 1'!B81*0.66</f>
        <v>13.200000000000001</v>
      </c>
      <c r="C81" s="1" t="s">
        <v>2897</v>
      </c>
    </row>
    <row r="82" spans="1:3" x14ac:dyDescent="0.25">
      <c r="A82" s="341" t="str">
        <f>General!G68</f>
        <v>f</v>
      </c>
      <c r="B82">
        <f>'Mach 1'!B82*0.66</f>
        <v>7.92</v>
      </c>
      <c r="C82" s="1" t="s">
        <v>2897</v>
      </c>
    </row>
    <row r="83" spans="1:3" x14ac:dyDescent="0.25">
      <c r="A83" s="341" t="str">
        <f>General!G69</f>
        <v>h</v>
      </c>
      <c r="B83">
        <f>'Mach 1'!B83*0.66</f>
        <v>13.200000000000001</v>
      </c>
      <c r="C83" s="1" t="s">
        <v>2897</v>
      </c>
    </row>
    <row r="84" spans="1:3" x14ac:dyDescent="0.25">
      <c r="A84" s="341" t="str">
        <f>General!G70</f>
        <v>i</v>
      </c>
      <c r="B84">
        <f>'Mach 1'!B84*0.66</f>
        <v>7.92</v>
      </c>
      <c r="C84" s="1" t="s">
        <v>2897</v>
      </c>
    </row>
    <row r="85" spans="1:3" x14ac:dyDescent="0.25">
      <c r="A85" s="341" t="str">
        <f>General!G71</f>
        <v>k</v>
      </c>
      <c r="B85">
        <f>'Mach 1'!B85*0.66</f>
        <v>7.92</v>
      </c>
      <c r="C85" s="1" t="s">
        <v>2897</v>
      </c>
    </row>
    <row r="86" spans="1:3" x14ac:dyDescent="0.25">
      <c r="A86" s="341" t="str">
        <f>General!G72</f>
        <v>l</v>
      </c>
      <c r="B86">
        <f>'Mach 1'!B86*0.66</f>
        <v>7.92</v>
      </c>
      <c r="C86" s="1" t="s">
        <v>2897</v>
      </c>
    </row>
    <row r="87" spans="1:3" x14ac:dyDescent="0.25">
      <c r="A87" s="341" t="str">
        <f>General!G73</f>
        <v>lf</v>
      </c>
      <c r="B87">
        <f>'Mach 1'!B87*0.66</f>
        <v>7.92</v>
      </c>
      <c r="C87" s="1" t="s">
        <v>2897</v>
      </c>
    </row>
    <row r="88" spans="1:3" x14ac:dyDescent="0.25">
      <c r="A88" s="341" t="str">
        <f>General!G74</f>
        <v>ms</v>
      </c>
      <c r="B88" s="524">
        <f>0.65*B80+0.35*B86</f>
        <v>11.352000000000002</v>
      </c>
      <c r="C88" s="1" t="s">
        <v>2897</v>
      </c>
    </row>
    <row r="89" spans="1:3" x14ac:dyDescent="0.25">
      <c r="A89" s="341" t="str">
        <f>General!G75</f>
        <v>o</v>
      </c>
      <c r="B89">
        <f>'Mach 1'!B89*0.66</f>
        <v>13.200000000000001</v>
      </c>
      <c r="C89" s="1" t="s">
        <v>2897</v>
      </c>
    </row>
    <row r="90" spans="1:3" x14ac:dyDescent="0.25">
      <c r="A90" s="341" t="str">
        <f>General!G76</f>
        <v>od</v>
      </c>
      <c r="B90">
        <f>'Mach 1'!B90*0.66</f>
        <v>13.200000000000001</v>
      </c>
      <c r="C90" s="1" t="s">
        <v>2897</v>
      </c>
    </row>
    <row r="91" spans="1:3" x14ac:dyDescent="0.25">
      <c r="A91" s="341" t="str">
        <f>General!G77</f>
        <v>of</v>
      </c>
      <c r="B91">
        <f>'Mach 1'!B91*0.66</f>
        <v>13.200000000000001</v>
      </c>
      <c r="C91" s="1" t="s">
        <v>2897</v>
      </c>
    </row>
    <row r="92" spans="1:3" x14ac:dyDescent="0.25">
      <c r="A92" s="341" t="str">
        <f>General!G78</f>
        <v>r</v>
      </c>
      <c r="B92">
        <f>'Mach 1'!B92*0.66</f>
        <v>4.62</v>
      </c>
      <c r="C92" s="1" t="s">
        <v>2897</v>
      </c>
    </row>
    <row r="93" spans="1:3" x14ac:dyDescent="0.25">
      <c r="A93" s="341" t="str">
        <f>General!G79</f>
        <v>rd</v>
      </c>
      <c r="B93">
        <f>'Mach 1'!B93*0.66</f>
        <v>4.62</v>
      </c>
      <c r="C93" s="1" t="s">
        <v>2897</v>
      </c>
    </row>
    <row r="94" spans="1:3" x14ac:dyDescent="0.25">
      <c r="A94" s="341" t="str">
        <f>General!G80</f>
        <v>v</v>
      </c>
      <c r="B94">
        <f>'Mach 1'!B94*0.66</f>
        <v>7.92</v>
      </c>
      <c r="C94" s="1" t="s">
        <v>2897</v>
      </c>
    </row>
    <row r="95" spans="1:3" x14ac:dyDescent="0.25">
      <c r="A95" s="341" t="str">
        <f>General!G81</f>
        <v>w</v>
      </c>
      <c r="B95">
        <f>'Mach 1'!B95*0.66</f>
        <v>13.200000000000001</v>
      </c>
      <c r="C95" s="1" t="s">
        <v>2897</v>
      </c>
    </row>
    <row r="96" spans="1:3" x14ac:dyDescent="0.25">
      <c r="A96" s="341" t="str">
        <f>General!G82</f>
        <v>wd</v>
      </c>
      <c r="B96">
        <f>'Mach 1'!B96*0.66</f>
        <v>13.200000000000001</v>
      </c>
      <c r="C96" s="1" t="s">
        <v>2897</v>
      </c>
    </row>
    <row r="97" spans="1:3" x14ac:dyDescent="0.25">
      <c r="A97" s="341" t="str">
        <f>General!G83</f>
        <v>z</v>
      </c>
      <c r="B97">
        <f>'Mach 1'!B97*0.66</f>
        <v>4.62</v>
      </c>
      <c r="C97" s="1" t="s">
        <v>2897</v>
      </c>
    </row>
    <row r="98" spans="1:3" x14ac:dyDescent="0.25">
      <c r="A98" s="341" t="str">
        <f>General!G84</f>
        <v>zd</v>
      </c>
      <c r="B98">
        <f>'Mach 1'!B98*0.66</f>
        <v>4.62</v>
      </c>
      <c r="C98" s="1" t="s">
        <v>2897</v>
      </c>
    </row>
    <row r="100" spans="1:3" x14ac:dyDescent="0.25">
      <c r="A100" t="s">
        <v>37</v>
      </c>
      <c r="B100">
        <v>40</v>
      </c>
      <c r="C100" s="1" t="s">
        <v>2885</v>
      </c>
    </row>
    <row r="102" spans="1:3" x14ac:dyDescent="0.25">
      <c r="A102" t="s">
        <v>37</v>
      </c>
      <c r="B102" t="s">
        <v>3282</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23</v>
      </c>
      <c r="C124" s="1" t="s">
        <v>2904</v>
      </c>
    </row>
    <row r="125" spans="1:3" ht="4.1500000000000004" customHeight="1" x14ac:dyDescent="0.25"/>
    <row r="126" spans="1:3" x14ac:dyDescent="0.25">
      <c r="A126" t="s">
        <v>39</v>
      </c>
      <c r="B126">
        <v>20</v>
      </c>
      <c r="C126" s="1" t="s">
        <v>2903</v>
      </c>
    </row>
    <row r="127" spans="1:3" ht="3" customHeight="1" x14ac:dyDescent="0.25"/>
    <row r="128" spans="1:3" x14ac:dyDescent="0.25">
      <c r="A128" t="s">
        <v>40</v>
      </c>
      <c r="B128">
        <v>22</v>
      </c>
      <c r="C128" s="1" t="s">
        <v>3283</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2905</v>
      </c>
      <c r="B137" t="str">
        <f>General!K69</f>
        <v>mid</v>
      </c>
      <c r="C137">
        <v>20</v>
      </c>
    </row>
    <row r="138" spans="1:3" x14ac:dyDescent="0.25">
      <c r="A138" s="427" t="s">
        <v>2543</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250000</v>
      </c>
      <c r="C12" s="44">
        <v>1</v>
      </c>
      <c r="D12" s="44">
        <v>0</v>
      </c>
      <c r="E12" s="44">
        <v>0</v>
      </c>
      <c r="F12" s="44">
        <v>0</v>
      </c>
    </row>
    <row r="13" spans="1:17" x14ac:dyDescent="0.25">
      <c r="A13" t="s">
        <v>2763</v>
      </c>
      <c r="B13">
        <v>115000</v>
      </c>
      <c r="C13" s="44">
        <v>1</v>
      </c>
      <c r="D13" s="44">
        <v>0</v>
      </c>
      <c r="E13" s="44">
        <v>0</v>
      </c>
      <c r="F13" s="44">
        <v>0</v>
      </c>
    </row>
    <row r="14" spans="1:17" x14ac:dyDescent="0.25">
      <c r="A14" t="s">
        <v>2764</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2761</v>
      </c>
      <c r="B29" s="432">
        <v>1</v>
      </c>
    </row>
    <row r="30" spans="1:6" ht="7.35" customHeight="1" x14ac:dyDescent="0.25"/>
    <row r="31" spans="1:6" x14ac:dyDescent="0.25">
      <c r="A31" t="s">
        <v>2901</v>
      </c>
      <c r="B31">
        <v>12.5</v>
      </c>
      <c r="C31" s="1" t="s">
        <v>2900</v>
      </c>
      <c r="D31" s="1" t="s">
        <v>3020</v>
      </c>
    </row>
    <row r="32" spans="1:6" ht="7.15" customHeight="1" x14ac:dyDescent="0.25"/>
    <row r="33" spans="1:3" x14ac:dyDescent="0.25">
      <c r="A33" t="s">
        <v>3280</v>
      </c>
      <c r="B33">
        <v>60</v>
      </c>
      <c r="C33" s="1" t="s">
        <v>2903</v>
      </c>
    </row>
    <row r="34" spans="1:3" ht="7.15" customHeight="1" x14ac:dyDescent="0.25"/>
    <row r="35" spans="1:3" x14ac:dyDescent="0.25">
      <c r="A35" t="s">
        <v>3281</v>
      </c>
      <c r="B35">
        <v>78</v>
      </c>
      <c r="C35" s="1" t="s">
        <v>3283</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2762</v>
      </c>
      <c r="B72" s="432">
        <v>1</v>
      </c>
    </row>
    <row r="73" spans="1:3" ht="7.35" customHeight="1" x14ac:dyDescent="0.25"/>
    <row r="74" spans="1:3" x14ac:dyDescent="0.25">
      <c r="A74" t="s">
        <v>2886</v>
      </c>
      <c r="B74">
        <v>63</v>
      </c>
    </row>
    <row r="75" spans="1:3" ht="7.15" customHeight="1" x14ac:dyDescent="0.25"/>
    <row r="76" spans="1:3" x14ac:dyDescent="0.25">
      <c r="A76" t="s">
        <v>3284</v>
      </c>
      <c r="B76">
        <f>0.3*harvest_maint</f>
        <v>24</v>
      </c>
      <c r="C76" s="1" t="s">
        <v>3285</v>
      </c>
    </row>
    <row r="77" spans="1:3" ht="7.15" customHeight="1" x14ac:dyDescent="0.25"/>
    <row r="78" spans="1:3" x14ac:dyDescent="0.25">
      <c r="A78" t="s">
        <v>2896</v>
      </c>
      <c r="B78"/>
    </row>
    <row r="79" spans="1:3" x14ac:dyDescent="0.25">
      <c r="A79" s="341" t="str">
        <f>General!G66</f>
        <v>b</v>
      </c>
      <c r="B79">
        <v>30</v>
      </c>
      <c r="C79" s="1" t="s">
        <v>2897</v>
      </c>
    </row>
    <row r="80" spans="1:3" x14ac:dyDescent="0.25">
      <c r="A80" s="341" t="str">
        <f>General!G67</f>
        <v>bd</v>
      </c>
      <c r="B80">
        <v>30</v>
      </c>
      <c r="C80" s="1" t="s">
        <v>2897</v>
      </c>
    </row>
    <row r="81" spans="1:3" x14ac:dyDescent="0.25">
      <c r="A81" s="341" t="str">
        <f>General!G68</f>
        <v>f</v>
      </c>
      <c r="B81">
        <v>18</v>
      </c>
      <c r="C81" s="1" t="s">
        <v>2897</v>
      </c>
    </row>
    <row r="82" spans="1:3" x14ac:dyDescent="0.25">
      <c r="A82" s="341" t="str">
        <f>General!G69</f>
        <v>h</v>
      </c>
      <c r="B82">
        <v>30</v>
      </c>
      <c r="C82" s="1" t="s">
        <v>2897</v>
      </c>
    </row>
    <row r="83" spans="1:3" x14ac:dyDescent="0.25">
      <c r="A83" s="341" t="str">
        <f>General!G70</f>
        <v>i</v>
      </c>
      <c r="B83">
        <v>18</v>
      </c>
      <c r="C83" s="1" t="s">
        <v>2897</v>
      </c>
    </row>
    <row r="84" spans="1:3" x14ac:dyDescent="0.25">
      <c r="A84" s="341" t="str">
        <f>General!G71</f>
        <v>k</v>
      </c>
      <c r="B84">
        <v>18</v>
      </c>
      <c r="C84" s="1" t="s">
        <v>2897</v>
      </c>
    </row>
    <row r="85" spans="1:3" x14ac:dyDescent="0.25">
      <c r="A85" s="341" t="str">
        <f>General!G72</f>
        <v>l</v>
      </c>
      <c r="B85">
        <v>18</v>
      </c>
      <c r="C85" s="1" t="s">
        <v>2897</v>
      </c>
    </row>
    <row r="86" spans="1:3" x14ac:dyDescent="0.25">
      <c r="A86" s="341" t="str">
        <f>General!G73</f>
        <v>lf</v>
      </c>
      <c r="B86">
        <v>18</v>
      </c>
      <c r="C86" s="1" t="s">
        <v>2897</v>
      </c>
    </row>
    <row r="87" spans="1:3" x14ac:dyDescent="0.25">
      <c r="A87" s="341" t="str">
        <f>General!G74</f>
        <v>ms</v>
      </c>
      <c r="B87" s="524">
        <f>0.65*B79+0.35*B85</f>
        <v>25.8</v>
      </c>
      <c r="C87" s="1" t="s">
        <v>2897</v>
      </c>
    </row>
    <row r="88" spans="1:3" x14ac:dyDescent="0.25">
      <c r="A88" s="341" t="str">
        <f>General!G75</f>
        <v>o</v>
      </c>
      <c r="B88">
        <v>30</v>
      </c>
      <c r="C88" s="1" t="s">
        <v>2897</v>
      </c>
    </row>
    <row r="89" spans="1:3" x14ac:dyDescent="0.25">
      <c r="A89" s="341" t="str">
        <f>General!G76</f>
        <v>od</v>
      </c>
      <c r="B89">
        <v>30</v>
      </c>
      <c r="C89" s="1" t="s">
        <v>2897</v>
      </c>
    </row>
    <row r="90" spans="1:3" x14ac:dyDescent="0.25">
      <c r="A90" s="341" t="str">
        <f>General!G77</f>
        <v>of</v>
      </c>
      <c r="B90">
        <v>30</v>
      </c>
      <c r="C90" s="1" t="s">
        <v>2897</v>
      </c>
    </row>
    <row r="91" spans="1:3" x14ac:dyDescent="0.25">
      <c r="A91" s="341" t="str">
        <f>General!G78</f>
        <v>r</v>
      </c>
      <c r="B91">
        <v>12</v>
      </c>
      <c r="C91" s="1" t="s">
        <v>2897</v>
      </c>
    </row>
    <row r="92" spans="1:3" x14ac:dyDescent="0.25">
      <c r="A92" s="341" t="str">
        <f>General!G79</f>
        <v>rd</v>
      </c>
      <c r="B92">
        <v>12</v>
      </c>
      <c r="C92" s="1" t="s">
        <v>2897</v>
      </c>
    </row>
    <row r="93" spans="1:3" x14ac:dyDescent="0.25">
      <c r="A93" s="341" t="str">
        <f>General!G80</f>
        <v>v</v>
      </c>
      <c r="B93">
        <v>18</v>
      </c>
      <c r="C93" s="1" t="s">
        <v>2897</v>
      </c>
    </row>
    <row r="94" spans="1:3" x14ac:dyDescent="0.25">
      <c r="A94" s="341" t="str">
        <f>General!G81</f>
        <v>w</v>
      </c>
      <c r="B94">
        <v>30</v>
      </c>
      <c r="C94" s="1" t="s">
        <v>2897</v>
      </c>
    </row>
    <row r="95" spans="1:3" x14ac:dyDescent="0.25">
      <c r="A95" s="341" t="str">
        <f>General!G82</f>
        <v>wd</v>
      </c>
      <c r="B95">
        <v>30</v>
      </c>
      <c r="C95" s="1" t="s">
        <v>2897</v>
      </c>
    </row>
    <row r="96" spans="1:3" x14ac:dyDescent="0.25">
      <c r="A96" s="341" t="str">
        <f>General!G83</f>
        <v>z</v>
      </c>
      <c r="B96">
        <v>12</v>
      </c>
      <c r="C96" s="1" t="s">
        <v>2897</v>
      </c>
    </row>
    <row r="97" spans="1:3" x14ac:dyDescent="0.25">
      <c r="A97" s="341" t="str">
        <f>General!G84</f>
        <v>zd</v>
      </c>
      <c r="B97">
        <v>12</v>
      </c>
      <c r="C97" s="1" t="s">
        <v>2897</v>
      </c>
    </row>
    <row r="99" spans="1:3" x14ac:dyDescent="0.25">
      <c r="A99" t="s">
        <v>37</v>
      </c>
      <c r="B99">
        <v>80</v>
      </c>
      <c r="C99" s="1" t="s">
        <v>2885</v>
      </c>
    </row>
    <row r="101" spans="1:3" x14ac:dyDescent="0.25">
      <c r="A101" t="s">
        <v>37</v>
      </c>
      <c r="B101" t="s">
        <v>3282</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2902</v>
      </c>
      <c r="B123">
        <v>50</v>
      </c>
      <c r="C123" s="1" t="s">
        <v>2904</v>
      </c>
    </row>
    <row r="124" spans="1:3" ht="4.1500000000000004" customHeight="1" x14ac:dyDescent="0.25"/>
    <row r="125" spans="1:3" x14ac:dyDescent="0.25">
      <c r="A125" t="s">
        <v>39</v>
      </c>
      <c r="B125">
        <v>40</v>
      </c>
      <c r="C125" s="1" t="s">
        <v>2903</v>
      </c>
    </row>
    <row r="126" spans="1:3" ht="3" customHeight="1" x14ac:dyDescent="0.25"/>
    <row r="127" spans="1:3" x14ac:dyDescent="0.25">
      <c r="A127" t="s">
        <v>40</v>
      </c>
      <c r="B127">
        <v>50</v>
      </c>
      <c r="C127" s="1" t="s">
        <v>3283</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2905</v>
      </c>
      <c r="B136" t="str">
        <f>General!K69</f>
        <v>mid</v>
      </c>
      <c r="C136">
        <v>25</v>
      </c>
    </row>
    <row r="137" spans="1:3" x14ac:dyDescent="0.25">
      <c r="A137" s="427" t="s">
        <v>2543</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532</vt:i4>
      </vt:variant>
    </vt:vector>
  </HeadingPairs>
  <TitlesOfParts>
    <vt:vector size="54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2026-06-18T07:41:17Z</dcterms:modified>
</cp:coreProperties>
</file>