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C81D4A4A-FAD3-4A4F-9B5C-00222FDBC9A6}" xr6:coauthVersionLast="47" xr6:coauthVersionMax="47" xr10:uidLastSave="{00000000-0000-0000-0000-000000000000}"/>
  <bookViews>
    <workbookView xWindow="1755" yWindow="120" windowWidth="25950" windowHeight="15555"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233" i="22" l="1"/>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<sst xmlns="http://schemas.openxmlformats.org/spreadsheetml/2006/main" count="6653" uniqueCount="3820">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</sst>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3781</v>
      </c>
      <c r="R22" s="94"/>
      <c r="S22" s="94"/>
      <c r="T22" s="350" t="s">
        <v>3782</v>
      </c>
      <c r="U22" s="94"/>
      <c r="V22" s="94"/>
      <c r="W22" s="73"/>
      <c r="X22" s="57"/>
      <c r="Y22" s="45"/>
      <c r="Z22" s="45"/>
      <c r="AA22" s="45"/>
    </row>
    <row r="23" spans="1:27" ht="75" outlineLevel="3" x14ac:dyDescent="0.25">
      <c r="A23" s="45"/>
      <c r="B23" s="54"/>
      <c r="C23" s="73"/>
      <c r="D23" s="73"/>
      <c r="E23" s="76"/>
      <c r="F23" s="354" t="s">
        <v>3783</v>
      </c>
      <c r="G23" s="629" t="s">
        <v>3784</v>
      </c>
      <c r="H23" s="76"/>
      <c r="I23" s="76"/>
      <c r="J23" s="76"/>
      <c r="K23" s="354" t="s">
        <v>2321</v>
      </c>
      <c r="L23" s="351">
        <v>1.1999999999999999E-6</v>
      </c>
      <c r="M23" s="76"/>
      <c r="N23" s="354" t="s">
        <v>2322</v>
      </c>
      <c r="O23" s="351">
        <v>0.7</v>
      </c>
      <c r="P23" s="76"/>
      <c r="Q23" s="354" t="s">
        <v>9</v>
      </c>
      <c r="R23" s="351">
        <v>0.64</v>
      </c>
      <c r="S23" s="76"/>
      <c r="T23" s="354" t="s">
        <v>3785</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3786</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3787</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3782</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3459</v>
      </c>
      <c r="H38" s="14"/>
      <c r="I38" s="14" t="s">
        <v>3460</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3461</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3462</v>
      </c>
      <c r="H43" s="18" t="s">
        <v>3463</v>
      </c>
      <c r="I43" s="18" t="s">
        <v>3464</v>
      </c>
      <c r="J43" s="18" t="s">
        <v>3465</v>
      </c>
      <c r="K43" s="18" t="s">
        <v>3466</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3471</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3472</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3475</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3473</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3474</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3807</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3808</v>
      </c>
      <c r="Y205" s="21" t="s">
        <v>3809</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3811</v>
      </c>
      <c r="AM205" s="21" t="s">
        <v>3812</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3813</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3814</v>
      </c>
      <c r="AM207" s="545" t="s">
        <v>3815</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3816</v>
      </c>
      <c r="AM208" s="546" t="s">
        <v>3816</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3810</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3292</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94" activePane="bottomLeft" state="frozen"/>
      <selection pane="bottomLeft" activeCell="U198" sqref="U198:U2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3803</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3490</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3476</v>
      </c>
      <c r="Q48" s="96" t="s">
        <v>3483</v>
      </c>
      <c r="R48" s="96" t="s">
        <v>3477</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3802</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3801</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3800</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3467</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3468</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3469</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3470</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abSelected="1" topLeftCell="A3" zoomScale="85" zoomScaleNormal="85" workbookViewId="0">
      <pane xSplit="9" ySplit="36" topLeftCell="J282"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1" t="s">
        <v>3819</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46051.279964467598</v>
      </c>
      <c r="J12" s="634" t="s">
        <v>3796</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3281</v>
      </c>
      <c r="X35" s="611" t="s">
        <v>3282</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3292</v>
      </c>
      <c r="G44" s="73"/>
      <c r="H44" s="129" t="s">
        <v>2962</v>
      </c>
      <c r="I44" s="96" t="s">
        <v>692</v>
      </c>
      <c r="J44" s="96"/>
      <c r="K44" s="76"/>
      <c r="L44" s="76"/>
      <c r="M44" s="76"/>
      <c r="N44" s="76"/>
      <c r="O44" s="76"/>
      <c r="P44" s="76"/>
      <c r="Q44" s="76"/>
      <c r="R44" s="76"/>
      <c r="S44" s="76"/>
      <c r="T44" s="76" t="s">
        <v>3289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36.710684273709482</v>
      </c>
      <c r="W45" s="610">
        <f t="shared" si="1"/>
        <v>37.985046730692275</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3291</v>
      </c>
      <c r="G50" s="73"/>
      <c r="H50" s="129" t="s">
        <v>464</v>
      </c>
      <c r="I50" s="96" t="s">
        <v>465</v>
      </c>
      <c r="J50" s="96"/>
      <c r="K50" s="76"/>
      <c r="L50" s="76"/>
      <c r="M50" s="76"/>
      <c r="N50" s="76"/>
      <c r="O50" s="76"/>
      <c r="P50" s="76"/>
      <c r="Q50" s="76"/>
      <c r="R50" s="76"/>
      <c r="S50" s="76"/>
      <c r="T50" s="76" t="s">
        <v>3289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3290</v>
      </c>
      <c r="G51" s="73"/>
      <c r="H51" s="129" t="s">
        <v>466</v>
      </c>
      <c r="I51" s="96" t="s">
        <v>1402</v>
      </c>
      <c r="J51" s="96"/>
      <c r="K51" s="76"/>
      <c r="L51" s="76"/>
      <c r="M51" s="76"/>
      <c r="N51" s="76"/>
      <c r="O51" s="76"/>
      <c r="P51" s="76"/>
      <c r="Q51" s="76"/>
      <c r="R51" s="76"/>
      <c r="S51" s="76"/>
      <c r="T51" s="76" t="s">
        <v>3289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3289</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3293</v>
      </c>
      <c r="G333" s="73"/>
      <c r="H333" s="76" t="s">
        <v>3296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3295</v>
      </c>
      <c r="G334" s="73"/>
      <c r="H334" s="76" t="s">
        <v>3298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3297</v>
      </c>
      <c r="G335" s="73"/>
      <c r="H335" s="76" t="s">
        <v>3301</v>
      </c>
      <c r="I335" s="96"/>
      <c r="J335" s="96"/>
      <c r="K335" s="76"/>
      <c r="L335" s="76"/>
      <c r="M335" s="76"/>
      <c r="N335" s="76"/>
      <c r="O335" s="76"/>
      <c r="P335" s="76"/>
      <c r="Q335" s="76"/>
      <c r="R335" s="76"/>
      <c r="S335" s="76"/>
      <c r="T335" s="76" t="s">
        <v>3289</v>
      </c>
      <c r="U335" s="97">
        <v>0.85</v>
      </c>
      <c r="V335" s="97">
        <v>0.85</v>
      </c>
      <c r="W335" s="97">
        <v>0.85</v>
      </c>
      <c r="X335" s="97">
        <v>0.85</v>
      </c>
      <c r="Y335" s="97">
        <v>0.85</v>
      </c>
      <c r="Z335" s="97">
        <v>0.85</v>
      </c>
      <c r="AA335" s="97">
        <v>0.85</v>
      </c>
      <c r="AB335" s="97">
        <v>0.85</v>
      </c>
      <c r="AC335" s="97">
        <v>0.85</v>
      </c>
      <c r="AD335" s="97">
        <v>0.85</v>
      </c>
      <c r="AE335" s="76"/>
      <c r="AF335" s="97" t="s">
        <v>3294</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3300</v>
      </c>
      <c r="G336" s="73"/>
      <c r="H336" s="76" t="s">
        <v>3302</v>
      </c>
      <c r="I336" s="96"/>
      <c r="J336" s="96"/>
      <c r="K336" s="76"/>
      <c r="L336" s="76"/>
      <c r="M336" s="76"/>
      <c r="N336" s="76"/>
      <c r="O336" s="76"/>
      <c r="P336" s="76"/>
      <c r="Q336" s="76"/>
      <c r="R336" s="76"/>
      <c r="S336" s="76"/>
      <c r="T336" s="76" t="s">
        <v>3289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3289</v>
      </c>
      <c r="U365" s="253">
        <f t="shared" si="68"/>
        <v>20.3</v>
      </c>
      <c r="V365" s="253">
        <f t="shared" si="68"/>
        <v>20.3</v>
      </c>
      <c r="W365" s="613">
        <f>INDEX($K365:$Q365,1,W$43)-(INDEX($K364:$Q364,1,W$43)-W364)</f>
        <v>16.3</v>
      </c>
      <c r="X365" s="613">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3265</v>
      </c>
      <c r="G395" s="73"/>
      <c r="H395" s="76" t="s">
        <v>3262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3264</v>
      </c>
      <c r="S395" s="76" t="s">
        <v>3241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3805</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3804</v>
      </c>
      <c r="G410" s="73"/>
      <c r="H410" s="76" t="s">
        <v>3806</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3289</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2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2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2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2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25">
      <c r="A448" s="45"/>
      <c r="B448" s="54"/>
      <c r="C448" s="47">
        <f t="shared" si="89"/>
        <v>3</v>
      </c>
      <c r="D448" s="73"/>
      <c r="E448" s="70"/>
      <c r="F448" s="70" t="s">
        <v>1053</v>
      </c>
      <c r="G448" s="73"/>
      <c r="H448" s="76" t="s">
        <v>3478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1061</v>
      </c>
      <c r="G456" s="73"/>
      <c r="H456" s="76" t="s">
        <v>3482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1069</v>
      </c>
      <c r="G464" s="73"/>
      <c r="H464" s="76" t="s">
        <v>3479</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96">INT($C$29)+2</f>
        <v>3</v>
      </c>
      <c r="D472" s="73"/>
      <c r="E472" s="70"/>
      <c r="F472" s="70" t="s">
        <v>1077</v>
      </c>
      <c r="G472" s="73"/>
      <c r="H472" s="76" t="s">
        <v>3480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1085</v>
      </c>
      <c r="G480" s="73"/>
      <c r="H480" s="76" t="s">
        <v>3481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2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2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2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2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2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2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2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2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2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2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2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2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2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2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2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3489</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3488</v>
      </c>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2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2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2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2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2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2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2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2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2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2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2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2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2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2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2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2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2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2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2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2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2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2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3817</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2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2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2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2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2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x14ac:dyDescent="0.2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2" x14ac:dyDescent="0.2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2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2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2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2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2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2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25">
      <c r="A921" s="45"/>
      <c r="B921" s="54"/>
      <c r="C921" s="47">
        <f t="shared" si="171"/>
        <v>3</v>
      </c>
      <c r="D921" s="73"/>
      <c r="E921" s="70"/>
      <c r="F921" s="70" t="s">
        <v>2506</v>
      </c>
      <c r="G921" s="73"/>
      <c r="H921" s="76" t="s">
        <v>3793</v>
      </c>
      <c r="I921" s="96" t="s">
        <v>502</v>
      </c>
      <c r="J921" s="96"/>
      <c r="K921" s="76"/>
      <c r="L921" s="76"/>
      <c r="M921" s="76"/>
      <c r="N921" s="76"/>
      <c r="O921" s="76"/>
      <c r="P921" s="76"/>
      <c r="Q921" s="76"/>
      <c r="R921" s="76"/>
      <c r="S921" s="76"/>
      <c r="T921" s="76" t="s">
        <v>3289</v>
      </c>
      <c r="U921" s="97">
        <v>0</v>
      </c>
      <c r="V921" s="255">
        <f>U921</f>
        <v>0</v>
      </c>
      <c r="W921" s="628">
        <f>W925</f>
        <v>1.80097</v>
      </c>
      <c r="X921" s="628">
        <f t="shared" ref="X921:Y921" si="183">X925</f>
        <v>1.9570099999999999</v>
      </c>
      <c r="Y921" s="628">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3799</v>
      </c>
      <c r="AG921" s="76"/>
      <c r="AH921" s="76">
        <v>1</v>
      </c>
      <c r="AI921" s="76">
        <v>1</v>
      </c>
      <c r="AJ921" s="73"/>
      <c r="AK921" s="57"/>
      <c r="AL921" s="45"/>
      <c r="AM921" s="45"/>
      <c r="AN921" s="45"/>
    </row>
    <row r="922" spans="1:40" hidden="1" outlineLevel="2" x14ac:dyDescent="0.2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3289</v>
      </c>
      <c r="U922" s="97">
        <v>3.8858999999999999</v>
      </c>
      <c r="V922" s="255">
        <f>U922</f>
        <v>3.8858999999999999</v>
      </c>
      <c r="W922" s="628">
        <f t="shared" ref="W922:Y922" si="188">W926</f>
        <v>5.2321099999999996</v>
      </c>
      <c r="X922" s="628">
        <f t="shared" si="188"/>
        <v>5.3830999999999998</v>
      </c>
      <c r="Y922" s="628">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3795</v>
      </c>
      <c r="AG922" s="76"/>
      <c r="AH922" s="97">
        <v>1</v>
      </c>
      <c r="AI922" s="97">
        <v>1</v>
      </c>
      <c r="AJ922" s="73"/>
      <c r="AK922" s="57"/>
      <c r="AL922" s="45"/>
      <c r="AM922" s="45"/>
      <c r="AN922" s="45"/>
    </row>
    <row r="923" spans="1:40" hidden="1" outlineLevel="2" x14ac:dyDescent="0.2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89">W927</f>
        <v>7.9349999999999996</v>
      </c>
      <c r="X923" s="628">
        <f t="shared" si="189"/>
        <v>7.9349999999999996</v>
      </c>
      <c r="Y923" s="628">
        <f t="shared" si="189"/>
        <v>7.9349999999999996</v>
      </c>
      <c r="Z923" s="255">
        <f t="shared" si="184"/>
        <v>10</v>
      </c>
      <c r="AA923" s="97">
        <f>$U923</f>
        <v>10</v>
      </c>
      <c r="AB923" s="255">
        <f t="shared" si="185"/>
        <v>10</v>
      </c>
      <c r="AC923" s="255">
        <f t="shared" si="186"/>
        <v>10</v>
      </c>
      <c r="AD923" s="255">
        <f t="shared" si="187"/>
        <v>10</v>
      </c>
      <c r="AE923" s="76"/>
      <c r="AF923" s="97" t="s">
        <v>3794</v>
      </c>
      <c r="AG923" s="76"/>
      <c r="AH923" s="97">
        <v>1</v>
      </c>
      <c r="AI923" s="97">
        <v>1</v>
      </c>
      <c r="AJ923" s="73"/>
      <c r="AK923" s="57"/>
      <c r="AL923" s="45"/>
      <c r="AM923" s="45"/>
      <c r="AN923" s="45"/>
    </row>
    <row r="924" spans="1:40" hidden="1" outlineLevel="2" x14ac:dyDescent="0.2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28">
        <f t="shared" ref="W924:Y924" si="190">W928</f>
        <v>100</v>
      </c>
      <c r="X924" s="628">
        <f t="shared" si="190"/>
        <v>100</v>
      </c>
      <c r="Y924" s="628">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25">
      <c r="A925" s="45"/>
      <c r="B925" s="54"/>
      <c r="C925" s="47">
        <f t="shared" si="171"/>
        <v>3</v>
      </c>
      <c r="D925" s="73"/>
      <c r="E925" s="70"/>
      <c r="F925" s="70" t="s">
        <v>3320</v>
      </c>
      <c r="G925" s="73"/>
      <c r="H925" s="76" t="s">
        <v>3792</v>
      </c>
      <c r="I925" s="96" t="s">
        <v>502</v>
      </c>
      <c r="J925" s="96"/>
      <c r="K925" s="76"/>
      <c r="L925" s="76"/>
      <c r="M925" s="76"/>
      <c r="N925" s="76"/>
      <c r="O925" s="76"/>
      <c r="P925" s="76"/>
      <c r="Q925" s="76"/>
      <c r="R925" s="76"/>
      <c r="S925" s="76"/>
      <c r="T925" s="76" t="s">
        <v>3289</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25">
      <c r="A926" s="45"/>
      <c r="B926" s="54"/>
      <c r="C926" s="47">
        <f t="shared" si="171"/>
        <v>3</v>
      </c>
      <c r="D926" s="73"/>
      <c r="E926" s="70"/>
      <c r="F926" s="70" t="s">
        <v>3321</v>
      </c>
      <c r="G926" s="73"/>
      <c r="H926" s="76" t="s">
        <v>2511</v>
      </c>
      <c r="I926" s="96" t="s">
        <v>502</v>
      </c>
      <c r="J926" s="96"/>
      <c r="K926" s="76"/>
      <c r="L926" s="76"/>
      <c r="M926" s="76"/>
      <c r="N926" s="76"/>
      <c r="O926" s="76"/>
      <c r="P926" s="76"/>
      <c r="Q926" s="76"/>
      <c r="R926" s="76"/>
      <c r="S926" s="76"/>
      <c r="T926" s="76" t="s">
        <v>3289</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25">
      <c r="A927" s="45"/>
      <c r="B927" s="54"/>
      <c r="C927" s="47">
        <f t="shared" si="171"/>
        <v>3</v>
      </c>
      <c r="D927" s="73"/>
      <c r="E927" s="70"/>
      <c r="F927" s="70" t="s">
        <v>3322</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1"/>
        <v>3</v>
      </c>
      <c r="D928" s="73"/>
      <c r="E928" s="70"/>
      <c r="F928" s="70" t="s">
        <v>3323</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25">
      <c r="A929" s="45"/>
      <c r="B929" s="54"/>
      <c r="C929" s="47">
        <f t="shared" si="171"/>
        <v>3</v>
      </c>
      <c r="D929" s="73"/>
      <c r="E929" s="70"/>
      <c r="F929" s="70" t="s">
        <v>3370</v>
      </c>
      <c r="G929" s="73"/>
      <c r="H929" s="76" t="s">
        <v>3744</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3369</v>
      </c>
      <c r="AG929" s="76"/>
      <c r="AH929" s="76">
        <v>1</v>
      </c>
      <c r="AI929" s="76">
        <v>1</v>
      </c>
      <c r="AJ929" s="73"/>
      <c r="AK929" s="57"/>
      <c r="AL929" s="45"/>
      <c r="AM929" s="45"/>
      <c r="AN929" s="45"/>
    </row>
    <row r="930" spans="1:40" hidden="1" outlineLevel="2" x14ac:dyDescent="0.25">
      <c r="A930" s="45"/>
      <c r="B930" s="54"/>
      <c r="C930" s="47">
        <f t="shared" si="171"/>
        <v>3</v>
      </c>
      <c r="D930" s="73"/>
      <c r="E930" s="70"/>
      <c r="F930" s="70" t="s">
        <v>3371</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3749</v>
      </c>
      <c r="AG930" s="76"/>
      <c r="AH930" s="97">
        <v>1</v>
      </c>
      <c r="AI930" s="97">
        <v>1</v>
      </c>
      <c r="AJ930" s="73"/>
      <c r="AK930" s="57"/>
      <c r="AL930" s="45"/>
      <c r="AM930" s="45"/>
      <c r="AN930" s="45"/>
    </row>
    <row r="931" spans="1:40" hidden="1" outlineLevel="2" x14ac:dyDescent="0.25">
      <c r="A931" s="45"/>
      <c r="B931" s="54"/>
      <c r="C931" s="47">
        <f t="shared" si="171"/>
        <v>3</v>
      </c>
      <c r="D931" s="73"/>
      <c r="E931" s="70"/>
      <c r="F931" s="70" t="s">
        <v>3372</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25">
      <c r="A932" s="45"/>
      <c r="B932" s="54"/>
      <c r="C932" s="47">
        <f t="shared" si="171"/>
        <v>3</v>
      </c>
      <c r="D932" s="73"/>
      <c r="E932" s="70"/>
      <c r="F932" s="70" t="s">
        <v>3373</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3368</v>
      </c>
      <c r="AG932" s="76"/>
      <c r="AH932" s="76">
        <v>1</v>
      </c>
      <c r="AI932" s="76">
        <v>1</v>
      </c>
      <c r="AJ932" s="73"/>
      <c r="AK932" s="57"/>
      <c r="AL932" s="45"/>
      <c r="AM932" s="45"/>
      <c r="AN932" s="45"/>
    </row>
    <row r="933" spans="1:40" hidden="1" outlineLevel="2" x14ac:dyDescent="0.25">
      <c r="A933" s="45"/>
      <c r="B933" s="54"/>
      <c r="C933" s="47">
        <f t="shared" si="171"/>
        <v>3</v>
      </c>
      <c r="D933" s="73"/>
      <c r="E933" s="70"/>
      <c r="F933" s="70" t="s">
        <v>3374</v>
      </c>
      <c r="G933" s="73"/>
      <c r="H933" s="76" t="s">
        <v>3745</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3369</v>
      </c>
      <c r="AG933" s="76"/>
      <c r="AH933" s="76">
        <v>1</v>
      </c>
      <c r="AI933" s="76">
        <v>1</v>
      </c>
      <c r="AJ933" s="73"/>
      <c r="AK933" s="57"/>
      <c r="AL933" s="45"/>
      <c r="AM933" s="45"/>
      <c r="AN933" s="45"/>
    </row>
    <row r="934" spans="1:40" hidden="1" outlineLevel="2" x14ac:dyDescent="0.25">
      <c r="A934" s="45"/>
      <c r="B934" s="54"/>
      <c r="C934" s="47">
        <f t="shared" si="171"/>
        <v>3</v>
      </c>
      <c r="D934" s="73"/>
      <c r="E934" s="70"/>
      <c r="F934" s="70" t="s">
        <v>3375</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3749</v>
      </c>
      <c r="AG934" s="76"/>
      <c r="AH934" s="97">
        <v>1</v>
      </c>
      <c r="AI934" s="97">
        <v>1</v>
      </c>
      <c r="AJ934" s="73"/>
      <c r="AK934" s="57"/>
      <c r="AL934" s="45"/>
      <c r="AM934" s="45"/>
      <c r="AN934" s="45"/>
    </row>
    <row r="935" spans="1:40" hidden="1" outlineLevel="2" x14ac:dyDescent="0.25">
      <c r="A935" s="45"/>
      <c r="B935" s="54"/>
      <c r="C935" s="47">
        <f t="shared" si="171"/>
        <v>3</v>
      </c>
      <c r="D935" s="73"/>
      <c r="E935" s="70"/>
      <c r="F935" s="70" t="s">
        <v>3376</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25">
      <c r="A936" s="45"/>
      <c r="B936" s="54"/>
      <c r="C936" s="47">
        <f t="shared" si="171"/>
        <v>3</v>
      </c>
      <c r="D936" s="73"/>
      <c r="E936" s="70"/>
      <c r="F936" s="70" t="s">
        <v>3377</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3368</v>
      </c>
      <c r="AG936" s="76"/>
      <c r="AH936" s="76">
        <v>1</v>
      </c>
      <c r="AI936" s="76">
        <v>1</v>
      </c>
      <c r="AJ936" s="73"/>
      <c r="AK936" s="57"/>
      <c r="AL936" s="45"/>
      <c r="AM936" s="45"/>
      <c r="AN936" s="45"/>
    </row>
    <row r="937" spans="1:40" hidden="1" outlineLevel="2" x14ac:dyDescent="0.25">
      <c r="A937" s="45"/>
      <c r="B937" s="54"/>
      <c r="C937" s="47">
        <f t="shared" si="171"/>
        <v>3</v>
      </c>
      <c r="D937" s="73"/>
      <c r="E937" s="70"/>
      <c r="F937" s="70" t="s">
        <v>3378</v>
      </c>
      <c r="G937" s="73"/>
      <c r="H937" s="76" t="s">
        <v>3746</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3369</v>
      </c>
      <c r="AG937" s="76"/>
      <c r="AH937" s="76">
        <v>1</v>
      </c>
      <c r="AI937" s="76">
        <v>1</v>
      </c>
      <c r="AJ937" s="73"/>
      <c r="AK937" s="57"/>
      <c r="AL937" s="45"/>
      <c r="AM937" s="45"/>
      <c r="AN937" s="45"/>
    </row>
    <row r="938" spans="1:40" hidden="1" outlineLevel="2" x14ac:dyDescent="0.25">
      <c r="A938" s="45"/>
      <c r="B938" s="54"/>
      <c r="C938" s="47">
        <f t="shared" si="171"/>
        <v>3</v>
      </c>
      <c r="D938" s="73"/>
      <c r="E938" s="70"/>
      <c r="F938" s="70" t="s">
        <v>3379</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3749</v>
      </c>
      <c r="AG938" s="76"/>
      <c r="AH938" s="97">
        <v>1</v>
      </c>
      <c r="AI938" s="97">
        <v>1</v>
      </c>
      <c r="AJ938" s="73"/>
      <c r="AK938" s="57"/>
      <c r="AL938" s="45"/>
      <c r="AM938" s="45"/>
      <c r="AN938" s="45"/>
    </row>
    <row r="939" spans="1:40" hidden="1" outlineLevel="2" x14ac:dyDescent="0.25">
      <c r="A939" s="45"/>
      <c r="B939" s="54"/>
      <c r="C939" s="47">
        <f t="shared" si="171"/>
        <v>3</v>
      </c>
      <c r="D939" s="73"/>
      <c r="E939" s="70"/>
      <c r="F939" s="70" t="s">
        <v>3380</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25">
      <c r="A940" s="45"/>
      <c r="B940" s="54"/>
      <c r="C940" s="47">
        <f t="shared" si="171"/>
        <v>3</v>
      </c>
      <c r="D940" s="73"/>
      <c r="E940" s="70"/>
      <c r="F940" s="70" t="s">
        <v>3381</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3368</v>
      </c>
      <c r="AG940" s="76"/>
      <c r="AH940" s="76">
        <v>1</v>
      </c>
      <c r="AI940" s="76">
        <v>1</v>
      </c>
      <c r="AJ940" s="73"/>
      <c r="AK940" s="57"/>
      <c r="AL940" s="45"/>
      <c r="AM940" s="45"/>
      <c r="AN940" s="45"/>
    </row>
    <row r="941" spans="1:40" hidden="1" outlineLevel="2" x14ac:dyDescent="0.25">
      <c r="A941" s="45"/>
      <c r="B941" s="54"/>
      <c r="C941" s="47">
        <f t="shared" si="171"/>
        <v>3</v>
      </c>
      <c r="D941" s="73"/>
      <c r="E941" s="70"/>
      <c r="F941" s="70" t="s">
        <v>3382</v>
      </c>
      <c r="G941" s="73"/>
      <c r="H941" s="76" t="s">
        <v>3747</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3369</v>
      </c>
      <c r="AG941" s="76"/>
      <c r="AH941" s="76">
        <v>1</v>
      </c>
      <c r="AI941" s="76">
        <v>1</v>
      </c>
      <c r="AJ941" s="73"/>
      <c r="AK941" s="57"/>
      <c r="AL941" s="45"/>
      <c r="AM941" s="45"/>
      <c r="AN941" s="45"/>
    </row>
    <row r="942" spans="1:40" hidden="1" outlineLevel="2" x14ac:dyDescent="0.25">
      <c r="A942" s="45"/>
      <c r="B942" s="54"/>
      <c r="C942" s="47">
        <f t="shared" si="171"/>
        <v>3</v>
      </c>
      <c r="D942" s="73"/>
      <c r="E942" s="70"/>
      <c r="F942" s="70" t="s">
        <v>3383</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3749</v>
      </c>
      <c r="AG942" s="76"/>
      <c r="AH942" s="97">
        <v>1</v>
      </c>
      <c r="AI942" s="97">
        <v>1</v>
      </c>
      <c r="AJ942" s="73"/>
      <c r="AK942" s="57"/>
      <c r="AL942" s="45"/>
      <c r="AM942" s="45"/>
      <c r="AN942" s="45"/>
    </row>
    <row r="943" spans="1:40" hidden="1" outlineLevel="2" x14ac:dyDescent="0.25">
      <c r="A943" s="45"/>
      <c r="B943" s="54"/>
      <c r="C943" s="47">
        <f t="shared" si="171"/>
        <v>3</v>
      </c>
      <c r="D943" s="73"/>
      <c r="E943" s="70"/>
      <c r="F943" s="70" t="s">
        <v>3384</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25">
      <c r="A944" s="45"/>
      <c r="B944" s="54"/>
      <c r="C944" s="47">
        <f t="shared" si="171"/>
        <v>3</v>
      </c>
      <c r="D944" s="73"/>
      <c r="E944" s="70"/>
      <c r="F944" s="70" t="s">
        <v>3385</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3368</v>
      </c>
      <c r="AG944" s="76"/>
      <c r="AH944" s="76">
        <v>1</v>
      </c>
      <c r="AI944" s="76">
        <v>1</v>
      </c>
      <c r="AJ944" s="73"/>
      <c r="AK944" s="57"/>
      <c r="AL944" s="45"/>
      <c r="AM944" s="45"/>
      <c r="AN944" s="45"/>
    </row>
    <row r="945" spans="1:40" hidden="1" outlineLevel="2" x14ac:dyDescent="0.25">
      <c r="A945" s="45"/>
      <c r="B945" s="54"/>
      <c r="C945" s="47">
        <f t="shared" si="171"/>
        <v>3</v>
      </c>
      <c r="D945" s="73"/>
      <c r="E945" s="70"/>
      <c r="F945" s="70" t="s">
        <v>3387</v>
      </c>
      <c r="G945" s="73"/>
      <c r="H945" s="76" t="s">
        <v>3748</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3369</v>
      </c>
      <c r="AG945" s="76"/>
      <c r="AH945" s="76">
        <v>1</v>
      </c>
      <c r="AI945" s="76">
        <v>1</v>
      </c>
      <c r="AJ945" s="73"/>
      <c r="AK945" s="57"/>
      <c r="AL945" s="45"/>
      <c r="AM945" s="45"/>
      <c r="AN945" s="45"/>
    </row>
    <row r="946" spans="1:40" hidden="1" outlineLevel="2" x14ac:dyDescent="0.25">
      <c r="A946" s="45"/>
      <c r="B946" s="54"/>
      <c r="C946" s="47">
        <f t="shared" ref="C946:C984" si="235">INT($C$29)+2</f>
        <v>3</v>
      </c>
      <c r="D946" s="73"/>
      <c r="E946" s="70"/>
      <c r="F946" s="70" t="s">
        <v>3388</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3749</v>
      </c>
      <c r="AG946" s="76"/>
      <c r="AH946" s="97">
        <v>1</v>
      </c>
      <c r="AI946" s="97">
        <v>1</v>
      </c>
      <c r="AJ946" s="73"/>
      <c r="AK946" s="57"/>
      <c r="AL946" s="45"/>
      <c r="AM946" s="45"/>
      <c r="AN946" s="45"/>
    </row>
    <row r="947" spans="1:40" hidden="1" outlineLevel="2" x14ac:dyDescent="0.25">
      <c r="A947" s="45"/>
      <c r="B947" s="54"/>
      <c r="C947" s="47">
        <f t="shared" si="235"/>
        <v>3</v>
      </c>
      <c r="D947" s="73"/>
      <c r="E947" s="70"/>
      <c r="F947" s="70" t="s">
        <v>3389</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25">
      <c r="A948" s="45"/>
      <c r="B948" s="54"/>
      <c r="C948" s="47">
        <f t="shared" si="235"/>
        <v>3</v>
      </c>
      <c r="D948" s="73"/>
      <c r="E948" s="70"/>
      <c r="F948" s="70" t="s">
        <v>3390</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25">
      <c r="A949" s="45"/>
      <c r="B949" s="54"/>
      <c r="C949" s="47">
        <f t="shared" si="235"/>
        <v>3</v>
      </c>
      <c r="D949" s="73"/>
      <c r="E949" s="70"/>
      <c r="F949" s="70" t="s">
        <v>3391</v>
      </c>
      <c r="G949" s="73"/>
      <c r="H949" s="76" t="s">
        <v>3751</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3369</v>
      </c>
      <c r="AG949" s="76"/>
      <c r="AH949" s="76">
        <v>1</v>
      </c>
      <c r="AI949" s="76">
        <v>1</v>
      </c>
      <c r="AJ949" s="73"/>
      <c r="AK949" s="57"/>
      <c r="AL949" s="45"/>
      <c r="AM949" s="45"/>
      <c r="AN949" s="45"/>
    </row>
    <row r="950" spans="1:40" hidden="1" outlineLevel="2" x14ac:dyDescent="0.25">
      <c r="A950" s="45"/>
      <c r="B950" s="54"/>
      <c r="C950" s="47">
        <f t="shared" si="235"/>
        <v>3</v>
      </c>
      <c r="D950" s="73"/>
      <c r="E950" s="70"/>
      <c r="F950" s="70" t="s">
        <v>3392</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3386</v>
      </c>
      <c r="AG950" s="76"/>
      <c r="AH950" s="97">
        <v>1</v>
      </c>
      <c r="AI950" s="97">
        <v>1</v>
      </c>
      <c r="AJ950" s="73"/>
      <c r="AK950" s="57"/>
      <c r="AL950" s="45"/>
      <c r="AM950" s="45"/>
      <c r="AN950" s="45"/>
    </row>
    <row r="951" spans="1:40" hidden="1" outlineLevel="2" x14ac:dyDescent="0.25">
      <c r="A951" s="45"/>
      <c r="B951" s="54"/>
      <c r="C951" s="47">
        <f t="shared" si="235"/>
        <v>3</v>
      </c>
      <c r="D951" s="73"/>
      <c r="E951" s="70"/>
      <c r="F951" s="70" t="s">
        <v>3393</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25">
      <c r="A952" s="45"/>
      <c r="B952" s="54"/>
      <c r="C952" s="47">
        <f t="shared" si="235"/>
        <v>3</v>
      </c>
      <c r="D952" s="73"/>
      <c r="E952" s="70"/>
      <c r="F952" s="70" t="s">
        <v>3394</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3368</v>
      </c>
      <c r="AG952" s="76"/>
      <c r="AH952" s="76">
        <v>1</v>
      </c>
      <c r="AI952" s="76">
        <v>1</v>
      </c>
      <c r="AJ952" s="73"/>
      <c r="AK952" s="57"/>
      <c r="AL952" s="45"/>
      <c r="AM952" s="45"/>
      <c r="AN952" s="45"/>
    </row>
    <row r="953" spans="1:40" hidden="1" outlineLevel="2" x14ac:dyDescent="0.25">
      <c r="A953" s="45"/>
      <c r="B953" s="54"/>
      <c r="C953" s="47">
        <f t="shared" si="235"/>
        <v>3</v>
      </c>
      <c r="D953" s="73"/>
      <c r="E953" s="70"/>
      <c r="F953" s="70" t="s">
        <v>3395</v>
      </c>
      <c r="G953" s="73"/>
      <c r="H953" s="76" t="s">
        <v>3752</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3369</v>
      </c>
      <c r="AG953" s="76"/>
      <c r="AH953" s="76">
        <v>1</v>
      </c>
      <c r="AI953" s="76">
        <v>1</v>
      </c>
      <c r="AJ953" s="73"/>
      <c r="AK953" s="57"/>
      <c r="AL953" s="45"/>
      <c r="AM953" s="45"/>
      <c r="AN953" s="45"/>
    </row>
    <row r="954" spans="1:40" hidden="1" outlineLevel="2" x14ac:dyDescent="0.25">
      <c r="A954" s="45"/>
      <c r="B954" s="54"/>
      <c r="C954" s="47">
        <f t="shared" si="235"/>
        <v>3</v>
      </c>
      <c r="D954" s="73"/>
      <c r="E954" s="70"/>
      <c r="F954" s="70" t="s">
        <v>3396</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3386</v>
      </c>
      <c r="AG954" s="76"/>
      <c r="AH954" s="97">
        <v>1</v>
      </c>
      <c r="AI954" s="97">
        <v>1</v>
      </c>
      <c r="AJ954" s="73"/>
      <c r="AK954" s="57"/>
      <c r="AL954" s="45"/>
      <c r="AM954" s="45"/>
      <c r="AN954" s="45"/>
    </row>
    <row r="955" spans="1:40" hidden="1" outlineLevel="2" x14ac:dyDescent="0.25">
      <c r="A955" s="45"/>
      <c r="B955" s="54"/>
      <c r="C955" s="47">
        <f t="shared" si="235"/>
        <v>3</v>
      </c>
      <c r="D955" s="73"/>
      <c r="E955" s="70"/>
      <c r="F955" s="70" t="s">
        <v>3397</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25">
      <c r="A956" s="45"/>
      <c r="B956" s="54"/>
      <c r="C956" s="47">
        <f t="shared" si="235"/>
        <v>3</v>
      </c>
      <c r="D956" s="73"/>
      <c r="E956" s="70"/>
      <c r="F956" s="70" t="s">
        <v>3398</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3368</v>
      </c>
      <c r="AG956" s="76"/>
      <c r="AH956" s="76">
        <v>1</v>
      </c>
      <c r="AI956" s="76">
        <v>1</v>
      </c>
      <c r="AJ956" s="73"/>
      <c r="AK956" s="57"/>
      <c r="AL956" s="45"/>
      <c r="AM956" s="45"/>
      <c r="AN956" s="45"/>
    </row>
    <row r="957" spans="1:40" hidden="1" outlineLevel="2" x14ac:dyDescent="0.25">
      <c r="A957" s="45"/>
      <c r="B957" s="54"/>
      <c r="C957" s="47">
        <f t="shared" si="235"/>
        <v>3</v>
      </c>
      <c r="D957" s="73"/>
      <c r="E957" s="70"/>
      <c r="F957" s="70" t="s">
        <v>3399</v>
      </c>
      <c r="G957" s="73"/>
      <c r="H957" s="76" t="s">
        <v>3753</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3369</v>
      </c>
      <c r="AG957" s="76"/>
      <c r="AH957" s="76">
        <v>1</v>
      </c>
      <c r="AI957" s="76">
        <v>1</v>
      </c>
      <c r="AJ957" s="73"/>
      <c r="AK957" s="57"/>
      <c r="AL957" s="45"/>
      <c r="AM957" s="45"/>
      <c r="AN957" s="45"/>
    </row>
    <row r="958" spans="1:40" hidden="1" outlineLevel="2" x14ac:dyDescent="0.25">
      <c r="A958" s="45"/>
      <c r="B958" s="54"/>
      <c r="C958" s="47">
        <f t="shared" si="235"/>
        <v>3</v>
      </c>
      <c r="D958" s="73"/>
      <c r="E958" s="70"/>
      <c r="F958" s="70" t="s">
        <v>3400</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3386</v>
      </c>
      <c r="AG958" s="76"/>
      <c r="AH958" s="97">
        <v>1</v>
      </c>
      <c r="AI958" s="97">
        <v>1</v>
      </c>
      <c r="AJ958" s="73"/>
      <c r="AK958" s="57"/>
      <c r="AL958" s="45"/>
      <c r="AM958" s="45"/>
      <c r="AN958" s="45"/>
    </row>
    <row r="959" spans="1:40" hidden="1" outlineLevel="2" x14ac:dyDescent="0.25">
      <c r="A959" s="45"/>
      <c r="B959" s="54"/>
      <c r="C959" s="47">
        <f t="shared" si="235"/>
        <v>3</v>
      </c>
      <c r="D959" s="73"/>
      <c r="E959" s="70"/>
      <c r="F959" s="70" t="s">
        <v>3401</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25">
      <c r="A960" s="45"/>
      <c r="B960" s="54"/>
      <c r="C960" s="47">
        <f t="shared" si="235"/>
        <v>3</v>
      </c>
      <c r="D960" s="73"/>
      <c r="E960" s="70"/>
      <c r="F960" s="70" t="s">
        <v>3402</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3368</v>
      </c>
      <c r="AG960" s="76"/>
      <c r="AH960" s="76">
        <v>1</v>
      </c>
      <c r="AI960" s="76">
        <v>1</v>
      </c>
      <c r="AJ960" s="73"/>
      <c r="AK960" s="57"/>
      <c r="AL960" s="45"/>
      <c r="AM960" s="45"/>
      <c r="AN960" s="45"/>
    </row>
    <row r="961" spans="1:40" hidden="1" outlineLevel="2" x14ac:dyDescent="0.25">
      <c r="A961" s="45"/>
      <c r="B961" s="54"/>
      <c r="C961" s="47">
        <f t="shared" si="235"/>
        <v>3</v>
      </c>
      <c r="D961" s="73"/>
      <c r="E961" s="70"/>
      <c r="F961" s="70" t="s">
        <v>3403</v>
      </c>
      <c r="G961" s="73"/>
      <c r="H961" s="76" t="s">
        <v>3754</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3369</v>
      </c>
      <c r="AG961" s="76"/>
      <c r="AH961" s="76">
        <v>1</v>
      </c>
      <c r="AI961" s="76">
        <v>1</v>
      </c>
      <c r="AJ961" s="73"/>
      <c r="AK961" s="57"/>
      <c r="AL961" s="45"/>
      <c r="AM961" s="45"/>
      <c r="AN961" s="45"/>
    </row>
    <row r="962" spans="1:40" hidden="1" outlineLevel="2" x14ac:dyDescent="0.25">
      <c r="A962" s="45"/>
      <c r="B962" s="54"/>
      <c r="C962" s="47">
        <f t="shared" si="235"/>
        <v>3</v>
      </c>
      <c r="D962" s="73"/>
      <c r="E962" s="70"/>
      <c r="F962" s="70" t="s">
        <v>3404</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3386</v>
      </c>
      <c r="AG962" s="76"/>
      <c r="AH962" s="97">
        <v>1</v>
      </c>
      <c r="AI962" s="97">
        <v>1</v>
      </c>
      <c r="AJ962" s="73"/>
      <c r="AK962" s="57"/>
      <c r="AL962" s="45"/>
      <c r="AM962" s="45"/>
      <c r="AN962" s="45"/>
    </row>
    <row r="963" spans="1:40" hidden="1" outlineLevel="2" x14ac:dyDescent="0.25">
      <c r="A963" s="45"/>
      <c r="B963" s="54"/>
      <c r="C963" s="47">
        <f t="shared" si="235"/>
        <v>3</v>
      </c>
      <c r="D963" s="73"/>
      <c r="E963" s="70"/>
      <c r="F963" s="70" t="s">
        <v>3405</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25">
      <c r="A964" s="45"/>
      <c r="B964" s="54"/>
      <c r="C964" s="47">
        <f t="shared" si="235"/>
        <v>3</v>
      </c>
      <c r="D964" s="73"/>
      <c r="E964" s="70"/>
      <c r="F964" s="70" t="s">
        <v>3406</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3368</v>
      </c>
      <c r="AG964" s="76"/>
      <c r="AH964" s="76">
        <v>1</v>
      </c>
      <c r="AI964" s="76">
        <v>1</v>
      </c>
      <c r="AJ964" s="73"/>
      <c r="AK964" s="57"/>
      <c r="AL964" s="45"/>
      <c r="AM964" s="45"/>
      <c r="AN964" s="45"/>
    </row>
    <row r="965" spans="1:40" hidden="1" outlineLevel="2" x14ac:dyDescent="0.25">
      <c r="A965" s="45"/>
      <c r="B965" s="54"/>
      <c r="C965" s="47">
        <f t="shared" si="235"/>
        <v>3</v>
      </c>
      <c r="D965" s="73"/>
      <c r="E965" s="70"/>
      <c r="F965" s="70" t="s">
        <v>3407</v>
      </c>
      <c r="G965" s="73"/>
      <c r="H965" s="76" t="s">
        <v>3755</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3369</v>
      </c>
      <c r="AG965" s="76"/>
      <c r="AH965" s="76">
        <v>1</v>
      </c>
      <c r="AI965" s="76">
        <v>1</v>
      </c>
      <c r="AJ965" s="73"/>
      <c r="AK965" s="57"/>
      <c r="AL965" s="45"/>
      <c r="AM965" s="45"/>
      <c r="AN965" s="45"/>
    </row>
    <row r="966" spans="1:40" hidden="1" outlineLevel="2" x14ac:dyDescent="0.25">
      <c r="A966" s="45"/>
      <c r="B966" s="54"/>
      <c r="C966" s="47">
        <f t="shared" si="235"/>
        <v>3</v>
      </c>
      <c r="D966" s="73"/>
      <c r="E966" s="70"/>
      <c r="F966" s="70" t="s">
        <v>3408</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3386</v>
      </c>
      <c r="AG966" s="76"/>
      <c r="AH966" s="97">
        <v>1</v>
      </c>
      <c r="AI966" s="97">
        <v>1</v>
      </c>
      <c r="AJ966" s="73"/>
      <c r="AK966" s="57"/>
      <c r="AL966" s="45"/>
      <c r="AM966" s="45"/>
      <c r="AN966" s="45"/>
    </row>
    <row r="967" spans="1:40" hidden="1" outlineLevel="2" x14ac:dyDescent="0.25">
      <c r="A967" s="45"/>
      <c r="B967" s="54"/>
      <c r="C967" s="47">
        <f t="shared" si="235"/>
        <v>3</v>
      </c>
      <c r="D967" s="73"/>
      <c r="E967" s="70"/>
      <c r="F967" s="70" t="s">
        <v>3409</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25">
      <c r="A968" s="45"/>
      <c r="B968" s="54"/>
      <c r="C968" s="47">
        <f t="shared" si="235"/>
        <v>3</v>
      </c>
      <c r="D968" s="73"/>
      <c r="E968" s="70"/>
      <c r="F968" s="70" t="s">
        <v>3410</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3368</v>
      </c>
      <c r="AG968" s="76"/>
      <c r="AH968" s="76">
        <v>1</v>
      </c>
      <c r="AI968" s="76">
        <v>1</v>
      </c>
      <c r="AJ968" s="73"/>
      <c r="AK968" s="57"/>
      <c r="AL968" s="45"/>
      <c r="AM968" s="45"/>
      <c r="AN968" s="45"/>
    </row>
    <row r="969" spans="1:40" hidden="1" outlineLevel="2" x14ac:dyDescent="0.25">
      <c r="A969" s="45"/>
      <c r="B969" s="54"/>
      <c r="C969" s="47">
        <f t="shared" si="235"/>
        <v>3</v>
      </c>
      <c r="D969" s="73"/>
      <c r="E969" s="70"/>
      <c r="F969" s="70" t="s">
        <v>3411</v>
      </c>
      <c r="G969" s="73"/>
      <c r="H969" s="76" t="s">
        <v>3756</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3369</v>
      </c>
      <c r="AG969" s="76"/>
      <c r="AH969" s="76">
        <v>1</v>
      </c>
      <c r="AI969" s="76">
        <v>1</v>
      </c>
      <c r="AJ969" s="73"/>
      <c r="AK969" s="57"/>
      <c r="AL969" s="45"/>
      <c r="AM969" s="45"/>
      <c r="AN969" s="45"/>
    </row>
    <row r="970" spans="1:40" hidden="1" outlineLevel="2" x14ac:dyDescent="0.25">
      <c r="A970" s="45"/>
      <c r="B970" s="54"/>
      <c r="C970" s="47">
        <f t="shared" si="235"/>
        <v>3</v>
      </c>
      <c r="D970" s="73"/>
      <c r="E970" s="70"/>
      <c r="F970" s="70" t="s">
        <v>3412</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3386</v>
      </c>
      <c r="AG970" s="76"/>
      <c r="AH970" s="97">
        <v>1</v>
      </c>
      <c r="AI970" s="97">
        <v>1</v>
      </c>
      <c r="AJ970" s="73"/>
      <c r="AK970" s="57"/>
      <c r="AL970" s="45"/>
      <c r="AM970" s="45"/>
      <c r="AN970" s="45"/>
    </row>
    <row r="971" spans="1:40" hidden="1" outlineLevel="2" x14ac:dyDescent="0.25">
      <c r="A971" s="45"/>
      <c r="B971" s="54"/>
      <c r="C971" s="47">
        <f t="shared" si="235"/>
        <v>3</v>
      </c>
      <c r="D971" s="73"/>
      <c r="E971" s="70"/>
      <c r="F971" s="70" t="s">
        <v>3413</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25">
      <c r="A972" s="45"/>
      <c r="B972" s="54"/>
      <c r="C972" s="47">
        <f t="shared" si="235"/>
        <v>3</v>
      </c>
      <c r="D972" s="73"/>
      <c r="E972" s="70"/>
      <c r="F972" s="70" t="s">
        <v>3414</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3368</v>
      </c>
      <c r="AG972" s="76"/>
      <c r="AH972" s="76">
        <v>1</v>
      </c>
      <c r="AI972" s="76">
        <v>1</v>
      </c>
      <c r="AJ972" s="73"/>
      <c r="AK972" s="57"/>
      <c r="AL972" s="45"/>
      <c r="AM972" s="45"/>
      <c r="AN972" s="45"/>
    </row>
    <row r="973" spans="1:40" hidden="1" outlineLevel="2" x14ac:dyDescent="0.25">
      <c r="A973" s="45"/>
      <c r="B973" s="54"/>
      <c r="C973" s="47">
        <f t="shared" si="235"/>
        <v>3</v>
      </c>
      <c r="D973" s="73"/>
      <c r="E973" s="70"/>
      <c r="F973" s="70" t="s">
        <v>3735</v>
      </c>
      <c r="G973" s="73"/>
      <c r="H973" s="76" t="s">
        <v>3757</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3369</v>
      </c>
      <c r="AG973" s="76"/>
      <c r="AH973" s="76">
        <v>1</v>
      </c>
      <c r="AI973" s="76">
        <v>1</v>
      </c>
      <c r="AJ973" s="73"/>
      <c r="AK973" s="57"/>
      <c r="AL973" s="45"/>
      <c r="AM973" s="45"/>
      <c r="AN973" s="45"/>
    </row>
    <row r="974" spans="1:40" hidden="1" outlineLevel="2" x14ac:dyDescent="0.25">
      <c r="A974" s="45"/>
      <c r="B974" s="54"/>
      <c r="C974" s="47">
        <f t="shared" si="235"/>
        <v>3</v>
      </c>
      <c r="D974" s="73"/>
      <c r="E974" s="70"/>
      <c r="F974" s="70" t="s">
        <v>3736</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3386</v>
      </c>
      <c r="AG974" s="76"/>
      <c r="AH974" s="97">
        <v>1</v>
      </c>
      <c r="AI974" s="97">
        <v>1</v>
      </c>
      <c r="AJ974" s="73"/>
      <c r="AK974" s="57"/>
      <c r="AL974" s="45"/>
      <c r="AM974" s="45"/>
      <c r="AN974" s="45"/>
    </row>
    <row r="975" spans="1:40" hidden="1" outlineLevel="2" x14ac:dyDescent="0.25">
      <c r="A975" s="45"/>
      <c r="B975" s="54"/>
      <c r="C975" s="47">
        <f t="shared" si="235"/>
        <v>3</v>
      </c>
      <c r="D975" s="73"/>
      <c r="E975" s="70"/>
      <c r="F975" s="70" t="s">
        <v>3737</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25">
      <c r="A976" s="45"/>
      <c r="B976" s="54"/>
      <c r="C976" s="47">
        <f t="shared" si="235"/>
        <v>3</v>
      </c>
      <c r="D976" s="73"/>
      <c r="E976" s="70"/>
      <c r="F976" s="70" t="s">
        <v>3738</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3368</v>
      </c>
      <c r="AG976" s="76"/>
      <c r="AH976" s="76">
        <v>1</v>
      </c>
      <c r="AI976" s="76">
        <v>1</v>
      </c>
      <c r="AJ976" s="73"/>
      <c r="AK976" s="57"/>
      <c r="AL976" s="45"/>
      <c r="AM976" s="45"/>
      <c r="AN976" s="45"/>
    </row>
    <row r="977" spans="1:40" hidden="1" outlineLevel="2" x14ac:dyDescent="0.25">
      <c r="A977" s="45"/>
      <c r="B977" s="54"/>
      <c r="C977" s="47">
        <f t="shared" si="235"/>
        <v>3</v>
      </c>
      <c r="D977" s="73"/>
      <c r="E977" s="70"/>
      <c r="F977" s="70" t="s">
        <v>3758</v>
      </c>
      <c r="G977" s="73"/>
      <c r="H977" s="76" t="s">
        <v>3768</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3766</v>
      </c>
      <c r="AG977" s="76"/>
      <c r="AH977" s="76">
        <v>1</v>
      </c>
      <c r="AI977" s="76">
        <v>1</v>
      </c>
      <c r="AJ977" s="73"/>
      <c r="AK977" s="57"/>
      <c r="AL977" s="45"/>
      <c r="AM977" s="45"/>
      <c r="AN977" s="45"/>
    </row>
    <row r="978" spans="1:40" hidden="1" outlineLevel="2" x14ac:dyDescent="0.25">
      <c r="A978" s="45"/>
      <c r="B978" s="54"/>
      <c r="C978" s="47">
        <f t="shared" si="235"/>
        <v>3</v>
      </c>
      <c r="D978" s="73"/>
      <c r="E978" s="70"/>
      <c r="F978" s="70" t="s">
        <v>3759</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3767</v>
      </c>
      <c r="AG978" s="76"/>
      <c r="AH978" s="97">
        <v>1</v>
      </c>
      <c r="AI978" s="97">
        <v>1</v>
      </c>
      <c r="AJ978" s="73"/>
      <c r="AK978" s="57"/>
      <c r="AL978" s="45"/>
      <c r="AM978" s="45"/>
      <c r="AN978" s="45"/>
    </row>
    <row r="979" spans="1:40" hidden="1" outlineLevel="2" x14ac:dyDescent="0.25">
      <c r="A979" s="45"/>
      <c r="B979" s="54"/>
      <c r="C979" s="47">
        <f t="shared" si="235"/>
        <v>3</v>
      </c>
      <c r="D979" s="73"/>
      <c r="E979" s="70"/>
      <c r="F979" s="70" t="s">
        <v>3760</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25">
      <c r="A980" s="45"/>
      <c r="B980" s="54"/>
      <c r="C980" s="47">
        <f t="shared" si="235"/>
        <v>3</v>
      </c>
      <c r="D980" s="73"/>
      <c r="E980" s="70"/>
      <c r="F980" s="70" t="s">
        <v>3761</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3368</v>
      </c>
      <c r="AG980" s="76"/>
      <c r="AH980" s="76">
        <v>1</v>
      </c>
      <c r="AI980" s="76">
        <v>1</v>
      </c>
      <c r="AJ980" s="73"/>
      <c r="AK980" s="57"/>
      <c r="AL980" s="45"/>
      <c r="AM980" s="45"/>
      <c r="AN980" s="45"/>
    </row>
    <row r="981" spans="1:40" hidden="1" outlineLevel="2" x14ac:dyDescent="0.25">
      <c r="A981" s="45"/>
      <c r="B981" s="54"/>
      <c r="C981" s="47">
        <f t="shared" si="235"/>
        <v>3</v>
      </c>
      <c r="D981" s="73"/>
      <c r="E981" s="70"/>
      <c r="F981" s="70" t="s">
        <v>3762</v>
      </c>
      <c r="G981" s="73"/>
      <c r="H981" s="76" t="s">
        <v>3769</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3766</v>
      </c>
      <c r="AG981" s="76"/>
      <c r="AH981" s="76">
        <v>1</v>
      </c>
      <c r="AI981" s="76">
        <v>1</v>
      </c>
      <c r="AJ981" s="73"/>
      <c r="AK981" s="57"/>
      <c r="AL981" s="45"/>
      <c r="AM981" s="45"/>
      <c r="AN981" s="45"/>
    </row>
    <row r="982" spans="1:40" hidden="1" outlineLevel="2" x14ac:dyDescent="0.25">
      <c r="A982" s="45"/>
      <c r="B982" s="54"/>
      <c r="C982" s="47">
        <f t="shared" si="235"/>
        <v>3</v>
      </c>
      <c r="D982" s="73"/>
      <c r="E982" s="70"/>
      <c r="F982" s="70" t="s">
        <v>3763</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3767</v>
      </c>
      <c r="AG982" s="76"/>
      <c r="AH982" s="97">
        <v>1</v>
      </c>
      <c r="AI982" s="97">
        <v>1</v>
      </c>
      <c r="AJ982" s="73"/>
      <c r="AK982" s="57"/>
      <c r="AL982" s="45"/>
      <c r="AM982" s="45"/>
      <c r="AN982" s="45"/>
    </row>
    <row r="983" spans="1:40" hidden="1" outlineLevel="2" x14ac:dyDescent="0.25">
      <c r="A983" s="45"/>
      <c r="B983" s="54"/>
      <c r="C983" s="47">
        <f t="shared" si="235"/>
        <v>3</v>
      </c>
      <c r="D983" s="73"/>
      <c r="E983" s="70"/>
      <c r="F983" s="70" t="s">
        <v>3764</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25">
      <c r="A984" s="45"/>
      <c r="B984" s="54"/>
      <c r="C984" s="47">
        <f t="shared" si="235"/>
        <v>3</v>
      </c>
      <c r="D984" s="73"/>
      <c r="E984" s="70"/>
      <c r="F984" s="70" t="s">
        <v>3765</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3368</v>
      </c>
      <c r="AG984" s="76"/>
      <c r="AH984" s="76">
        <v>1</v>
      </c>
      <c r="AI984" s="76">
        <v>1</v>
      </c>
      <c r="AJ984" s="73"/>
      <c r="AK984" s="57"/>
      <c r="AL984" s="45"/>
      <c r="AM984" s="45"/>
      <c r="AN984" s="45"/>
    </row>
    <row r="985" spans="1:40"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5"/>
        <v>4</v>
      </c>
      <c r="D1030" s="73"/>
      <c r="E1030" s="70"/>
      <c r="F1030" s="70" t="s">
        <v>1660</v>
      </c>
      <c r="G1030" s="73"/>
      <c r="H1030" s="76" t="s">
        <v>3818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3316</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3317</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3318</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3319</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3415</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3416</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3417</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3418</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3419</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3420</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3421</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3422</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3423</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3424</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3425</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3426</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3427</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3428</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3429</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3430</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3431</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3432</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3433</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3434</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3435</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3436</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3437</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3438</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3439</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3440</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3441</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3442</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3443</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3444</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3445</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3446</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3447</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3448</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3449</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08"/>
        <v>4</v>
      </c>
      <c r="D1129" s="73"/>
      <c r="E1129" s="70"/>
      <c r="F1129" s="70" t="s">
        <v>3450</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09">INT($C$29)+3</f>
        <v>4</v>
      </c>
      <c r="D1130" s="73"/>
      <c r="E1130" s="70"/>
      <c r="F1130" s="70" t="s">
        <v>3451</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3452</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3453</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3454</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3455</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3456</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3457</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3458</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3739</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3740</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3741</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3742</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3774</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3775</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3776</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3777</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3770</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3771</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3772</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09"/>
        <v>4</v>
      </c>
      <c r="D1149" s="73"/>
      <c r="E1149" s="70"/>
      <c r="F1149" s="70" t="s">
        <v>3773</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12">INT($C$29)+2</f>
        <v>3</v>
      </c>
      <c r="D1157" s="73"/>
      <c r="E1157" s="70"/>
      <c r="F1157" s="70" t="s">
        <v>1717</v>
      </c>
      <c r="G1157" s="73"/>
      <c r="H1157" s="76" t="s">
        <v>3484</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3495</v>
      </c>
      <c r="G1158" s="73"/>
      <c r="H1158" s="76" t="s">
        <v>3491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1718</v>
      </c>
      <c r="G1159" s="73"/>
      <c r="H1159" s="76" t="s">
        <v>3492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3496</v>
      </c>
      <c r="G1160" s="73"/>
      <c r="H1160" s="76" t="s">
        <v>3493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1721</v>
      </c>
      <c r="G1161" s="73"/>
      <c r="H1161" s="76" t="s">
        <v>3494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3497</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3338</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3340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3341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3344</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2">INT($C$29)+2</f>
        <v>3</v>
      </c>
      <c r="D1316" s="73"/>
      <c r="E1316" s="406"/>
      <c r="F1316" s="406" t="s">
        <v>3345</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3">INT($C$29)+3</f>
        <v>4</v>
      </c>
      <c r="D1318" s="73"/>
      <c r="E1318" s="70"/>
      <c r="F1318" s="70" t="s">
        <v>1909</v>
      </c>
      <c r="G1318" s="73"/>
      <c r="H1318" s="76" t="s">
        <v>3485</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SUBSTITUTE(F1325,",7)",",12)")</f>
        <v>C(U2,0,12)</v>
      </c>
      <c r="G1330" s="73"/>
      <c r="H1330" s="76" t="s">
        <v>3332</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tr">
        <f>SUBSTITUTE(F1325,",7)",",13)")</f>
        <v>C(U2,0,13)</v>
      </c>
      <c r="G1331" s="73"/>
      <c r="H1331" s="76" t="s">
        <v>3333</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3289</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SUBSTITUTE(F1655,",7)",",11)")</f>
        <v>C(U2,22,11)</v>
      </c>
      <c r="G1659" s="73"/>
      <c r="H1659" s="373" t="s">
        <v>3335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SUBSTITUTE(F1654,",6)",",12)")</f>
        <v>C(U2,22,12)</v>
      </c>
      <c r="G1660" s="73"/>
      <c r="H1660" s="373" t="s">
        <v>3336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0"/>
        <v>4</v>
      </c>
      <c r="D1661" s="73"/>
      <c r="E1661" s="70"/>
      <c r="F1661" s="70" t="str">
        <f>SUBSTITUTE(F1655,",7)",",13)")</f>
        <v>C(U2,22,13)</v>
      </c>
      <c r="G1661" s="73"/>
      <c r="H1661" s="373" t="s">
        <v>3337</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3334</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SUBSTITUTE(F1670,",7)",",11)")</f>
        <v>C(U2,23,11)</v>
      </c>
      <c r="G1674" s="73"/>
      <c r="H1674" s="373" t="s">
        <v>3335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3"/>
        <v>4</v>
      </c>
      <c r="D1675" s="73"/>
      <c r="E1675" s="70"/>
      <c r="F1675" s="70" t="str">
        <f>SUBSTITUTE(F1669,",6)",",12)")</f>
        <v>C(U2,23,12)</v>
      </c>
      <c r="G1675" s="73"/>
      <c r="H1675" s="373" t="s">
        <v>3486</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3"/>
        <v>4</v>
      </c>
      <c r="D1676" s="73"/>
      <c r="E1676" s="70"/>
      <c r="F1676" s="70" t="s">
        <v>3487</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3790</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3789</v>
      </c>
      <c r="AG1679" s="76"/>
      <c r="AH1679" s="97">
        <v>1</v>
      </c>
      <c r="AI1679" s="97">
        <v>1</v>
      </c>
      <c r="AJ1679" s="73"/>
      <c r="AK1679" s="57"/>
      <c r="AL1679" s="45"/>
      <c r="AM1679" s="45"/>
      <c r="AN1679" s="45"/>
    </row>
    <row r="1680" spans="1:40" hidden="1" outlineLevel="2" collapsed="1" x14ac:dyDescent="0.2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2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0"/>
        <v>4</v>
      </c>
      <c r="D1690" s="73"/>
      <c r="E1690" s="70"/>
      <c r="F1690" s="70" t="s">
        <v>3328</v>
      </c>
      <c r="G1690" s="73"/>
      <c r="H1690" s="374" t="s">
        <v>3327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0"/>
        <v>4</v>
      </c>
      <c r="D1691" s="73"/>
      <c r="E1691" s="70"/>
      <c r="F1691" s="70" t="s">
        <v>3329</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3779</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28">
        <f>W1708</f>
        <v>-9.8000000000000004E-2</v>
      </c>
      <c r="X1693" s="628">
        <f t="shared" ref="X1693:Y1693" si="374">X1708</f>
        <v>-9.8000000000000004E-2</v>
      </c>
      <c r="Y1693" s="628">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3778</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28">
        <f t="shared" ref="W1694:Y1694" si="376">W1709</f>
        <v>0</v>
      </c>
      <c r="X1694" s="628">
        <f t="shared" si="376"/>
        <v>0</v>
      </c>
      <c r="Y1694" s="628">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8">
        <f t="shared" ref="W1695:Y1695" si="381">W1710</f>
        <v>0</v>
      </c>
      <c r="X1695" s="628">
        <f t="shared" si="381"/>
        <v>0</v>
      </c>
      <c r="Y1695" s="628">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3798</v>
      </c>
      <c r="AG1695" s="76"/>
      <c r="AH1695" s="97">
        <v>1</v>
      </c>
      <c r="AI1695" s="97">
        <v>1</v>
      </c>
      <c r="AJ1695" s="73"/>
      <c r="AK1695" s="57"/>
      <c r="AL1695" s="45"/>
      <c r="AM1695" s="45"/>
      <c r="AN1695" s="45"/>
    </row>
    <row r="1696" spans="1:40" hidden="1" outlineLevel="3" x14ac:dyDescent="0.2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8">
        <f t="shared" ref="W1696:Y1696" si="383">W1711</f>
        <v>0</v>
      </c>
      <c r="X1696" s="628">
        <f t="shared" si="383"/>
        <v>0</v>
      </c>
      <c r="Y1696" s="628">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8">
        <f t="shared" ref="W1697:Y1697" si="384">W1712</f>
        <v>0</v>
      </c>
      <c r="X1697" s="628">
        <f t="shared" si="384"/>
        <v>0</v>
      </c>
      <c r="Y1697" s="628">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8">
        <f t="shared" ref="W1698:Y1698" si="385">W1713</f>
        <v>0</v>
      </c>
      <c r="X1698" s="628">
        <f t="shared" si="385"/>
        <v>0</v>
      </c>
      <c r="Y1698" s="628">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28">
        <f t="shared" ref="W1699:Y1699" si="386">W1714</f>
        <v>-3.7749999999999999E-2</v>
      </c>
      <c r="X1699" s="628">
        <f t="shared" si="386"/>
        <v>-3.7749999999999999E-2</v>
      </c>
      <c r="Y1699" s="628">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28">
        <f t="shared" ref="W1700:Y1700" si="387">W1715</f>
        <v>0</v>
      </c>
      <c r="X1700" s="628">
        <f t="shared" si="387"/>
        <v>0</v>
      </c>
      <c r="Y1700" s="628">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8">
        <f t="shared" ref="W1701:Y1701" si="388">W1716</f>
        <v>0.05</v>
      </c>
      <c r="X1701" s="628">
        <f t="shared" si="388"/>
        <v>0.05</v>
      </c>
      <c r="Y1701" s="628">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28">
        <f t="shared" ref="W1702:Y1702" si="389">W1717</f>
        <v>-9.3500000000000007E-3</v>
      </c>
      <c r="X1702" s="628">
        <f t="shared" si="389"/>
        <v>-9.3500000000000007E-3</v>
      </c>
      <c r="Y1702" s="628">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28">
        <f t="shared" ref="W1703:Y1703" si="393">W1718</f>
        <v>-7.0369200000000003E-3</v>
      </c>
      <c r="X1703" s="628">
        <f t="shared" si="393"/>
        <v>-7.0369200000000003E-3</v>
      </c>
      <c r="Y1703" s="628">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28">
        <f t="shared" ref="W1704:Y1704" si="394">W1719</f>
        <v>7.4569999999999999E-5</v>
      </c>
      <c r="X1704" s="628">
        <f t="shared" si="394"/>
        <v>7.4569999999999999E-5</v>
      </c>
      <c r="Y1704" s="628">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0"/>
        <v>4</v>
      </c>
      <c r="D1705" s="73"/>
      <c r="E1705" s="70"/>
      <c r="F1705" s="70" t="s">
        <v>3330</v>
      </c>
      <c r="G1705" s="73"/>
      <c r="H1705" s="374" t="s">
        <v>3327</v>
      </c>
      <c r="I1705" s="96"/>
      <c r="J1705" s="76"/>
      <c r="K1705" s="76"/>
      <c r="L1705" s="76"/>
      <c r="M1705" s="76"/>
      <c r="N1705" s="76"/>
      <c r="O1705" s="76"/>
      <c r="P1705" s="76"/>
      <c r="Q1705" s="76"/>
      <c r="R1705" s="76"/>
      <c r="S1705" s="76"/>
      <c r="T1705" s="76"/>
      <c r="U1705" s="97">
        <v>-0.63980999999999999</v>
      </c>
      <c r="V1705" s="255">
        <f t="shared" si="373"/>
        <v>-0.63980999999999999</v>
      </c>
      <c r="W1705" s="628">
        <f t="shared" ref="W1705:Y1706" si="395">W1720</f>
        <v>0</v>
      </c>
      <c r="X1705" s="628">
        <f t="shared" si="395"/>
        <v>0</v>
      </c>
      <c r="Y1705" s="628">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0"/>
        <v>4</v>
      </c>
      <c r="D1706" s="73"/>
      <c r="E1706" s="70"/>
      <c r="F1706" s="70" t="s">
        <v>3331</v>
      </c>
      <c r="G1706" s="73"/>
      <c r="H1706" s="374" t="s">
        <v>3326</v>
      </c>
      <c r="I1706" s="96"/>
      <c r="J1706" s="76"/>
      <c r="K1706" s="76"/>
      <c r="L1706" s="76"/>
      <c r="M1706" s="76"/>
      <c r="N1706" s="76"/>
      <c r="O1706" s="76"/>
      <c r="P1706" s="76"/>
      <c r="Q1706" s="76"/>
      <c r="R1706" s="76"/>
      <c r="S1706" s="76"/>
      <c r="T1706" s="76"/>
      <c r="U1706" s="76">
        <v>0</v>
      </c>
      <c r="V1706" s="76">
        <v>0</v>
      </c>
      <c r="W1706" s="628">
        <f t="shared" si="395"/>
        <v>0</v>
      </c>
      <c r="X1706" s="628">
        <f t="shared" si="395"/>
        <v>0</v>
      </c>
      <c r="Y1706" s="628">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28">
        <f t="shared" ref="W1707:Y1707" si="399">W1722</f>
        <v>-1.8110552</v>
      </c>
      <c r="X1707" s="628">
        <f t="shared" si="399"/>
        <v>-1.8110552</v>
      </c>
      <c r="Y1707" s="628">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3303</v>
      </c>
      <c r="G1708" s="73"/>
      <c r="H1708" s="76" t="s">
        <v>3797</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3780</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3305</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3791</v>
      </c>
      <c r="AG1709" s="76"/>
      <c r="AH1709" s="97">
        <v>1</v>
      </c>
      <c r="AI1709" s="97">
        <v>1</v>
      </c>
      <c r="AJ1709" s="73"/>
      <c r="AK1709" s="57"/>
      <c r="AL1709" s="45"/>
      <c r="AM1709" s="45"/>
      <c r="AN1709" s="45"/>
    </row>
    <row r="1710" spans="1:40" hidden="1" outlineLevel="3" collapsed="1" x14ac:dyDescent="0.25">
      <c r="A1710" s="45"/>
      <c r="B1710" s="54"/>
      <c r="C1710" s="47">
        <f t="shared" ref="C1710:C1721" si="400">INT($C$29)+3</f>
        <v>4</v>
      </c>
      <c r="D1710" s="73"/>
      <c r="E1710" s="70"/>
      <c r="F1710" s="70" t="s">
        <v>3304</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00"/>
        <v>4</v>
      </c>
      <c r="D1711" s="73"/>
      <c r="E1711" s="70"/>
      <c r="F1711" s="70" t="s">
        <v>3306</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00"/>
        <v>4</v>
      </c>
      <c r="D1712" s="73"/>
      <c r="E1712" s="70"/>
      <c r="F1712" s="70" t="s">
        <v>3307</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00"/>
        <v>4</v>
      </c>
      <c r="D1713" s="73"/>
      <c r="E1713" s="70"/>
      <c r="F1713" s="70" t="s">
        <v>3308</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00"/>
        <v>4</v>
      </c>
      <c r="D1714" s="73"/>
      <c r="E1714" s="70"/>
      <c r="F1714" s="70" t="s">
        <v>3309</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00"/>
        <v>4</v>
      </c>
      <c r="D1715" s="73"/>
      <c r="E1715" s="70"/>
      <c r="F1715" s="70" t="s">
        <v>3310</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00"/>
        <v>4</v>
      </c>
      <c r="D1716" s="73"/>
      <c r="E1716" s="70"/>
      <c r="F1716" s="70" t="s">
        <v>3311</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25">
      <c r="A1717" s="45"/>
      <c r="B1717" s="54"/>
      <c r="C1717" s="47">
        <f t="shared" si="400"/>
        <v>4</v>
      </c>
      <c r="D1717" s="73"/>
      <c r="E1717" s="70"/>
      <c r="F1717" s="70" t="s">
        <v>3312</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00"/>
        <v>4</v>
      </c>
      <c r="D1718" s="73"/>
      <c r="E1718" s="70"/>
      <c r="F1718" s="70" t="s">
        <v>3313</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00"/>
        <v>4</v>
      </c>
      <c r="D1719" s="73"/>
      <c r="E1719" s="70"/>
      <c r="F1719" s="70" t="s">
        <v>3314</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00"/>
        <v>4</v>
      </c>
      <c r="D1720" s="73"/>
      <c r="E1720" s="70"/>
      <c r="F1720" s="70" t="s">
        <v>3324</v>
      </c>
      <c r="G1720" s="73"/>
      <c r="H1720" s="374" t="s">
        <v>3327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00"/>
        <v>4</v>
      </c>
      <c r="D1721" s="73"/>
      <c r="E1721" s="70"/>
      <c r="F1721" s="70" t="s">
        <v>3325</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3315</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3346</v>
      </c>
      <c r="G1723" s="73"/>
      <c r="H1723" s="76" t="s">
        <v>3355</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3599</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3347</v>
      </c>
      <c r="G1724" s="73"/>
      <c r="H1724" s="76" t="s">
        <v>3356</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3357</v>
      </c>
      <c r="AG1724" s="76"/>
      <c r="AH1724" s="76">
        <v>1</v>
      </c>
      <c r="AI1724" s="76">
        <v>1</v>
      </c>
      <c r="AJ1724" s="73"/>
      <c r="AK1724" s="57"/>
      <c r="AL1724" s="45"/>
      <c r="AM1724" s="45"/>
      <c r="AN1724" s="45"/>
    </row>
    <row r="1725" spans="1:40" hidden="1" outlineLevel="2" x14ac:dyDescent="0.25">
      <c r="A1725" s="45"/>
      <c r="B1725" s="54"/>
      <c r="C1725" s="47">
        <f t="shared" ref="C1725:C1736" si="404">INT($C$29)+3</f>
        <v>4</v>
      </c>
      <c r="D1725" s="73"/>
      <c r="E1725" s="70"/>
      <c r="F1725" s="70" t="s">
        <v>3348</v>
      </c>
      <c r="G1725" s="73"/>
      <c r="H1725" s="76" t="s">
        <v>3595</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3358</v>
      </c>
      <c r="AG1725" s="76"/>
      <c r="AH1725" s="97">
        <v>1</v>
      </c>
      <c r="AI1725" s="97">
        <v>1</v>
      </c>
      <c r="AJ1725" s="73"/>
      <c r="AK1725" s="57"/>
      <c r="AL1725" s="45"/>
      <c r="AM1725" s="45"/>
      <c r="AN1725" s="45"/>
    </row>
    <row r="1726" spans="1:40" hidden="1" outlineLevel="2" collapsed="1" x14ac:dyDescent="0.25">
      <c r="A1726" s="45"/>
      <c r="B1726" s="54"/>
      <c r="C1726" s="47">
        <f t="shared" si="404"/>
        <v>4</v>
      </c>
      <c r="D1726" s="73"/>
      <c r="E1726" s="70"/>
      <c r="F1726" s="70" t="s">
        <v>3349</v>
      </c>
      <c r="G1726" s="73"/>
      <c r="H1726" s="76" t="s">
        <v>3596</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04"/>
        <v>4</v>
      </c>
      <c r="D1727" s="73"/>
      <c r="E1727" s="70"/>
      <c r="F1727" s="70" t="s">
        <v>3350</v>
      </c>
      <c r="G1727" s="73"/>
      <c r="H1727" s="76" t="s">
        <v>3597</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04"/>
        <v>4</v>
      </c>
      <c r="D1728" s="73"/>
      <c r="E1728" s="70"/>
      <c r="F1728" s="70" t="s">
        <v>3351</v>
      </c>
      <c r="G1728" s="73"/>
      <c r="H1728" s="76" t="s">
        <v>3598</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04"/>
        <v>4</v>
      </c>
      <c r="D1729" s="73"/>
      <c r="E1729" s="70"/>
      <c r="F1729" s="70" t="s">
        <v>3352</v>
      </c>
      <c r="G1729" s="73"/>
      <c r="H1729" s="373" t="s">
        <v>3359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4"/>
        <v>4</v>
      </c>
      <c r="D1730" s="73"/>
      <c r="E1730" s="70"/>
      <c r="F1730" s="70" t="s">
        <v>3353</v>
      </c>
      <c r="G1730" s="73"/>
      <c r="H1730" s="373" t="s">
        <v>3360</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4"/>
        <v>4</v>
      </c>
      <c r="D1731" s="73"/>
      <c r="E1731" s="70"/>
      <c r="F1731" s="70" t="str">
        <f>SUBSTITUTE(F1727,",4)",",8)")</f>
        <v>C(U2,27,8)</v>
      </c>
      <c r="G1731" s="73"/>
      <c r="H1731" s="373" t="s">
        <v>3361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4"/>
        <v>4</v>
      </c>
      <c r="D1732" s="73"/>
      <c r="E1732" s="70"/>
      <c r="F1732" s="70" t="str">
        <f>SUBSTITUTE(F1728,",5)",",9)")</f>
        <v>C(U2,27,9)</v>
      </c>
      <c r="G1732" s="73"/>
      <c r="H1732" s="373" t="s">
        <v>3362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04"/>
        <v>4</v>
      </c>
      <c r="D1733" s="73"/>
      <c r="E1733" s="70"/>
      <c r="F1733" s="70" t="str">
        <f>SUBSTITUTE(F1729,",6)",",10)")</f>
        <v>C(U2,27,10)</v>
      </c>
      <c r="G1733" s="73"/>
      <c r="H1733" s="373" t="s">
        <v>3363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04"/>
        <v>4</v>
      </c>
      <c r="D1734" s="73"/>
      <c r="E1734" s="70"/>
      <c r="F1734" s="70" t="str">
        <f>SUBSTITUTE(F1730,",7)",",11)")</f>
        <v>C(U2,27,11)</v>
      </c>
      <c r="G1734" s="73"/>
      <c r="H1734" s="373" t="s">
        <v>3364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4"/>
        <v>4</v>
      </c>
      <c r="D1735" s="73"/>
      <c r="E1735" s="70"/>
      <c r="F1735" s="70" t="str">
        <f>SUBSTITUTE(F1729,",6)",",12)")</f>
        <v>C(U2,27,12)</v>
      </c>
      <c r="G1735" s="73"/>
      <c r="H1735" s="373" t="s">
        <v>3365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04"/>
        <v>4</v>
      </c>
      <c r="D1736" s="73"/>
      <c r="E1736" s="70"/>
      <c r="F1736" s="70" t="str">
        <f>SUBSTITUTE(F1730,",7)",",13)")</f>
        <v>C(U2,27,13)</v>
      </c>
      <c r="G1736" s="73"/>
      <c r="H1736" s="373" t="s">
        <v>3366</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3354</v>
      </c>
      <c r="G1737" s="73"/>
      <c r="H1737" s="76" t="s">
        <v>3367</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25">
      <c r="A1738" s="45"/>
      <c r="B1738" s="54"/>
      <c r="C1738" s="47">
        <f>INT($C$29)+1</f>
        <v>2</v>
      </c>
      <c r="D1738" s="73"/>
      <c r="E1738" s="70"/>
      <c r="F1738" s="265" t="s">
        <v>1702</v>
      </c>
      <c r="G1738" s="73"/>
      <c r="H1738" s="267" t="s">
        <v>3743</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25">
      <c r="A1739" s="45"/>
      <c r="B1739" s="54"/>
      <c r="C1739" s="47">
        <f t="shared" ref="C1739:C1758" si="430">INT($C$29)+3</f>
        <v>4</v>
      </c>
      <c r="D1739" s="73"/>
      <c r="E1739" s="70"/>
      <c r="F1739" s="70" t="s">
        <v>3514</v>
      </c>
      <c r="G1739" s="73"/>
      <c r="H1739" s="76" t="s">
        <v>3510</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0"/>
        <v>4</v>
      </c>
      <c r="D1740" s="73"/>
      <c r="E1740" s="70"/>
      <c r="F1740" s="70" t="s">
        <v>3515</v>
      </c>
      <c r="G1740" s="73"/>
      <c r="H1740" s="76" t="s">
        <v>3498</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0"/>
        <v>4</v>
      </c>
      <c r="D1741" s="73"/>
      <c r="E1741" s="70"/>
      <c r="F1741" s="70" t="s">
        <v>3516</v>
      </c>
      <c r="G1741" s="73"/>
      <c r="H1741" s="76" t="s">
        <v>3505</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0"/>
        <v>4</v>
      </c>
      <c r="D1742" s="73"/>
      <c r="E1742" s="70"/>
      <c r="F1742" s="70" t="s">
        <v>3517</v>
      </c>
      <c r="G1742" s="73"/>
      <c r="H1742" s="76" t="s">
        <v>3499</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0"/>
        <v>4</v>
      </c>
      <c r="D1743" s="73"/>
      <c r="E1743" s="70"/>
      <c r="F1743" s="70" t="s">
        <v>3518</v>
      </c>
      <c r="G1743" s="73"/>
      <c r="H1743" s="76" t="s">
        <v>3506</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0"/>
        <v>4</v>
      </c>
      <c r="D1744" s="73"/>
      <c r="E1744" s="70"/>
      <c r="F1744" s="70" t="s">
        <v>3519</v>
      </c>
      <c r="G1744" s="73"/>
      <c r="H1744" s="76" t="s">
        <v>3500</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0"/>
        <v>4</v>
      </c>
      <c r="D1745" s="73"/>
      <c r="E1745" s="70"/>
      <c r="F1745" s="70" t="s">
        <v>3520</v>
      </c>
      <c r="G1745" s="73"/>
      <c r="H1745" s="76" t="s">
        <v>3507</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0"/>
        <v>4</v>
      </c>
      <c r="D1746" s="73"/>
      <c r="E1746" s="70"/>
      <c r="F1746" s="70" t="s">
        <v>3521</v>
      </c>
      <c r="G1746" s="73"/>
      <c r="H1746" s="76" t="s">
        <v>3501</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0"/>
        <v>4</v>
      </c>
      <c r="D1747" s="73"/>
      <c r="E1747" s="70"/>
      <c r="F1747" s="70" t="str">
        <f>SUBSTITUTE(F1743,",4)",",8)")</f>
        <v>C(U6,0,8)</v>
      </c>
      <c r="G1747" s="73"/>
      <c r="H1747" s="76" t="s">
        <v>3508</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0"/>
        <v>4</v>
      </c>
      <c r="D1748" s="73"/>
      <c r="E1748" s="70"/>
      <c r="F1748" s="70" t="str">
        <f>SUBSTITUTE(F1744,",5)",",9)")</f>
        <v>C(U6,0,9)</v>
      </c>
      <c r="G1748" s="73"/>
      <c r="H1748" s="76" t="s">
        <v>3502</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0"/>
        <v>4</v>
      </c>
      <c r="D1749" s="73"/>
      <c r="E1749" s="70"/>
      <c r="F1749" s="70" t="str">
        <f>SUBSTITUTE(F1745,",6)",",10)")</f>
        <v>C(U6,0,10)</v>
      </c>
      <c r="G1749" s="73"/>
      <c r="H1749" s="76" t="s">
        <v>3509</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0"/>
        <v>4</v>
      </c>
      <c r="D1750" s="73"/>
      <c r="E1750" s="70"/>
      <c r="F1750" s="70" t="str">
        <f>SUBSTITUTE(F1746,",7)",",11)")</f>
        <v>C(U6,0,11)</v>
      </c>
      <c r="G1750" s="73"/>
      <c r="H1750" s="76" t="s">
        <v>3503</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0"/>
        <v>4</v>
      </c>
      <c r="D1751" s="73"/>
      <c r="E1751" s="70"/>
      <c r="F1751" s="70" t="str">
        <f>SUBSTITUTE(F1746,",7)",",12)")</f>
        <v>C(U6,0,12)</v>
      </c>
      <c r="G1751" s="73"/>
      <c r="H1751" s="76" t="s">
        <v>3332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0"/>
        <v>4</v>
      </c>
      <c r="D1752" s="73"/>
      <c r="E1752" s="70"/>
      <c r="F1752" s="70" t="str">
        <f>SUBSTITUTE(F1746,",7)",",13)")</f>
        <v>C(U6,0,13)</v>
      </c>
      <c r="G1752" s="73"/>
      <c r="H1752" s="76" t="s">
        <v>3504</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0"/>
        <v>4</v>
      </c>
      <c r="D1753" s="73"/>
      <c r="E1753" s="70"/>
      <c r="F1753" s="70" t="s">
        <v>3522</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0"/>
        <v>4</v>
      </c>
      <c r="D1754" s="73"/>
      <c r="E1754" s="70"/>
      <c r="F1754" s="70" t="s">
        <v>3523</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0"/>
        <v>4</v>
      </c>
      <c r="D1755" s="73"/>
      <c r="E1755" s="70"/>
      <c r="F1755" s="70" t="s">
        <v>3524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0"/>
        <v>4</v>
      </c>
      <c r="D1756" s="73"/>
      <c r="E1756" s="70"/>
      <c r="F1756" s="70" t="s">
        <v>3525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0"/>
        <v>4</v>
      </c>
      <c r="D1757" s="73"/>
      <c r="E1757" s="70"/>
      <c r="F1757" s="70" t="s">
        <v>3526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30"/>
        <v>4</v>
      </c>
      <c r="D1758" s="73"/>
      <c r="E1758" s="70"/>
      <c r="F1758" s="70" t="s">
        <v>3527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3530</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1"/>
        <v>4</v>
      </c>
      <c r="D1768" s="73"/>
      <c r="E1768" s="70"/>
      <c r="F1768" s="70" t="s">
        <v>3531</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1"/>
        <v>4</v>
      </c>
      <c r="D1769" s="73"/>
      <c r="E1769" s="70"/>
      <c r="F1769" s="70" t="s">
        <v>3532</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1"/>
        <v>4</v>
      </c>
      <c r="D1770" s="73"/>
      <c r="E1770" s="70"/>
      <c r="F1770" s="70" t="s">
        <v>3533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1"/>
        <v>4</v>
      </c>
      <c r="D1771" s="73"/>
      <c r="E1771" s="70"/>
      <c r="F1771" s="70" t="s">
        <v>3534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1"/>
        <v>4</v>
      </c>
      <c r="D1772" s="73"/>
      <c r="E1772" s="70"/>
      <c r="F1772" s="70" t="s">
        <v>3535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31"/>
        <v>4</v>
      </c>
      <c r="D1773" s="73"/>
      <c r="E1773" s="70"/>
      <c r="F1773" s="70" t="s">
        <v>3536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3539</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2"/>
        <v>4</v>
      </c>
      <c r="D1783" s="73"/>
      <c r="E1783" s="70"/>
      <c r="F1783" s="70" t="s">
        <v>3540</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2"/>
        <v>4</v>
      </c>
      <c r="D1784" s="73"/>
      <c r="E1784" s="70"/>
      <c r="F1784" s="70" t="s">
        <v>3541</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2"/>
        <v>4</v>
      </c>
      <c r="D1785" s="73"/>
      <c r="E1785" s="70"/>
      <c r="F1785" s="70" t="s">
        <v>3542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2"/>
        <v>4</v>
      </c>
      <c r="D1786" s="73"/>
      <c r="E1786" s="70"/>
      <c r="F1786" s="70" t="s">
        <v>3543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2"/>
        <v>4</v>
      </c>
      <c r="D1787" s="73"/>
      <c r="E1787" s="70"/>
      <c r="F1787" s="70" t="s">
        <v>3544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32"/>
        <v>4</v>
      </c>
      <c r="D1788" s="73"/>
      <c r="E1788" s="70"/>
      <c r="F1788" s="70" t="s">
        <v>3545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3548</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3"/>
        <v>4</v>
      </c>
      <c r="D1798" s="73"/>
      <c r="E1798" s="70"/>
      <c r="F1798" s="70" t="s">
        <v>3549</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3"/>
        <v>4</v>
      </c>
      <c r="D1799" s="73"/>
      <c r="E1799" s="70"/>
      <c r="F1799" s="70" t="s">
        <v>3550</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3"/>
        <v>4</v>
      </c>
      <c r="D1800" s="73"/>
      <c r="E1800" s="70"/>
      <c r="F1800" s="70" t="s">
        <v>3551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3"/>
        <v>4</v>
      </c>
      <c r="D1801" s="73"/>
      <c r="E1801" s="70"/>
      <c r="F1801" s="70" t="s">
        <v>3552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3"/>
        <v>4</v>
      </c>
      <c r="D1802" s="73"/>
      <c r="E1802" s="70"/>
      <c r="F1802" s="70" t="s">
        <v>3553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33"/>
        <v>4</v>
      </c>
      <c r="D1803" s="73"/>
      <c r="E1803" s="70"/>
      <c r="F1803" s="70" t="s">
        <v>3554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3557</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4"/>
        <v>4</v>
      </c>
      <c r="D1813" s="73"/>
      <c r="E1813" s="70"/>
      <c r="F1813" s="70" t="s">
        <v>3558</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4"/>
        <v>4</v>
      </c>
      <c r="D1814" s="73"/>
      <c r="E1814" s="70"/>
      <c r="F1814" s="70" t="s">
        <v>3559</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4"/>
        <v>4</v>
      </c>
      <c r="D1815" s="73"/>
      <c r="E1815" s="70"/>
      <c r="F1815" s="70" t="s">
        <v>3560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4"/>
        <v>4</v>
      </c>
      <c r="D1816" s="73"/>
      <c r="E1816" s="70"/>
      <c r="F1816" s="70" t="s">
        <v>3561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4"/>
        <v>4</v>
      </c>
      <c r="D1817" s="73"/>
      <c r="E1817" s="70"/>
      <c r="F1817" s="70" t="s">
        <v>3562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34"/>
        <v>4</v>
      </c>
      <c r="D1818" s="73"/>
      <c r="E1818" s="70"/>
      <c r="F1818" s="70" t="s">
        <v>3563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3566</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5"/>
        <v>4</v>
      </c>
      <c r="D1828" s="73"/>
      <c r="E1828" s="70"/>
      <c r="F1828" s="70" t="s">
        <v>3567</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5"/>
        <v>4</v>
      </c>
      <c r="D1829" s="73"/>
      <c r="E1829" s="70"/>
      <c r="F1829" s="70" t="s">
        <v>3568</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5"/>
        <v>4</v>
      </c>
      <c r="D1830" s="73"/>
      <c r="E1830" s="70"/>
      <c r="F1830" s="70" t="s">
        <v>3569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5"/>
        <v>4</v>
      </c>
      <c r="D1831" s="73"/>
      <c r="E1831" s="70"/>
      <c r="F1831" s="70" t="s">
        <v>3570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5"/>
        <v>4</v>
      </c>
      <c r="D1832" s="73"/>
      <c r="E1832" s="70"/>
      <c r="F1832" s="70" t="s">
        <v>3571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35"/>
        <v>4</v>
      </c>
      <c r="D1833" s="73"/>
      <c r="E1833" s="70"/>
      <c r="F1833" s="70" t="s">
        <v>3572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3575</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6"/>
        <v>4</v>
      </c>
      <c r="D1843" s="73"/>
      <c r="E1843" s="70"/>
      <c r="F1843" s="70" t="s">
        <v>3576</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6"/>
        <v>4</v>
      </c>
      <c r="D1844" s="73"/>
      <c r="E1844" s="70"/>
      <c r="F1844" s="70" t="s">
        <v>3577</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6"/>
        <v>4</v>
      </c>
      <c r="D1845" s="73"/>
      <c r="E1845" s="70"/>
      <c r="F1845" s="70" t="s">
        <v>3578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6"/>
        <v>4</v>
      </c>
      <c r="D1846" s="73"/>
      <c r="E1846" s="70"/>
      <c r="F1846" s="70" t="s">
        <v>3579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6"/>
        <v>4</v>
      </c>
      <c r="D1847" s="73"/>
      <c r="E1847" s="70"/>
      <c r="F1847" s="70" t="s">
        <v>3580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36"/>
        <v>4</v>
      </c>
      <c r="D1848" s="73"/>
      <c r="E1848" s="70"/>
      <c r="F1848" s="70" t="s">
        <v>3581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3584</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3585</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3586</v>
      </c>
      <c r="G1859" s="403"/>
      <c r="H1859" s="181" t="s">
        <v>3750</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3513</v>
      </c>
      <c r="AG1859" s="181"/>
      <c r="AH1859" s="404">
        <v>1</v>
      </c>
      <c r="AI1859" s="404">
        <v>1</v>
      </c>
      <c r="AJ1859" s="73"/>
      <c r="AK1859" s="57"/>
      <c r="AL1859" s="45"/>
      <c r="AM1859" s="45"/>
      <c r="AN1859" s="45"/>
    </row>
    <row r="1860" spans="1:40" hidden="1" outlineLevel="2" collapsed="1" x14ac:dyDescent="0.25">
      <c r="A1860" s="45"/>
      <c r="B1860" s="54"/>
      <c r="C1860" s="47">
        <f>INT($C$29)+2</f>
        <v>3</v>
      </c>
      <c r="D1860" s="73"/>
      <c r="E1860" s="70"/>
      <c r="F1860" s="70" t="s">
        <v>3587</v>
      </c>
      <c r="G1860" s="234"/>
      <c r="H1860" s="76" t="s">
        <v>3511</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3788</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3588</v>
      </c>
      <c r="G1861" s="234"/>
      <c r="H1861" s="76" t="s">
        <v>3505</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3589</v>
      </c>
      <c r="G1862" s="234"/>
      <c r="H1862" s="76" t="s">
        <v>3499</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25">
      <c r="A1863" s="45"/>
      <c r="B1863" s="54"/>
      <c r="C1863" s="47">
        <f>INT($C$29)+2</f>
        <v>3</v>
      </c>
      <c r="D1863" s="73"/>
      <c r="E1863" s="70"/>
      <c r="F1863" s="70" t="s">
        <v>3590</v>
      </c>
      <c r="G1863" s="234"/>
      <c r="H1863" s="76" t="s">
        <v>3506</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3591</v>
      </c>
      <c r="G1864" s="234"/>
      <c r="H1864" s="76" t="s">
        <v>3500</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49">INT($C$29)+3</f>
        <v>4</v>
      </c>
      <c r="D1865" s="73"/>
      <c r="E1865" s="70"/>
      <c r="F1865" s="70" t="s">
        <v>3592</v>
      </c>
      <c r="G1865" s="234"/>
      <c r="H1865" s="76" t="s">
        <v>3507</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25">
      <c r="A1866" s="45"/>
      <c r="B1866" s="54"/>
      <c r="C1866" s="47">
        <f t="shared" si="449"/>
        <v>4</v>
      </c>
      <c r="D1866" s="73"/>
      <c r="E1866" s="70"/>
      <c r="F1866" s="70" t="s">
        <v>3593</v>
      </c>
      <c r="G1866" s="234"/>
      <c r="H1866" s="76" t="s">
        <v>3501</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49"/>
        <v>4</v>
      </c>
      <c r="D1867" s="73"/>
      <c r="E1867" s="70"/>
      <c r="F1867" s="70" t="str">
        <f>SUBSTITUTE(F1863,",4)",",8)")</f>
        <v>C(U6,8,8)</v>
      </c>
      <c r="G1867" s="73"/>
      <c r="H1867" s="76" t="s">
        <v>3508</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9"/>
        <v>4</v>
      </c>
      <c r="D1868" s="73"/>
      <c r="E1868" s="70"/>
      <c r="F1868" s="70" t="str">
        <f>SUBSTITUTE(F1864,",5)",",9)")</f>
        <v>C(U6,8,9)</v>
      </c>
      <c r="G1868" s="73"/>
      <c r="H1868" s="76" t="s">
        <v>3502</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9"/>
        <v>4</v>
      </c>
      <c r="D1869" s="73"/>
      <c r="E1869" s="70"/>
      <c r="F1869" s="70" t="str">
        <f>SUBSTITUTE(F1865,",6)",",10)")</f>
        <v>C(U6,8,10)</v>
      </c>
      <c r="G1869" s="73"/>
      <c r="H1869" s="76" t="s">
        <v>3509</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49"/>
        <v>4</v>
      </c>
      <c r="D1870" s="73"/>
      <c r="E1870" s="70"/>
      <c r="F1870" s="70" t="str">
        <f>SUBSTITUTE(F1866,",7)",",11)")</f>
        <v>C(U6,8,11)</v>
      </c>
      <c r="G1870" s="73"/>
      <c r="H1870" s="76" t="s">
        <v>3503</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2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INT($C$29)+2</f>
        <v>3</v>
      </c>
      <c r="D1873" s="73"/>
      <c r="E1873" s="406"/>
      <c r="F1873" s="406" t="s">
        <v>3594</v>
      </c>
      <c r="G1873" s="407"/>
      <c r="H1873" s="184" t="s">
        <v>3512</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59">INT($C$29)+3</f>
        <v>4</v>
      </c>
      <c r="D1874" s="73"/>
      <c r="E1874" s="70"/>
      <c r="F1874" s="70" t="s">
        <v>3600</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9"/>
        <v>4</v>
      </c>
      <c r="D1875" s="73"/>
      <c r="E1875" s="70"/>
      <c r="F1875" s="70" t="s">
        <v>3601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9"/>
        <v>4</v>
      </c>
      <c r="D1876" s="73"/>
      <c r="E1876" s="70"/>
      <c r="F1876" s="70" t="s">
        <v>3602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9"/>
        <v>4</v>
      </c>
      <c r="D1877" s="73"/>
      <c r="E1877" s="70"/>
      <c r="F1877" s="70" t="s">
        <v>3603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59"/>
        <v>4</v>
      </c>
      <c r="D1878" s="73"/>
      <c r="E1878" s="70"/>
      <c r="F1878" s="70" t="s">
        <v>3604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3607</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0"/>
        <v>4</v>
      </c>
      <c r="D1888" s="73"/>
      <c r="E1888" s="70"/>
      <c r="F1888" s="70" t="s">
        <v>3608</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0"/>
        <v>4</v>
      </c>
      <c r="D1889" s="73"/>
      <c r="E1889" s="70"/>
      <c r="F1889" s="70" t="s">
        <v>3609</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0"/>
        <v>4</v>
      </c>
      <c r="D1890" s="73"/>
      <c r="E1890" s="70"/>
      <c r="F1890" s="70" t="s">
        <v>3610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0"/>
        <v>4</v>
      </c>
      <c r="D1891" s="73"/>
      <c r="E1891" s="70"/>
      <c r="F1891" s="70" t="s">
        <v>3611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0"/>
        <v>4</v>
      </c>
      <c r="D1892" s="73"/>
      <c r="E1892" s="70"/>
      <c r="F1892" s="70" t="s">
        <v>3612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60"/>
        <v>4</v>
      </c>
      <c r="D1893" s="73"/>
      <c r="E1893" s="70"/>
      <c r="F1893" s="70" t="s">
        <v>3613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3616</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1"/>
        <v>4</v>
      </c>
      <c r="D1903" s="73"/>
      <c r="E1903" s="70"/>
      <c r="F1903" s="70" t="s">
        <v>3617</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1"/>
        <v>4</v>
      </c>
      <c r="D1904" s="73"/>
      <c r="E1904" s="70"/>
      <c r="F1904" s="70" t="s">
        <v>3618</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1"/>
        <v>4</v>
      </c>
      <c r="D1905" s="73"/>
      <c r="E1905" s="70"/>
      <c r="F1905" s="70" t="s">
        <v>3619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1"/>
        <v>4</v>
      </c>
      <c r="D1906" s="73"/>
      <c r="E1906" s="70"/>
      <c r="F1906" s="70" t="s">
        <v>3620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1"/>
        <v>4</v>
      </c>
      <c r="D1907" s="73"/>
      <c r="E1907" s="70"/>
      <c r="F1907" s="70" t="s">
        <v>3621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61"/>
        <v>4</v>
      </c>
      <c r="D1908" s="73"/>
      <c r="E1908" s="70"/>
      <c r="F1908" s="70" t="s">
        <v>3622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3625</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2"/>
        <v>4</v>
      </c>
      <c r="D1918" s="73"/>
      <c r="E1918" s="70"/>
      <c r="F1918" s="70" t="s">
        <v>3626</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2"/>
        <v>4</v>
      </c>
      <c r="D1919" s="73"/>
      <c r="E1919" s="70"/>
      <c r="F1919" s="70" t="s">
        <v>3627</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2"/>
        <v>4</v>
      </c>
      <c r="D1920" s="73"/>
      <c r="E1920" s="70"/>
      <c r="F1920" s="70" t="s">
        <v>3628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2"/>
        <v>4</v>
      </c>
      <c r="D1921" s="73"/>
      <c r="E1921" s="70"/>
      <c r="F1921" s="70" t="s">
        <v>3629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2"/>
        <v>4</v>
      </c>
      <c r="D1922" s="73"/>
      <c r="E1922" s="70"/>
      <c r="F1922" s="70" t="s">
        <v>3630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62"/>
        <v>4</v>
      </c>
      <c r="D1923" s="73"/>
      <c r="E1923" s="70"/>
      <c r="F1923" s="70" t="s">
        <v>3631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3634</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3"/>
        <v>4</v>
      </c>
      <c r="D1933" s="73"/>
      <c r="E1933" s="70"/>
      <c r="F1933" s="70" t="s">
        <v>3635</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3"/>
        <v>4</v>
      </c>
      <c r="D1934" s="73"/>
      <c r="E1934" s="70"/>
      <c r="F1934" s="70" t="s">
        <v>3636</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3"/>
        <v>4</v>
      </c>
      <c r="D1935" s="73"/>
      <c r="E1935" s="70"/>
      <c r="F1935" s="70" t="s">
        <v>3637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3"/>
        <v>4</v>
      </c>
      <c r="D1936" s="73"/>
      <c r="E1936" s="70"/>
      <c r="F1936" s="70" t="s">
        <v>3638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3"/>
        <v>4</v>
      </c>
      <c r="D1937" s="73"/>
      <c r="E1937" s="70"/>
      <c r="F1937" s="70" t="s">
        <v>3639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63"/>
        <v>4</v>
      </c>
      <c r="D1938" s="73"/>
      <c r="E1938" s="70"/>
      <c r="F1938" s="70" t="s">
        <v>3640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3641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3643</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4"/>
        <v>4</v>
      </c>
      <c r="D1948" s="73"/>
      <c r="E1948" s="70"/>
      <c r="F1948" s="70" t="s">
        <v>3644</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4"/>
        <v>4</v>
      </c>
      <c r="D1949" s="73"/>
      <c r="E1949" s="70"/>
      <c r="F1949" s="70" t="s">
        <v>3645</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4"/>
        <v>4</v>
      </c>
      <c r="D1950" s="73"/>
      <c r="E1950" s="70"/>
      <c r="F1950" s="70" t="s">
        <v>3646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4"/>
        <v>4</v>
      </c>
      <c r="D1951" s="73"/>
      <c r="E1951" s="70"/>
      <c r="F1951" s="70" t="s">
        <v>3647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4"/>
        <v>4</v>
      </c>
      <c r="D1952" s="73"/>
      <c r="E1952" s="70"/>
      <c r="F1952" s="70" t="s">
        <v>3648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64"/>
        <v>4</v>
      </c>
      <c r="D1953" s="73"/>
      <c r="E1953" s="70"/>
      <c r="F1953" s="70" t="s">
        <v>3649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3650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3651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3652</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5"/>
        <v>4</v>
      </c>
      <c r="D1963" s="73"/>
      <c r="E1963" s="70"/>
      <c r="F1963" s="70" t="s">
        <v>3653</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5"/>
        <v>4</v>
      </c>
      <c r="D1964" s="73"/>
      <c r="E1964" s="70"/>
      <c r="F1964" s="70" t="s">
        <v>3654</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5"/>
        <v>4</v>
      </c>
      <c r="D1965" s="73"/>
      <c r="E1965" s="70"/>
      <c r="F1965" s="70" t="s">
        <v>3655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5"/>
        <v>4</v>
      </c>
      <c r="D1966" s="73"/>
      <c r="E1966" s="70"/>
      <c r="F1966" s="70" t="s">
        <v>3656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5"/>
        <v>4</v>
      </c>
      <c r="D1967" s="73"/>
      <c r="E1967" s="70"/>
      <c r="F1967" s="70" t="s">
        <v>3657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65"/>
        <v>4</v>
      </c>
      <c r="D1968" s="73"/>
      <c r="E1968" s="70"/>
      <c r="F1968" s="70" t="s">
        <v>3658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3660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3661</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3662</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67">INT($C$29)+3</f>
        <v>4</v>
      </c>
      <c r="D1979" s="73"/>
      <c r="E1979" s="70"/>
      <c r="F1979" s="70" t="s">
        <v>3663</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67"/>
        <v>4</v>
      </c>
      <c r="D1980" s="73"/>
      <c r="E1980" s="70"/>
      <c r="F1980" s="70" t="s">
        <v>3664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7"/>
        <v>4</v>
      </c>
      <c r="D1981" s="73"/>
      <c r="E1981" s="70"/>
      <c r="F1981" s="70" t="s">
        <v>3665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7"/>
        <v>4</v>
      </c>
      <c r="D1982" s="73"/>
      <c r="E1982" s="70"/>
      <c r="F1982" s="70" t="s">
        <v>3666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67"/>
        <v>4</v>
      </c>
      <c r="D1983" s="73"/>
      <c r="E1983" s="70"/>
      <c r="F1983" s="70" t="s">
        <v>3667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3670</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8"/>
        <v>4</v>
      </c>
      <c r="D1993" s="73"/>
      <c r="E1993" s="70"/>
      <c r="F1993" s="70" t="s">
        <v>3671</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8"/>
        <v>4</v>
      </c>
      <c r="D1994" s="73"/>
      <c r="E1994" s="70"/>
      <c r="F1994" s="70" t="s">
        <v>3672</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8"/>
        <v>4</v>
      </c>
      <c r="D1995" s="73"/>
      <c r="E1995" s="70"/>
      <c r="F1995" s="70" t="s">
        <v>3673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8"/>
        <v>4</v>
      </c>
      <c r="D1996" s="73"/>
      <c r="E1996" s="70"/>
      <c r="F1996" s="70" t="s">
        <v>3674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8"/>
        <v>4</v>
      </c>
      <c r="D1997" s="73"/>
      <c r="E1997" s="70"/>
      <c r="F1997" s="70" t="s">
        <v>3675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68"/>
        <v>4</v>
      </c>
      <c r="D1998" s="73"/>
      <c r="E1998" s="70"/>
      <c r="F1998" s="70" t="s">
        <v>3676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3679</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9"/>
        <v>4</v>
      </c>
      <c r="D2008" s="73"/>
      <c r="E2008" s="70"/>
      <c r="F2008" s="70" t="s">
        <v>3680</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9"/>
        <v>4</v>
      </c>
      <c r="D2009" s="73"/>
      <c r="E2009" s="70"/>
      <c r="F2009" s="70" t="s">
        <v>3681</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9"/>
        <v>4</v>
      </c>
      <c r="D2010" s="73"/>
      <c r="E2010" s="70"/>
      <c r="F2010" s="70" t="s">
        <v>3682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9"/>
        <v>4</v>
      </c>
      <c r="D2011" s="73"/>
      <c r="E2011" s="70"/>
      <c r="F2011" s="70" t="s">
        <v>3683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9"/>
        <v>4</v>
      </c>
      <c r="D2012" s="73"/>
      <c r="E2012" s="70"/>
      <c r="F2012" s="70" t="s">
        <v>3684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69"/>
        <v>4</v>
      </c>
      <c r="D2013" s="73"/>
      <c r="E2013" s="70"/>
      <c r="F2013" s="70" t="s">
        <v>3685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3688</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0"/>
        <v>4</v>
      </c>
      <c r="D2023" s="73"/>
      <c r="E2023" s="70"/>
      <c r="F2023" s="70" t="s">
        <v>3689</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0"/>
        <v>4</v>
      </c>
      <c r="D2024" s="73"/>
      <c r="E2024" s="70"/>
      <c r="F2024" s="70" t="s">
        <v>3690</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0"/>
        <v>4</v>
      </c>
      <c r="D2025" s="73"/>
      <c r="E2025" s="70"/>
      <c r="F2025" s="70" t="s">
        <v>3691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0"/>
        <v>4</v>
      </c>
      <c r="D2026" s="73"/>
      <c r="E2026" s="70"/>
      <c r="F2026" s="70" t="s">
        <v>3692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0"/>
        <v>4</v>
      </c>
      <c r="D2027" s="73"/>
      <c r="E2027" s="70"/>
      <c r="F2027" s="70" t="s">
        <v>3693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70"/>
        <v>4</v>
      </c>
      <c r="D2028" s="73"/>
      <c r="E2028" s="70"/>
      <c r="F2028" s="70" t="s">
        <v>3694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3697</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1"/>
        <v>4</v>
      </c>
      <c r="D2038" s="73"/>
      <c r="E2038" s="70"/>
      <c r="F2038" s="70" t="s">
        <v>3698</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1"/>
        <v>4</v>
      </c>
      <c r="D2039" s="73"/>
      <c r="E2039" s="70"/>
      <c r="F2039" s="70" t="s">
        <v>3699</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1"/>
        <v>4</v>
      </c>
      <c r="D2040" s="73"/>
      <c r="E2040" s="70"/>
      <c r="F2040" s="70" t="s">
        <v>3700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1"/>
        <v>4</v>
      </c>
      <c r="D2041" s="73"/>
      <c r="E2041" s="70"/>
      <c r="F2041" s="70" t="s">
        <v>3701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1"/>
        <v>4</v>
      </c>
      <c r="D2042" s="73"/>
      <c r="E2042" s="70"/>
      <c r="F2042" s="70" t="s">
        <v>3702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71"/>
        <v>4</v>
      </c>
      <c r="D2043" s="73"/>
      <c r="E2043" s="70"/>
      <c r="F2043" s="70" t="s">
        <v>3703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3706</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2"/>
        <v>4</v>
      </c>
      <c r="D2053" s="73"/>
      <c r="E2053" s="70"/>
      <c r="F2053" s="70" t="s">
        <v>3707</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2"/>
        <v>4</v>
      </c>
      <c r="D2054" s="73"/>
      <c r="E2054" s="70"/>
      <c r="F2054" s="70" t="s">
        <v>3708</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2"/>
        <v>4</v>
      </c>
      <c r="D2055" s="73"/>
      <c r="E2055" s="70"/>
      <c r="F2055" s="70" t="s">
        <v>3709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2"/>
        <v>4</v>
      </c>
      <c r="D2056" s="73"/>
      <c r="E2056" s="70"/>
      <c r="F2056" s="70" t="s">
        <v>3710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2"/>
        <v>4</v>
      </c>
      <c r="D2057" s="73"/>
      <c r="E2057" s="70"/>
      <c r="F2057" s="70" t="s">
        <v>3711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72"/>
        <v>4</v>
      </c>
      <c r="D2058" s="73"/>
      <c r="E2058" s="70"/>
      <c r="F2058" s="70" t="s">
        <v>3712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3715</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3"/>
        <v>4</v>
      </c>
      <c r="D2068" s="73"/>
      <c r="E2068" s="70"/>
      <c r="F2068" s="70" t="s">
        <v>3716</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3"/>
        <v>4</v>
      </c>
      <c r="D2069" s="73"/>
      <c r="E2069" s="70"/>
      <c r="F2069" s="70" t="s">
        <v>3717</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3"/>
        <v>4</v>
      </c>
      <c r="D2070" s="73"/>
      <c r="E2070" s="70"/>
      <c r="F2070" s="70" t="s">
        <v>3718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3"/>
        <v>4</v>
      </c>
      <c r="D2071" s="73"/>
      <c r="E2071" s="70"/>
      <c r="F2071" s="70" t="s">
        <v>3719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3"/>
        <v>4</v>
      </c>
      <c r="D2072" s="73"/>
      <c r="E2072" s="70"/>
      <c r="F2072" s="70" t="s">
        <v>3720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73"/>
        <v>4</v>
      </c>
      <c r="D2073" s="73"/>
      <c r="E2073" s="70"/>
      <c r="F2073" s="70" t="s">
        <v>3721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3724</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3725</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3726</v>
      </c>
      <c r="G2084" s="73"/>
      <c r="H2084" s="76" t="s">
        <v>3355</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3599</v>
      </c>
      <c r="AG2084" s="76"/>
      <c r="AH2084" s="76">
        <v>1</v>
      </c>
      <c r="AI2084" s="76">
        <v>1</v>
      </c>
      <c r="AJ2084" s="73"/>
      <c r="AK2084" s="57"/>
      <c r="AL2084" s="45"/>
      <c r="AM2084" s="45"/>
      <c r="AN2084" s="45"/>
    </row>
    <row r="2085" spans="1:40" hidden="1" outlineLevel="2" collapsed="1" x14ac:dyDescent="0.25">
      <c r="A2085" s="45"/>
      <c r="B2085" s="54"/>
      <c r="C2085" s="47">
        <f>INT($C$29)+2</f>
        <v>3</v>
      </c>
      <c r="D2085" s="73"/>
      <c r="E2085" s="70"/>
      <c r="F2085" s="70" t="s">
        <v>3727</v>
      </c>
      <c r="G2085" s="73"/>
      <c r="H2085" s="76" t="s">
        <v>3356</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3357</v>
      </c>
      <c r="AG2085" s="76"/>
      <c r="AH2085" s="76">
        <v>1</v>
      </c>
      <c r="AI2085" s="76">
        <v>1</v>
      </c>
      <c r="AJ2085" s="73"/>
      <c r="AK2085" s="57"/>
      <c r="AL2085" s="45"/>
      <c r="AM2085" s="45"/>
      <c r="AN2085" s="45"/>
    </row>
    <row r="2086" spans="1:40" hidden="1" outlineLevel="3" x14ac:dyDescent="0.25">
      <c r="A2086" s="45"/>
      <c r="B2086" s="54"/>
      <c r="C2086" s="47">
        <f t="shared" ref="C2086:C2097" si="481">INT($C$29)+3</f>
        <v>4</v>
      </c>
      <c r="D2086" s="73"/>
      <c r="E2086" s="70"/>
      <c r="F2086" s="70" t="s">
        <v>3728</v>
      </c>
      <c r="G2086" s="73"/>
      <c r="H2086" s="373" t="s">
        <v>3505</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81"/>
        <v>4</v>
      </c>
      <c r="D2087" s="73"/>
      <c r="E2087" s="70"/>
      <c r="F2087" s="70" t="s">
        <v>3729</v>
      </c>
      <c r="G2087" s="73"/>
      <c r="H2087" s="373" t="s">
        <v>3499</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25">
      <c r="A2088" s="45"/>
      <c r="B2088" s="54"/>
      <c r="C2088" s="47">
        <f t="shared" si="481"/>
        <v>4</v>
      </c>
      <c r="D2088" s="73"/>
      <c r="E2088" s="70"/>
      <c r="F2088" s="70" t="s">
        <v>3730</v>
      </c>
      <c r="G2088" s="73"/>
      <c r="H2088" s="76" t="s">
        <v>3595</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81"/>
        <v>4</v>
      </c>
      <c r="D2089" s="73"/>
      <c r="E2089" s="70"/>
      <c r="F2089" s="70" t="s">
        <v>3731</v>
      </c>
      <c r="G2089" s="73"/>
      <c r="H2089" s="76" t="s">
        <v>3596</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25">
      <c r="A2090" s="45"/>
      <c r="B2090" s="54"/>
      <c r="C2090" s="47">
        <f t="shared" si="481"/>
        <v>4</v>
      </c>
      <c r="D2090" s="73"/>
      <c r="E2090" s="70"/>
      <c r="F2090" s="70" t="s">
        <v>3732</v>
      </c>
      <c r="G2090" s="73"/>
      <c r="H2090" s="76" t="s">
        <v>3597</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81"/>
        <v>4</v>
      </c>
      <c r="D2091" s="73"/>
      <c r="E2091" s="70"/>
      <c r="F2091" s="70" t="s">
        <v>3733</v>
      </c>
      <c r="G2091" s="73"/>
      <c r="H2091" s="76" t="s">
        <v>3598</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25">
      <c r="A2092" s="45"/>
      <c r="B2092" s="54"/>
      <c r="C2092" s="47">
        <f t="shared" si="481"/>
        <v>4</v>
      </c>
      <c r="D2092" s="73"/>
      <c r="E2092" s="70"/>
      <c r="F2092" s="70" t="str">
        <f>SUBSTITUTE(F2088,",4)",",8)")</f>
        <v>C(U6,23,8)</v>
      </c>
      <c r="G2092" s="73"/>
      <c r="H2092" s="373" t="s">
        <v>3361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1"/>
        <v>4</v>
      </c>
      <c r="D2093" s="73"/>
      <c r="E2093" s="70"/>
      <c r="F2093" s="70" t="str">
        <f>SUBSTITUTE(F2089,",5)",",9)")</f>
        <v>C(U6,23,9)</v>
      </c>
      <c r="G2093" s="73"/>
      <c r="H2093" s="373" t="s">
        <v>3362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81"/>
        <v>4</v>
      </c>
      <c r="D2094" s="73"/>
      <c r="E2094" s="70"/>
      <c r="F2094" s="70" t="str">
        <f>SUBSTITUTE(F2090,",6)",",10)")</f>
        <v>C(U6,23,10)</v>
      </c>
      <c r="G2094" s="73"/>
      <c r="H2094" s="373" t="s">
        <v>3363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81"/>
        <v>4</v>
      </c>
      <c r="D2095" s="73"/>
      <c r="E2095" s="70"/>
      <c r="F2095" s="70" t="str">
        <f>SUBSTITUTE(F2091,",7)",",11)")</f>
        <v>C(U6,23,11)</v>
      </c>
      <c r="G2095" s="73"/>
      <c r="H2095" s="373" t="s">
        <v>3364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1"/>
        <v>4</v>
      </c>
      <c r="D2096" s="73"/>
      <c r="E2096" s="70"/>
      <c r="F2096" s="70" t="str">
        <f>SUBSTITUTE(F2090,",6)",",12)")</f>
        <v>C(U6,23,12)</v>
      </c>
      <c r="G2096" s="73"/>
      <c r="H2096" s="373" t="s">
        <v>3365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81"/>
        <v>4</v>
      </c>
      <c r="D2097" s="73"/>
      <c r="E2097" s="70"/>
      <c r="F2097" s="70" t="str">
        <f>SUBSTITUTE(F2091,",7)",",13)")</f>
        <v>C(U6,23,13)</v>
      </c>
      <c r="G2097" s="73"/>
      <c r="H2097" s="373" t="s">
        <v>3366</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3734</v>
      </c>
      <c r="G2098" s="73"/>
      <c r="H2098" s="76" t="s">
        <v>3367</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3283</v>
      </c>
      <c r="B34">
        <v>50</v>
      </c>
      <c r="C34" s="1" t="s">
        <v>2903</v>
      </c>
    </row>
    <row r="35" spans="1:3" ht="7.15" customHeight="1" x14ac:dyDescent="0.25"/>
    <row r="36" spans="1:3" x14ac:dyDescent="0.25">
      <c r="A36" t="s">
        <v>3284</v>
      </c>
      <c r="B36">
        <v>60</v>
      </c>
      <c r="C36" s="1" t="s">
        <v>3286</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3287</v>
      </c>
      <c r="B77">
        <f>0.3*harvest_maint</f>
        <v>16.5</v>
      </c>
      <c r="C77" s="1" t="s">
        <v>3288</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3285</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3286</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3283</v>
      </c>
      <c r="B34">
        <v>40</v>
      </c>
      <c r="C34" s="1" t="s">
        <v>2903</v>
      </c>
    </row>
    <row r="35" spans="1:3" ht="7.15" customHeight="1" x14ac:dyDescent="0.25"/>
    <row r="36" spans="1:3" x14ac:dyDescent="0.25">
      <c r="A36" t="s">
        <v>3284</v>
      </c>
      <c r="B36">
        <v>35</v>
      </c>
      <c r="C36" s="1" t="s">
        <v>3286</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3287</v>
      </c>
      <c r="B77">
        <f>0.3*harvest_maint</f>
        <v>12</v>
      </c>
      <c r="C77" s="1" t="s">
        <v>3288</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3285</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3286</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3283</v>
      </c>
      <c r="B33">
        <v>60</v>
      </c>
      <c r="C33" s="1" t="s">
        <v>2903</v>
      </c>
    </row>
    <row r="34" spans="1:3" ht="7.15" customHeight="1" x14ac:dyDescent="0.25"/>
    <row r="35" spans="1:3" x14ac:dyDescent="0.25">
      <c r="A35" t="s">
        <v>3284</v>
      </c>
      <c r="B35">
        <v>78</v>
      </c>
      <c r="C35" s="1" t="s">
        <v>3286</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3287</v>
      </c>
      <c r="B76">
        <f>0.3*harvest_maint</f>
        <v>24</v>
      </c>
      <c r="C76" s="1" t="s">
        <v>3288</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3285</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3286</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2026-04-19T22:23:34Z</dcterms:modified>
</cp:coreProperties>
</file>