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093777D0-0FC3-4643-9027-8445BD6A6F77}" xr6:coauthVersionLast="47" xr6:coauthVersionMax="47" xr10:uidLastSave="{00000000-0000-0000-0000-000000000000}"/>
  <bookViews>
    <workbookView xWindow="810" yWindow="-120" windowWidth="28110" windowHeight="16440" tabRatio="678" activeTab="3"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195" i="25" l="1"/>
  <c r="C112" i="25"/>
  <c r="C111" i="25"/>
  <c r="C110" i="25"/>
  <c r="C109" i="25"/>
  <c r="C108" i="25"/>
  <c r="C107" i="25"/>
  <c r="C106" i="25"/>
  <c r="C124" i="25"/>
  <c r="C123" i="25"/>
  <c r="C154" i="25"/>
  <c r="C150" i="25"/>
  <c r="C149" i="25"/>
  <c r="C148" i="25"/>
  <c r="C147" i="25"/>
  <c r="C201" i="25"/>
  <c r="C200" i="25"/>
  <c r="C199" i="25"/>
  <c r="C207" i="25"/>
  <c r="C206" i="25"/>
  <c r="C205" i="25"/>
  <c r="C204" i="25"/>
  <c r="C203" i="25"/>
  <c r="C202"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<sst xmlns="http://schemas.openxmlformats.org/spreadsheetml/2006/main" count="877" uniqueCount="450">
  <si>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</si>
  <si>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</si>
  <si>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</si>
  <si>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</si>
  <si>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</si>
  <si>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</si>
  <si>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</si>
  <si>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</si>
  <si>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</si>
  <si>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</si>
  <si>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</si>
  <si>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</si>
  <si>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</si>
  <si>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</si>
  <si>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</si>
  <si>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</si>
  <si>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</si>
  <si>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</si>
  <si>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</si>
  <si>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</si>
  <si>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</si>
  <si>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</si>
  <si>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</si>
  <si>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</si>
  <si>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</si>
  <si>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</si>
  <si>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</si>
  <si>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</si>
  <si>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</si>
  <si>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</si>
  <si>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</si>
  <si>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</si>
  <si>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</si>
  <si>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</si>
  <si>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</si>
  <si>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</si>
  <si>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</si>
  <si>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</si>
  <si>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</si>
  <si>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</si>
  <si>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</si>
  <si>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</si>
  <si>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</si>
  <si>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</si>
  <si>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</si>
  <si>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</si>
  <si>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</si>
  <si>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</si>
  <si>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</si>
  <si>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</si>
  <si>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</si>
  <si>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</si>
  <si>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</si>
  <si>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</si>
  <si>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</si>
  <si>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</si>
  <si>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</si>
  <si>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</si>
  <si>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</si>
  <si>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</si>
  <si>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</si>
  <si>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</si>
  <si>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</si>
  <si>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</si>
  <si>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</si>
  <si>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</si>
  <si>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</si>
  <si>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</si>
  <si>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</si>
  <si>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</si>
  <si>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</si>
  <si>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</si>
  <si>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</si>
  <si>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</si>
  <si>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</si>
  <si>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</si>
  <si>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</si>
  <si>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</si>
  <si>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</si>
  <si>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</si>
  <si>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</si>
  <si>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</si>
  <si>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</si>
  <si>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</si>
  <si>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</si>
  <si>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</si>
  <si>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</si>
  <si>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</si>
  <si>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</si>
  <si>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</si>
  <si>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</si>
  <si>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</si>
  <si>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</si>
  <si>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</si>
  <si>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</si>
  <si>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</si>
  <si>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</si>
  <si>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</si>
  <si>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</si>
  <si>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</si>
  <si>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</si>
  <si>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</si>
  <si>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</si>
  <si>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</si>
  <si>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</si>
  <si>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</si>
  <si>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</si>
  <si>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</si>
  <si>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</si>
  <si>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</si>
  <si>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</si>
  <si>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</si>
  <si>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</si>
  <si>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</si>
  <si>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</si>
  <si>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</si>
  <si>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</si>
  <si>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</si>
  <si>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</si>
  <si>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</si>
  <si>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</si>
  <si>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</si>
  <si>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</si>
  <si>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</si>
  <si>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</si>
  <si>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</si>
  <si>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</si>
  <si>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</si>
  <si>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</si>
  <si>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</si>
  <si>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</si>
  <si>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</si>
  <si>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</si>
  <si>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</si>
  <si>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</si>
  <si>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</si>
  <si>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</si>
  <si>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</si>
  <si>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</si>
  <si>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</si>
  <si>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</si>
  <si>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</si>
  <si>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</si>
  <si>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</si>
  <si>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</si>
  <si>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</si>
  <si>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</si>
  <si>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</si>
  <si>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</si>
  <si>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</si>
  <si>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</si>
  <si>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</si>
  <si>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</si>
  <si>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</si>
  <si>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</si>
  <si>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</si>
  <si>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</si>
  <si>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</si>
  <si>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</si>
  <si>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</si>
  <si>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</si>
  <si>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</si>
  <si>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</si>
  <si>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</si>
  <si>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</si>
  <si>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</si>
  <si>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</si>
  <si>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</si>
  <si>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</si>
  <si>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</si>
  <si>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</si>
  <si>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</si>
  <si>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</si>
  <si>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</si>
  <si>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</si>
  <si>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</si>
  <si>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</si>
  <si>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</si>
  <si>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</si>
  <si>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</si>
  <si>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</si>
  <si>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</si>
  <si>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</si>
  <si>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</si>
  <si>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</si>
  <si>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</si>
  <si>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</si>
  <si>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</si>
  <si>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</si>
  <si>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</si>
  <si>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</si>
  <si>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</si>
  <si>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</si>
  <si>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</si>
  <si>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</si>
  <si>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</si>
  <si>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</si>
  <si>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</si>
  <si>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</si>
  <si>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</si>
  <si>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</si>
  <si>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</si>
  <si>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</si>
  <si>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</si>
  <si>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</si>
  <si>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</si>
  <si>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</si>
  <si>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</si>
  <si>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</si>
  <si>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</si>
  <si>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</si>
  <si>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</si>
  <si>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</si>
  <si>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</si>
  <si>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</si>
  <si>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</si>
  <si>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</si>
  <si>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</si>
  <si>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</si>
  <si>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</si>
  <si>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</si>
  <si>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</si>
  <si>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</si>
  <si>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</si>
  <si>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</si>
  <si>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</si>
  <si>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</si>
  <si>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</si>
  <si>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</si>
  <si>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</si>
  <si>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</si>
  <si>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</si>
  <si>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</si>
  <si>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</si>
  <si>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</si>
  <si>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</si>
  <si>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</si>
  <si>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</si>
  <si>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</si>
  <si>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</si>
  <si>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</si>
  <si>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</si>
  <si>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</si>
  <si>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</si>
  <si>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</si>
  <si>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</si>
  <si>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</si>
  <si>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</si>
  <si>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</si>
  <si>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</si>
  <si>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</si>
  <si>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</si>
  <si>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</si>
  <si>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</si>
  <si>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</si>
  <si>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</si>
  <si>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</si>
  <si>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</si>
  <si>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</si>
  <si>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</si>
  <si>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</si>
  <si>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</si>
  <si>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</si>
  <si>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</si>
  <si>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</si>
  <si>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</si>
  <si>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</si>
  <si>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</si>
  <si>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</si>
  <si>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</si>
  <si>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</si>
  <si>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</si>
  <si>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</si>
  <si>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</si>
  <si>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</si>
  <si>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</si>
  <si>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</si>
  <si>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</si>
  <si>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</si>
  <si>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</si>
  <si>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</si>
  <si>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</si>
  <si>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</si>
  <si>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</si>
  <si>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</si>
  <si>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</si>
  <si>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</si>
  <si>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</si>
  <si>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</si>
  <si>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</si>
  <si>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</si>
  <si>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</si>
  <si>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</si>
  <si>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</si>
  <si>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</si>
  <si>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</si>
  <si>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</si>
  <si>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</si>
  <si>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</si>
  <si>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</si>
  <si>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</si>
  <si>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</si>
  <si>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</si>
  <si>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</si>
  <si>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</si>
  <si>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</si>
  <si>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</si>
  <si>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</si>
  <si>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</si>
  <si>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</si>
  <si>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</si>
  <si>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</si>
  <si>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</si>
  <si>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</si>
  <si>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</si>
  <si>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</si>
  <si>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</si>
  <si>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</si>
  <si>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</si>
  <si>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</si>
  <si>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</si>
  <si>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</si>
  <si>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</si>
  <si>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</si>
  <si>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</si>
  <si>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</si>
  <si>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</si>
  <si>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</si>
  <si>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</si>
  <si>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</si>
  <si>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</si>
  <si>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</si>
  <si>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</si>
  <si>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</si>
  <si>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</si>
  <si>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</si>
  <si>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</si>
  <si>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</si>
  <si>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</si>
  <si>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</si>
  <si>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</si>
  <si>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</si>
  <si>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</si>
  <si>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</si>
  <si>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</si>
  <si>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</si>
  <si>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</si>
  <si>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</si>
  <si>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</si>
  <si>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</si>
  <si>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</si>
  <si>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</si>
  <si>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</si>
  <si>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</si>
  <si>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</si>
  <si>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</si>
  <si>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</si>
  <si>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</si>
  <si>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</si>
  <si>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</si>
  <si>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</si>
  <si>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</si>
  <si>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</si>
  <si>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</si>
  <si>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</si>
  <si>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</si>
  <si>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</si>
  <si>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</si>
  <si>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</si>
  <si>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</si>
  <si>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</si>
  <si>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</si>
  <si>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</si>
  <si>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</si>
  <si>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</si>
  <si>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</si>
  <si>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</si>
  <si>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</si>
  <si>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</si>
  <si>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</si>
  <si>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</si>
  <si>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</si>
  <si>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</si>
  <si>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</si>
  <si>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</si>
  <si>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</si>
  <si>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</si>
  <si>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</si>
  <si>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</si>
  <si>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</si>
  <si>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</si>
  <si>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</si>
  <si>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</si>
  <si>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</si>
  <si>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</si>
  <si>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</si>
  <si>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</si>
  <si>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</si>
  <si>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</si>
  <si>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</si>
  <si>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</si>
  <si>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</si>
  <si>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</si>
  <si>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</si>
  <si>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</si>
  <si>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</si>
  <si>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</si>
  <si>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</si>
  <si>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</si>
  <si>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</si>
  <si>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</si>
  <si>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</si>
  <si>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</si>
  <si>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</si>
  <si>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</si>
  <si>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</si>
  <si>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</si>
  <si>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</si>
  <si>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</si>
  <si>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</si>
  <si>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</si>
  <si>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</si>
  <si>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</si>
  <si>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</si>
  <si>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</si>
  <si>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</si>
  <si>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</si>
  <si>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</si>
  <si>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</si>
  <si>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</si>
  <si>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</si>
  <si>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</si>
  <si>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</si>
  <si>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</si>
  <si>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</si>
  <si>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</si>
  <si>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</si>
  <si>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</si>
  <si>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</si>
  <si>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</si>
  <si>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</si>
  <si>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</si>
  <si>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</si>
  <si>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</si>
  <si>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</si>
  <si>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</si>
  <si>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</si>
  <si>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</si>
  <si>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</si>
  <si>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Some arrays used for reporting are very big so the default is not to store them. This is the default settings which can be overwritten using sensitivity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</si>
</sst>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8">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9.710937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collapsed="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hidden="1"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hidden="1"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44371.659649305599</v>
      </c>
      <c r="J13" s="221" t="s">
        <v>293</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44719.411846643503</v>
      </c>
      <c r="J14" s="224" t="s">
        <v>352</v>
      </c>
      <c r="K14" s="225"/>
      <c r="L14" s="225"/>
      <c r="M14" s="225"/>
      <c r="N14" s="225"/>
      <c r="O14" s="225"/>
      <c r="P14" s="225"/>
      <c r="Q14" s="225"/>
      <c r="R14" s="225"/>
      <c r="S14" s="225"/>
      <c r="T14" s="225"/>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2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2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2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2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2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2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2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2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2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2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2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2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2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2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2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2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0999999999999996" customHeight="1" outlineLevel="2" x14ac:dyDescent="0.2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0999999999999996" customHeight="1" outlineLevel="2" x14ac:dyDescent="0.2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0999999999999996" customHeight="1" outlineLevel="1" x14ac:dyDescent="0.2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0999999999999996" customHeight="1" x14ac:dyDescent="0.2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2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2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0999999999999996" customHeight="1" thickBot="1" x14ac:dyDescent="0.3">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0999999999999996" customHeight="1" outlineLevel="1" x14ac:dyDescent="0.2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2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00000000000001" customHeight="1" x14ac:dyDescent="0.2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00000000000001" customHeight="1" outlineLevel="1" x14ac:dyDescent="0.2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0999999999999996" customHeight="1" outlineLevel="2" x14ac:dyDescent="0.2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2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2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2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2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45" customHeight="1" outlineLevel="2" x14ac:dyDescent="0.2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2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2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0999999999999996" customHeight="1" outlineLevel="2" x14ac:dyDescent="0.2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2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2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25">
      <c r="A78" s="1"/>
      <c r="B78" s="33"/>
      <c r="C78" s="73">
        <f t="shared" si="3"/>
        <v>3</v>
      </c>
      <c r="D78" s="4"/>
      <c r="E78" s="5"/>
      <c r="F78" s="5"/>
      <c r="G78" s="4"/>
      <c r="H78" s="2"/>
      <c r="I78" s="160" t="s">
        <v>305</v>
      </c>
      <c r="J78" s="160" t="s">
        <v>367</v>
      </c>
      <c r="K78" s="2"/>
      <c r="L78" s="160" t="s">
        <v>306</v>
      </c>
      <c r="M78" s="2"/>
      <c r="N78" s="160" t="s">
        <v>361</v>
      </c>
      <c r="O78" s="2"/>
      <c r="P78" s="160" t="s">
        <v>307</v>
      </c>
      <c r="Q78" s="160" t="s">
        <v>359</v>
      </c>
      <c r="R78" s="160" t="s">
        <v>360</v>
      </c>
      <c r="S78" s="2"/>
      <c r="T78" s="2"/>
      <c r="U78" s="2"/>
      <c r="V78" s="2"/>
      <c r="W78" s="2"/>
      <c r="X78" s="4"/>
      <c r="Y78" s="16"/>
      <c r="Z78" s="1"/>
      <c r="AA78" s="1"/>
      <c r="AB78" s="1"/>
    </row>
    <row r="79" spans="1:28" outlineLevel="2" x14ac:dyDescent="0.25">
      <c r="A79" s="1"/>
      <c r="B79" s="33"/>
      <c r="C79" s="73">
        <f t="shared" si="3"/>
        <v>3</v>
      </c>
      <c r="D79" s="4"/>
      <c r="E79" s="5"/>
      <c r="F79" s="5"/>
      <c r="G79" s="4"/>
      <c r="H79" s="148"/>
      <c r="I79" s="161" t="s">
        <v>308</v>
      </c>
      <c r="J79" s="161" t="b">
        <v>0</v>
      </c>
      <c r="K79" s="55"/>
      <c r="L79" s="161" t="s">
        <v>309</v>
      </c>
      <c r="M79" s="164"/>
      <c r="N79" s="209" t="s">
        <v>358</v>
      </c>
      <c r="O79" s="164"/>
      <c r="P79" s="161" t="s">
        <v>309</v>
      </c>
      <c r="Q79" s="161" t="b">
        <v>0</v>
      </c>
      <c r="R79" s="205" t="str">
        <f>P79</f>
        <v>a</v>
      </c>
      <c r="S79" s="2"/>
      <c r="T79" s="2"/>
      <c r="U79" s="2"/>
      <c r="V79" s="2"/>
      <c r="W79" s="2"/>
      <c r="X79" s="4"/>
      <c r="Y79" s="16"/>
      <c r="Z79" s="1"/>
      <c r="AA79" s="1"/>
      <c r="AB79" s="1"/>
    </row>
    <row r="80" spans="1:28" outlineLevel="2" x14ac:dyDescent="0.25">
      <c r="A80" s="1"/>
      <c r="B80" s="33"/>
      <c r="C80" s="73"/>
      <c r="D80" s="4"/>
      <c r="E80" s="5"/>
      <c r="F80" s="5"/>
      <c r="G80" s="4"/>
      <c r="H80" s="148"/>
      <c r="I80" s="162" t="s">
        <v>310</v>
      </c>
      <c r="J80" s="162" t="b">
        <v>0</v>
      </c>
      <c r="K80" s="55"/>
      <c r="L80" s="162" t="s">
        <v>358</v>
      </c>
      <c r="M80" s="164"/>
      <c r="N80" s="208"/>
      <c r="O80" s="164"/>
      <c r="P80" s="162" t="s">
        <v>358</v>
      </c>
      <c r="Q80" s="162" t="b">
        <v>0</v>
      </c>
      <c r="R80" s="206" t="str">
        <f t="shared" ref="R80:R110" si="4">P80</f>
        <v>a2</v>
      </c>
      <c r="S80" s="2"/>
      <c r="T80" s="2"/>
      <c r="U80" s="2"/>
      <c r="V80" s="2"/>
      <c r="W80" s="2"/>
      <c r="X80" s="4"/>
      <c r="Y80" s="16"/>
      <c r="Z80" s="1"/>
      <c r="AA80" s="1"/>
      <c r="AB80" s="1"/>
    </row>
    <row r="81" spans="1:28" outlineLevel="2" x14ac:dyDescent="0.2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2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2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2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2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25">
      <c r="A86" s="1"/>
      <c r="B86" s="33"/>
      <c r="C86" s="73"/>
      <c r="D86" s="4"/>
      <c r="E86" s="5"/>
      <c r="F86" s="5"/>
      <c r="G86" s="4"/>
      <c r="H86" s="148"/>
      <c r="I86" s="162" t="s">
        <v>445</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25">
      <c r="A87" s="1"/>
      <c r="B87" s="33"/>
      <c r="C87" s="73"/>
      <c r="D87" s="4"/>
      <c r="E87" s="5"/>
      <c r="F87" s="5"/>
      <c r="G87" s="4"/>
      <c r="H87" s="148"/>
      <c r="I87" s="162" t="s">
        <v>384</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2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2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25">
      <c r="A90" s="1"/>
      <c r="B90" s="33"/>
      <c r="C90" s="73"/>
      <c r="D90" s="4"/>
      <c r="E90" s="5"/>
      <c r="F90" s="5"/>
      <c r="G90" s="4"/>
      <c r="H90" s="148"/>
      <c r="I90" s="162" t="s">
        <v>323</v>
      </c>
      <c r="J90" s="162" t="b">
        <v>0</v>
      </c>
      <c r="K90" s="55"/>
      <c r="L90" s="162" t="s">
        <v>332</v>
      </c>
      <c r="M90" s="164"/>
      <c r="N90" s="164"/>
      <c r="O90" s="164"/>
      <c r="P90" s="162" t="s">
        <v>445</v>
      </c>
      <c r="Q90" s="162" t="b">
        <v>0</v>
      </c>
      <c r="R90" s="206" t="s">
        <v>445</v>
      </c>
      <c r="S90" s="2"/>
      <c r="T90" s="2"/>
      <c r="U90" s="2"/>
      <c r="V90" s="2"/>
      <c r="W90" s="2"/>
      <c r="X90" s="4"/>
      <c r="Y90" s="16"/>
      <c r="Z90" s="1"/>
      <c r="AA90" s="1"/>
      <c r="AB90" s="1"/>
    </row>
    <row r="91" spans="1:28" outlineLevel="2" x14ac:dyDescent="0.2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25">
      <c r="A92" s="1"/>
      <c r="B92" s="33"/>
      <c r="C92" s="73"/>
      <c r="D92" s="4"/>
      <c r="E92" s="5"/>
      <c r="F92" s="5"/>
      <c r="G92" s="4"/>
      <c r="H92" s="148"/>
      <c r="I92" s="162" t="s">
        <v>326</v>
      </c>
      <c r="J92" s="162" t="b">
        <v>0</v>
      </c>
      <c r="K92" s="55"/>
      <c r="L92" s="53"/>
      <c r="M92" s="164"/>
      <c r="N92" s="164"/>
      <c r="O92" s="164"/>
      <c r="P92" s="162" t="s">
        <v>384</v>
      </c>
      <c r="Q92" s="162" t="b">
        <v>0</v>
      </c>
      <c r="R92" s="206" t="str">
        <f t="shared" ref="R92" si="5">P92</f>
        <v>ms</v>
      </c>
      <c r="S92" s="2"/>
      <c r="T92" s="2"/>
      <c r="U92" s="2"/>
      <c r="V92" s="2"/>
      <c r="W92" s="2"/>
      <c r="X92" s="4"/>
      <c r="Y92" s="16"/>
      <c r="Z92" s="1"/>
      <c r="AA92" s="1"/>
      <c r="AB92" s="1"/>
    </row>
    <row r="93" spans="1:28" outlineLevel="2" x14ac:dyDescent="0.2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2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2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2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2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2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2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2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2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2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2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2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2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2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2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2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2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2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2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2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2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2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0999999999999996" customHeight="1" outlineLevel="2" x14ac:dyDescent="0.2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0999999999999996" customHeight="1" outlineLevel="2" x14ac:dyDescent="0.2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0999999999999996" customHeight="1" outlineLevel="1" x14ac:dyDescent="0.2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0999999999999996" customHeight="1" x14ac:dyDescent="0.2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2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2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2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2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2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2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2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2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2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146" activePane="bottomRight" state="frozen"/>
      <selection activeCell="A6" sqref="A6"/>
      <selection pane="topRight" activeCell="J6" sqref="J6"/>
      <selection pane="bottomLeft" activeCell="A16" sqref="A16"/>
      <selection pane="bottomRight" activeCell="A157" sqref="A157:XFD15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0.570312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45049.868338773202</v>
      </c>
      <c r="J13" s="221" t="s">
        <v>368</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44762.449343865701</v>
      </c>
      <c r="J14" s="224" t="s">
        <v>356</v>
      </c>
      <c r="K14" s="225"/>
      <c r="L14" s="225"/>
      <c r="M14" s="225"/>
      <c r="N14" s="225"/>
      <c r="O14" s="225"/>
      <c r="P14" s="225"/>
      <c r="Q14" s="225"/>
      <c r="R14" s="225"/>
      <c r="S14" s="225"/>
      <c r="T14" s="225"/>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2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2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2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2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2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2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2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2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2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2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2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2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2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2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2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2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2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2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2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2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2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2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2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2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25">
      <c r="A64" s="1"/>
      <c r="B64" s="33"/>
      <c r="C64" s="73">
        <f t="shared" si="2"/>
        <v>4</v>
      </c>
      <c r="D64" s="4"/>
      <c r="E64" s="5"/>
      <c r="F64" s="5"/>
      <c r="G64" s="4"/>
      <c r="H64" s="2" t="s">
        <v>150</v>
      </c>
      <c r="I64" s="31">
        <v>4.25</v>
      </c>
      <c r="J64" s="2" t="s">
        <v>86</v>
      </c>
      <c r="K64" s="2" t="s">
        <v>223</v>
      </c>
      <c r="L64" s="2"/>
      <c r="M64" s="2"/>
      <c r="N64" s="2"/>
      <c r="O64" s="2"/>
      <c r="P64" s="2"/>
      <c r="Q64" s="2"/>
      <c r="R64" s="2"/>
      <c r="S64" s="2"/>
      <c r="T64" s="2"/>
      <c r="U64" s="2"/>
      <c r="V64" s="2"/>
      <c r="W64" s="2"/>
      <c r="X64" s="4"/>
      <c r="Y64" s="16"/>
      <c r="Z64" s="1"/>
      <c r="AA64" s="1"/>
      <c r="AB64" s="1"/>
    </row>
    <row r="65" spans="1:28" outlineLevel="3" x14ac:dyDescent="0.2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2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2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2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2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2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2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2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2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0999999999999996" customHeight="1" outlineLevel="3" x14ac:dyDescent="0.2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0999999999999996" customHeight="1" outlineLevel="2" x14ac:dyDescent="0.2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0999999999999996" customHeight="1" outlineLevel="1" x14ac:dyDescent="0.2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0999999999999996" customHeight="1" x14ac:dyDescent="0.2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2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2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0999999999999996" customHeight="1" thickBot="1" x14ac:dyDescent="0.3">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0999999999999996" customHeight="1" outlineLevel="1" x14ac:dyDescent="0.2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2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00000000000001" customHeight="1" x14ac:dyDescent="0.2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00000000000001" customHeight="1" outlineLevel="1" x14ac:dyDescent="0.2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0999999999999996" customHeight="1" outlineLevel="2" x14ac:dyDescent="0.2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2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2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2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2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45" customHeight="1" outlineLevel="2" x14ac:dyDescent="0.2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2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2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0999999999999996" customHeight="1" outlineLevel="2" x14ac:dyDescent="0.2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2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2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2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2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2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2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2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2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2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2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2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2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2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2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2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2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2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2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2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2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2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2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2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2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2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2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2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2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2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0999999999999996" customHeight="1" outlineLevel="3" x14ac:dyDescent="0.2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0999999999999996" customHeight="1" outlineLevel="2" x14ac:dyDescent="0.2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0999999999999996" customHeight="1" outlineLevel="1" x14ac:dyDescent="0.2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0999999999999996" customHeight="1" x14ac:dyDescent="0.2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2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2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0999999999999996" customHeight="1" thickBot="1" x14ac:dyDescent="0.3">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0999999999999996" customHeight="1" outlineLevel="1" x14ac:dyDescent="0.2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2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00000000000001" customHeight="1" x14ac:dyDescent="0.2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00000000000001" customHeight="1" outlineLevel="1" x14ac:dyDescent="0.2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0999999999999996" customHeight="1" outlineLevel="2" x14ac:dyDescent="0.2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2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2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2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2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45" customHeight="1" outlineLevel="2" x14ac:dyDescent="0.2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2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2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0999999999999996" customHeight="1" outlineLevel="2" x14ac:dyDescent="0.2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2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2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2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2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2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2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2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2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2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2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2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2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2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25">
      <c r="A156" s="1"/>
      <c r="B156" s="33"/>
      <c r="C156" s="73"/>
      <c r="D156" s="4"/>
      <c r="E156" s="5"/>
      <c r="F156" s="5"/>
      <c r="G156" s="4"/>
      <c r="H156" s="64" t="s">
        <v>443</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0999999999999996" customHeight="1" outlineLevel="2" x14ac:dyDescent="0.2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2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0999999999999996" customHeight="1" outlineLevel="3" x14ac:dyDescent="0.2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2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2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2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2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2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2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2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2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2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2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2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2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2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2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2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2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2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2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2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2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2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2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2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2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2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2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2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2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2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2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2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2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2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2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2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2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2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2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2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2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2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0999999999999996" customHeight="1" outlineLevel="2" x14ac:dyDescent="0.2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2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2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2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0999999999999996" customHeight="1" outlineLevel="3" x14ac:dyDescent="0.2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2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2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2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2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2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2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2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2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2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2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2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2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2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2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2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2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2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2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2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2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2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2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2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2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2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2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2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2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2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2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2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2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2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2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2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2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2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2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2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2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2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2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2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2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2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2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2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2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2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2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2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2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2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2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2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2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2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2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2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2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2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0999999999999996" customHeight="1" outlineLevel="2" x14ac:dyDescent="0.2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2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2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2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0999999999999996" customHeight="1" outlineLevel="3" x14ac:dyDescent="0.2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2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2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2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2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2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2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2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2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2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2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2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2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2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2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2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2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2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2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2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2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2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0999999999999996" customHeight="1" outlineLevel="2" x14ac:dyDescent="0.2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0999999999999996" customHeight="1" outlineLevel="2" x14ac:dyDescent="0.2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0999999999999996" customHeight="1" outlineLevel="1" x14ac:dyDescent="0.2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0999999999999996" customHeight="1" x14ac:dyDescent="0.2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0999999999999996" customHeight="1" thickBot="1" x14ac:dyDescent="0.3">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0999999999999996" customHeight="1" outlineLevel="1" x14ac:dyDescent="0.2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2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00000000000001" customHeight="1" x14ac:dyDescent="0.2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00000000000001" customHeight="1" outlineLevel="1" x14ac:dyDescent="0.2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0999999999999996" customHeight="1" outlineLevel="2" x14ac:dyDescent="0.2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2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2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2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2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45" customHeight="1" outlineLevel="2" x14ac:dyDescent="0.2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2.95" customHeight="1" outlineLevel="4" x14ac:dyDescent="0.2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4499999999999993" customHeight="1" outlineLevel="4" x14ac:dyDescent="0.2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0999999999999996" customHeight="1" outlineLevel="2" x14ac:dyDescent="0.2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2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2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25">
      <c r="A313" s="1"/>
      <c r="B313" s="33"/>
      <c r="C313" s="73">
        <f t="shared" si="71"/>
        <v>4</v>
      </c>
      <c r="D313" s="4"/>
      <c r="E313" s="5"/>
      <c r="F313" s="5"/>
      <c r="G313" s="4"/>
      <c r="H313" s="2" t="s">
        <v>296</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2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2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2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2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2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2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2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0999999999999996" customHeight="1" outlineLevel="3" x14ac:dyDescent="0.2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0999999999999996" customHeight="1" outlineLevel="2" x14ac:dyDescent="0.2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0999999999999996" customHeight="1" outlineLevel="1" x14ac:dyDescent="0.2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0999999999999996" customHeight="1" x14ac:dyDescent="0.2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2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2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2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2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2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2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2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2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2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4"/>
  <sheetViews>
    <sheetView topLeftCell="A6" zoomScale="80" zoomScaleNormal="80" workbookViewId="0">
      <pane xSplit="9" ySplit="10" topLeftCell="J21" activePane="bottomRight" state="frozen"/>
      <selection activeCell="A6" sqref="A6"/>
      <selection pane="topRight" activeCell="J6" sqref="J6"/>
      <selection pane="bottomLeft" activeCell="A16" sqref="A16"/>
      <selection pane="bottomRight" activeCell="M109" sqref="M109"/>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1.42578125" customWidth="1"/>
    <col min="10" max="12" width="10.85546875" customWidth="1"/>
    <col min="13" max="14" width="11.28515625" customWidth="1"/>
    <col min="15" max="15" width="12.140625" bestFit="1" customWidth="1"/>
    <col min="16" max="16" width="11.5703125" customWidth="1"/>
    <col min="17" max="17" width="11.7109375" customWidth="1"/>
    <col min="18" max="26" width="10.85546875" customWidth="1"/>
    <col min="27" max="27" width="1.7109375" customWidth="1"/>
    <col min="28" max="29" width="4.7109375" customWidth="1"/>
    <col min="31" max="31" width="46.140625" customWidth="1"/>
  </cols>
  <sheetData>
    <row r="1" spans="1:31"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25">
      <c r="A13" s="1"/>
      <c r="B13" s="33"/>
      <c r="C13" s="67">
        <f>INT($C$6)+1.045</f>
        <v>2.0449999999999999</v>
      </c>
      <c r="D13" s="4"/>
      <c r="E13" s="5"/>
      <c r="F13" s="5"/>
      <c r="G13" s="4"/>
      <c r="H13" s="2" t="s">
        <v>16</v>
      </c>
      <c r="I13" s="126">
        <v>46053.6384755787</v>
      </c>
      <c r="J13" s="221" t="s">
        <v>448</v>
      </c>
      <c r="K13" s="222"/>
      <c r="L13" s="222"/>
      <c r="M13" s="222"/>
      <c r="N13" s="222"/>
      <c r="O13" s="222"/>
      <c r="P13" s="222"/>
      <c r="Q13" s="222"/>
      <c r="R13" s="222"/>
      <c r="S13" s="222"/>
      <c r="T13" s="223"/>
      <c r="U13" s="2"/>
      <c r="V13" s="2"/>
      <c r="W13" s="2"/>
      <c r="X13" s="2"/>
      <c r="Y13" s="2"/>
      <c r="Z13" s="2"/>
      <c r="AA13" s="4"/>
      <c r="AB13" s="16"/>
      <c r="AC13" s="1"/>
      <c r="AD13" s="1"/>
      <c r="AE13" s="1"/>
    </row>
    <row r="14" spans="1:31" ht="45" customHeight="1" outlineLevel="1" x14ac:dyDescent="0.25">
      <c r="A14" s="1"/>
      <c r="B14" s="33"/>
      <c r="C14" s="67">
        <f>INT($C$6)+1.045</f>
        <v>2.0449999999999999</v>
      </c>
      <c r="D14" s="4"/>
      <c r="E14" s="5"/>
      <c r="F14" s="5"/>
      <c r="G14" s="4"/>
      <c r="H14" s="2" t="s">
        <v>17</v>
      </c>
      <c r="I14" s="125">
        <v>45593.407781134301</v>
      </c>
      <c r="J14" s="224" t="s">
        <v>444</v>
      </c>
      <c r="K14" s="225"/>
      <c r="L14" s="225"/>
      <c r="M14" s="225"/>
      <c r="N14" s="225"/>
      <c r="O14" s="225"/>
      <c r="P14" s="225"/>
      <c r="Q14" s="225"/>
      <c r="R14" s="225"/>
      <c r="S14" s="225"/>
      <c r="T14" s="225"/>
      <c r="U14" s="2"/>
      <c r="V14" s="2"/>
      <c r="W14" s="2"/>
      <c r="X14" s="2"/>
      <c r="Y14" s="2"/>
      <c r="Z14" s="2"/>
      <c r="AA14" s="4"/>
      <c r="AB14" s="16"/>
      <c r="AC14" s="1"/>
      <c r="AD14" s="1"/>
      <c r="AE14" s="1"/>
    </row>
    <row r="15" spans="1:31" ht="5.0999999999999996"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0999999999999996"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0999999999999996"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0999999999999996"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2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0999999999999996" customHeight="1" thickBot="1" x14ac:dyDescent="0.3">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0999999999999996" customHeight="1" outlineLevel="1" x14ac:dyDescent="0.2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2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00000000000001" customHeight="1" x14ac:dyDescent="0.2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00000000000001" customHeight="1" outlineLevel="1" x14ac:dyDescent="0.2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0999999999999996" customHeight="1" outlineLevel="2" x14ac:dyDescent="0.2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2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2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2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30" outlineLevel="2" x14ac:dyDescent="0.25">
      <c r="A37" s="1"/>
      <c r="B37" s="33"/>
      <c r="C37" s="73">
        <f>INT($C$59)+2</f>
        <v>3</v>
      </c>
      <c r="D37" s="3"/>
      <c r="E37" s="5"/>
      <c r="F37" s="5"/>
      <c r="G37" s="3"/>
      <c r="H37" s="29"/>
      <c r="I37" s="29" t="s">
        <v>389</v>
      </c>
      <c r="J37" s="29"/>
      <c r="K37" s="29"/>
      <c r="L37" s="29"/>
      <c r="M37" s="29" t="s">
        <v>388</v>
      </c>
      <c r="N37" s="29"/>
      <c r="O37" s="29"/>
      <c r="P37" s="29"/>
      <c r="Q37" s="29"/>
      <c r="R37" s="29" t="s">
        <v>390</v>
      </c>
      <c r="S37" s="29"/>
      <c r="T37" s="29"/>
      <c r="U37" s="29"/>
      <c r="V37" s="29"/>
      <c r="W37" s="29"/>
      <c r="X37" s="29"/>
      <c r="Y37" s="29"/>
      <c r="Z37" s="29"/>
      <c r="AA37" s="3"/>
      <c r="AB37" s="16"/>
      <c r="AC37" s="1"/>
      <c r="AD37" s="1"/>
      <c r="AE37" s="1"/>
    </row>
    <row r="38" spans="1:31" ht="11.45" customHeight="1" outlineLevel="2" x14ac:dyDescent="0.2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2.95" customHeight="1" outlineLevel="4" x14ac:dyDescent="0.2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4499999999999993" customHeight="1" outlineLevel="4" x14ac:dyDescent="0.2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0999999999999996" customHeight="1" outlineLevel="2" x14ac:dyDescent="0.2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25">
      <c r="A42" s="1"/>
      <c r="B42" s="33"/>
      <c r="C42" s="73">
        <f>INT($C$59)+2</f>
        <v>3</v>
      </c>
      <c r="D42" s="4"/>
      <c r="E42" s="5"/>
      <c r="F42" s="5"/>
      <c r="G42" s="4"/>
      <c r="H42" s="36" t="s">
        <v>380</v>
      </c>
      <c r="I42" s="211" t="b">
        <v>1</v>
      </c>
      <c r="J42" s="96"/>
      <c r="K42" s="96"/>
      <c r="L42" s="26" t="s">
        <v>385</v>
      </c>
      <c r="M42" s="212" t="b">
        <v>1</v>
      </c>
      <c r="N42" s="96"/>
      <c r="O42" s="96"/>
      <c r="P42" s="96"/>
      <c r="Q42" s="26" t="s">
        <v>382</v>
      </c>
      <c r="R42" s="203">
        <v>1</v>
      </c>
      <c r="S42" s="96"/>
      <c r="T42" s="96"/>
      <c r="U42" s="96"/>
      <c r="V42" s="96"/>
      <c r="W42" s="2"/>
      <c r="X42" s="2"/>
      <c r="Y42" s="2"/>
      <c r="Z42" s="2"/>
      <c r="AA42" s="4"/>
      <c r="AB42" s="16"/>
      <c r="AC42" s="1"/>
      <c r="AD42" s="1"/>
      <c r="AE42" s="1"/>
    </row>
    <row r="43" spans="1:31" outlineLevel="3" x14ac:dyDescent="0.25">
      <c r="A43" s="1"/>
      <c r="B43" s="33"/>
      <c r="C43" s="73">
        <f>INT($C$59)+3</f>
        <v>4</v>
      </c>
      <c r="D43" s="4"/>
      <c r="E43" s="5"/>
      <c r="F43" s="5"/>
      <c r="G43" s="4"/>
      <c r="H43" s="2"/>
      <c r="I43" s="2"/>
      <c r="J43" s="2"/>
      <c r="K43" s="2"/>
      <c r="L43" s="26" t="s">
        <v>386</v>
      </c>
      <c r="M43" s="212" t="b">
        <v>0</v>
      </c>
      <c r="N43" s="2"/>
      <c r="O43" s="2"/>
      <c r="P43" s="2"/>
      <c r="Q43" s="26" t="s">
        <v>381</v>
      </c>
      <c r="R43" s="203">
        <v>4</v>
      </c>
      <c r="S43" s="2"/>
      <c r="T43" s="2"/>
      <c r="U43" s="2"/>
      <c r="V43" s="2"/>
      <c r="W43" s="2"/>
      <c r="X43" s="2"/>
      <c r="Y43" s="2"/>
      <c r="Z43" s="2"/>
      <c r="AA43" s="4"/>
      <c r="AB43" s="16"/>
      <c r="AC43" s="1"/>
      <c r="AD43" s="1"/>
      <c r="AE43" s="1"/>
    </row>
    <row r="44" spans="1:31" outlineLevel="3" x14ac:dyDescent="0.25">
      <c r="A44" s="1"/>
      <c r="B44" s="33"/>
      <c r="C44" s="73">
        <f t="shared" ref="C44:C49" si="1">INT($C$59)+3</f>
        <v>4</v>
      </c>
      <c r="D44" s="4"/>
      <c r="E44" s="5"/>
      <c r="F44" s="5"/>
      <c r="G44" s="4"/>
      <c r="H44" s="2"/>
      <c r="I44" s="2"/>
      <c r="J44" s="2"/>
      <c r="K44" s="2"/>
      <c r="L44" s="26" t="s">
        <v>387</v>
      </c>
      <c r="M44" s="213">
        <v>1</v>
      </c>
      <c r="N44" s="2"/>
      <c r="O44" s="2"/>
      <c r="P44" s="2"/>
      <c r="Q44" s="2"/>
      <c r="R44" s="2"/>
      <c r="S44" s="2"/>
      <c r="T44" s="2"/>
      <c r="U44" s="2"/>
      <c r="V44" s="2"/>
      <c r="W44" s="2"/>
      <c r="X44" s="2"/>
      <c r="Y44" s="2"/>
      <c r="Z44" s="2"/>
      <c r="AA44" s="4"/>
      <c r="AB44" s="16"/>
      <c r="AC44" s="1"/>
      <c r="AD44" s="1"/>
      <c r="AE44" s="1"/>
    </row>
    <row r="45" spans="1:31" outlineLevel="3" x14ac:dyDescent="0.25">
      <c r="A45" s="1"/>
      <c r="B45" s="33"/>
      <c r="C45" s="73">
        <f t="shared" si="1"/>
        <v>4</v>
      </c>
      <c r="D45" s="4"/>
      <c r="E45" s="5"/>
      <c r="F45" s="5"/>
      <c r="G45" s="4"/>
      <c r="H45" s="2"/>
      <c r="I45" s="2"/>
      <c r="J45" s="2"/>
      <c r="K45" s="2"/>
      <c r="L45" s="26" t="s">
        <v>391</v>
      </c>
      <c r="M45" s="212" t="b">
        <v>0</v>
      </c>
      <c r="N45" s="2"/>
      <c r="O45" s="2"/>
      <c r="P45" s="2"/>
      <c r="Q45" s="2"/>
      <c r="R45" s="2"/>
      <c r="S45" s="2"/>
      <c r="T45" s="2"/>
      <c r="U45" s="2"/>
      <c r="V45" s="2"/>
      <c r="W45" s="2"/>
      <c r="X45" s="2"/>
      <c r="Y45" s="2"/>
      <c r="Z45" s="2"/>
      <c r="AA45" s="4"/>
      <c r="AB45" s="16"/>
      <c r="AC45" s="1"/>
      <c r="AD45" s="1"/>
      <c r="AE45" s="1"/>
    </row>
    <row r="46" spans="1:31" outlineLevel="3" x14ac:dyDescent="0.25">
      <c r="A46" s="1"/>
      <c r="B46" s="33"/>
      <c r="C46" s="73">
        <f t="shared" si="1"/>
        <v>4</v>
      </c>
      <c r="D46" s="4"/>
      <c r="E46" s="5"/>
      <c r="F46" s="5"/>
      <c r="G46" s="4"/>
      <c r="H46" s="2"/>
      <c r="I46" s="2"/>
      <c r="J46" s="2"/>
      <c r="K46" s="2"/>
      <c r="L46" s="26" t="s">
        <v>441</v>
      </c>
      <c r="M46" s="220">
        <v>100</v>
      </c>
      <c r="N46" s="2" t="s">
        <v>86</v>
      </c>
      <c r="O46" s="2"/>
      <c r="P46" s="2"/>
      <c r="Q46" s="2"/>
      <c r="R46" s="2"/>
      <c r="S46" s="2"/>
      <c r="T46" s="2"/>
      <c r="U46" s="2"/>
      <c r="V46" s="2"/>
      <c r="W46" s="2"/>
      <c r="X46" s="2"/>
      <c r="Y46" s="2"/>
      <c r="Z46" s="2"/>
      <c r="AA46" s="4"/>
      <c r="AB46" s="16"/>
      <c r="AC46" s="1"/>
      <c r="AD46" s="1"/>
      <c r="AE46" s="1"/>
    </row>
    <row r="47" spans="1:31" outlineLevel="3" x14ac:dyDescent="0.25">
      <c r="A47" s="1"/>
      <c r="B47" s="33"/>
      <c r="C47" s="73">
        <f t="shared" si="1"/>
        <v>4</v>
      </c>
      <c r="D47" s="4"/>
      <c r="E47" s="5"/>
      <c r="F47" s="5"/>
      <c r="G47" s="4"/>
      <c r="H47" s="2"/>
      <c r="I47" s="2"/>
      <c r="J47" s="2"/>
      <c r="K47" s="2"/>
      <c r="L47" s="26" t="s">
        <v>442</v>
      </c>
      <c r="M47" s="212" t="b">
        <v>0</v>
      </c>
      <c r="N47" s="2"/>
      <c r="O47" s="2"/>
      <c r="P47" s="2"/>
      <c r="Q47" s="2"/>
      <c r="R47" s="2"/>
      <c r="S47" s="2"/>
      <c r="T47" s="2"/>
      <c r="U47" s="2"/>
      <c r="V47" s="2"/>
      <c r="W47" s="2"/>
      <c r="X47" s="2"/>
      <c r="Y47" s="2"/>
      <c r="Z47" s="2"/>
      <c r="AA47" s="4"/>
      <c r="AB47" s="16"/>
      <c r="AC47" s="1"/>
      <c r="AD47" s="1"/>
      <c r="AE47" s="1"/>
    </row>
    <row r="48" spans="1:31" outlineLevel="3" x14ac:dyDescent="0.2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2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0999999999999996" customHeight="1" outlineLevel="3" x14ac:dyDescent="0.2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0999999999999996" customHeight="1" outlineLevel="2" x14ac:dyDescent="0.2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0999999999999996" customHeight="1" outlineLevel="1" x14ac:dyDescent="0.2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0999999999999996" customHeight="1" x14ac:dyDescent="0.2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2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2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0999999999999996" customHeight="1" thickBot="1" x14ac:dyDescent="0.3">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0999999999999996" customHeight="1" outlineLevel="1" x14ac:dyDescent="0.2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2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00000000000001" customHeight="1" x14ac:dyDescent="0.2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00000000000001" customHeight="1" outlineLevel="1" x14ac:dyDescent="0.2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0999999999999996" customHeight="1" outlineLevel="2" x14ac:dyDescent="0.2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2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2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2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25">
      <c r="A65" s="1"/>
      <c r="B65" s="33"/>
      <c r="C65" s="73">
        <f>INT($C$59)+2</f>
        <v>3</v>
      </c>
      <c r="D65" s="3"/>
      <c r="E65" s="5"/>
      <c r="F65" s="5"/>
      <c r="G65" s="3"/>
      <c r="H65" s="29"/>
      <c r="I65" s="29"/>
      <c r="J65" s="29" t="s">
        <v>362</v>
      </c>
      <c r="K65" s="156" t="s">
        <v>202</v>
      </c>
      <c r="L65" s="156" t="s">
        <v>203</v>
      </c>
      <c r="M65" s="156" t="s">
        <v>204</v>
      </c>
      <c r="N65" s="156" t="s">
        <v>396</v>
      </c>
      <c r="O65" s="156" t="s">
        <v>392</v>
      </c>
      <c r="P65" s="156" t="s">
        <v>393</v>
      </c>
      <c r="Q65" s="156" t="s">
        <v>394</v>
      </c>
      <c r="R65" s="156" t="s">
        <v>395</v>
      </c>
      <c r="S65" s="29"/>
      <c r="T65" s="29"/>
      <c r="U65" s="29"/>
      <c r="V65" s="29"/>
      <c r="W65" s="29"/>
      <c r="X65" s="29"/>
      <c r="Y65" s="29"/>
      <c r="Z65" s="29"/>
      <c r="AA65" s="3"/>
      <c r="AB65" s="16"/>
      <c r="AC65" s="1"/>
      <c r="AD65" s="1"/>
      <c r="AE65" s="1"/>
    </row>
    <row r="66" spans="1:31" ht="11.45" customHeight="1" outlineLevel="2" x14ac:dyDescent="0.2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2.95" customHeight="1" outlineLevel="4" x14ac:dyDescent="0.2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4499999999999993" customHeight="1" outlineLevel="4" x14ac:dyDescent="0.2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0999999999999996" customHeight="1" outlineLevel="2" x14ac:dyDescent="0.2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2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2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2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2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2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2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2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2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2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2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2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2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2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2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2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2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2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0999999999999996" customHeight="1" outlineLevel="3" x14ac:dyDescent="0.2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0999999999999996" customHeight="1" outlineLevel="2" x14ac:dyDescent="0.2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0999999999999996" customHeight="1" outlineLevel="1" x14ac:dyDescent="0.2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0999999999999996" customHeight="1" x14ac:dyDescent="0.2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2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2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0999999999999996" customHeight="1" thickBot="1" x14ac:dyDescent="0.3">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0999999999999996" customHeight="1" outlineLevel="1" x14ac:dyDescent="0.2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2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8.75" x14ac:dyDescent="0.2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75" outlineLevel="1" x14ac:dyDescent="0.2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0999999999999996" customHeight="1" outlineLevel="2" x14ac:dyDescent="0.2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2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2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2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30" outlineLevel="2" x14ac:dyDescent="0.2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2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2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2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0999999999999996" customHeight="1" outlineLevel="2" x14ac:dyDescent="0.2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2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2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2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45" customHeight="1" outlineLevel="3" x14ac:dyDescent="0.2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2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0999999999999996" customHeight="1" outlineLevel="3" x14ac:dyDescent="0.2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0999999999999996" customHeight="1" outlineLevel="2" x14ac:dyDescent="0.2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2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2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2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2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2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2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2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2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2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0999999999999996" customHeight="1" outlineLevel="3" x14ac:dyDescent="0.2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0999999999999996" customHeight="1" outlineLevel="2" x14ac:dyDescent="0.2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2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2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2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2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2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2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0999999999999996" customHeight="1" outlineLevel="3" x14ac:dyDescent="0.2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0999999999999996" customHeight="1" outlineLevel="2" x14ac:dyDescent="0.2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0999999999999996" customHeight="1" outlineLevel="1" x14ac:dyDescent="0.2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0999999999999996" customHeight="1" x14ac:dyDescent="0.2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2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2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0999999999999996" customHeight="1" thickBot="1" x14ac:dyDescent="0.3">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0999999999999996" customHeight="1" outlineLevel="1" x14ac:dyDescent="0.2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2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8.75" x14ac:dyDescent="0.2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75" outlineLevel="1" x14ac:dyDescent="0.2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0999999999999996" customHeight="1" outlineLevel="2" x14ac:dyDescent="0.2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2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2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2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2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0999999999999996" customHeight="1" outlineLevel="2" x14ac:dyDescent="0.2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25">
      <c r="A148" s="1"/>
      <c r="B148" s="33"/>
      <c r="C148" s="73">
        <f>INT($C$140)+2</f>
        <v>3</v>
      </c>
      <c r="D148" s="4"/>
      <c r="E148" s="5"/>
      <c r="F148" s="5"/>
      <c r="G148" s="4"/>
      <c r="H148" s="26" t="s">
        <v>371</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2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2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2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2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25">
      <c r="A153" s="1"/>
      <c r="B153" s="33"/>
      <c r="C153" s="73"/>
      <c r="D153" s="4"/>
      <c r="E153" s="5"/>
      <c r="F153" s="5"/>
      <c r="G153" s="4"/>
      <c r="H153" s="2"/>
      <c r="I153" s="2"/>
      <c r="J153" s="2"/>
      <c r="K153" s="2"/>
      <c r="L153" s="26" t="s">
        <v>357</v>
      </c>
      <c r="M153" s="31" t="b">
        <v>0</v>
      </c>
      <c r="N153" s="2"/>
      <c r="O153" s="2"/>
      <c r="P153" s="2"/>
      <c r="Q153" s="2"/>
      <c r="R153" s="2"/>
      <c r="S153" s="2"/>
      <c r="T153" s="2"/>
      <c r="U153" s="2"/>
      <c r="V153" s="2"/>
      <c r="W153" s="2"/>
      <c r="X153" s="2"/>
      <c r="Y153" s="2"/>
      <c r="Z153" s="2"/>
      <c r="AA153" s="4"/>
      <c r="AB153" s="16"/>
      <c r="AC153" s="1"/>
      <c r="AD153" s="1"/>
      <c r="AE153" s="1"/>
    </row>
    <row r="154" spans="1:31" ht="5.0999999999999996" customHeight="1" outlineLevel="3" x14ac:dyDescent="0.2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0999999999999996" customHeight="1" outlineLevel="2" x14ac:dyDescent="0.2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25">
      <c r="A156" s="1"/>
      <c r="B156" s="33"/>
      <c r="C156" s="73">
        <f>INT(C$140+3)</f>
        <v>4</v>
      </c>
      <c r="D156" s="4"/>
      <c r="E156" s="5"/>
      <c r="F156" s="5"/>
      <c r="G156" s="4"/>
      <c r="H156" s="148"/>
      <c r="I156" s="148"/>
      <c r="J156" s="148"/>
      <c r="K156" s="148"/>
      <c r="L156" s="148"/>
      <c r="M156" s="148" t="s">
        <v>400</v>
      </c>
      <c r="N156" s="36" t="s">
        <v>428</v>
      </c>
      <c r="O156" s="56" t="s">
        <v>403</v>
      </c>
      <c r="P156" s="56" t="s">
        <v>413</v>
      </c>
      <c r="Q156" s="56" t="s">
        <v>414</v>
      </c>
      <c r="R156" s="56" t="s">
        <v>415</v>
      </c>
      <c r="S156" s="56" t="s">
        <v>416</v>
      </c>
      <c r="T156" s="36" t="s">
        <v>419</v>
      </c>
      <c r="U156" s="36" t="s">
        <v>420</v>
      </c>
      <c r="V156" s="36" t="s">
        <v>421</v>
      </c>
      <c r="W156" s="36" t="s">
        <v>422</v>
      </c>
      <c r="X156" s="36" t="s">
        <v>423</v>
      </c>
      <c r="Y156" s="36" t="s">
        <v>417</v>
      </c>
      <c r="Z156" s="36"/>
      <c r="AA156" s="4"/>
      <c r="AB156" s="16"/>
      <c r="AC156" s="1"/>
      <c r="AD156" s="1"/>
      <c r="AE156" s="1"/>
    </row>
    <row r="157" spans="1:31" outlineLevel="3" x14ac:dyDescent="0.25">
      <c r="A157" s="1"/>
      <c r="B157" s="33"/>
      <c r="C157" s="73">
        <f>INT(C$140+3)</f>
        <v>4</v>
      </c>
      <c r="D157" s="4"/>
      <c r="E157" s="5"/>
      <c r="F157" s="5"/>
      <c r="G157" s="4"/>
      <c r="H157" s="148"/>
      <c r="I157" s="148"/>
      <c r="J157" s="148"/>
      <c r="K157" s="148"/>
      <c r="L157" s="148"/>
      <c r="M157" s="148"/>
      <c r="N157" s="36">
        <v>0</v>
      </c>
      <c r="O157" s="56" t="s">
        <v>429</v>
      </c>
      <c r="P157" s="56" t="s">
        <v>430</v>
      </c>
      <c r="Q157" s="56" t="s">
        <v>431</v>
      </c>
      <c r="R157" s="56" t="s">
        <v>432</v>
      </c>
      <c r="S157" s="56" t="s">
        <v>433</v>
      </c>
      <c r="T157" s="36" t="s">
        <v>434</v>
      </c>
      <c r="U157" s="36" t="s">
        <v>435</v>
      </c>
      <c r="V157" s="36" t="s">
        <v>436</v>
      </c>
      <c r="W157" s="36" t="s">
        <v>437</v>
      </c>
      <c r="X157" s="36" t="s">
        <v>438</v>
      </c>
      <c r="Y157" s="36" t="s">
        <v>439</v>
      </c>
      <c r="Z157" s="36">
        <v>12</v>
      </c>
      <c r="AA157" s="4"/>
      <c r="AB157" s="16"/>
      <c r="AC157" s="1"/>
      <c r="AD157" s="1"/>
      <c r="AE157" s="1"/>
    </row>
    <row r="158" spans="1:31" outlineLevel="3" x14ac:dyDescent="0.25">
      <c r="A158" s="1"/>
      <c r="B158" s="33"/>
      <c r="C158" s="73">
        <f t="shared" ref="C158:C160" si="11">INT(C$140+3)</f>
        <v>4</v>
      </c>
      <c r="D158" s="4"/>
      <c r="E158" s="5"/>
      <c r="F158" s="5"/>
      <c r="G158" s="4"/>
      <c r="H158" s="148"/>
      <c r="I158" s="148"/>
      <c r="J158" s="148"/>
      <c r="K158" s="148"/>
      <c r="L158" s="26" t="s">
        <v>426</v>
      </c>
      <c r="M158" s="52"/>
      <c r="N158" s="36"/>
      <c r="O158" s="56" t="s">
        <v>403</v>
      </c>
      <c r="P158" s="56" t="s">
        <v>404</v>
      </c>
      <c r="Q158" s="56" t="s">
        <v>405</v>
      </c>
      <c r="R158" s="56" t="s">
        <v>407</v>
      </c>
      <c r="S158" s="56" t="s">
        <v>406</v>
      </c>
      <c r="T158" s="36" t="s">
        <v>408</v>
      </c>
      <c r="U158" s="36" t="s">
        <v>409</v>
      </c>
      <c r="V158" s="36" t="s">
        <v>410</v>
      </c>
      <c r="W158" s="36" t="s">
        <v>411</v>
      </c>
      <c r="X158" s="36" t="s">
        <v>412</v>
      </c>
      <c r="Y158" s="36" t="s">
        <v>418</v>
      </c>
      <c r="Z158" s="36"/>
      <c r="AA158" s="4"/>
      <c r="AB158" s="16"/>
      <c r="AC158" s="1"/>
      <c r="AD158" s="1"/>
      <c r="AE158" s="1"/>
    </row>
    <row r="159" spans="1:31" outlineLevel="3" x14ac:dyDescent="0.25">
      <c r="A159" s="1"/>
      <c r="B159" s="33"/>
      <c r="C159" s="73">
        <f t="shared" si="11"/>
        <v>4</v>
      </c>
      <c r="D159" s="4"/>
      <c r="E159" s="5"/>
      <c r="F159" s="5"/>
      <c r="G159" s="4"/>
      <c r="H159" s="148"/>
      <c r="I159" s="148"/>
      <c r="J159" s="148"/>
      <c r="K159" s="148"/>
      <c r="L159" s="151" t="s">
        <v>427</v>
      </c>
      <c r="M159" s="151" t="s">
        <v>401</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25">
      <c r="A160" s="1"/>
      <c r="B160" s="33"/>
      <c r="C160" s="73">
        <f t="shared" si="11"/>
        <v>4</v>
      </c>
      <c r="D160" s="4"/>
      <c r="E160" s="5"/>
      <c r="F160" s="5"/>
      <c r="G160" s="4"/>
      <c r="H160" s="148"/>
      <c r="I160" s="148"/>
      <c r="J160" s="148"/>
      <c r="K160" s="148"/>
      <c r="L160" s="148"/>
      <c r="M160" s="151" t="s">
        <v>402</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25">
      <c r="A161" s="1"/>
      <c r="B161" s="33"/>
      <c r="C161" s="73">
        <f>INT($C$140)+2</f>
        <v>3</v>
      </c>
      <c r="D161" s="4"/>
      <c r="E161" s="5"/>
      <c r="F161" s="5"/>
      <c r="G161" s="4"/>
      <c r="H161" s="64" t="s">
        <v>257</v>
      </c>
      <c r="I161" s="64" t="s">
        <v>372</v>
      </c>
      <c r="J161" s="2"/>
      <c r="K161" s="2"/>
      <c r="L161" s="148"/>
      <c r="M161" s="148"/>
      <c r="N161" s="214"/>
      <c r="O161" s="214"/>
      <c r="P161" s="214"/>
      <c r="Q161" s="160"/>
      <c r="R161" s="160"/>
      <c r="S161" s="160"/>
      <c r="T161" s="160"/>
      <c r="U161" s="160"/>
      <c r="V161" s="160"/>
      <c r="W161" s="160"/>
      <c r="X161" s="160"/>
      <c r="Y161" s="160"/>
      <c r="Z161" s="160"/>
      <c r="AA161" s="4"/>
      <c r="AB161" s="16"/>
      <c r="AC161" s="1"/>
      <c r="AD161" s="1"/>
      <c r="AE161" s="1"/>
    </row>
    <row r="162" spans="1:31" outlineLevel="3" collapsed="1" x14ac:dyDescent="0.25">
      <c r="A162" s="1"/>
      <c r="B162" s="33"/>
      <c r="C162" s="73">
        <f>INT($C$140)+3</f>
        <v>4</v>
      </c>
      <c r="D162" s="4"/>
      <c r="E162" s="5">
        <v>0</v>
      </c>
      <c r="F162" s="5"/>
      <c r="G162" s="4"/>
      <c r="H162" s="31" t="s">
        <v>266</v>
      </c>
      <c r="I162" s="31">
        <v>0</v>
      </c>
      <c r="J162" s="148"/>
      <c r="K162" s="148"/>
      <c r="L162" s="148"/>
      <c r="M162" s="148"/>
      <c r="N162" s="218" t="s">
        <v>425</v>
      </c>
      <c r="O162" s="218"/>
      <c r="P162" s="218"/>
      <c r="Q162" s="218"/>
      <c r="R162" s="218"/>
      <c r="S162" s="219"/>
      <c r="T162" s="219"/>
      <c r="U162" s="219"/>
      <c r="V162" s="219"/>
      <c r="W162" s="219"/>
      <c r="X162" s="219"/>
      <c r="Y162" s="219"/>
      <c r="Z162" s="219"/>
      <c r="AA162" s="4"/>
      <c r="AB162" s="16"/>
      <c r="AC162" s="1"/>
      <c r="AD162" s="1"/>
      <c r="AE162" s="1"/>
    </row>
    <row r="163" spans="1:31" outlineLevel="3" x14ac:dyDescent="0.25">
      <c r="A163" s="1"/>
      <c r="B163" s="33"/>
      <c r="C163" s="73">
        <f t="shared" ref="C163:C179" si="18">INT(C$140+3)</f>
        <v>4</v>
      </c>
      <c r="D163" s="4"/>
      <c r="E163" s="5">
        <v>1</v>
      </c>
      <c r="F163" s="5"/>
      <c r="G163" s="4"/>
      <c r="H163" s="31" t="s">
        <v>265</v>
      </c>
      <c r="I163" s="31">
        <v>0</v>
      </c>
      <c r="J163" s="148"/>
      <c r="K163" s="148"/>
      <c r="L163" s="148"/>
      <c r="M163" s="148"/>
      <c r="N163" s="217" t="s">
        <v>424</v>
      </c>
      <c r="O163" s="217" t="s">
        <v>424</v>
      </c>
      <c r="P163" s="217" t="s">
        <v>424</v>
      </c>
      <c r="Q163" s="217" t="s">
        <v>424</v>
      </c>
      <c r="R163" s="217" t="s">
        <v>424</v>
      </c>
      <c r="S163" s="217" t="s">
        <v>424</v>
      </c>
      <c r="T163" s="217" t="s">
        <v>424</v>
      </c>
      <c r="U163" s="217" t="s">
        <v>424</v>
      </c>
      <c r="V163" s="217" t="s">
        <v>424</v>
      </c>
      <c r="W163" s="217" t="s">
        <v>424</v>
      </c>
      <c r="X163" s="217" t="s">
        <v>424</v>
      </c>
      <c r="Y163" s="217" t="s">
        <v>424</v>
      </c>
      <c r="Z163" s="217"/>
      <c r="AA163" s="4"/>
      <c r="AB163" s="16"/>
      <c r="AC163" s="1"/>
      <c r="AD163" s="1"/>
      <c r="AE163" s="1"/>
    </row>
    <row r="164" spans="1:31" outlineLevel="3" x14ac:dyDescent="0.25">
      <c r="A164" s="1"/>
      <c r="B164" s="33"/>
      <c r="C164" s="73">
        <f>INT($C$140)+3</f>
        <v>4</v>
      </c>
      <c r="D164" s="4"/>
      <c r="E164" s="5">
        <v>2</v>
      </c>
      <c r="F164" s="5"/>
      <c r="G164" s="4"/>
      <c r="H164" s="31" t="s">
        <v>374</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25">
      <c r="A165" s="1"/>
      <c r="B165" s="33"/>
      <c r="C165" s="73">
        <f>INT($C$140)+3</f>
        <v>4</v>
      </c>
      <c r="D165" s="4"/>
      <c r="E165" s="5">
        <v>3</v>
      </c>
      <c r="F165" s="5"/>
      <c r="G165" s="4"/>
      <c r="H165" s="31" t="s">
        <v>375</v>
      </c>
      <c r="I165" s="31">
        <v>0</v>
      </c>
      <c r="J165" s="148"/>
      <c r="K165" s="148"/>
      <c r="L165" s="148"/>
      <c r="M165" s="148"/>
      <c r="N165" s="56" t="s">
        <v>424</v>
      </c>
      <c r="O165" s="148"/>
      <c r="P165" s="148"/>
      <c r="Q165" s="148"/>
      <c r="R165" s="148"/>
      <c r="S165" s="148"/>
      <c r="T165" s="2"/>
      <c r="U165" s="2"/>
      <c r="V165" s="2"/>
      <c r="W165" s="2"/>
      <c r="X165" s="2"/>
      <c r="Y165" s="2"/>
      <c r="Z165" s="2"/>
      <c r="AA165" s="4"/>
      <c r="AB165" s="16"/>
      <c r="AC165" s="1"/>
      <c r="AD165" s="1"/>
      <c r="AE165" s="1"/>
    </row>
    <row r="166" spans="1:31" outlineLevel="3" x14ac:dyDescent="0.25">
      <c r="A166" s="1"/>
      <c r="B166" s="33"/>
      <c r="C166" s="73">
        <f>INT(C$140+3)</f>
        <v>4</v>
      </c>
      <c r="D166" s="4"/>
      <c r="E166" s="5">
        <v>4</v>
      </c>
      <c r="F166" s="5"/>
      <c r="G166" s="4"/>
      <c r="H166" s="31" t="s">
        <v>376</v>
      </c>
      <c r="I166" s="31">
        <v>0</v>
      </c>
      <c r="J166" s="148"/>
      <c r="K166" s="148"/>
      <c r="L166" s="148"/>
      <c r="M166" s="148"/>
      <c r="N166" s="56" t="s">
        <v>424</v>
      </c>
      <c r="O166" s="148"/>
      <c r="P166" s="148"/>
      <c r="Q166" s="148"/>
      <c r="R166" s="148"/>
      <c r="S166" s="148"/>
      <c r="T166" s="2"/>
      <c r="U166" s="2"/>
      <c r="V166" s="2"/>
      <c r="W166" s="2"/>
      <c r="X166" s="2"/>
      <c r="Y166" s="2"/>
      <c r="Z166" s="2"/>
      <c r="AA166" s="4"/>
      <c r="AB166" s="16"/>
      <c r="AC166" s="1"/>
      <c r="AD166" s="1"/>
      <c r="AE166" s="1"/>
    </row>
    <row r="167" spans="1:31" outlineLevel="3" x14ac:dyDescent="0.25">
      <c r="A167" s="1"/>
      <c r="B167" s="33"/>
      <c r="C167" s="73">
        <f>INT(C$140+3)</f>
        <v>4</v>
      </c>
      <c r="D167" s="4"/>
      <c r="E167" s="5">
        <v>5</v>
      </c>
      <c r="F167" s="5"/>
      <c r="G167" s="4"/>
      <c r="H167" s="31" t="s">
        <v>377</v>
      </c>
      <c r="I167" s="31">
        <v>0</v>
      </c>
      <c r="J167" s="148"/>
      <c r="K167" s="148"/>
      <c r="L167" s="148"/>
      <c r="M167" s="148"/>
      <c r="N167" s="56" t="s">
        <v>424</v>
      </c>
      <c r="O167" s="148"/>
      <c r="P167" s="148"/>
      <c r="Q167" s="148"/>
      <c r="R167" s="148"/>
      <c r="S167" s="148"/>
      <c r="T167" s="2"/>
      <c r="U167" s="2"/>
      <c r="V167" s="2"/>
      <c r="W167" s="2"/>
      <c r="X167" s="2"/>
      <c r="Y167" s="2"/>
      <c r="Z167" s="2"/>
      <c r="AA167" s="4"/>
      <c r="AB167" s="16"/>
      <c r="AC167" s="1"/>
      <c r="AD167" s="1"/>
      <c r="AE167" s="1"/>
    </row>
    <row r="168" spans="1:31" outlineLevel="3" x14ac:dyDescent="0.25">
      <c r="A168" s="1"/>
      <c r="B168" s="33"/>
      <c r="C168" s="73">
        <f t="shared" si="18"/>
        <v>4</v>
      </c>
      <c r="D168" s="4"/>
      <c r="E168" s="5">
        <v>6</v>
      </c>
      <c r="F168" s="5"/>
      <c r="G168" s="4"/>
      <c r="H168" s="31" t="s">
        <v>383</v>
      </c>
      <c r="I168" s="31">
        <v>0</v>
      </c>
      <c r="J168" s="148"/>
      <c r="K168" s="148"/>
      <c r="L168" s="148"/>
      <c r="M168" s="148"/>
      <c r="N168" s="56" t="s">
        <v>424</v>
      </c>
      <c r="O168" s="148"/>
      <c r="P168" s="148"/>
      <c r="Q168" s="148"/>
      <c r="R168" s="148"/>
      <c r="S168" s="148"/>
      <c r="T168" s="2"/>
      <c r="U168" s="2"/>
      <c r="V168" s="2"/>
      <c r="W168" s="2"/>
      <c r="X168" s="2"/>
      <c r="Y168" s="2"/>
      <c r="Z168" s="2"/>
      <c r="AA168" s="4"/>
      <c r="AB168" s="16"/>
      <c r="AC168" s="1"/>
      <c r="AD168" s="1"/>
      <c r="AE168" s="1"/>
    </row>
    <row r="169" spans="1:31" outlineLevel="3" x14ac:dyDescent="0.25">
      <c r="A169" s="1"/>
      <c r="B169" s="33"/>
      <c r="C169" s="73">
        <f t="shared" si="18"/>
        <v>4</v>
      </c>
      <c r="D169" s="4"/>
      <c r="E169" s="5">
        <v>7</v>
      </c>
      <c r="F169" s="5"/>
      <c r="G169" s="4"/>
      <c r="H169" s="31" t="s">
        <v>399</v>
      </c>
      <c r="I169" s="31">
        <v>0</v>
      </c>
      <c r="J169" s="148"/>
      <c r="K169" s="148"/>
      <c r="L169" s="148"/>
      <c r="M169" s="148"/>
      <c r="N169" s="56" t="s">
        <v>424</v>
      </c>
      <c r="O169" s="148"/>
      <c r="P169" s="148"/>
      <c r="Q169" s="148"/>
      <c r="R169" s="148"/>
      <c r="S169" s="148"/>
      <c r="T169" s="2"/>
      <c r="U169" s="2"/>
      <c r="V169" s="2"/>
      <c r="W169" s="2"/>
      <c r="X169" s="2"/>
      <c r="Y169" s="2"/>
      <c r="Z169" s="2"/>
      <c r="AA169" s="4"/>
      <c r="AB169" s="16"/>
      <c r="AC169" s="1"/>
      <c r="AD169" s="1"/>
      <c r="AE169" s="1"/>
    </row>
    <row r="170" spans="1:31" outlineLevel="3" x14ac:dyDescent="0.25">
      <c r="A170" s="1"/>
      <c r="B170" s="33"/>
      <c r="C170" s="73">
        <f t="shared" si="18"/>
        <v>4</v>
      </c>
      <c r="D170" s="4"/>
      <c r="E170" s="5">
        <v>8</v>
      </c>
      <c r="F170" s="5"/>
      <c r="G170" s="4"/>
      <c r="H170" s="31" t="s">
        <v>378</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25">
      <c r="A171" s="1"/>
      <c r="B171" s="33"/>
      <c r="C171" s="73">
        <f t="shared" si="18"/>
        <v>4</v>
      </c>
      <c r="D171" s="4"/>
      <c r="E171" s="5">
        <v>9</v>
      </c>
      <c r="F171" s="5"/>
      <c r="G171" s="4"/>
      <c r="H171" s="31" t="s">
        <v>379</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25">
      <c r="A172" s="1"/>
      <c r="B172" s="33"/>
      <c r="C172" s="73">
        <f t="shared" si="18"/>
        <v>4</v>
      </c>
      <c r="D172" s="4"/>
      <c r="E172" s="5">
        <v>10</v>
      </c>
      <c r="F172" s="5"/>
      <c r="G172" s="4"/>
      <c r="H172" s="31" t="s">
        <v>260</v>
      </c>
      <c r="I172" s="31">
        <v>0</v>
      </c>
      <c r="J172" s="148"/>
      <c r="K172" s="148"/>
      <c r="L172" s="148"/>
      <c r="M172" s="148"/>
      <c r="N172" s="56" t="s">
        <v>424</v>
      </c>
      <c r="O172" s="148"/>
      <c r="P172" s="148"/>
      <c r="Q172" s="148"/>
      <c r="R172" s="56" t="s">
        <v>424</v>
      </c>
      <c r="S172" s="148"/>
      <c r="T172" s="2"/>
      <c r="U172" s="2"/>
      <c r="V172" s="2"/>
      <c r="W172" s="2"/>
      <c r="X172" s="2"/>
      <c r="Y172" s="56" t="s">
        <v>424</v>
      </c>
      <c r="Z172" s="2"/>
      <c r="AA172" s="4"/>
      <c r="AB172" s="16"/>
      <c r="AC172" s="1"/>
      <c r="AD172" s="1"/>
      <c r="AE172" s="1"/>
    </row>
    <row r="173" spans="1:31" outlineLevel="3" x14ac:dyDescent="0.25">
      <c r="A173" s="1"/>
      <c r="B173" s="33"/>
      <c r="C173" s="73">
        <f t="shared" si="18"/>
        <v>4</v>
      </c>
      <c r="D173" s="4"/>
      <c r="E173" s="5">
        <v>11</v>
      </c>
      <c r="F173" s="5"/>
      <c r="G173" s="4"/>
      <c r="H173" s="31" t="s">
        <v>261</v>
      </c>
      <c r="I173" s="31">
        <v>0</v>
      </c>
      <c r="J173" s="148"/>
      <c r="K173" s="148"/>
      <c r="L173" s="148"/>
      <c r="M173" s="148"/>
      <c r="N173" s="56" t="s">
        <v>424</v>
      </c>
      <c r="O173" s="148"/>
      <c r="P173" s="148"/>
      <c r="Q173" s="148"/>
      <c r="R173" s="56" t="s">
        <v>424</v>
      </c>
      <c r="S173" s="148"/>
      <c r="T173" s="2"/>
      <c r="U173" s="2"/>
      <c r="V173" s="2"/>
      <c r="W173" s="2"/>
      <c r="X173" s="2"/>
      <c r="Y173" s="56" t="s">
        <v>424</v>
      </c>
      <c r="Z173" s="2"/>
      <c r="AA173" s="4"/>
      <c r="AB173" s="16"/>
      <c r="AC173" s="1"/>
      <c r="AD173" s="1"/>
      <c r="AE173" s="1"/>
    </row>
    <row r="174" spans="1:31" outlineLevel="3" x14ac:dyDescent="0.25">
      <c r="A174" s="1"/>
      <c r="B174" s="33"/>
      <c r="C174" s="73">
        <f t="shared" si="18"/>
        <v>4</v>
      </c>
      <c r="D174" s="4"/>
      <c r="E174" s="5">
        <v>12</v>
      </c>
      <c r="F174" s="5"/>
      <c r="G174" s="4"/>
      <c r="H174" s="31" t="s">
        <v>262</v>
      </c>
      <c r="I174" s="31">
        <v>0</v>
      </c>
      <c r="J174" s="148"/>
      <c r="K174" s="148"/>
      <c r="L174" s="148"/>
      <c r="M174" s="148"/>
      <c r="N174" s="56" t="s">
        <v>424</v>
      </c>
      <c r="O174" s="148"/>
      <c r="P174" s="148"/>
      <c r="Q174" s="148"/>
      <c r="R174" s="56" t="s">
        <v>424</v>
      </c>
      <c r="S174" s="148"/>
      <c r="T174" s="56" t="s">
        <v>424</v>
      </c>
      <c r="U174" s="56" t="s">
        <v>424</v>
      </c>
      <c r="V174" s="56" t="s">
        <v>424</v>
      </c>
      <c r="W174" s="56" t="s">
        <v>424</v>
      </c>
      <c r="X174" s="56" t="s">
        <v>424</v>
      </c>
      <c r="Y174" s="56" t="s">
        <v>424</v>
      </c>
      <c r="Z174" s="2"/>
      <c r="AA174" s="4"/>
      <c r="AB174" s="16"/>
      <c r="AC174" s="1"/>
      <c r="AD174" s="1"/>
      <c r="AE174" s="1"/>
    </row>
    <row r="175" spans="1:31" outlineLevel="3" x14ac:dyDescent="0.2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25">
      <c r="A176" s="1"/>
      <c r="B176" s="33"/>
      <c r="C176" s="73">
        <f t="shared" si="18"/>
        <v>4</v>
      </c>
      <c r="D176" s="4"/>
      <c r="E176" s="5">
        <v>14</v>
      </c>
      <c r="F176" s="5"/>
      <c r="G176" s="4"/>
      <c r="H176" s="31" t="s">
        <v>258</v>
      </c>
      <c r="I176" s="31">
        <v>0</v>
      </c>
      <c r="J176" s="148"/>
      <c r="K176" s="148"/>
      <c r="L176" s="148"/>
      <c r="M176" s="148"/>
      <c r="N176" s="56" t="s">
        <v>424</v>
      </c>
      <c r="O176" s="148"/>
      <c r="P176" s="148"/>
      <c r="Q176" s="56" t="s">
        <v>424</v>
      </c>
      <c r="R176" s="56" t="s">
        <v>424</v>
      </c>
      <c r="S176" s="56" t="s">
        <v>424</v>
      </c>
      <c r="T176" s="56" t="s">
        <v>424</v>
      </c>
      <c r="U176" s="56" t="s">
        <v>424</v>
      </c>
      <c r="V176" s="56" t="s">
        <v>424</v>
      </c>
      <c r="W176" s="56" t="s">
        <v>424</v>
      </c>
      <c r="X176" s="56" t="s">
        <v>424</v>
      </c>
      <c r="Y176" s="56" t="s">
        <v>424</v>
      </c>
      <c r="Z176" s="56"/>
      <c r="AA176" s="4"/>
      <c r="AB176" s="16"/>
      <c r="AC176" s="1"/>
      <c r="AD176" s="1"/>
      <c r="AE176" s="1"/>
    </row>
    <row r="177" spans="1:31" outlineLevel="3" x14ac:dyDescent="0.25">
      <c r="A177" s="1"/>
      <c r="B177" s="33"/>
      <c r="C177" s="73">
        <f t="shared" si="18"/>
        <v>4</v>
      </c>
      <c r="D177" s="4"/>
      <c r="E177" s="5">
        <v>15</v>
      </c>
      <c r="F177" s="5"/>
      <c r="G177" s="4"/>
      <c r="H177" s="31" t="s">
        <v>259</v>
      </c>
      <c r="I177" s="31">
        <v>0</v>
      </c>
      <c r="J177" s="148"/>
      <c r="K177" s="148"/>
      <c r="L177" s="148"/>
      <c r="M177" s="148"/>
      <c r="N177" s="56" t="s">
        <v>424</v>
      </c>
      <c r="O177" s="148"/>
      <c r="P177" s="148"/>
      <c r="Q177" s="56" t="s">
        <v>424</v>
      </c>
      <c r="R177" s="56" t="s">
        <v>424</v>
      </c>
      <c r="S177" s="56" t="s">
        <v>424</v>
      </c>
      <c r="T177" s="56" t="s">
        <v>424</v>
      </c>
      <c r="U177" s="56" t="s">
        <v>424</v>
      </c>
      <c r="V177" s="56" t="s">
        <v>424</v>
      </c>
      <c r="W177" s="56" t="s">
        <v>424</v>
      </c>
      <c r="X177" s="56" t="s">
        <v>424</v>
      </c>
      <c r="Y177" s="56" t="s">
        <v>424</v>
      </c>
      <c r="Z177" s="56"/>
      <c r="AA177" s="4"/>
      <c r="AB177" s="16"/>
      <c r="AC177" s="1"/>
      <c r="AD177" s="1"/>
      <c r="AE177" s="1"/>
    </row>
    <row r="178" spans="1:31" outlineLevel="3" x14ac:dyDescent="0.25">
      <c r="A178" s="1"/>
      <c r="B178" s="33"/>
      <c r="C178" s="73">
        <f t="shared" si="18"/>
        <v>4</v>
      </c>
      <c r="D178" s="4"/>
      <c r="E178" s="5">
        <v>16</v>
      </c>
      <c r="F178" s="5"/>
      <c r="G178" s="4"/>
      <c r="H178" s="31" t="s">
        <v>373</v>
      </c>
      <c r="I178" s="31">
        <v>0</v>
      </c>
      <c r="J178" s="148"/>
      <c r="K178" s="148"/>
      <c r="L178" s="148"/>
      <c r="M178" s="148"/>
      <c r="N178" s="56" t="s">
        <v>424</v>
      </c>
      <c r="O178" s="148"/>
      <c r="P178" s="148"/>
      <c r="Q178" s="56" t="s">
        <v>424</v>
      </c>
      <c r="R178" s="56" t="s">
        <v>424</v>
      </c>
      <c r="S178" s="56" t="s">
        <v>424</v>
      </c>
      <c r="T178" s="56" t="s">
        <v>424</v>
      </c>
      <c r="U178" s="56" t="s">
        <v>424</v>
      </c>
      <c r="V178" s="56" t="s">
        <v>424</v>
      </c>
      <c r="W178" s="56" t="s">
        <v>424</v>
      </c>
      <c r="X178" s="56" t="s">
        <v>424</v>
      </c>
      <c r="Y178" s="56" t="s">
        <v>424</v>
      </c>
      <c r="Z178" s="56"/>
      <c r="AA178" s="4"/>
      <c r="AB178" s="16"/>
      <c r="AC178" s="1"/>
      <c r="AD178" s="1"/>
      <c r="AE178" s="1"/>
    </row>
    <row r="179" spans="1:31" outlineLevel="3" x14ac:dyDescent="0.25">
      <c r="A179" s="1"/>
      <c r="B179" s="33"/>
      <c r="C179" s="73">
        <f t="shared" si="18"/>
        <v>4</v>
      </c>
      <c r="D179" s="4"/>
      <c r="E179" s="5">
        <v>17</v>
      </c>
      <c r="F179" s="5"/>
      <c r="G179" s="4"/>
      <c r="H179" s="31" t="s">
        <v>440</v>
      </c>
      <c r="I179" s="31">
        <v>0</v>
      </c>
      <c r="J179" s="148"/>
      <c r="K179" s="148"/>
      <c r="L179" s="148"/>
      <c r="M179" s="148"/>
      <c r="N179" s="56" t="s">
        <v>424</v>
      </c>
      <c r="O179" s="148"/>
      <c r="P179" s="148"/>
      <c r="Q179" s="56" t="s">
        <v>424</v>
      </c>
      <c r="R179" s="56" t="s">
        <v>424</v>
      </c>
      <c r="S179" s="56" t="s">
        <v>424</v>
      </c>
      <c r="T179" s="56" t="s">
        <v>424</v>
      </c>
      <c r="U179" s="56" t="s">
        <v>424</v>
      </c>
      <c r="V179" s="56" t="s">
        <v>424</v>
      </c>
      <c r="W179" s="56" t="s">
        <v>424</v>
      </c>
      <c r="X179" s="56" t="s">
        <v>424</v>
      </c>
      <c r="Y179" s="56" t="s">
        <v>424</v>
      </c>
      <c r="Z179" s="56"/>
      <c r="AA179" s="4"/>
      <c r="AB179" s="16"/>
      <c r="AC179" s="1"/>
      <c r="AD179" s="1"/>
      <c r="AE179" s="1"/>
    </row>
    <row r="180" spans="1:31" outlineLevel="3" x14ac:dyDescent="0.25">
      <c r="A180" s="1"/>
      <c r="B180" s="33"/>
      <c r="C180" s="73">
        <f>INT(C$140+3)</f>
        <v>4</v>
      </c>
      <c r="D180" s="4"/>
      <c r="E180" s="5">
        <v>18</v>
      </c>
      <c r="F180" s="5"/>
      <c r="G180" s="4"/>
      <c r="H180" s="31" t="s">
        <v>446</v>
      </c>
      <c r="I180" s="31">
        <v>0</v>
      </c>
      <c r="J180" s="148"/>
      <c r="K180" s="148"/>
      <c r="L180" s="148"/>
      <c r="M180" s="148"/>
      <c r="N180" s="56" t="s">
        <v>424</v>
      </c>
      <c r="O180" s="148"/>
      <c r="P180" s="148"/>
      <c r="Q180" s="56" t="s">
        <v>424</v>
      </c>
      <c r="R180" s="56" t="s">
        <v>424</v>
      </c>
      <c r="S180" s="56" t="s">
        <v>424</v>
      </c>
      <c r="T180" s="56" t="s">
        <v>424</v>
      </c>
      <c r="U180" s="56" t="s">
        <v>424</v>
      </c>
      <c r="V180" s="56" t="s">
        <v>424</v>
      </c>
      <c r="W180" s="56" t="s">
        <v>424</v>
      </c>
      <c r="X180" s="56" t="s">
        <v>424</v>
      </c>
      <c r="Y180" s="56" t="s">
        <v>424</v>
      </c>
      <c r="Z180" s="56"/>
      <c r="AA180" s="4"/>
      <c r="AB180" s="16"/>
      <c r="AC180" s="1"/>
      <c r="AD180" s="1"/>
      <c r="AE180" s="1"/>
    </row>
    <row r="181" spans="1:31" outlineLevel="3" x14ac:dyDescent="0.25">
      <c r="A181" s="1"/>
      <c r="B181" s="33"/>
      <c r="C181" s="73">
        <f>INT(C$140+3)</f>
        <v>4</v>
      </c>
      <c r="D181" s="4"/>
      <c r="E181" s="5">
        <v>19</v>
      </c>
      <c r="F181" s="5"/>
      <c r="G181" s="4"/>
      <c r="H181" s="31" t="s">
        <v>447</v>
      </c>
      <c r="I181" s="31">
        <v>0</v>
      </c>
      <c r="J181" s="148"/>
      <c r="K181" s="148"/>
      <c r="L181" s="148"/>
      <c r="M181" s="148"/>
      <c r="N181" s="216" t="s">
        <v>424</v>
      </c>
      <c r="O181" s="215"/>
      <c r="P181" s="215"/>
      <c r="Q181" s="215"/>
      <c r="R181" s="216" t="s">
        <v>424</v>
      </c>
      <c r="S181" s="215"/>
      <c r="T181" s="216" t="s">
        <v>424</v>
      </c>
      <c r="U181" s="216" t="s">
        <v>424</v>
      </c>
      <c r="V181" s="216" t="s">
        <v>424</v>
      </c>
      <c r="W181" s="216" t="s">
        <v>424</v>
      </c>
      <c r="X181" s="216" t="s">
        <v>424</v>
      </c>
      <c r="Y181" s="216" t="s">
        <v>424</v>
      </c>
      <c r="Z181" s="216"/>
      <c r="AA181" s="4"/>
      <c r="AB181" s="16"/>
      <c r="AC181" s="1"/>
      <c r="AD181" s="1"/>
      <c r="AE181" s="1"/>
    </row>
    <row r="182" spans="1:31" ht="5.0999999999999996" customHeight="1" outlineLevel="3" x14ac:dyDescent="0.2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0999999999999996" customHeight="1" outlineLevel="2" x14ac:dyDescent="0.2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0999999999999996" customHeight="1" outlineLevel="1" x14ac:dyDescent="0.2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0999999999999996" customHeight="1" x14ac:dyDescent="0.2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2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2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0999999999999996" customHeight="1" thickBot="1" x14ac:dyDescent="0.3">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0999999999999996" customHeight="1" outlineLevel="1" x14ac:dyDescent="0.2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25">
      <c r="A190" s="1"/>
      <c r="B190" s="33"/>
      <c r="C190" s="73">
        <f>INT(MAX($C$199:$C$203))+1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8.75" x14ac:dyDescent="0.2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75" outlineLevel="1" x14ac:dyDescent="0.25">
      <c r="A192" s="1"/>
      <c r="B192" s="33"/>
      <c r="C192" s="73">
        <f>INT($C$191)+1.02</f>
        <v>2.02</v>
      </c>
      <c r="D192" s="21"/>
      <c r="E192" s="24" t="s">
        <v>10</v>
      </c>
      <c r="F192" s="28">
        <v>1</v>
      </c>
      <c r="G192" s="13"/>
      <c r="H192" s="8" t="s">
        <v>292</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0999999999999996" customHeight="1" outlineLevel="2" x14ac:dyDescent="0.2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25">
      <c r="A194" s="1"/>
      <c r="B194" s="33"/>
      <c r="C194" s="73">
        <f>INT($C$191)+2</f>
        <v>3</v>
      </c>
      <c r="D194" s="3"/>
      <c r="E194" s="5"/>
      <c r="F194" s="5"/>
      <c r="G194" s="3"/>
      <c r="H194" s="29"/>
      <c r="I194" s="29"/>
      <c r="J194" s="29"/>
      <c r="K194" s="29"/>
      <c r="L194" s="29"/>
      <c r="M194" s="29"/>
      <c r="N194" s="29"/>
      <c r="O194" s="29"/>
      <c r="P194" s="29"/>
      <c r="Q194" s="29"/>
      <c r="R194" s="29"/>
      <c r="S194" s="29"/>
      <c r="T194" s="29"/>
      <c r="U194" s="29"/>
      <c r="V194" s="29"/>
      <c r="W194" s="29"/>
      <c r="X194" s="29"/>
      <c r="Y194" s="29"/>
      <c r="Z194" s="29"/>
      <c r="AA194" s="3"/>
      <c r="AB194" s="16"/>
      <c r="AC194" s="1"/>
      <c r="AD194" s="1"/>
      <c r="AE194" s="1"/>
    </row>
    <row r="195" spans="1:31" outlineLevel="2" x14ac:dyDescent="0.25">
      <c r="A195" s="1"/>
      <c r="B195" s="33"/>
      <c r="C195" s="73">
        <f>INT($C$191)+2</f>
        <v>3</v>
      </c>
      <c r="D195" s="3"/>
      <c r="E195" s="5"/>
      <c r="F195" s="5"/>
      <c r="G195" s="3"/>
      <c r="H195" s="29"/>
      <c r="I195" s="29"/>
      <c r="J195" s="29"/>
      <c r="K195" s="29"/>
      <c r="L195" s="29"/>
      <c r="M195" s="29"/>
      <c r="N195" s="29"/>
      <c r="O195" s="29"/>
      <c r="P195" s="29"/>
      <c r="Q195" s="29"/>
      <c r="R195" s="29"/>
      <c r="S195" s="29"/>
      <c r="T195" s="29"/>
      <c r="U195" s="29"/>
      <c r="V195" s="29"/>
      <c r="W195" s="29"/>
      <c r="X195" s="29"/>
      <c r="Y195" s="29"/>
      <c r="Z195" s="29"/>
      <c r="AA195" s="3"/>
      <c r="AB195" s="16"/>
      <c r="AC195" s="1"/>
      <c r="AD195" s="1"/>
      <c r="AE195" s="1"/>
    </row>
    <row r="196" spans="1:31" ht="9.75" customHeight="1" outlineLevel="2" x14ac:dyDescent="0.2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2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2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0999999999999996" customHeight="1" outlineLevel="2" x14ac:dyDescent="0.2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2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2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3" x14ac:dyDescent="0.25">
      <c r="A202" s="1"/>
      <c r="B202" s="33"/>
      <c r="C202" s="73">
        <f>INT(C$191+3)</f>
        <v>4</v>
      </c>
      <c r="D202" s="4"/>
      <c r="E202" s="5"/>
      <c r="F202" s="5"/>
      <c r="G202" s="4"/>
      <c r="H202" s="148"/>
      <c r="I202" s="148"/>
      <c r="J202" s="148"/>
      <c r="K202" s="148"/>
      <c r="L202" s="148"/>
      <c r="M202" s="148"/>
      <c r="N202" s="148"/>
      <c r="O202" s="148"/>
      <c r="P202" s="148"/>
      <c r="Q202" s="148"/>
      <c r="R202" s="148"/>
      <c r="S202" s="2"/>
      <c r="T202" s="2"/>
      <c r="U202" s="2"/>
      <c r="V202" s="2"/>
      <c r="W202" s="2"/>
      <c r="X202" s="2"/>
      <c r="Y202" s="2"/>
      <c r="Z202" s="2"/>
      <c r="AA202" s="4"/>
      <c r="AB202" s="16"/>
      <c r="AC202" s="1"/>
      <c r="AD202" s="1"/>
      <c r="AE202" s="1"/>
    </row>
    <row r="203" spans="1:31" ht="5.0999999999999996" customHeight="1" outlineLevel="3" x14ac:dyDescent="0.25">
      <c r="A203" s="1"/>
      <c r="B203" s="33"/>
      <c r="C203" s="73">
        <f>INT($C$191)+3.005</f>
        <v>4.0049999999999999</v>
      </c>
      <c r="D203" s="4"/>
      <c r="E203" s="4"/>
      <c r="F203" s="4"/>
      <c r="G203" s="4"/>
      <c r="H203" s="4"/>
      <c r="I203" s="4"/>
      <c r="J203" s="4"/>
      <c r="K203" s="4"/>
      <c r="L203" s="4"/>
      <c r="M203" s="4"/>
      <c r="N203" s="4"/>
      <c r="O203" s="4"/>
      <c r="P203" s="4"/>
      <c r="Q203" s="4"/>
      <c r="R203" s="4"/>
      <c r="S203" s="4"/>
      <c r="T203" s="4"/>
      <c r="U203" s="4"/>
      <c r="V203" s="4"/>
      <c r="W203" s="4"/>
      <c r="X203" s="4"/>
      <c r="Y203" s="4"/>
      <c r="Z203" s="4"/>
      <c r="AA203" s="4" t="s">
        <v>3</v>
      </c>
      <c r="AB203" s="16"/>
      <c r="AC203" s="1"/>
      <c r="AD203" s="1"/>
      <c r="AE203" s="1"/>
    </row>
    <row r="204" spans="1:31" ht="5.0999999999999996" customHeight="1" outlineLevel="2" x14ac:dyDescent="0.25">
      <c r="A204" s="1"/>
      <c r="B204" s="33"/>
      <c r="C204" s="73">
        <f>INT($C$191)+2.005</f>
        <v>3.0049999999999999</v>
      </c>
      <c r="D204" s="4"/>
      <c r="E204" s="4"/>
      <c r="F204" s="4"/>
      <c r="G204" s="4"/>
      <c r="H204" s="4"/>
      <c r="I204" s="4"/>
      <c r="J204" s="4"/>
      <c r="K204" s="4"/>
      <c r="L204" s="4"/>
      <c r="M204" s="4"/>
      <c r="N204" s="4"/>
      <c r="O204" s="4"/>
      <c r="P204" s="4"/>
      <c r="Q204" s="4"/>
      <c r="R204" s="4"/>
      <c r="S204" s="4"/>
      <c r="T204" s="4"/>
      <c r="U204" s="4"/>
      <c r="V204" s="4"/>
      <c r="W204" s="4"/>
      <c r="X204" s="4"/>
      <c r="Y204" s="4"/>
      <c r="Z204" s="4"/>
      <c r="AA204" s="4"/>
      <c r="AB204" s="16"/>
      <c r="AC204" s="1"/>
      <c r="AD204" s="1"/>
      <c r="AE204" s="1"/>
    </row>
    <row r="205" spans="1:31" ht="5.0999999999999996" customHeight="1" outlineLevel="1" x14ac:dyDescent="0.25">
      <c r="A205" s="1"/>
      <c r="B205" s="35"/>
      <c r="C205" s="76">
        <f>INT($C$191)+1.005</f>
        <v>2.0049999999999999</v>
      </c>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t="s">
        <v>1</v>
      </c>
      <c r="AC205" s="1"/>
      <c r="AD205" s="1"/>
      <c r="AE205" s="1"/>
    </row>
    <row r="206" spans="1:31" ht="5.0999999999999996" customHeight="1" x14ac:dyDescent="0.25">
      <c r="A206" s="1"/>
      <c r="B206" s="19"/>
      <c r="C206" s="77">
        <f>INT($C$191)+0.005</f>
        <v>1.0049999999999999</v>
      </c>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
      <c r="AD206" s="1"/>
      <c r="AE206" s="1"/>
    </row>
    <row r="207" spans="1:31" outlineLevel="2" x14ac:dyDescent="0.25">
      <c r="A207" s="1"/>
      <c r="B207" s="1"/>
      <c r="C207" s="73">
        <f>INT($C$191)+2</f>
        <v>3</v>
      </c>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spans="1:31" x14ac:dyDescent="0.25">
      <c r="A208" s="1"/>
      <c r="B208" s="1"/>
      <c r="C208" s="66"/>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spans="1:31" x14ac:dyDescent="0.25">
      <c r="A209" s="1"/>
      <c r="B209" s="1"/>
      <c r="C209" s="66"/>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spans="1:31" x14ac:dyDescent="0.25">
      <c r="A210" s="1"/>
      <c r="B210" s="1"/>
      <c r="C210" s="66"/>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2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2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2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25">
      <c r="C214"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tabSelected="1" workbookViewId="0">
      <selection activeCell="M18" sqref="M18"/>
    </sheetView>
  </sheetViews>
  <sheetFormatPr defaultColWidth="9.140625" defaultRowHeight="15" outlineLevelRow="1" x14ac:dyDescent="0.25"/>
  <cols>
    <col min="1" max="1" width="2.7109375" customWidth="1"/>
    <col min="2" max="2" width="4.28515625" customWidth="1"/>
    <col min="3" max="3" width="6.42578125" customWidth="1"/>
    <col min="4" max="4" width="3.28515625" customWidth="1"/>
    <col min="5" max="5" width="3.7109375" customWidth="1"/>
    <col min="6" max="6" width="2.7109375" customWidth="1"/>
  </cols>
  <sheetData>
    <row r="1" spans="1:26" ht="12" customHeight="1" outlineLevel="1" x14ac:dyDescent="0.2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2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0999999999999996" customHeight="1" outlineLevel="1" thickBot="1" x14ac:dyDescent="0.3">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0999999999999996" customHeight="1" outlineLevel="1" x14ac:dyDescent="0.2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2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2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25">
      <c r="A7" s="165"/>
      <c r="B7" s="166"/>
      <c r="C7" s="176"/>
      <c r="D7" s="171"/>
      <c r="E7" s="176"/>
      <c r="F7" s="172"/>
      <c r="G7" s="178" t="s">
        <v>449</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2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2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2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2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2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0999999999999996" customHeight="1" outlineLevel="1" x14ac:dyDescent="0.2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0999999999999996" customHeight="1" outlineLevel="1" x14ac:dyDescent="0.2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2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25">
      <c r="A16" s="165"/>
      <c r="B16" s="166"/>
      <c r="C16" s="176"/>
      <c r="D16" s="176"/>
      <c r="E16" s="176"/>
      <c r="F16" s="184"/>
      <c r="G16" s="192" t="s">
        <v>369</v>
      </c>
      <c r="H16" s="190"/>
      <c r="I16" s="192" t="s">
        <v>249</v>
      </c>
      <c r="K16" s="192" t="s">
        <v>363</v>
      </c>
      <c r="L16" s="191"/>
      <c r="M16" s="192" t="s">
        <v>364</v>
      </c>
      <c r="O16" s="192" t="s">
        <v>341</v>
      </c>
      <c r="P16" s="190"/>
      <c r="Q16" s="192" t="s">
        <v>342</v>
      </c>
      <c r="R16" s="190"/>
      <c r="S16" s="192" t="s">
        <v>343</v>
      </c>
      <c r="T16" s="191"/>
      <c r="U16" s="192" t="s">
        <v>348</v>
      </c>
      <c r="V16" s="189"/>
      <c r="W16" s="175"/>
      <c r="X16" s="167"/>
      <c r="Y16" s="167"/>
      <c r="Z16" s="167"/>
    </row>
    <row r="17" spans="1:26" ht="12" customHeight="1" outlineLevel="1" x14ac:dyDescent="0.25">
      <c r="A17" s="165"/>
      <c r="B17" s="166"/>
      <c r="C17" s="176"/>
      <c r="D17" s="176"/>
      <c r="E17" s="176"/>
      <c r="F17" s="184"/>
      <c r="G17" s="190" t="s">
        <v>370</v>
      </c>
      <c r="H17" s="190"/>
      <c r="I17" s="190" t="s">
        <v>344</v>
      </c>
      <c r="J17" s="193"/>
      <c r="K17" s="190" t="s">
        <v>366</v>
      </c>
      <c r="L17" s="191"/>
      <c r="M17" s="190" t="s">
        <v>365</v>
      </c>
      <c r="O17" s="190" t="s">
        <v>345</v>
      </c>
      <c r="P17" s="190"/>
      <c r="Q17" s="190" t="s">
        <v>346</v>
      </c>
      <c r="R17" s="190"/>
      <c r="S17" s="190" t="s">
        <v>347</v>
      </c>
      <c r="T17" s="191"/>
      <c r="U17" s="190" t="s">
        <v>349</v>
      </c>
      <c r="V17" s="189"/>
      <c r="W17" s="175"/>
      <c r="X17" s="167"/>
      <c r="Y17" s="167"/>
      <c r="Z17" s="167"/>
    </row>
    <row r="18" spans="1:26" ht="12" customHeight="1" outlineLevel="1" x14ac:dyDescent="0.2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2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2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25">
      <c r="A21" s="165"/>
      <c r="B21" s="166"/>
      <c r="C21" s="176"/>
      <c r="D21" s="176"/>
      <c r="E21" s="176"/>
      <c r="F21" s="184"/>
      <c r="G21" s="192" t="s">
        <v>397</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25">
      <c r="A22" s="165"/>
      <c r="B22" s="166"/>
      <c r="C22" s="176"/>
      <c r="D22" s="176"/>
      <c r="E22" s="176"/>
      <c r="F22" s="184"/>
      <c r="G22" s="190" t="s">
        <v>398</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2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2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2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2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2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0999999999999996" customHeight="1" outlineLevel="1" x14ac:dyDescent="0.2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2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2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2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15.7109375" customWidth="1"/>
    <col min="12" max="12" width="9.140625" customWidth="1"/>
    <col min="26" max="26" width="1.7109375" customWidth="1"/>
    <col min="27" max="28" width="4.7109375" customWidth="1"/>
    <col min="30" max="30" width="46.140625" customWidth="1"/>
  </cols>
  <sheetData>
    <row r="1" spans="1:30"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2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00000000000001" customHeight="1" x14ac:dyDescent="0.2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2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2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2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30" outlineLevel="3" x14ac:dyDescent="0.2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45" customHeight="1" outlineLevel="3" x14ac:dyDescent="0.2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2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2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0999999999999996" customHeight="1" outlineLevel="1" x14ac:dyDescent="0.2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2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25">
      <c r="A18" s="1"/>
      <c r="B18" s="33"/>
      <c r="C18" s="67">
        <f>INT($C$6)+1.045</f>
        <v>2.0449999999999999</v>
      </c>
      <c r="D18" s="4"/>
      <c r="E18" s="5"/>
      <c r="F18" s="5"/>
      <c r="G18" s="4"/>
      <c r="H18" s="2" t="s">
        <v>16</v>
      </c>
      <c r="I18" s="31">
        <v>1</v>
      </c>
      <c r="J18" s="226" t="s">
        <v>22</v>
      </c>
      <c r="K18" s="226"/>
      <c r="L18" s="226"/>
      <c r="M18" s="226"/>
      <c r="N18" s="226"/>
      <c r="O18" s="226"/>
      <c r="P18" s="226"/>
      <c r="Q18" s="226"/>
      <c r="R18" s="226"/>
      <c r="S18" s="226"/>
      <c r="T18" s="226"/>
      <c r="U18" s="226"/>
      <c r="V18" s="226"/>
      <c r="W18" s="226"/>
      <c r="X18" s="226"/>
      <c r="Y18" s="2"/>
      <c r="Z18" s="4"/>
      <c r="AA18" s="16"/>
      <c r="AB18" s="1"/>
      <c r="AC18" s="1"/>
      <c r="AD18" s="1"/>
    </row>
    <row r="19" spans="1:30" outlineLevel="3" x14ac:dyDescent="0.2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2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25">
      <c r="A21" s="1"/>
      <c r="B21" s="33"/>
      <c r="C21" s="67">
        <f>INT($C$6)+1.045</f>
        <v>2.0449999999999999</v>
      </c>
      <c r="D21" s="4"/>
      <c r="E21" s="5"/>
      <c r="F21" s="5"/>
      <c r="G21" s="4"/>
      <c r="H21" s="2" t="s">
        <v>17</v>
      </c>
      <c r="I21" s="23">
        <v>1</v>
      </c>
      <c r="J21" s="224" t="s">
        <v>34</v>
      </c>
      <c r="K21" s="225"/>
      <c r="L21" s="225"/>
      <c r="M21" s="225"/>
      <c r="N21" s="225"/>
      <c r="O21" s="225"/>
      <c r="P21" s="225"/>
      <c r="Q21" s="225"/>
      <c r="R21" s="225"/>
      <c r="S21" s="225"/>
      <c r="T21" s="225"/>
      <c r="U21" s="225"/>
      <c r="V21" s="225"/>
      <c r="W21" s="225"/>
      <c r="X21" s="227"/>
      <c r="Y21" s="2"/>
      <c r="Z21" s="4"/>
      <c r="AA21" s="16"/>
      <c r="AB21" s="1"/>
      <c r="AC21" s="1"/>
      <c r="AD21" s="1"/>
    </row>
    <row r="22" spans="1:30" outlineLevel="3" x14ac:dyDescent="0.2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2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0999999999999996" customHeight="1" outlineLevel="3" x14ac:dyDescent="0.2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0999999999999996" customHeight="1" outlineLevel="3" x14ac:dyDescent="0.2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2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2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2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2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2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0999999999999996" customHeight="1" outlineLevel="3" x14ac:dyDescent="0.2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0999999999999996" customHeight="1" outlineLevel="3" x14ac:dyDescent="0.2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2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2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2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2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2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0999999999999996" customHeight="1" outlineLevel="3" x14ac:dyDescent="0.2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0999999999999996" customHeight="1" outlineLevel="2" x14ac:dyDescent="0.2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0999999999999996" customHeight="1" outlineLevel="1" x14ac:dyDescent="0.2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0999999999999996" customHeight="1" x14ac:dyDescent="0.2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2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2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157</vt:i4>
      </vt:variant>
    </vt:vector>
  </HeadingPairs>
  <TitlesOfParts>
    <vt:vector size="162"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John</cp:lastModifiedBy>
  <cp:lastPrinted>2019-04-18T13:00:29Z</cp:lastPrinted>
  <dcterms:created xsi:type="dcterms:W3CDTF">2019-03-31T08:49:27Z</dcterms:created>
  <dcterms:modified xsi:type="dcterms:W3CDTF">2026-01-31T11:28:53Z</dcterms:modified>
</cp:coreProperties>
</file>