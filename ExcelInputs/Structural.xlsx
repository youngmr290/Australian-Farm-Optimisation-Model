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27C0B2D-B85A-4E4F-98F9-BA86FE1B5B6B}" xr6:coauthVersionLast="47" xr6:coauthVersionMax="47" xr10:uidLastSave="{00000000-0000-0000-0000-000000000000}"/>
  <bookViews>
    <workbookView xWindow="1425" yWindow="240" windowWidth="25950" windowHeight="15555" tabRatio="678" activeTab="1"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Stock!$I$55</definedName>
    <definedName name="i_a1_pos">Stock!$I$47</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Stock!$I$57</definedName>
    <definedName name="i_b1_pos">Stock!$I$49</definedName>
    <definedName name="i_btrt_idx_offs">Stock!$L$267:$Q$267</definedName>
    <definedName name="i_confinement_n0">StructuralSA!$K$115</definedName>
    <definedName name="i_confinement_n1">StructuralSA!$N$115:$N$122</definedName>
    <definedName name="i_confinement_n3">StructuralSA!$T$115:$T$122</definedName>
    <definedName name="i_core_dvp_types_f1" localSheetId="1">Stock!$J$311:$L$311</definedName>
    <definedName name="i_d_pos">Stock!$I$54</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Stock!$I$56</definedName>
    <definedName name="i_e1_pos">Stock!$I$48</definedName>
    <definedName name="i_enterprises_c0" localSheetId="0">General!$I$55:$J$55</definedName>
    <definedName name="i_feedsupply_itn_max">Stock!$I$72</definedName>
    <definedName name="i_fixed_dvp_mask_f1">Stock!$J$312:$L$312</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Stock!$I$53</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Stock!$L$201:$V$203</definedName>
    <definedName name="i_k2_pos">Stock!$I$45</definedName>
    <definedName name="i_k3_pos">Stock!$I$43</definedName>
    <definedName name="i_k5_idx_offs">Stock!$L$267:$Q$269</definedName>
    <definedName name="i_k5_pos">Stock!$I$44</definedName>
    <definedName name="i_lag_organs">Stock!$I$70</definedName>
    <definedName name="i_lag_wool">Stock!$I$69</definedName>
    <definedName name="i_landuse_is_dual" localSheetId="0">General!$Q$79:$Q$110</definedName>
    <definedName name="i_len_f">StructuralSA!$I$200</definedName>
    <definedName name="i_len_l">Stock!$M$159</definedName>
    <definedName name="i_len_m">Stock!$L$159</definedName>
    <definedName name="i_len_planning_horizon" localSheetId="2">StructuralSA!$M$46</definedName>
    <definedName name="i_len_q" localSheetId="2">StructuralSA!$M$44</definedName>
    <definedName name="i_len_s">Stock!$N$159</definedName>
    <definedName name="i_lsln_idx_dams">Stock!$L$201:$V$201</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Stock!$I$50</definedName>
    <definedName name="i_n_r1type">Stock!$L$205</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Stock!$I$46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Stock!$I$51</definedName>
    <definedName name="i_w_start_len1">StructuralSA!$M$108</definedName>
    <definedName name="i_w_start_len3">StructuralSA!$S$108</definedName>
    <definedName name="i_w0_len">StructuralSA!$J$107</definedName>
    <definedName name="i_x_pos">Stock!$I$58</definedName>
    <definedName name="i_y_pos">Stock!$I$59</definedName>
    <definedName name="i_z_pos">Stock!$I$52</definedName>
    <definedName name="ia_b0_b1">Stock!$L$151:$V$151</definedName>
    <definedName name="ia_dams_dsegroup_b1">Stock!$L$145:$V$145</definedName>
    <definedName name="ia_g1_tg1">Stock!$K$115:$N$117</definedName>
    <definedName name="ia_k2_mlsb1">Stock!$L$160:$V$199</definedName>
    <definedName name="ia_offs_dsegroup">Stock!$L$147</definedName>
    <definedName name="ia_ppk2g1_rlsb1">Stock!$L$206:$V$265</definedName>
    <definedName name="ia_ppk5_lsb0">Stock!$L$272:$Q$291</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Stock!$J$316:$L$316</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1" i="12"/>
  <c r="C195" i="25" l="1"/>
  <c r="C112" i="25"/>
  <c r="C111" i="25"/>
  <c r="C110" i="25"/>
  <c r="C109" i="25"/>
  <c r="C108" i="25"/>
  <c r="C107" i="25"/>
  <c r="C106" i="25"/>
  <c r="C124" i="25"/>
  <c r="C123" i="25"/>
  <c r="C154" i="25"/>
  <c r="C150" i="25"/>
  <c r="C149" i="25"/>
  <c r="C148" i="25"/>
  <c r="C147" i="25"/>
  <c r="C201" i="25"/>
  <c r="C200" i="25"/>
  <c r="C199" i="25"/>
  <c r="C207" i="25"/>
  <c r="C206" i="25"/>
  <c r="C205" i="25"/>
  <c r="C204" i="25"/>
  <c r="C203" i="25"/>
  <c r="C202"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6" i="12"/>
  <c r="H299" i="12"/>
  <c r="C324" i="12"/>
  <c r="C323" i="12"/>
  <c r="C322" i="12"/>
  <c r="C321" i="12"/>
  <c r="C320" i="12"/>
  <c r="C319" i="12"/>
  <c r="C318" i="12"/>
  <c r="C317" i="12"/>
  <c r="C316" i="12"/>
  <c r="C315" i="12"/>
  <c r="C314" i="12"/>
  <c r="C313" i="12"/>
  <c r="C312" i="12"/>
  <c r="K316" i="12"/>
  <c r="C310" i="12"/>
  <c r="C309" i="12"/>
  <c r="C306" i="12"/>
  <c r="C305" i="12"/>
  <c r="C304" i="12"/>
  <c r="C303" i="12"/>
  <c r="C302" i="12"/>
  <c r="C301" i="12"/>
  <c r="C300" i="12"/>
  <c r="C297" i="12"/>
  <c r="C296"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46" i="12"/>
  <c r="C50" i="12"/>
  <c r="C44" i="12"/>
  <c r="C43" i="12"/>
  <c r="C45" i="12"/>
  <c r="C53" i="12"/>
  <c r="C48" i="12"/>
  <c r="C56" i="12"/>
  <c r="C54" i="12"/>
  <c r="C49" i="12"/>
  <c r="C57" i="12"/>
  <c r="C47" i="12"/>
  <c r="C55"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49" i="12"/>
  <c r="P250" i="12" s="1"/>
  <c r="O249" i="12"/>
  <c r="O250" i="12" s="1"/>
  <c r="N249" i="12"/>
  <c r="N250" i="12" s="1"/>
  <c r="M249" i="12"/>
  <c r="M250" i="12" s="1"/>
  <c r="P248" i="12"/>
  <c r="O248" i="12"/>
  <c r="N248" i="12"/>
  <c r="M248" i="12"/>
  <c r="N247" i="12"/>
  <c r="M247" i="12"/>
  <c r="M246" i="12"/>
  <c r="M207" i="12"/>
  <c r="N207" i="12" s="1"/>
  <c r="O207" i="12" s="1"/>
  <c r="P207" i="12" s="1"/>
  <c r="Q207" i="12" s="1"/>
  <c r="R207" i="12" s="1"/>
  <c r="S207" i="12" s="1"/>
  <c r="T207" i="12" s="1"/>
  <c r="U207" i="12" s="1"/>
  <c r="V207" i="12" s="1"/>
  <c r="N206" i="12"/>
  <c r="O206" i="12" s="1"/>
  <c r="P206" i="12" s="1"/>
  <c r="Q206" i="12" s="1"/>
  <c r="R206" i="12" s="1"/>
  <c r="S206" i="12" s="1"/>
  <c r="T206" i="12" s="1"/>
  <c r="U206" i="12" s="1"/>
  <c r="V206" i="12" s="1"/>
  <c r="V203" i="12"/>
  <c r="U203" i="12"/>
  <c r="T203" i="12"/>
  <c r="S203" i="12"/>
  <c r="R203" i="12"/>
  <c r="Q203" i="12"/>
  <c r="P203" i="12"/>
  <c r="O203" i="12"/>
  <c r="N203" i="12"/>
  <c r="M203" i="12"/>
  <c r="L203" i="12"/>
  <c r="V202" i="12"/>
  <c r="U202" i="12"/>
  <c r="T202" i="12"/>
  <c r="S202" i="12"/>
  <c r="R202" i="12"/>
  <c r="Q202" i="12"/>
  <c r="P202" i="12"/>
  <c r="O202" i="12"/>
  <c r="N202" i="12"/>
  <c r="M202" i="12"/>
  <c r="L202" i="12"/>
  <c r="C149" i="12"/>
  <c r="M208" i="12" l="1"/>
  <c r="N208" i="12" l="1"/>
  <c r="O208" i="12" s="1"/>
  <c r="P208" i="12" s="1"/>
  <c r="Q208" i="12" s="1"/>
  <c r="R208" i="12" s="1"/>
  <c r="S208" i="12" s="1"/>
  <c r="T208" i="12" s="1"/>
  <c r="U208" i="12" s="1"/>
  <c r="V208" i="12" s="1"/>
  <c r="M209" i="12"/>
  <c r="C37" i="24"/>
  <c r="C36" i="24"/>
  <c r="C35" i="24"/>
  <c r="C34" i="24"/>
  <c r="C56" i="24"/>
  <c r="C55" i="24"/>
  <c r="C54" i="24"/>
  <c r="C53" i="24"/>
  <c r="C52" i="24"/>
  <c r="C51" i="24"/>
  <c r="C50" i="24"/>
  <c r="C49" i="24"/>
  <c r="C48" i="24"/>
  <c r="C47" i="24"/>
  <c r="C46" i="24"/>
  <c r="C45" i="24"/>
  <c r="C44" i="24"/>
  <c r="C43" i="24"/>
  <c r="C42" i="24"/>
  <c r="M210" i="12" l="1"/>
  <c r="N209" i="12"/>
  <c r="O209" i="12" s="1"/>
  <c r="P209" i="12" s="1"/>
  <c r="Q209" i="12" s="1"/>
  <c r="R209" i="12" s="1"/>
  <c r="S209" i="12" s="1"/>
  <c r="T209" i="12" s="1"/>
  <c r="U209" i="12" s="1"/>
  <c r="V209" i="12" s="1"/>
  <c r="N210" i="12" l="1"/>
  <c r="O210" i="12" s="1"/>
  <c r="P210" i="12" s="1"/>
  <c r="Q210" i="12" s="1"/>
  <c r="R210" i="12" s="1"/>
  <c r="S210" i="12" s="1"/>
  <c r="T210" i="12" s="1"/>
  <c r="U210" i="12" s="1"/>
  <c r="V210" i="12" s="1"/>
  <c r="M211"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1" i="12" l="1"/>
  <c r="O211" i="12" s="1"/>
  <c r="P211" i="12" s="1"/>
  <c r="Q211" i="12" s="1"/>
  <c r="R211" i="12" s="1"/>
  <c r="S211" i="12" s="1"/>
  <c r="T211" i="12" s="1"/>
  <c r="U211" i="12" s="1"/>
  <c r="V211" i="12" s="1"/>
  <c r="M212" i="12"/>
  <c r="C5" i="24"/>
  <c r="Q288" i="12"/>
  <c r="P288" i="12"/>
  <c r="O288" i="12"/>
  <c r="Q287" i="12"/>
  <c r="O287" i="12"/>
  <c r="P289" i="12"/>
  <c r="P287" i="12"/>
  <c r="Q285" i="12"/>
  <c r="P285" i="12"/>
  <c r="O285" i="12"/>
  <c r="Q284" i="12"/>
  <c r="P284" i="12"/>
  <c r="O284" i="12"/>
  <c r="M283" i="12"/>
  <c r="O283" i="12" s="1"/>
  <c r="M282" i="12"/>
  <c r="O282" i="12" s="1"/>
  <c r="N274" i="12"/>
  <c r="Q274" i="12" s="1"/>
  <c r="Q275" i="12"/>
  <c r="Q276" i="12" s="1"/>
  <c r="P275" i="12"/>
  <c r="P276" i="12" s="1"/>
  <c r="O275" i="12"/>
  <c r="O276" i="12" s="1"/>
  <c r="O274" i="12"/>
  <c r="Q280" i="12"/>
  <c r="P280" i="12"/>
  <c r="O280" i="12"/>
  <c r="Q279" i="12"/>
  <c r="P279" i="12"/>
  <c r="O279" i="12"/>
  <c r="M273" i="12"/>
  <c r="N273" i="12" s="1"/>
  <c r="Q273" i="12" s="1"/>
  <c r="M272" i="12"/>
  <c r="N272" i="12" s="1"/>
  <c r="Q272" i="12" s="1"/>
  <c r="N276" i="12"/>
  <c r="M276" i="12"/>
  <c r="L276" i="12"/>
  <c r="M213" i="12" l="1"/>
  <c r="N212" i="12"/>
  <c r="O212" i="12" s="1"/>
  <c r="P212" i="12" s="1"/>
  <c r="Q212" i="12" s="1"/>
  <c r="R212" i="12" s="1"/>
  <c r="S212" i="12" s="1"/>
  <c r="T212" i="12" s="1"/>
  <c r="U212" i="12" s="1"/>
  <c r="V212" i="12" s="1"/>
  <c r="O272" i="12"/>
  <c r="O273" i="12"/>
  <c r="P272" i="12"/>
  <c r="P273" i="12"/>
  <c r="N282" i="12"/>
  <c r="N283" i="12"/>
  <c r="P274" i="12"/>
  <c r="N213" i="12" l="1"/>
  <c r="O213" i="12" s="1"/>
  <c r="P213" i="12" s="1"/>
  <c r="Q213" i="12" s="1"/>
  <c r="R213" i="12" s="1"/>
  <c r="S213" i="12" s="1"/>
  <c r="T213" i="12" s="1"/>
  <c r="U213" i="12" s="1"/>
  <c r="V213" i="12" s="1"/>
  <c r="M214" i="12"/>
  <c r="Q282" i="12"/>
  <c r="P282" i="12"/>
  <c r="Q283" i="12"/>
  <c r="P283" i="12"/>
  <c r="N214" i="12" l="1"/>
  <c r="O214" i="12" s="1"/>
  <c r="P214" i="12" s="1"/>
  <c r="Q214" i="12" s="1"/>
  <c r="R214" i="12" s="1"/>
  <c r="S214" i="12" s="1"/>
  <c r="T214" i="12" s="1"/>
  <c r="U214" i="12" s="1"/>
  <c r="V214" i="12" s="1"/>
  <c r="M215" i="12"/>
  <c r="N215" i="12" l="1"/>
  <c r="O215" i="12" s="1"/>
  <c r="P215" i="12" s="1"/>
  <c r="Q215" i="12" s="1"/>
  <c r="R215" i="12" s="1"/>
  <c r="S215" i="12" s="1"/>
  <c r="T215" i="12" s="1"/>
  <c r="U215" i="12" s="1"/>
  <c r="V215" i="12" s="1"/>
  <c r="M216" i="12"/>
  <c r="C73" i="12"/>
  <c r="Q267" i="12"/>
  <c r="P267" i="12"/>
  <c r="O267" i="12"/>
  <c r="N267" i="12"/>
  <c r="M267" i="12"/>
  <c r="L267" i="12"/>
  <c r="M217" i="12" l="1"/>
  <c r="N216" i="12"/>
  <c r="O216" i="12" s="1"/>
  <c r="P216" i="12" s="1"/>
  <c r="Q216" i="12" s="1"/>
  <c r="R216" i="12" s="1"/>
  <c r="S216" i="12" s="1"/>
  <c r="T216" i="12" s="1"/>
  <c r="U216" i="12" s="1"/>
  <c r="V216" i="12" s="1"/>
  <c r="N115" i="12"/>
  <c r="N116" i="12" s="1"/>
  <c r="M218" i="12" l="1"/>
  <c r="N217" i="12"/>
  <c r="O217" i="12" s="1"/>
  <c r="P217" i="12" s="1"/>
  <c r="Q217" i="12" s="1"/>
  <c r="R217" i="12" s="1"/>
  <c r="S217" i="12" s="1"/>
  <c r="T217" i="12" s="1"/>
  <c r="U217" i="12" s="1"/>
  <c r="V217" i="12" s="1"/>
  <c r="C118" i="12"/>
  <c r="C117" i="12"/>
  <c r="C116" i="12"/>
  <c r="C115" i="12"/>
  <c r="C122" i="12"/>
  <c r="C114" i="12"/>
  <c r="C113" i="12"/>
  <c r="C121" i="12"/>
  <c r="C120" i="12"/>
  <c r="C119" i="12"/>
  <c r="C112" i="12"/>
  <c r="N218" i="12" l="1"/>
  <c r="O218" i="12" s="1"/>
  <c r="P218" i="12" s="1"/>
  <c r="Q218" i="12" s="1"/>
  <c r="R218" i="12" s="1"/>
  <c r="S218" i="12" s="1"/>
  <c r="T218" i="12" s="1"/>
  <c r="U218" i="12" s="1"/>
  <c r="V218" i="12" s="1"/>
  <c r="M219" i="12"/>
  <c r="C150" i="12"/>
  <c r="M220" i="12" l="1"/>
  <c r="N219" i="12"/>
  <c r="O219" i="12" s="1"/>
  <c r="P219" i="12" s="1"/>
  <c r="Q219" i="12" s="1"/>
  <c r="R219" i="12" s="1"/>
  <c r="S219" i="12" s="1"/>
  <c r="T219" i="12" s="1"/>
  <c r="U219" i="12" s="1"/>
  <c r="V219" i="12" s="1"/>
  <c r="M221" i="12" l="1"/>
  <c r="N220" i="12"/>
  <c r="O220" i="12" s="1"/>
  <c r="P220" i="12" s="1"/>
  <c r="Q220" i="12" s="1"/>
  <c r="R220" i="12" s="1"/>
  <c r="S220" i="12" s="1"/>
  <c r="T220" i="12" s="1"/>
  <c r="U220" i="12" s="1"/>
  <c r="V220" i="12" s="1"/>
  <c r="N226" i="12"/>
  <c r="O227" i="12"/>
  <c r="Q228" i="12"/>
  <c r="Q248" i="12" s="1"/>
  <c r="R228" i="12"/>
  <c r="R248" i="12" s="1"/>
  <c r="S228" i="12"/>
  <c r="S248" i="12" s="1"/>
  <c r="T228" i="12"/>
  <c r="T248" i="12" s="1"/>
  <c r="U228" i="12"/>
  <c r="U248" i="12" s="1"/>
  <c r="V228" i="12"/>
  <c r="V248" i="12" s="1"/>
  <c r="Q229" i="12"/>
  <c r="R229" i="12"/>
  <c r="S229" i="12"/>
  <c r="T229" i="12"/>
  <c r="U229" i="12"/>
  <c r="V229" i="12"/>
  <c r="M230" i="12"/>
  <c r="N230" i="12"/>
  <c r="O230" i="12"/>
  <c r="P230" i="12"/>
  <c r="M231" i="12"/>
  <c r="M232" i="12"/>
  <c r="N232" i="12"/>
  <c r="M233" i="12"/>
  <c r="M253" i="12" s="1"/>
  <c r="N233" i="12"/>
  <c r="O233" i="12"/>
  <c r="P233" i="12"/>
  <c r="M234" i="12"/>
  <c r="N234" i="12"/>
  <c r="O234" i="12"/>
  <c r="P234" i="12"/>
  <c r="O257" i="12"/>
  <c r="P257" i="12" s="1"/>
  <c r="Q257" i="12" s="1"/>
  <c r="R257" i="12" s="1"/>
  <c r="S257" i="12" s="1"/>
  <c r="Q258" i="12"/>
  <c r="R258" i="12"/>
  <c r="S258" i="12"/>
  <c r="V258" i="12"/>
  <c r="Q259" i="12"/>
  <c r="Q260" i="12" s="1"/>
  <c r="R259" i="12"/>
  <c r="R260" i="12" s="1"/>
  <c r="S259" i="12"/>
  <c r="S260" i="12" s="1"/>
  <c r="M260" i="12"/>
  <c r="N260" i="12"/>
  <c r="O260" i="12"/>
  <c r="P260" i="12"/>
  <c r="T260" i="12"/>
  <c r="U260" i="12"/>
  <c r="V260" i="12"/>
  <c r="Q261" i="12"/>
  <c r="R261" i="12"/>
  <c r="S261" i="12"/>
  <c r="T261" i="12"/>
  <c r="U261" i="12" s="1"/>
  <c r="V261" i="12" s="1"/>
  <c r="Q262" i="12"/>
  <c r="R262" i="12"/>
  <c r="S262" i="12"/>
  <c r="U262" i="12"/>
  <c r="V262" i="12" s="1"/>
  <c r="R263" i="12"/>
  <c r="S263" i="12"/>
  <c r="V263" i="12"/>
  <c r="M265" i="12"/>
  <c r="N265" i="12"/>
  <c r="O265" i="12"/>
  <c r="P265" i="12"/>
  <c r="Q265" i="12"/>
  <c r="R265" i="12"/>
  <c r="S265" i="12"/>
  <c r="T265" i="12"/>
  <c r="U265" i="12"/>
  <c r="V265" i="12"/>
  <c r="V234" i="12" l="1"/>
  <c r="V254" i="12" s="1"/>
  <c r="V255" i="12" s="1"/>
  <c r="V249" i="12"/>
  <c r="V250" i="12" s="1"/>
  <c r="P239" i="12"/>
  <c r="P240" i="12" s="1"/>
  <c r="P254" i="12"/>
  <c r="P255" i="12" s="1"/>
  <c r="U234" i="12"/>
  <c r="U254" i="12" s="1"/>
  <c r="U255" i="12" s="1"/>
  <c r="U249" i="12"/>
  <c r="U250" i="12" s="1"/>
  <c r="O235" i="12"/>
  <c r="O254" i="12"/>
  <c r="O255" i="12" s="1"/>
  <c r="R234" i="12"/>
  <c r="R254" i="12" s="1"/>
  <c r="R255" i="12" s="1"/>
  <c r="R249" i="12"/>
  <c r="R250" i="12" s="1"/>
  <c r="N237" i="12"/>
  <c r="N242" i="12" s="1"/>
  <c r="N252" i="12"/>
  <c r="M237" i="12"/>
  <c r="M242" i="12" s="1"/>
  <c r="M252" i="12"/>
  <c r="T234" i="12"/>
  <c r="T254" i="12" s="1"/>
  <c r="T255" i="12" s="1"/>
  <c r="T249" i="12"/>
  <c r="T250" i="12" s="1"/>
  <c r="N235" i="12"/>
  <c r="N254" i="12"/>
  <c r="N255" i="12" s="1"/>
  <c r="M236" i="12"/>
  <c r="M241" i="12" s="1"/>
  <c r="M251" i="12"/>
  <c r="S234" i="12"/>
  <c r="S254" i="12" s="1"/>
  <c r="S255" i="12" s="1"/>
  <c r="S249" i="12"/>
  <c r="S250" i="12" s="1"/>
  <c r="M239" i="12"/>
  <c r="M244" i="12" s="1"/>
  <c r="M254" i="12"/>
  <c r="M255" i="12" s="1"/>
  <c r="O232" i="12"/>
  <c r="O247" i="12"/>
  <c r="P238" i="12"/>
  <c r="P243" i="12" s="1"/>
  <c r="P253" i="12"/>
  <c r="Q234" i="12"/>
  <c r="Q254" i="12" s="1"/>
  <c r="Q255" i="12" s="1"/>
  <c r="Q249" i="12"/>
  <c r="Q250" i="12" s="1"/>
  <c r="N231" i="12"/>
  <c r="N246" i="12"/>
  <c r="O238" i="12"/>
  <c r="O243" i="12" s="1"/>
  <c r="O253" i="12"/>
  <c r="N238" i="12"/>
  <c r="N243" i="12" s="1"/>
  <c r="N253" i="12"/>
  <c r="M222" i="12"/>
  <c r="N221" i="12"/>
  <c r="O221" i="12" s="1"/>
  <c r="P221" i="12" s="1"/>
  <c r="Q221" i="12" s="1"/>
  <c r="R221" i="12" s="1"/>
  <c r="S221" i="12" s="1"/>
  <c r="T221" i="12" s="1"/>
  <c r="U221" i="12" s="1"/>
  <c r="V221" i="12" s="1"/>
  <c r="V233" i="12"/>
  <c r="U233" i="12"/>
  <c r="V230" i="12"/>
  <c r="R230" i="12"/>
  <c r="M235" i="12"/>
  <c r="P227" i="12"/>
  <c r="U230" i="12"/>
  <c r="S230" i="12"/>
  <c r="P235" i="12"/>
  <c r="S233" i="12"/>
  <c r="T233" i="12"/>
  <c r="T230" i="12"/>
  <c r="N239" i="12"/>
  <c r="N240" i="12" s="1"/>
  <c r="O239" i="12"/>
  <c r="O240" i="12" s="1"/>
  <c r="Q233" i="12"/>
  <c r="R233" i="12"/>
  <c r="R239" i="12"/>
  <c r="Q230" i="12"/>
  <c r="O226" i="12"/>
  <c r="O246" i="12" s="1"/>
  <c r="M238" i="12"/>
  <c r="R235" i="12" l="1"/>
  <c r="V235" i="12"/>
  <c r="Q239" i="12"/>
  <c r="Q240" i="12" s="1"/>
  <c r="T235" i="12"/>
  <c r="M240" i="12"/>
  <c r="S235" i="12"/>
  <c r="T239" i="12"/>
  <c r="T240" i="12" s="1"/>
  <c r="V239" i="12"/>
  <c r="V240" i="12" s="1"/>
  <c r="U235" i="12"/>
  <c r="U239" i="12"/>
  <c r="U244" i="12" s="1"/>
  <c r="U245" i="12" s="1"/>
  <c r="Q235" i="12"/>
  <c r="N236" i="12"/>
  <c r="N241" i="12" s="1"/>
  <c r="N251" i="12"/>
  <c r="T238" i="12"/>
  <c r="T243" i="12" s="1"/>
  <c r="T253" i="12"/>
  <c r="S239" i="12"/>
  <c r="S240" i="12" s="1"/>
  <c r="S238" i="12"/>
  <c r="S243" i="12" s="1"/>
  <c r="S253" i="12"/>
  <c r="Q227" i="12"/>
  <c r="Q247" i="12" s="1"/>
  <c r="P247" i="12"/>
  <c r="U238" i="12"/>
  <c r="U243" i="12" s="1"/>
  <c r="U253" i="12"/>
  <c r="V238" i="12"/>
  <c r="V243" i="12" s="1"/>
  <c r="V253" i="12"/>
  <c r="R238" i="12"/>
  <c r="R243" i="12" s="1"/>
  <c r="R253" i="12"/>
  <c r="P244" i="12"/>
  <c r="P245" i="12" s="1"/>
  <c r="Q238" i="12"/>
  <c r="Q243" i="12" s="1"/>
  <c r="Q253" i="12"/>
  <c r="O237" i="12"/>
  <c r="O242" i="12" s="1"/>
  <c r="O252" i="12"/>
  <c r="M223" i="12"/>
  <c r="N222" i="12"/>
  <c r="O222" i="12" s="1"/>
  <c r="P222" i="12" s="1"/>
  <c r="Q222" i="12" s="1"/>
  <c r="R222" i="12" s="1"/>
  <c r="S222" i="12" s="1"/>
  <c r="T222" i="12" s="1"/>
  <c r="U222" i="12" s="1"/>
  <c r="V222" i="12" s="1"/>
  <c r="P232" i="12"/>
  <c r="N244" i="12"/>
  <c r="N245" i="12" s="1"/>
  <c r="O244" i="12"/>
  <c r="O245" i="12" s="1"/>
  <c r="M243" i="12"/>
  <c r="M245" i="12"/>
  <c r="O231" i="12"/>
  <c r="P226" i="12"/>
  <c r="P246" i="12" s="1"/>
  <c r="R240" i="12"/>
  <c r="R244" i="12"/>
  <c r="R245" i="12" s="1"/>
  <c r="I157" i="12"/>
  <c r="C269" i="12"/>
  <c r="C268" i="12"/>
  <c r="H31" i="12"/>
  <c r="C78" i="12"/>
  <c r="C77" i="12"/>
  <c r="C76" i="12"/>
  <c r="C75" i="12"/>
  <c r="C74" i="12"/>
  <c r="C72" i="12"/>
  <c r="C71" i="12"/>
  <c r="C70" i="12"/>
  <c r="C69" i="12"/>
  <c r="C68" i="12"/>
  <c r="C52" i="12"/>
  <c r="C59" i="12"/>
  <c r="C58" i="12"/>
  <c r="C51" i="12"/>
  <c r="C42" i="12"/>
  <c r="C41" i="12"/>
  <c r="C38" i="12"/>
  <c r="C33" i="12"/>
  <c r="C32" i="12"/>
  <c r="C29" i="12"/>
  <c r="C28" i="12"/>
  <c r="C27" i="12"/>
  <c r="C159" i="12"/>
  <c r="C203" i="12"/>
  <c r="C202" i="12"/>
  <c r="C271" i="12"/>
  <c r="C205" i="12"/>
  <c r="Q268" i="12"/>
  <c r="P268" i="12"/>
  <c r="O268" i="12"/>
  <c r="N268" i="12"/>
  <c r="M268" i="12"/>
  <c r="L268" i="12"/>
  <c r="Q269" i="12"/>
  <c r="P269" i="12"/>
  <c r="O269" i="12"/>
  <c r="N269" i="12"/>
  <c r="M269" i="12"/>
  <c r="L269" i="12"/>
  <c r="I267" i="12"/>
  <c r="Q244" i="12" l="1"/>
  <c r="Q245" i="12" s="1"/>
  <c r="T244" i="12"/>
  <c r="T245" i="12" s="1"/>
  <c r="C298" i="12"/>
  <c r="U240" i="12"/>
  <c r="V244" i="12"/>
  <c r="V245" i="12" s="1"/>
  <c r="S244" i="12"/>
  <c r="S245" i="12" s="1"/>
  <c r="R227" i="12"/>
  <c r="S227" i="12" s="1"/>
  <c r="S247" i="12" s="1"/>
  <c r="Q232" i="12"/>
  <c r="O236" i="12"/>
  <c r="O241" i="12" s="1"/>
  <c r="O251" i="12"/>
  <c r="P237" i="12"/>
  <c r="P242" i="12" s="1"/>
  <c r="P252" i="12"/>
  <c r="M224" i="12"/>
  <c r="N223" i="12"/>
  <c r="O223" i="12" s="1"/>
  <c r="P223" i="12" s="1"/>
  <c r="Q223" i="12" s="1"/>
  <c r="R223" i="12" s="1"/>
  <c r="S223" i="12" s="1"/>
  <c r="T223" i="12" s="1"/>
  <c r="U223" i="12" s="1"/>
  <c r="V223" i="12" s="1"/>
  <c r="P231" i="12"/>
  <c r="Q226" i="12"/>
  <c r="Q246" i="12" s="1"/>
  <c r="C30" i="12"/>
  <c r="R232" i="12" l="1"/>
  <c r="R237" i="12" s="1"/>
  <c r="R242" i="12" s="1"/>
  <c r="R247" i="12"/>
  <c r="C39" i="12"/>
  <c r="C308" i="12"/>
  <c r="C307" i="12"/>
  <c r="P236" i="12"/>
  <c r="P241" i="12" s="1"/>
  <c r="P251" i="12"/>
  <c r="T227" i="12"/>
  <c r="T247" i="12" s="1"/>
  <c r="S232" i="12"/>
  <c r="Q237" i="12"/>
  <c r="Q242" i="12" s="1"/>
  <c r="Q252" i="12"/>
  <c r="M225" i="12"/>
  <c r="N225" i="12" s="1"/>
  <c r="O225" i="12" s="1"/>
  <c r="P225" i="12" s="1"/>
  <c r="Q225" i="12" s="1"/>
  <c r="R225" i="12" s="1"/>
  <c r="S225" i="12" s="1"/>
  <c r="T225" i="12" s="1"/>
  <c r="U225" i="12" s="1"/>
  <c r="V225" i="12" s="1"/>
  <c r="N224" i="12"/>
  <c r="O224" i="12" s="1"/>
  <c r="P224" i="12" s="1"/>
  <c r="Q224" i="12" s="1"/>
  <c r="R224" i="12" s="1"/>
  <c r="S224" i="12" s="1"/>
  <c r="T224" i="12" s="1"/>
  <c r="U224" i="12" s="1"/>
  <c r="V224" i="12" s="1"/>
  <c r="Q231" i="12"/>
  <c r="R226" i="12"/>
  <c r="R246" i="12" s="1"/>
  <c r="C40" i="12"/>
  <c r="R252" i="12" l="1"/>
  <c r="U227" i="12"/>
  <c r="U247" i="12" s="1"/>
  <c r="T232" i="12"/>
  <c r="T237" i="12" s="1"/>
  <c r="T242" i="12" s="1"/>
  <c r="S237" i="12"/>
  <c r="S242" i="12" s="1"/>
  <c r="S252" i="12"/>
  <c r="Q236" i="12"/>
  <c r="Q241" i="12" s="1"/>
  <c r="Q251" i="12"/>
  <c r="R231" i="12"/>
  <c r="S226" i="12"/>
  <c r="S246" i="12" s="1"/>
  <c r="T252" i="12" l="1"/>
  <c r="V227" i="12"/>
  <c r="V247" i="12" s="1"/>
  <c r="U232" i="12"/>
  <c r="U237" i="12" s="1"/>
  <c r="U242" i="12" s="1"/>
  <c r="R236" i="12"/>
  <c r="R241" i="12" s="1"/>
  <c r="R251" i="12"/>
  <c r="S231" i="12"/>
  <c r="T226" i="12"/>
  <c r="T246" i="12" s="1"/>
  <c r="V232" i="12" l="1"/>
  <c r="V237" i="12" s="1"/>
  <c r="V242" i="12" s="1"/>
  <c r="U252" i="12"/>
  <c r="S236" i="12"/>
  <c r="S241" i="12" s="1"/>
  <c r="S251" i="12"/>
  <c r="T231" i="12"/>
  <c r="U226" i="12"/>
  <c r="U246" i="12" s="1"/>
  <c r="V252" i="12" l="1"/>
  <c r="T236" i="12"/>
  <c r="T241" i="12" s="1"/>
  <c r="T251" i="12"/>
  <c r="U231" i="12"/>
  <c r="V226" i="12"/>
  <c r="V246" i="12" s="1"/>
  <c r="N271" i="12"/>
  <c r="N281" i="12"/>
  <c r="M281" i="12"/>
  <c r="L281" i="12"/>
  <c r="Q281" i="12"/>
  <c r="P281" i="12"/>
  <c r="O281" i="12"/>
  <c r="M278" i="12"/>
  <c r="M277" i="12"/>
  <c r="C292" i="12"/>
  <c r="Q291" i="12"/>
  <c r="P291" i="12"/>
  <c r="O291" i="12"/>
  <c r="N291" i="12"/>
  <c r="M291" i="12"/>
  <c r="L291" i="12"/>
  <c r="Q289" i="12"/>
  <c r="N286" i="12"/>
  <c r="M286" i="12"/>
  <c r="L286" i="12"/>
  <c r="Q286" i="12"/>
  <c r="P286" i="12"/>
  <c r="O286" i="12"/>
  <c r="C291" i="12"/>
  <c r="C290" i="12"/>
  <c r="C289" i="12"/>
  <c r="C288" i="12"/>
  <c r="C287" i="12"/>
  <c r="C286" i="12"/>
  <c r="C285" i="12"/>
  <c r="C284" i="12"/>
  <c r="C283" i="12"/>
  <c r="C282" i="12"/>
  <c r="C281" i="12"/>
  <c r="C280" i="12"/>
  <c r="C279" i="12"/>
  <c r="C278" i="12"/>
  <c r="C277" i="12"/>
  <c r="C276" i="12"/>
  <c r="C275" i="12"/>
  <c r="C274" i="12"/>
  <c r="C273" i="12"/>
  <c r="C272" i="12"/>
  <c r="C270" i="12"/>
  <c r="C267" i="12"/>
  <c r="I201" i="12"/>
  <c r="C265" i="12"/>
  <c r="C264" i="12"/>
  <c r="C263" i="12"/>
  <c r="C262" i="12"/>
  <c r="C261" i="12"/>
  <c r="C260" i="12"/>
  <c r="C259" i="12"/>
  <c r="C258" i="12"/>
  <c r="C257" i="12"/>
  <c r="C256" i="12"/>
  <c r="C255" i="12"/>
  <c r="C254" i="12"/>
  <c r="C253" i="12"/>
  <c r="C252" i="12"/>
  <c r="C251" i="12"/>
  <c r="C250" i="12"/>
  <c r="C249" i="12"/>
  <c r="C248" i="12"/>
  <c r="C247" i="12"/>
  <c r="C246" i="12"/>
  <c r="C26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6" i="12"/>
  <c r="C204" i="12"/>
  <c r="C201" i="12"/>
  <c r="U236" i="12" l="1"/>
  <c r="U241" i="12" s="1"/>
  <c r="U251" i="12"/>
  <c r="N277" i="12"/>
  <c r="O277" i="12"/>
  <c r="N278" i="12"/>
  <c r="O278" i="12"/>
  <c r="V231" i="12"/>
  <c r="V236" i="12" l="1"/>
  <c r="V241" i="12" s="1"/>
  <c r="V251" i="12"/>
  <c r="P278" i="12"/>
  <c r="Q278" i="12"/>
  <c r="Q277" i="12"/>
  <c r="P277" i="12"/>
  <c r="C200" i="12" l="1"/>
  <c r="C158" i="12"/>
  <c r="C157" i="12"/>
  <c r="C156" i="12"/>
  <c r="C152" i="12" l="1"/>
  <c r="C151" i="12" l="1"/>
  <c r="H132" i="12"/>
  <c r="L159" i="12" l="1"/>
  <c r="C199" i="12" l="1"/>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60" i="12"/>
  <c r="C155" i="12"/>
  <c r="M205" i="12" l="1"/>
  <c r="L271" i="12"/>
  <c r="N159" i="12"/>
  <c r="L316" i="12" l="1"/>
  <c r="M271" i="12"/>
  <c r="N205" i="12"/>
  <c r="H83" i="12" l="1"/>
  <c r="C153" i="12" l="1"/>
  <c r="C325" i="12"/>
  <c r="C295" i="12"/>
  <c r="C294" i="12"/>
  <c r="C293"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7"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59"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59"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5"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1"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2" authorId="1" shapeId="0" xr:uid="{2FA24BCC-9FCE-40F1-BD57-03CE5838E988}">
      <text>
        <r>
          <rPr>
            <b/>
            <sz val="9"/>
            <color indexed="81"/>
            <rFont val="Tahoma"/>
            <family val="2"/>
          </rPr>
          <t>John:</t>
        </r>
        <r>
          <rPr>
            <sz val="9"/>
            <color indexed="81"/>
            <rFont val="Tahoma"/>
            <family val="2"/>
          </rPr>
          <t xml:space="preserve">
These exist but are not used</t>
        </r>
      </text>
    </comment>
    <comment ref="I205"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5"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6"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6"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1"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6"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1"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2"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5"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6"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<sst xmlns="http://schemas.openxmlformats.org/spreadsheetml/2006/main" count="876" uniqueCount="449">
  <si>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</si>
  <si>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</si>
  <si>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</si>
  <si>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</si>
  <si>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</si>
  <si>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</si>
  <si>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</si>
  <si>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</si>
  <si>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</si>
  <si>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</si>
  <si>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</si>
  <si>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</si>
  <si>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</si>
  <si>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</si>
  <si>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</si>
  <si>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</si>
  <si>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</si>
  <si>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</si>
  <si>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</si>
  <si>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</si>
  <si>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</si>
  <si>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</si>
  <si>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</si>
  <si>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</si>
  <si>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</si>
  <si>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</si>
  <si>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</si>
  <si>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</si>
  <si>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</si>
  <si>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</si>
  <si>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</si>
  <si>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</si>
  <si>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</si>
  <si>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</si>
  <si>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</si>
  <si>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</si>
  <si>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</si>
  <si>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</si>
  <si>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</si>
  <si>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</si>
  <si>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</si>
  <si>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</si>
  <si>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</si>
  <si>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</si>
  <si>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</si>
  <si>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</si>
  <si>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</si>
  <si>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</si>
  <si>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</si>
  <si>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</si>
  <si>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</si>
  <si>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</si>
  <si>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</si>
  <si>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</si>
  <si>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</si>
  <si>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</si>
  <si>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</si>
  <si>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</si>
  <si>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</si>
  <si>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</si>
  <si>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</si>
  <si>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</si>
  <si>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</si>
  <si>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</si>
  <si>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</si>
  <si>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</si>
  <si>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</si>
  <si>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</si>
  <si>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</si>
  <si>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</si>
  <si>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</si>
  <si>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</si>
  <si>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</si>
  <si>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</si>
  <si>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</si>
  <si>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</si>
  <si>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</si>
  <si>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</si>
  <si>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</si>
  <si>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</si>
  <si>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</si>
  <si>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</si>
  <si>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</si>
  <si>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</si>
  <si>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</si>
  <si>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</si>
  <si>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</si>
  <si>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</si>
  <si>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</si>
  <si>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</si>
  <si>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</si>
  <si>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</si>
  <si>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</si>
  <si>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</si>
  <si>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</si>
  <si>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</si>
  <si>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</si>
  <si>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</si>
  <si>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</si>
  <si>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</si>
  <si>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</si>
  <si>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</si>
  <si>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</si>
  <si>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</si>
  <si>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</si>
  <si>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</si>
  <si>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</si>
  <si>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</si>
  <si>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</si>
  <si>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</si>
  <si>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</si>
  <si>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</si>
  <si>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</si>
  <si>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</si>
  <si>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</si>
  <si>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</si>
  <si>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</si>
  <si>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</si>
  <si>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</si>
  <si>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</si>
  <si>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</si>
  <si>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</si>
  <si>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</si>
  <si>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</si>
  <si>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</si>
  <si>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</si>
  <si>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</si>
  <si>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</si>
  <si>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</si>
  <si>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</si>
  <si>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</si>
  <si>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</si>
  <si>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</si>
  <si>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</si>
  <si>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</si>
  <si>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</si>
  <si>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</si>
  <si>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</si>
  <si>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</si>
  <si>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</si>
  <si>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</si>
  <si>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</si>
  <si>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</si>
  <si>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</si>
  <si>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</si>
  <si>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</si>
  <si>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</si>
  <si>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</si>
  <si>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</si>
  <si>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</si>
  <si>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</si>
  <si>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</si>
  <si>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</si>
  <si>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</si>
  <si>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</si>
  <si>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</si>
  <si>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</si>
  <si>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</si>
  <si>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</si>
  <si>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</si>
  <si>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</si>
  <si>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</si>
  <si>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</si>
  <si>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</si>
  <si>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</si>
  <si>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</si>
  <si>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</si>
  <si>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</si>
  <si>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</si>
  <si>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</si>
  <si>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</si>
  <si>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</si>
  <si>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</si>
  <si>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</si>
  <si>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</si>
  <si>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</si>
  <si>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</si>
  <si>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</si>
  <si>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</si>
  <si>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</si>
  <si>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</si>
  <si>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</si>
  <si>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</si>
  <si>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</si>
  <si>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</si>
  <si>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</si>
  <si>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</si>
  <si>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</si>
  <si>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</si>
  <si>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</si>
  <si>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</si>
  <si>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</si>
  <si>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</si>
  <si>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</si>
  <si>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</si>
  <si>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</si>
  <si>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</si>
  <si>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</si>
  <si>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</si>
  <si>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</si>
  <si>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</si>
  <si>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</si>
  <si>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</si>
  <si>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</si>
  <si>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</si>
  <si>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</si>
  <si>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</si>
  <si>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</si>
  <si>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</si>
  <si>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</si>
  <si>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</si>
  <si>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</si>
  <si>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</si>
  <si>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</si>
  <si>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</si>
  <si>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</si>
  <si>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</si>
  <si>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</si>
  <si>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</si>
  <si>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</si>
  <si>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</si>
  <si>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</si>
  <si>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</si>
  <si>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</si>
  <si>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</si>
  <si>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</si>
  <si>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</si>
  <si>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</si>
  <si>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</si>
  <si>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</si>
  <si>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</si>
  <si>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</si>
  <si>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</si>
  <si>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</si>
  <si>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</si>
  <si>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</si>
  <si>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</si>
  <si>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</si>
  <si>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</si>
  <si>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</si>
  <si>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</si>
  <si>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</si>
  <si>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</si>
  <si>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</si>
  <si>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</si>
  <si>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</si>
  <si>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</si>
  <si>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</si>
  <si>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</si>
  <si>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</si>
  <si>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</si>
  <si>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</si>
  <si>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</si>
  <si>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</si>
  <si>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</si>
  <si>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</si>
  <si>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</si>
  <si>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</si>
  <si>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</si>
  <si>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</si>
  <si>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</si>
  <si>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</si>
  <si>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</si>
  <si>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</si>
  <si>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</si>
  <si>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</si>
  <si>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</si>
  <si>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</si>
  <si>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</si>
  <si>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</si>
  <si>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</si>
  <si>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</si>
  <si>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</si>
  <si>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</si>
  <si>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</si>
  <si>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</si>
  <si>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</si>
  <si>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</si>
  <si>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</si>
  <si>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</si>
  <si>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</si>
  <si>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</si>
  <si>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</si>
  <si>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</si>
  <si>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</si>
  <si>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</si>
  <si>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</si>
  <si>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</si>
  <si>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</si>
  <si>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</si>
  <si>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</si>
  <si>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</si>
  <si>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</si>
  <si>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</si>
  <si>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</si>
  <si>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</si>
  <si>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</si>
  <si>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</si>
  <si>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</si>
  <si>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</si>
  <si>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</si>
  <si>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</si>
  <si>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</si>
  <si>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</si>
  <si>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</si>
  <si>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</si>
  <si>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</si>
  <si>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</si>
  <si>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</si>
  <si>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</si>
  <si>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</si>
  <si>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</si>
  <si>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</si>
  <si>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</si>
  <si>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</si>
  <si>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</si>
  <si>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</si>
  <si>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</si>
  <si>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</si>
  <si>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</si>
  <si>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</si>
  <si>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</si>
  <si>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</si>
  <si>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</si>
  <si>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</si>
  <si>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</si>
  <si>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</si>
  <si>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</si>
  <si>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</si>
  <si>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</si>
  <si>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</si>
  <si>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</si>
  <si>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</si>
  <si>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</si>
  <si>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</si>
  <si>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</si>
  <si>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</si>
  <si>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</si>
  <si>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</si>
  <si>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</si>
  <si>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</si>
  <si>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</si>
  <si>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</si>
  <si>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</si>
  <si>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</si>
  <si>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</si>
  <si>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</si>
  <si>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</si>
  <si>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</si>
  <si>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</si>
  <si>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</si>
  <si>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</si>
  <si>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</si>
  <si>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</si>
  <si>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</si>
  <si>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</si>
  <si>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i_use_pkl_condensed_start_condition</t>
  </si>
  <si>
    <t>a2</t>
  </si>
  <si>
    <t>is_dual</t>
  </si>
  <si>
    <t>h4 history req</t>
  </si>
  <si>
    <t>PNC</t>
  </si>
  <si>
    <t>TOL</t>
  </si>
  <si>
    <t>CS</t>
  </si>
  <si>
    <t>FS</t>
  </si>
  <si>
    <t>store fat score</t>
  </si>
  <si>
    <t>store condition score</t>
  </si>
  <si>
    <t>is baled</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</si>
  <si>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</si>
  <si>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</si>
  <si>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</si>
  <si>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</si>
  <si>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</si>
  <si>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</si>
  <si>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</si>
  <si>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</si>
  <si>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</si>
  <si>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</si>
  <si>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</si>
  <si>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</si>
  <si>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</si>
  <si>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</si>
  <si>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</si>
  <si>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</si>
  <si>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</si>
  <si>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</si>
  <si>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</si>
  <si>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</si>
  <si>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</si>
  <si>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</si>
  <si>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</si>
  <si>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</si>
  <si>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</si>
  <si>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</si>
  <si>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</si>
  <si>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</si>
  <si>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</si>
  <si>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</si>
  <si>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</si>
  <si>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</si>
  <si>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</si>
  <si>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</si>
  <si>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</si>
  <si>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</si>
  <si>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</si>
  <si>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</si>
  <si>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</si>
  <si>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</si>
  <si>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</si>
  <si>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</si>
  <si>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</si>
  <si>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</si>
  <si>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</si>
  <si>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</si>
  <si>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</si>
  <si>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</si>
  <si>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</si>
  <si>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</si>
  <si>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</si>
  <si>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</si>
  <si>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</si>
  <si>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</si>
  <si>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</si>
  <si>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</si>
  <si>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</si>
  <si>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</si>
  <si>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</si>
  <si>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</si>
  <si>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</si>
  <si>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</si>
  <si>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</si>
  <si>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</si>
  <si>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</si>
  <si>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</si>
  <si>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</si>
  <si>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</si>
  <si>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</si>
  <si>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</si>
  <si>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</si>
  <si>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</si>
  <si>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</si>
  <si>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</si>
  <si>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</si>
  <si>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</si>
  <si>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</si>
  <si>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</si>
  <si>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</si>
  <si>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Some arrays used for reporting are very big so the default is not to store them. This is the default settings which can be overwritten using sensitivity values</t>
  </si>
  <si>
    <t>22Feb26: Change the value of Prejoining intial repro proportion to 100% in the 11 slice (was 100% in NM)
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</si>
  <si>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22Feb26: Delete 'Prejoining initial repro propn' from Associatons table
                   Change the order of the axes postion inputs so that they are in axis order rather than alphabetical order
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</si>
</sst>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8">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310</xdr:row>
      <xdr:rowOff>0</xdr:rowOff>
    </xdr:from>
    <xdr:to>
      <xdr:col>17</xdr:col>
      <xdr:colOff>466725</xdr:colOff>
      <xdr:row>311</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9.710937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collapsed="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hidden="1"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hidden="1"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44371.659649305599</v>
      </c>
      <c r="J13" s="221" t="s">
        <v>293</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44719.411846643503</v>
      </c>
      <c r="J14" s="224" t="s">
        <v>352</v>
      </c>
      <c r="K14" s="225"/>
      <c r="L14" s="225"/>
      <c r="M14" s="225"/>
      <c r="N14" s="225"/>
      <c r="O14" s="225"/>
      <c r="P14" s="225"/>
      <c r="Q14" s="225"/>
      <c r="R14" s="225"/>
      <c r="S14" s="225"/>
      <c r="T14" s="225"/>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2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2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2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2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2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2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2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2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2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2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2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2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2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2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2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2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0999999999999996" customHeight="1" outlineLevel="2" x14ac:dyDescent="0.2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0999999999999996" customHeight="1" outlineLevel="2" x14ac:dyDescent="0.2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0999999999999996" customHeight="1" outlineLevel="1" x14ac:dyDescent="0.2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0999999999999996" customHeight="1" x14ac:dyDescent="0.2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2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2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0999999999999996" customHeight="1" thickBot="1" x14ac:dyDescent="0.3">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0999999999999996" customHeight="1" outlineLevel="1" x14ac:dyDescent="0.2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2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00000000000001" customHeight="1" x14ac:dyDescent="0.2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00000000000001" customHeight="1" outlineLevel="1" x14ac:dyDescent="0.2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0999999999999996" customHeight="1" outlineLevel="2" x14ac:dyDescent="0.2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2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2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2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2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45" customHeight="1" outlineLevel="2" x14ac:dyDescent="0.2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2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2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0999999999999996" customHeight="1" outlineLevel="2" x14ac:dyDescent="0.2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2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2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25">
      <c r="A78" s="1"/>
      <c r="B78" s="33"/>
      <c r="C78" s="73">
        <f t="shared" si="3"/>
        <v>3</v>
      </c>
      <c r="D78" s="4"/>
      <c r="E78" s="5"/>
      <c r="F78" s="5"/>
      <c r="G78" s="4"/>
      <c r="H78" s="2"/>
      <c r="I78" s="160" t="s">
        <v>305</v>
      </c>
      <c r="J78" s="160" t="s">
        <v>366</v>
      </c>
      <c r="K78" s="2"/>
      <c r="L78" s="160" t="s">
        <v>306</v>
      </c>
      <c r="M78" s="2"/>
      <c r="N78" s="160" t="s">
        <v>360</v>
      </c>
      <c r="O78" s="2"/>
      <c r="P78" s="160" t="s">
        <v>307</v>
      </c>
      <c r="Q78" s="160" t="s">
        <v>358</v>
      </c>
      <c r="R78" s="160" t="s">
        <v>359</v>
      </c>
      <c r="S78" s="2"/>
      <c r="T78" s="2"/>
      <c r="U78" s="2"/>
      <c r="V78" s="2"/>
      <c r="W78" s="2"/>
      <c r="X78" s="4"/>
      <c r="Y78" s="16"/>
      <c r="Z78" s="1"/>
      <c r="AA78" s="1"/>
      <c r="AB78" s="1"/>
    </row>
    <row r="79" spans="1:28" outlineLevel="2" x14ac:dyDescent="0.25">
      <c r="A79" s="1"/>
      <c r="B79" s="33"/>
      <c r="C79" s="73">
        <f t="shared" si="3"/>
        <v>3</v>
      </c>
      <c r="D79" s="4"/>
      <c r="E79" s="5"/>
      <c r="F79" s="5"/>
      <c r="G79" s="4"/>
      <c r="H79" s="148"/>
      <c r="I79" s="161" t="s">
        <v>308</v>
      </c>
      <c r="J79" s="161" t="b">
        <v>0</v>
      </c>
      <c r="K79" s="55"/>
      <c r="L79" s="161" t="s">
        <v>309</v>
      </c>
      <c r="M79" s="164"/>
      <c r="N79" s="209" t="s">
        <v>357</v>
      </c>
      <c r="O79" s="164"/>
      <c r="P79" s="161" t="s">
        <v>309</v>
      </c>
      <c r="Q79" s="161" t="b">
        <v>0</v>
      </c>
      <c r="R79" s="205" t="str">
        <f>P79</f>
        <v>a</v>
      </c>
      <c r="S79" s="2"/>
      <c r="T79" s="2"/>
      <c r="U79" s="2"/>
      <c r="V79" s="2"/>
      <c r="W79" s="2"/>
      <c r="X79" s="4"/>
      <c r="Y79" s="16"/>
      <c r="Z79" s="1"/>
      <c r="AA79" s="1"/>
      <c r="AB79" s="1"/>
    </row>
    <row r="80" spans="1:28" outlineLevel="2" x14ac:dyDescent="0.25">
      <c r="A80" s="1"/>
      <c r="B80" s="33"/>
      <c r="C80" s="73"/>
      <c r="D80" s="4"/>
      <c r="E80" s="5"/>
      <c r="F80" s="5"/>
      <c r="G80" s="4"/>
      <c r="H80" s="148"/>
      <c r="I80" s="162" t="s">
        <v>310</v>
      </c>
      <c r="J80" s="162" t="b">
        <v>0</v>
      </c>
      <c r="K80" s="55"/>
      <c r="L80" s="162" t="s">
        <v>357</v>
      </c>
      <c r="M80" s="164"/>
      <c r="N80" s="208"/>
      <c r="O80" s="164"/>
      <c r="P80" s="162" t="s">
        <v>357</v>
      </c>
      <c r="Q80" s="162" t="b">
        <v>0</v>
      </c>
      <c r="R80" s="206" t="str">
        <f t="shared" ref="R80:R110" si="4">P80</f>
        <v>a2</v>
      </c>
      <c r="S80" s="2"/>
      <c r="T80" s="2"/>
      <c r="U80" s="2"/>
      <c r="V80" s="2"/>
      <c r="W80" s="2"/>
      <c r="X80" s="4"/>
      <c r="Y80" s="16"/>
      <c r="Z80" s="1"/>
      <c r="AA80" s="1"/>
      <c r="AB80" s="1"/>
    </row>
    <row r="81" spans="1:28" outlineLevel="2" x14ac:dyDescent="0.2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2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2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2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2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25">
      <c r="A86" s="1"/>
      <c r="B86" s="33"/>
      <c r="C86" s="73"/>
      <c r="D86" s="4"/>
      <c r="E86" s="5"/>
      <c r="F86" s="5"/>
      <c r="G86" s="4"/>
      <c r="H86" s="148"/>
      <c r="I86" s="162" t="s">
        <v>442</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25">
      <c r="A87" s="1"/>
      <c r="B87" s="33"/>
      <c r="C87" s="73"/>
      <c r="D87" s="4"/>
      <c r="E87" s="5"/>
      <c r="F87" s="5"/>
      <c r="G87" s="4"/>
      <c r="H87" s="148"/>
      <c r="I87" s="162" t="s">
        <v>382</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2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2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25">
      <c r="A90" s="1"/>
      <c r="B90" s="33"/>
      <c r="C90" s="73"/>
      <c r="D90" s="4"/>
      <c r="E90" s="5"/>
      <c r="F90" s="5"/>
      <c r="G90" s="4"/>
      <c r="H90" s="148"/>
      <c r="I90" s="162" t="s">
        <v>323</v>
      </c>
      <c r="J90" s="162" t="b">
        <v>0</v>
      </c>
      <c r="K90" s="55"/>
      <c r="L90" s="162" t="s">
        <v>332</v>
      </c>
      <c r="M90" s="164"/>
      <c r="N90" s="164"/>
      <c r="O90" s="164"/>
      <c r="P90" s="162" t="s">
        <v>442</v>
      </c>
      <c r="Q90" s="162" t="b">
        <v>0</v>
      </c>
      <c r="R90" s="206" t="s">
        <v>442</v>
      </c>
      <c r="S90" s="2"/>
      <c r="T90" s="2"/>
      <c r="U90" s="2"/>
      <c r="V90" s="2"/>
      <c r="W90" s="2"/>
      <c r="X90" s="4"/>
      <c r="Y90" s="16"/>
      <c r="Z90" s="1"/>
      <c r="AA90" s="1"/>
      <c r="AB90" s="1"/>
    </row>
    <row r="91" spans="1:28" outlineLevel="2" x14ac:dyDescent="0.2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25">
      <c r="A92" s="1"/>
      <c r="B92" s="33"/>
      <c r="C92" s="73"/>
      <c r="D92" s="4"/>
      <c r="E92" s="5"/>
      <c r="F92" s="5"/>
      <c r="G92" s="4"/>
      <c r="H92" s="148"/>
      <c r="I92" s="162" t="s">
        <v>326</v>
      </c>
      <c r="J92" s="162" t="b">
        <v>0</v>
      </c>
      <c r="K92" s="55"/>
      <c r="L92" s="53"/>
      <c r="M92" s="164"/>
      <c r="N92" s="164"/>
      <c r="O92" s="164"/>
      <c r="P92" s="162" t="s">
        <v>382</v>
      </c>
      <c r="Q92" s="162" t="b">
        <v>0</v>
      </c>
      <c r="R92" s="206" t="str">
        <f t="shared" ref="R92" si="5">P92</f>
        <v>ms</v>
      </c>
      <c r="S92" s="2"/>
      <c r="T92" s="2"/>
      <c r="U92" s="2"/>
      <c r="V92" s="2"/>
      <c r="W92" s="2"/>
      <c r="X92" s="4"/>
      <c r="Y92" s="16"/>
      <c r="Z92" s="1"/>
      <c r="AA92" s="1"/>
      <c r="AB92" s="1"/>
    </row>
    <row r="93" spans="1:28" outlineLevel="2" x14ac:dyDescent="0.2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2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2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2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2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2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2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2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2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2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2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2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2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2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2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2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2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2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2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2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2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2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0999999999999996" customHeight="1" outlineLevel="2" x14ac:dyDescent="0.2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0999999999999996" customHeight="1" outlineLevel="2" x14ac:dyDescent="0.2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0999999999999996" customHeight="1" outlineLevel="1" x14ac:dyDescent="0.2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0999999999999996" customHeight="1" x14ac:dyDescent="0.2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2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2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2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2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2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2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2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2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2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2"/>
  <sheetViews>
    <sheetView tabSelected="1" topLeftCell="A6" zoomScale="89" zoomScaleNormal="89" workbookViewId="0">
      <pane xSplit="9" ySplit="10" topLeftCell="J139" activePane="bottomRight" state="frozen"/>
      <selection activeCell="A6" sqref="A6"/>
      <selection pane="topRight" activeCell="J6" sqref="J6"/>
      <selection pane="bottomLeft" activeCell="A16" sqref="A16"/>
      <selection pane="bottomRight" activeCell="J13" sqref="J13:T13"/>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0.570312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46075.691937152798</v>
      </c>
      <c r="J13" s="221" t="s">
        <v>448</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46075.710698379597</v>
      </c>
      <c r="J14" s="224" t="s">
        <v>447</v>
      </c>
      <c r="K14" s="225"/>
      <c r="L14" s="225"/>
      <c r="M14" s="225"/>
      <c r="N14" s="225"/>
      <c r="O14" s="225"/>
      <c r="P14" s="225"/>
      <c r="Q14" s="225"/>
      <c r="R14" s="225"/>
      <c r="S14" s="225"/>
      <c r="T14" s="225"/>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2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2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2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25">
      <c r="A43" s="1"/>
      <c r="B43" s="33"/>
      <c r="C43" s="73">
        <f t="shared" ref="C43:C57" si="1">INT($C$31)+3</f>
        <v>4</v>
      </c>
      <c r="D43" s="4"/>
      <c r="E43" s="5"/>
      <c r="F43" s="5"/>
      <c r="G43" s="4"/>
      <c r="H43" s="105" t="s">
        <v>273</v>
      </c>
      <c r="I43" s="31">
        <v>-18</v>
      </c>
      <c r="J43" s="2"/>
      <c r="K43" s="2"/>
      <c r="L43" s="2"/>
      <c r="M43" s="2"/>
      <c r="N43" s="2"/>
      <c r="O43" s="2"/>
      <c r="P43" s="2"/>
      <c r="Q43" s="2"/>
      <c r="R43" s="2"/>
      <c r="S43" s="2"/>
      <c r="T43" s="2"/>
      <c r="U43" s="2"/>
      <c r="V43" s="2"/>
      <c r="W43" s="2"/>
      <c r="X43" s="4"/>
      <c r="Y43" s="16"/>
      <c r="Z43" s="1"/>
      <c r="AA43" s="1"/>
      <c r="AB43" s="1"/>
    </row>
    <row r="44" spans="1:28" outlineLevel="3" x14ac:dyDescent="0.25">
      <c r="A44" s="1"/>
      <c r="B44" s="33"/>
      <c r="C44" s="73">
        <f t="shared" si="1"/>
        <v>4</v>
      </c>
      <c r="D44" s="4"/>
      <c r="E44" s="5"/>
      <c r="F44" s="5"/>
      <c r="G44" s="4"/>
      <c r="H44" s="105" t="s">
        <v>274</v>
      </c>
      <c r="I44" s="31">
        <v>-17</v>
      </c>
      <c r="J44" s="2"/>
      <c r="K44" s="2"/>
      <c r="L44" s="2"/>
      <c r="M44" s="2"/>
      <c r="N44" s="2"/>
      <c r="O44" s="2"/>
      <c r="P44" s="2"/>
      <c r="Q44" s="2"/>
      <c r="R44" s="2"/>
      <c r="S44" s="2"/>
      <c r="T44" s="2"/>
      <c r="U44" s="2"/>
      <c r="V44" s="2"/>
      <c r="W44" s="2"/>
      <c r="X44" s="4"/>
      <c r="Y44" s="16"/>
      <c r="Z44" s="1"/>
      <c r="AA44" s="1"/>
      <c r="AB44" s="1"/>
    </row>
    <row r="45" spans="1:28" outlineLevel="3" x14ac:dyDescent="0.25">
      <c r="A45" s="1"/>
      <c r="B45" s="33"/>
      <c r="C45" s="73">
        <f t="shared" si="1"/>
        <v>4</v>
      </c>
      <c r="D45" s="4"/>
      <c r="E45" s="5"/>
      <c r="F45" s="5"/>
      <c r="G45" s="4"/>
      <c r="H45" s="105" t="s">
        <v>272</v>
      </c>
      <c r="I45" s="31">
        <v>-17</v>
      </c>
      <c r="J45" s="2"/>
      <c r="K45" s="2"/>
      <c r="L45" s="2"/>
      <c r="M45" s="2"/>
      <c r="N45" s="2"/>
      <c r="O45" s="2"/>
      <c r="P45" s="2"/>
      <c r="Q45" s="2"/>
      <c r="R45" s="2"/>
      <c r="S45" s="2"/>
      <c r="T45" s="2"/>
      <c r="U45" s="2"/>
      <c r="V45" s="2"/>
      <c r="W45" s="2"/>
      <c r="X45" s="4"/>
      <c r="Y45" s="16"/>
      <c r="Z45" s="1"/>
      <c r="AA45" s="1"/>
      <c r="AB45" s="1"/>
    </row>
    <row r="46" spans="1:28" outlineLevel="3" x14ac:dyDescent="0.25">
      <c r="A46" s="1"/>
      <c r="B46" s="33"/>
      <c r="C46" s="73">
        <f t="shared" si="1"/>
        <v>4</v>
      </c>
      <c r="D46" s="4"/>
      <c r="E46" s="5"/>
      <c r="F46" s="5"/>
      <c r="G46" s="4"/>
      <c r="H46" s="105" t="s">
        <v>197</v>
      </c>
      <c r="I46" s="31">
        <v>-15</v>
      </c>
      <c r="J46" s="2"/>
      <c r="K46" s="2"/>
      <c r="L46" s="2"/>
      <c r="M46" s="2"/>
      <c r="N46" s="2"/>
      <c r="O46" s="2"/>
      <c r="P46" s="2"/>
      <c r="Q46" s="2"/>
      <c r="R46" s="2"/>
      <c r="S46" s="2"/>
      <c r="T46" s="2"/>
      <c r="U46" s="2"/>
      <c r="V46" s="2"/>
      <c r="W46" s="2"/>
      <c r="X46" s="4"/>
      <c r="Y46" s="16"/>
      <c r="Z46" s="1"/>
      <c r="AA46" s="1"/>
      <c r="AB46" s="1"/>
    </row>
    <row r="47" spans="1:28" outlineLevel="3" x14ac:dyDescent="0.25">
      <c r="A47" s="1"/>
      <c r="B47" s="33"/>
      <c r="C47" s="73">
        <f t="shared" si="1"/>
        <v>4</v>
      </c>
      <c r="D47" s="4"/>
      <c r="E47" s="5"/>
      <c r="F47" s="5"/>
      <c r="G47" s="4"/>
      <c r="H47" s="105" t="s">
        <v>191</v>
      </c>
      <c r="I47" s="31">
        <v>-14</v>
      </c>
      <c r="J47" s="2"/>
      <c r="K47" s="2"/>
      <c r="L47" s="2"/>
      <c r="M47" s="2"/>
      <c r="N47" s="2"/>
      <c r="O47" s="2"/>
      <c r="P47" s="2"/>
      <c r="Q47" s="2"/>
      <c r="R47" s="2"/>
      <c r="S47" s="2"/>
      <c r="T47" s="2"/>
      <c r="U47" s="2"/>
      <c r="V47" s="2"/>
      <c r="W47" s="2"/>
      <c r="X47" s="4"/>
      <c r="Y47" s="16"/>
      <c r="Z47" s="1"/>
      <c r="AA47" s="1"/>
      <c r="AB47" s="1"/>
    </row>
    <row r="48" spans="1:28" outlineLevel="3" x14ac:dyDescent="0.25">
      <c r="A48" s="1"/>
      <c r="B48" s="33"/>
      <c r="C48" s="73">
        <f t="shared" si="1"/>
        <v>4</v>
      </c>
      <c r="D48" s="4"/>
      <c r="E48" s="5"/>
      <c r="F48" s="5"/>
      <c r="G48" s="4"/>
      <c r="H48" s="105" t="s">
        <v>188</v>
      </c>
      <c r="I48" s="31">
        <v>-13</v>
      </c>
      <c r="J48" s="2"/>
      <c r="K48" s="2"/>
      <c r="L48" s="2"/>
      <c r="M48" s="2"/>
      <c r="N48" s="2"/>
      <c r="O48" s="2"/>
      <c r="P48" s="2"/>
      <c r="Q48" s="2"/>
      <c r="R48" s="2"/>
      <c r="S48" s="2"/>
      <c r="T48" s="2"/>
      <c r="U48" s="2"/>
      <c r="V48" s="2"/>
      <c r="W48" s="2"/>
      <c r="X48" s="4"/>
      <c r="Y48" s="16"/>
      <c r="Z48" s="1"/>
      <c r="AA48" s="1"/>
      <c r="AB48" s="1"/>
    </row>
    <row r="49" spans="1:28" outlineLevel="3" x14ac:dyDescent="0.25">
      <c r="A49" s="1"/>
      <c r="B49" s="33"/>
      <c r="C49" s="73">
        <f t="shared" si="1"/>
        <v>4</v>
      </c>
      <c r="D49" s="4"/>
      <c r="E49" s="5"/>
      <c r="F49" s="5"/>
      <c r="G49" s="4"/>
      <c r="H49" s="105" t="s">
        <v>189</v>
      </c>
      <c r="I49" s="31">
        <v>-12</v>
      </c>
      <c r="J49" s="2"/>
      <c r="K49" s="2"/>
      <c r="L49" s="2"/>
      <c r="M49" s="2"/>
      <c r="N49" s="2"/>
      <c r="O49" s="2"/>
      <c r="P49" s="2"/>
      <c r="Q49" s="2"/>
      <c r="R49" s="2"/>
      <c r="S49" s="2"/>
      <c r="T49" s="2"/>
      <c r="U49" s="2"/>
      <c r="V49" s="2"/>
      <c r="W49" s="2"/>
      <c r="X49" s="4"/>
      <c r="Y49" s="16"/>
      <c r="Z49" s="1"/>
      <c r="AA49" s="1"/>
      <c r="AB49" s="1"/>
    </row>
    <row r="50" spans="1:28" outlineLevel="3" x14ac:dyDescent="0.25">
      <c r="A50" s="1"/>
      <c r="B50" s="33"/>
      <c r="C50" s="73">
        <f t="shared" si="1"/>
        <v>4</v>
      </c>
      <c r="D50" s="4"/>
      <c r="E50" s="5"/>
      <c r="F50" s="5"/>
      <c r="G50" s="4"/>
      <c r="H50" s="105" t="s">
        <v>198</v>
      </c>
      <c r="I50" s="31">
        <v>-11</v>
      </c>
      <c r="J50" s="2"/>
      <c r="K50" s="2"/>
      <c r="L50" s="2"/>
      <c r="M50" s="2"/>
      <c r="N50" s="2"/>
      <c r="O50" s="2"/>
      <c r="P50" s="2"/>
      <c r="Q50" s="2"/>
      <c r="R50" s="2"/>
      <c r="S50" s="2"/>
      <c r="T50" s="2"/>
      <c r="U50" s="2"/>
      <c r="V50" s="2"/>
      <c r="W50" s="2"/>
      <c r="X50" s="4"/>
      <c r="Y50" s="16"/>
      <c r="Z50" s="1"/>
      <c r="AA50" s="1"/>
      <c r="AB50" s="1"/>
    </row>
    <row r="51" spans="1:28" outlineLevel="3" x14ac:dyDescent="0.25">
      <c r="A51" s="1"/>
      <c r="B51" s="33"/>
      <c r="C51" s="73">
        <f>INT($C$31)+3</f>
        <v>4</v>
      </c>
      <c r="D51" s="4"/>
      <c r="E51" s="5"/>
      <c r="F51" s="5"/>
      <c r="G51" s="4"/>
      <c r="H51" s="105" t="s">
        <v>196</v>
      </c>
      <c r="I51" s="31">
        <v>-10</v>
      </c>
      <c r="J51" s="2" t="s">
        <v>103</v>
      </c>
      <c r="K51" s="2"/>
      <c r="L51" s="2"/>
      <c r="M51" s="2"/>
      <c r="N51" s="2"/>
      <c r="O51" s="2"/>
      <c r="P51" s="2"/>
      <c r="Q51" s="2"/>
      <c r="R51" s="2"/>
      <c r="S51" s="2"/>
      <c r="T51" s="2"/>
      <c r="U51" s="2"/>
      <c r="V51" s="2"/>
      <c r="W51" s="2"/>
      <c r="X51" s="4"/>
      <c r="Y51" s="16"/>
      <c r="Z51" s="1"/>
      <c r="AA51" s="1"/>
      <c r="AB51" s="1"/>
    </row>
    <row r="52" spans="1:28" outlineLevel="3" x14ac:dyDescent="0.25">
      <c r="A52" s="1"/>
      <c r="B52" s="33"/>
      <c r="C52" s="73">
        <f>INT($C$31)+3</f>
        <v>4</v>
      </c>
      <c r="D52" s="4"/>
      <c r="E52" s="5"/>
      <c r="F52" s="5"/>
      <c r="G52" s="4"/>
      <c r="H52" s="105" t="s">
        <v>200</v>
      </c>
      <c r="I52" s="31">
        <v>-9</v>
      </c>
      <c r="J52" s="2"/>
      <c r="K52" s="2"/>
      <c r="L52" s="2"/>
      <c r="M52" s="2"/>
      <c r="N52" s="2"/>
      <c r="O52" s="2"/>
      <c r="P52" s="2"/>
      <c r="Q52" s="2"/>
      <c r="R52" s="2"/>
      <c r="S52" s="2"/>
      <c r="T52" s="2"/>
      <c r="U52" s="2"/>
      <c r="V52" s="2"/>
      <c r="W52" s="2"/>
      <c r="X52" s="4"/>
      <c r="Y52" s="16"/>
      <c r="Z52" s="1"/>
      <c r="AA52" s="1"/>
      <c r="AB52" s="1"/>
    </row>
    <row r="53" spans="1:28" outlineLevel="3" x14ac:dyDescent="0.25">
      <c r="A53" s="1"/>
      <c r="B53" s="33"/>
      <c r="C53" s="73">
        <f t="shared" si="1"/>
        <v>4</v>
      </c>
      <c r="D53" s="4"/>
      <c r="E53" s="5"/>
      <c r="F53" s="5"/>
      <c r="G53" s="4"/>
      <c r="H53" s="105" t="s">
        <v>194</v>
      </c>
      <c r="I53" s="31">
        <v>-8</v>
      </c>
      <c r="J53" s="2"/>
      <c r="K53" s="2"/>
      <c r="L53" s="2"/>
      <c r="M53" s="2"/>
      <c r="N53" s="2"/>
      <c r="O53" s="2"/>
      <c r="P53" s="2"/>
      <c r="Q53" s="2"/>
      <c r="R53" s="2"/>
      <c r="S53" s="2"/>
      <c r="T53" s="2"/>
      <c r="U53" s="2"/>
      <c r="V53" s="2"/>
      <c r="W53" s="2"/>
      <c r="X53" s="4"/>
      <c r="Y53" s="16"/>
      <c r="Z53" s="1"/>
      <c r="AA53" s="1"/>
      <c r="AB53" s="1"/>
    </row>
    <row r="54" spans="1:28" outlineLevel="3" x14ac:dyDescent="0.25">
      <c r="A54" s="1"/>
      <c r="B54" s="33"/>
      <c r="C54" s="73">
        <f t="shared" si="1"/>
        <v>4</v>
      </c>
      <c r="D54" s="4"/>
      <c r="E54" s="5"/>
      <c r="F54" s="5"/>
      <c r="G54" s="4"/>
      <c r="H54" s="105" t="s">
        <v>193</v>
      </c>
      <c r="I54" s="31">
        <v>-7</v>
      </c>
      <c r="J54" s="2"/>
      <c r="K54" s="2"/>
      <c r="L54" s="2"/>
      <c r="M54" s="2"/>
      <c r="N54" s="2"/>
      <c r="O54" s="2"/>
      <c r="P54" s="2"/>
      <c r="Q54" s="2"/>
      <c r="R54" s="2"/>
      <c r="S54" s="2"/>
      <c r="T54" s="2"/>
      <c r="U54" s="2"/>
      <c r="V54" s="2"/>
      <c r="W54" s="2"/>
      <c r="X54" s="4"/>
      <c r="Y54" s="16"/>
      <c r="Z54" s="1"/>
      <c r="AA54" s="1"/>
      <c r="AB54" s="1"/>
    </row>
    <row r="55" spans="1:28" outlineLevel="3" x14ac:dyDescent="0.25">
      <c r="A55" s="1"/>
      <c r="B55" s="33"/>
      <c r="C55" s="73">
        <f t="shared" si="1"/>
        <v>4</v>
      </c>
      <c r="D55" s="4"/>
      <c r="E55" s="5"/>
      <c r="F55" s="5"/>
      <c r="G55" s="4"/>
      <c r="H55" s="105" t="s">
        <v>192</v>
      </c>
      <c r="I55" s="31">
        <v>-6</v>
      </c>
      <c r="J55" s="2"/>
      <c r="K55" s="2"/>
      <c r="L55" s="2"/>
      <c r="M55" s="2"/>
      <c r="N55" s="2"/>
      <c r="O55" s="2"/>
      <c r="P55" s="2"/>
      <c r="Q55" s="2"/>
      <c r="R55" s="2"/>
      <c r="S55" s="2"/>
      <c r="T55" s="2"/>
      <c r="U55" s="2"/>
      <c r="V55" s="2"/>
      <c r="W55" s="2"/>
      <c r="X55" s="4"/>
      <c r="Y55" s="16"/>
      <c r="Z55" s="1"/>
      <c r="AA55" s="1"/>
      <c r="AB55" s="1"/>
    </row>
    <row r="56" spans="1:28" outlineLevel="3" x14ac:dyDescent="0.25">
      <c r="A56" s="1"/>
      <c r="B56" s="33"/>
      <c r="C56" s="73">
        <f t="shared" si="1"/>
        <v>4</v>
      </c>
      <c r="D56" s="4"/>
      <c r="E56" s="5"/>
      <c r="F56" s="5"/>
      <c r="G56" s="4"/>
      <c r="H56" s="105" t="s">
        <v>187</v>
      </c>
      <c r="I56" s="31">
        <v>-5</v>
      </c>
      <c r="J56" s="2"/>
      <c r="K56" s="2"/>
      <c r="L56" s="2"/>
      <c r="M56" s="2"/>
      <c r="N56" s="2"/>
      <c r="O56" s="2"/>
      <c r="P56" s="2"/>
      <c r="Q56" s="2"/>
      <c r="R56" s="2"/>
      <c r="S56" s="2"/>
      <c r="T56" s="2"/>
      <c r="U56" s="2"/>
      <c r="V56" s="2"/>
      <c r="W56" s="2"/>
      <c r="X56" s="4"/>
      <c r="Y56" s="16"/>
      <c r="Z56" s="1"/>
      <c r="AA56" s="1"/>
      <c r="AB56" s="1"/>
    </row>
    <row r="57" spans="1:28" outlineLevel="3" x14ac:dyDescent="0.25">
      <c r="A57" s="1"/>
      <c r="B57" s="33"/>
      <c r="C57" s="73">
        <f t="shared" si="1"/>
        <v>4</v>
      </c>
      <c r="D57" s="4"/>
      <c r="E57" s="5"/>
      <c r="F57" s="5"/>
      <c r="G57" s="4"/>
      <c r="H57" s="105" t="s">
        <v>190</v>
      </c>
      <c r="I57" s="31">
        <v>-4</v>
      </c>
      <c r="J57" s="2"/>
      <c r="K57" s="2"/>
      <c r="L57" s="2"/>
      <c r="M57" s="2"/>
      <c r="N57" s="2"/>
      <c r="O57" s="2"/>
      <c r="P57" s="2"/>
      <c r="Q57" s="2"/>
      <c r="R57" s="2"/>
      <c r="S57" s="2"/>
      <c r="T57" s="2"/>
      <c r="U57" s="2"/>
      <c r="V57" s="2"/>
      <c r="W57" s="2"/>
      <c r="X57" s="4"/>
      <c r="Y57" s="16"/>
      <c r="Z57" s="1"/>
      <c r="AA57" s="1"/>
      <c r="AB57" s="1"/>
    </row>
    <row r="58" spans="1:28" outlineLevel="3" x14ac:dyDescent="0.25">
      <c r="A58" s="1"/>
      <c r="B58" s="33"/>
      <c r="C58" s="73">
        <f>INT($C$31)+3</f>
        <v>4</v>
      </c>
      <c r="D58" s="4"/>
      <c r="E58" s="5"/>
      <c r="F58" s="5"/>
      <c r="G58" s="4"/>
      <c r="H58" s="105" t="s">
        <v>195</v>
      </c>
      <c r="I58" s="31">
        <v>-3</v>
      </c>
      <c r="J58" s="2"/>
      <c r="K58" s="2"/>
      <c r="L58" s="2"/>
      <c r="M58" s="2"/>
      <c r="N58" s="2"/>
      <c r="O58" s="2"/>
      <c r="P58" s="2"/>
      <c r="Q58" s="2"/>
      <c r="R58" s="2"/>
      <c r="S58" s="2"/>
      <c r="T58" s="2"/>
      <c r="U58" s="2"/>
      <c r="V58" s="2"/>
      <c r="W58" s="2"/>
      <c r="X58" s="4"/>
      <c r="Y58" s="16"/>
      <c r="Z58" s="1"/>
      <c r="AA58" s="1"/>
      <c r="AB58" s="1"/>
    </row>
    <row r="59" spans="1:28" outlineLevel="3" x14ac:dyDescent="0.25">
      <c r="A59" s="1"/>
      <c r="B59" s="33"/>
      <c r="C59" s="73">
        <f>INT($C$31)+3</f>
        <v>4</v>
      </c>
      <c r="D59" s="4"/>
      <c r="E59" s="5"/>
      <c r="F59" s="5"/>
      <c r="G59" s="4"/>
      <c r="H59" s="105" t="s">
        <v>199</v>
      </c>
      <c r="I59" s="31">
        <v>-2</v>
      </c>
      <c r="J59" s="2"/>
      <c r="K59" s="2"/>
      <c r="L59" s="2"/>
      <c r="M59" s="2"/>
      <c r="N59" s="2"/>
      <c r="O59" s="2"/>
      <c r="P59" s="2"/>
      <c r="Q59" s="2"/>
      <c r="R59" s="2"/>
      <c r="S59" s="2"/>
      <c r="T59" s="2"/>
      <c r="U59" s="2"/>
      <c r="V59" s="2"/>
      <c r="W59" s="2"/>
      <c r="X59" s="4"/>
      <c r="Y59" s="16"/>
      <c r="Z59" s="1"/>
      <c r="AA59" s="1"/>
      <c r="AB59" s="1"/>
    </row>
    <row r="60" spans="1:28" outlineLevel="3" x14ac:dyDescent="0.2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2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2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2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25">
      <c r="A64" s="1"/>
      <c r="B64" s="33"/>
      <c r="C64" s="73">
        <f t="shared" si="2"/>
        <v>4</v>
      </c>
      <c r="D64" s="4"/>
      <c r="E64" s="5"/>
      <c r="F64" s="5"/>
      <c r="G64" s="4"/>
      <c r="H64" s="2" t="s">
        <v>150</v>
      </c>
      <c r="I64" s="31">
        <v>4.25</v>
      </c>
      <c r="J64" s="2" t="s">
        <v>86</v>
      </c>
      <c r="K64" s="2" t="s">
        <v>223</v>
      </c>
      <c r="L64" s="2"/>
      <c r="M64" s="2"/>
      <c r="N64" s="2"/>
      <c r="O64" s="2"/>
      <c r="P64" s="2"/>
      <c r="Q64" s="2"/>
      <c r="R64" s="2"/>
      <c r="S64" s="2"/>
      <c r="T64" s="2"/>
      <c r="U64" s="2"/>
      <c r="V64" s="2"/>
      <c r="W64" s="2"/>
      <c r="X64" s="4"/>
      <c r="Y64" s="16"/>
      <c r="Z64" s="1"/>
      <c r="AA64" s="1"/>
      <c r="AB64" s="1"/>
    </row>
    <row r="65" spans="1:28" outlineLevel="3" x14ac:dyDescent="0.2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2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2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2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2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2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2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2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2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0999999999999996" customHeight="1" outlineLevel="3" x14ac:dyDescent="0.2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0999999999999996" customHeight="1" outlineLevel="2" x14ac:dyDescent="0.2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0999999999999996" customHeight="1" outlineLevel="1" x14ac:dyDescent="0.2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0999999999999996" customHeight="1" x14ac:dyDescent="0.2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2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2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0999999999999996" customHeight="1" thickBot="1" x14ac:dyDescent="0.3">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0999999999999996" customHeight="1" outlineLevel="1" x14ac:dyDescent="0.2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2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00000000000001" customHeight="1" x14ac:dyDescent="0.2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00000000000001" customHeight="1" outlineLevel="1" x14ac:dyDescent="0.2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0999999999999996" customHeight="1" outlineLevel="2" x14ac:dyDescent="0.2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2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2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2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2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45" customHeight="1" outlineLevel="2" x14ac:dyDescent="0.2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2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2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0999999999999996" customHeight="1" outlineLevel="2" x14ac:dyDescent="0.2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2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2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2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2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2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2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2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2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2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2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2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2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2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2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2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2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2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2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2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2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2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2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2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2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2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2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2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2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2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0999999999999996" customHeight="1" outlineLevel="3" x14ac:dyDescent="0.2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0999999999999996" customHeight="1" outlineLevel="2" x14ac:dyDescent="0.2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0999999999999996" customHeight="1" outlineLevel="1" x14ac:dyDescent="0.2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0999999999999996" customHeight="1" x14ac:dyDescent="0.2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2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2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0999999999999996" customHeight="1" thickBot="1" x14ac:dyDescent="0.3">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0999999999999996" customHeight="1" outlineLevel="1" x14ac:dyDescent="0.2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25">
      <c r="A131" s="1"/>
      <c r="B131" s="33"/>
      <c r="C131" s="73">
        <f>INT(MAX($C$142:$C$200))+1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00000000000001" customHeight="1" x14ac:dyDescent="0.2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00000000000001" customHeight="1" outlineLevel="1" x14ac:dyDescent="0.2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0999999999999996" customHeight="1" outlineLevel="2" x14ac:dyDescent="0.2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2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2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2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2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45" customHeight="1" outlineLevel="2" x14ac:dyDescent="0.2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25">
      <c r="A140" s="1"/>
      <c r="B140" s="33"/>
      <c r="C140" s="73">
        <f>INT(MAX($C$142:$C$200))+1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25">
      <c r="A141" s="1"/>
      <c r="B141" s="33" t="s">
        <v>19</v>
      </c>
      <c r="C141" s="73">
        <f>INT(MAX($C$142:$C$200))+1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0999999999999996" customHeight="1" outlineLevel="2" x14ac:dyDescent="0.2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2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2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2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2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2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2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2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2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2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2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2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2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2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ht="5.0999999999999996" customHeight="1" outlineLevel="2" x14ac:dyDescent="0.25">
      <c r="A156" s="1"/>
      <c r="B156" s="33"/>
      <c r="C156" s="73">
        <f>INT(C$132)+2.005</f>
        <v>3.0049999999999999</v>
      </c>
      <c r="D156" s="4"/>
      <c r="E156" s="4"/>
      <c r="F156" s="4"/>
      <c r="G156" s="4"/>
      <c r="H156" s="4"/>
      <c r="I156" s="4"/>
      <c r="J156" s="4"/>
      <c r="K156" s="4"/>
      <c r="L156" s="4"/>
      <c r="M156" s="4"/>
      <c r="N156" s="4"/>
      <c r="O156" s="4"/>
      <c r="P156" s="4"/>
      <c r="Q156" s="4"/>
      <c r="R156" s="4"/>
      <c r="S156" s="4"/>
      <c r="T156" s="4"/>
      <c r="U156" s="4"/>
      <c r="V156" s="4"/>
      <c r="W156" s="4"/>
      <c r="X156" s="4"/>
      <c r="Y156" s="16"/>
      <c r="Z156" s="1"/>
      <c r="AA156" s="1"/>
      <c r="AB156" s="1"/>
    </row>
    <row r="157" spans="1:28" outlineLevel="1" x14ac:dyDescent="0.25">
      <c r="A157" s="1"/>
      <c r="B157" s="33"/>
      <c r="C157" s="73">
        <f>INT(C$132)+1</f>
        <v>2</v>
      </c>
      <c r="D157" s="4"/>
      <c r="E157" s="5"/>
      <c r="F157" s="5"/>
      <c r="G157" s="4"/>
      <c r="H157" s="59" t="s">
        <v>276</v>
      </c>
      <c r="I157" s="60" t="str">
        <f>"("&amp;ROWS(ia_k2_mlsb1)-2&amp;","&amp;COLUMNS(ia_k2_mlsb1)-1&amp;"): ia_k2_mlsb1(pointers) = input"</f>
        <v>(38,10): ia_k2_mlsb1(pointers) = input</v>
      </c>
      <c r="J157" s="49"/>
      <c r="K157" s="49"/>
      <c r="L157" s="93" t="s">
        <v>47</v>
      </c>
      <c r="M157" s="93" t="s">
        <v>79</v>
      </c>
      <c r="N157" s="93">
        <v>11</v>
      </c>
      <c r="O157" s="93">
        <v>22</v>
      </c>
      <c r="P157" s="93">
        <v>33</v>
      </c>
      <c r="Q157" s="93">
        <v>21</v>
      </c>
      <c r="R157" s="93">
        <v>32</v>
      </c>
      <c r="S157" s="93">
        <v>31</v>
      </c>
      <c r="T157" s="93">
        <v>10</v>
      </c>
      <c r="U157" s="93">
        <v>20</v>
      </c>
      <c r="V157" s="93">
        <v>30</v>
      </c>
      <c r="W157" s="49"/>
      <c r="X157" s="4"/>
      <c r="Y157" s="16"/>
      <c r="Z157" s="1"/>
      <c r="AA157" s="1"/>
      <c r="AB157" s="1"/>
    </row>
    <row r="158" spans="1:28" ht="5.0999999999999996" customHeight="1" outlineLevel="3" x14ac:dyDescent="0.25">
      <c r="A158" s="1"/>
      <c r="B158" s="33"/>
      <c r="C158" s="73">
        <f>INT(C$132)+3.005</f>
        <v>4.0049999999999999</v>
      </c>
      <c r="D158" s="4" t="s">
        <v>2</v>
      </c>
      <c r="E158" s="4"/>
      <c r="F158" s="4"/>
      <c r="G158" s="4"/>
      <c r="H158" s="4"/>
      <c r="I158" s="4"/>
      <c r="J158" s="4"/>
      <c r="K158" s="4"/>
      <c r="L158" s="4"/>
      <c r="M158" s="4"/>
      <c r="N158" s="4"/>
      <c r="O158" s="4"/>
      <c r="P158" s="4"/>
      <c r="Q158" s="4"/>
      <c r="R158" s="4"/>
      <c r="S158" s="4"/>
      <c r="T158" s="4"/>
      <c r="U158" s="4"/>
      <c r="V158" s="4"/>
      <c r="W158" s="4"/>
      <c r="X158" s="4"/>
      <c r="Y158" s="16"/>
      <c r="Z158" s="1"/>
      <c r="AA158" s="1"/>
      <c r="AB158" s="1"/>
    </row>
    <row r="159" spans="1:28" outlineLevel="2" x14ac:dyDescent="0.25">
      <c r="A159" s="1"/>
      <c r="B159" s="33"/>
      <c r="C159" s="73">
        <f>INT($C$132)+2</f>
        <v>3</v>
      </c>
      <c r="D159" s="4"/>
      <c r="E159" s="5"/>
      <c r="F159" s="5"/>
      <c r="G159" s="4"/>
      <c r="H159" s="108" t="s">
        <v>117</v>
      </c>
      <c r="I159" s="54" t="s">
        <v>97</v>
      </c>
      <c r="J159" s="54" t="s">
        <v>108</v>
      </c>
      <c r="K159" s="54" t="s">
        <v>96</v>
      </c>
      <c r="L159" s="31">
        <f>COUNTA($I$160:$I$200)</f>
        <v>2</v>
      </c>
      <c r="M159" s="31">
        <v>4</v>
      </c>
      <c r="N159" s="31">
        <f>COUNTA($K$160:$K$200)/(M159*L159)</f>
        <v>5</v>
      </c>
      <c r="O159" s="98" t="s">
        <v>123</v>
      </c>
      <c r="P159" s="98"/>
      <c r="Q159" s="98"/>
      <c r="R159" s="98"/>
      <c r="S159" s="98"/>
      <c r="T159" s="98"/>
      <c r="U159" s="102"/>
      <c r="V159" s="102"/>
      <c r="W159" s="2"/>
      <c r="X159" s="4"/>
      <c r="Y159" s="16"/>
      <c r="Z159" s="1"/>
      <c r="AA159" s="1"/>
      <c r="AB159" s="1"/>
    </row>
    <row r="160" spans="1:28" outlineLevel="3" x14ac:dyDescent="0.25">
      <c r="A160" s="1"/>
      <c r="B160" s="33"/>
      <c r="C160" s="73">
        <f t="shared" ref="C160:C199" si="5">INT($C$132)+3</f>
        <v>4</v>
      </c>
      <c r="D160" s="4"/>
      <c r="E160" s="5"/>
      <c r="F160" s="5"/>
      <c r="G160" s="4"/>
      <c r="H160" s="64" t="s">
        <v>112</v>
      </c>
      <c r="I160" s="57">
        <v>0</v>
      </c>
      <c r="J160" s="57">
        <v>0</v>
      </c>
      <c r="K160" s="61">
        <v>0</v>
      </c>
      <c r="L160" s="99">
        <v>1</v>
      </c>
      <c r="M160" s="99">
        <v>0</v>
      </c>
      <c r="N160" s="99">
        <v>0</v>
      </c>
      <c r="O160" s="99">
        <v>0</v>
      </c>
      <c r="P160" s="99">
        <v>0</v>
      </c>
      <c r="Q160" s="99">
        <v>0</v>
      </c>
      <c r="R160" s="99">
        <v>0</v>
      </c>
      <c r="S160" s="99">
        <v>0</v>
      </c>
      <c r="T160" s="99">
        <v>0</v>
      </c>
      <c r="U160" s="99">
        <v>0</v>
      </c>
      <c r="V160" s="99">
        <v>0</v>
      </c>
      <c r="W160" s="55"/>
      <c r="X160" s="4"/>
      <c r="Y160" s="16"/>
      <c r="Z160" s="1"/>
      <c r="AA160" s="1"/>
      <c r="AB160" s="1"/>
    </row>
    <row r="161" spans="1:28" outlineLevel="3" x14ac:dyDescent="0.25">
      <c r="A161" s="1"/>
      <c r="B161" s="33"/>
      <c r="C161" s="73">
        <f t="shared" si="5"/>
        <v>4</v>
      </c>
      <c r="D161" s="4"/>
      <c r="E161" s="5"/>
      <c r="F161" s="5"/>
      <c r="G161" s="4"/>
      <c r="H161" s="64" t="s">
        <v>113</v>
      </c>
      <c r="I161" s="36"/>
      <c r="J161" s="36" t="s">
        <v>160</v>
      </c>
      <c r="K161" s="56">
        <v>1</v>
      </c>
      <c r="L161" s="100">
        <v>1</v>
      </c>
      <c r="M161" s="100">
        <v>0</v>
      </c>
      <c r="N161" s="100">
        <v>0</v>
      </c>
      <c r="O161" s="100">
        <v>0</v>
      </c>
      <c r="P161" s="100">
        <v>0</v>
      </c>
      <c r="Q161" s="100">
        <v>0</v>
      </c>
      <c r="R161" s="100">
        <v>0</v>
      </c>
      <c r="S161" s="100">
        <v>0</v>
      </c>
      <c r="T161" s="100">
        <v>0</v>
      </c>
      <c r="U161" s="100">
        <v>0</v>
      </c>
      <c r="V161" s="100">
        <v>0</v>
      </c>
      <c r="W161" s="55"/>
      <c r="X161" s="4"/>
      <c r="Y161" s="16"/>
      <c r="Z161" s="1"/>
      <c r="AA161" s="1"/>
      <c r="AB161" s="1"/>
    </row>
    <row r="162" spans="1:28" outlineLevel="3" x14ac:dyDescent="0.25">
      <c r="A162" s="1"/>
      <c r="B162" s="33"/>
      <c r="C162" s="73">
        <f t="shared" si="5"/>
        <v>4</v>
      </c>
      <c r="D162" s="4"/>
      <c r="E162" s="5"/>
      <c r="F162" s="5"/>
      <c r="G162" s="4"/>
      <c r="H162" s="64" t="s">
        <v>98</v>
      </c>
      <c r="I162" s="36"/>
      <c r="J162" s="36"/>
      <c r="K162" s="56">
        <v>2</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25">
      <c r="A163" s="1"/>
      <c r="B163" s="33"/>
      <c r="C163" s="73">
        <f t="shared" si="5"/>
        <v>4</v>
      </c>
      <c r="D163" s="4"/>
      <c r="E163" s="5"/>
      <c r="F163" s="5"/>
      <c r="G163" s="4"/>
      <c r="H163" s="64" t="s">
        <v>99</v>
      </c>
      <c r="I163" s="36"/>
      <c r="J163" s="36"/>
      <c r="K163" s="56">
        <v>3</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25">
      <c r="A164" s="1"/>
      <c r="B164" s="33"/>
      <c r="C164" s="73">
        <f t="shared" si="5"/>
        <v>4</v>
      </c>
      <c r="D164" s="4"/>
      <c r="E164" s="5"/>
      <c r="F164" s="5"/>
      <c r="G164" s="4"/>
      <c r="H164" s="64" t="s">
        <v>115</v>
      </c>
      <c r="I164" s="36"/>
      <c r="J164" s="36"/>
      <c r="K164" s="63">
        <v>4</v>
      </c>
      <c r="L164" s="101">
        <v>1</v>
      </c>
      <c r="M164" s="101">
        <v>0</v>
      </c>
      <c r="N164" s="101">
        <v>0</v>
      </c>
      <c r="O164" s="101">
        <v>0</v>
      </c>
      <c r="P164" s="101">
        <v>0</v>
      </c>
      <c r="Q164" s="101">
        <v>0</v>
      </c>
      <c r="R164" s="101">
        <v>0</v>
      </c>
      <c r="S164" s="101">
        <v>0</v>
      </c>
      <c r="T164" s="101">
        <v>0</v>
      </c>
      <c r="U164" s="101">
        <v>0</v>
      </c>
      <c r="V164" s="101">
        <v>0</v>
      </c>
      <c r="W164" s="55"/>
      <c r="X164" s="4"/>
      <c r="Y164" s="16"/>
      <c r="Z164" s="1"/>
      <c r="AA164" s="1"/>
      <c r="AB164" s="1"/>
    </row>
    <row r="165" spans="1:28" outlineLevel="3" x14ac:dyDescent="0.25">
      <c r="A165" s="1"/>
      <c r="B165" s="33"/>
      <c r="C165" s="73">
        <f t="shared" si="5"/>
        <v>4</v>
      </c>
      <c r="D165" s="4"/>
      <c r="E165" s="5"/>
      <c r="F165" s="5"/>
      <c r="G165" s="4"/>
      <c r="H165" s="105" t="s">
        <v>100</v>
      </c>
      <c r="I165" s="2"/>
      <c r="J165" s="61">
        <v>1</v>
      </c>
      <c r="K165" s="61">
        <v>0</v>
      </c>
      <c r="L165" s="99">
        <v>1</v>
      </c>
      <c r="M165" s="99">
        <v>0</v>
      </c>
      <c r="N165" s="99">
        <v>0</v>
      </c>
      <c r="O165" s="99">
        <v>0</v>
      </c>
      <c r="P165" s="99">
        <v>0</v>
      </c>
      <c r="Q165" s="99">
        <v>0</v>
      </c>
      <c r="R165" s="99">
        <v>0</v>
      </c>
      <c r="S165" s="99">
        <v>0</v>
      </c>
      <c r="T165" s="99">
        <v>0</v>
      </c>
      <c r="U165" s="99">
        <v>0</v>
      </c>
      <c r="V165" s="99">
        <v>0</v>
      </c>
      <c r="W165" s="2"/>
      <c r="X165" s="4"/>
      <c r="Y165" s="16"/>
      <c r="Z165" s="1"/>
      <c r="AA165" s="1"/>
      <c r="AB165" s="1"/>
    </row>
    <row r="166" spans="1:28" outlineLevel="3" x14ac:dyDescent="0.25">
      <c r="A166" s="1"/>
      <c r="B166" s="33"/>
      <c r="C166" s="73">
        <f t="shared" si="5"/>
        <v>4</v>
      </c>
      <c r="D166" s="4"/>
      <c r="E166" s="5"/>
      <c r="F166" s="5"/>
      <c r="G166" s="4"/>
      <c r="H166" s="105" t="s">
        <v>114</v>
      </c>
      <c r="I166" s="2"/>
      <c r="J166" s="56" t="s">
        <v>161</v>
      </c>
      <c r="K166" s="56">
        <v>1</v>
      </c>
      <c r="L166" s="100">
        <v>1</v>
      </c>
      <c r="M166" s="100">
        <v>0</v>
      </c>
      <c r="N166" s="100">
        <v>0</v>
      </c>
      <c r="O166" s="100">
        <v>0</v>
      </c>
      <c r="P166" s="100">
        <v>0</v>
      </c>
      <c r="Q166" s="100">
        <v>0</v>
      </c>
      <c r="R166" s="100">
        <v>0</v>
      </c>
      <c r="S166" s="100">
        <v>0</v>
      </c>
      <c r="T166" s="100">
        <v>0</v>
      </c>
      <c r="U166" s="100">
        <v>0</v>
      </c>
      <c r="V166" s="100">
        <v>0</v>
      </c>
      <c r="W166" s="2"/>
      <c r="X166" s="4"/>
      <c r="Y166" s="16"/>
      <c r="Z166" s="1"/>
      <c r="AA166" s="1"/>
      <c r="AB166" s="1"/>
    </row>
    <row r="167" spans="1:28" outlineLevel="3" x14ac:dyDescent="0.25">
      <c r="A167" s="1"/>
      <c r="B167" s="33"/>
      <c r="C167" s="73">
        <f t="shared" si="5"/>
        <v>4</v>
      </c>
      <c r="D167" s="4"/>
      <c r="E167" s="5"/>
      <c r="F167" s="5"/>
      <c r="G167" s="4"/>
      <c r="H167" s="105" t="s">
        <v>101</v>
      </c>
      <c r="I167" s="2"/>
      <c r="J167" s="56"/>
      <c r="K167" s="56">
        <v>2</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25">
      <c r="A168" s="1"/>
      <c r="B168" s="33"/>
      <c r="C168" s="73">
        <f t="shared" si="5"/>
        <v>4</v>
      </c>
      <c r="D168" s="4"/>
      <c r="E168" s="5"/>
      <c r="F168" s="5"/>
      <c r="G168" s="4"/>
      <c r="H168" s="64" t="s">
        <v>118</v>
      </c>
      <c r="I168" s="2"/>
      <c r="J168" s="56"/>
      <c r="K168" s="56">
        <v>3</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25">
      <c r="A169" s="1"/>
      <c r="B169" s="33"/>
      <c r="C169" s="73">
        <f t="shared" si="5"/>
        <v>4</v>
      </c>
      <c r="D169" s="4"/>
      <c r="E169" s="5"/>
      <c r="F169" s="5"/>
      <c r="G169" s="4"/>
      <c r="H169" s="105" t="s">
        <v>119</v>
      </c>
      <c r="I169" s="2"/>
      <c r="J169" s="63"/>
      <c r="K169" s="63">
        <v>4</v>
      </c>
      <c r="L169" s="101">
        <v>1</v>
      </c>
      <c r="M169" s="101">
        <v>0</v>
      </c>
      <c r="N169" s="101">
        <v>0</v>
      </c>
      <c r="O169" s="101">
        <v>0</v>
      </c>
      <c r="P169" s="101">
        <v>0</v>
      </c>
      <c r="Q169" s="101">
        <v>0</v>
      </c>
      <c r="R169" s="101">
        <v>0</v>
      </c>
      <c r="S169" s="101">
        <v>0</v>
      </c>
      <c r="T169" s="101">
        <v>0</v>
      </c>
      <c r="U169" s="101">
        <v>0</v>
      </c>
      <c r="V169" s="101">
        <v>0</v>
      </c>
      <c r="W169" s="2"/>
      <c r="X169" s="4"/>
      <c r="Y169" s="16"/>
      <c r="Z169" s="1"/>
      <c r="AA169" s="1"/>
      <c r="AB169" s="1"/>
    </row>
    <row r="170" spans="1:28" outlineLevel="3" x14ac:dyDescent="0.25">
      <c r="A170" s="1"/>
      <c r="B170" s="33"/>
      <c r="C170" s="73">
        <f t="shared" si="5"/>
        <v>4</v>
      </c>
      <c r="D170" s="4"/>
      <c r="E170" s="5"/>
      <c r="F170" s="5"/>
      <c r="G170" s="4"/>
      <c r="H170" s="105" t="s">
        <v>120</v>
      </c>
      <c r="I170" s="36"/>
      <c r="J170" s="61">
        <v>2</v>
      </c>
      <c r="K170" s="61">
        <v>0</v>
      </c>
      <c r="L170" s="99">
        <v>1</v>
      </c>
      <c r="M170" s="99">
        <v>0</v>
      </c>
      <c r="N170" s="99">
        <v>0</v>
      </c>
      <c r="O170" s="99">
        <v>0</v>
      </c>
      <c r="P170" s="99">
        <v>0</v>
      </c>
      <c r="Q170" s="99">
        <v>0</v>
      </c>
      <c r="R170" s="99">
        <v>0</v>
      </c>
      <c r="S170" s="99">
        <v>0</v>
      </c>
      <c r="T170" s="99">
        <v>0</v>
      </c>
      <c r="U170" s="99">
        <v>0</v>
      </c>
      <c r="V170" s="99">
        <v>0</v>
      </c>
      <c r="W170" s="55"/>
      <c r="X170" s="4"/>
      <c r="Y170" s="16"/>
      <c r="Z170" s="1"/>
      <c r="AA170" s="1"/>
      <c r="AB170" s="1"/>
    </row>
    <row r="171" spans="1:28" outlineLevel="3" x14ac:dyDescent="0.25">
      <c r="A171" s="1"/>
      <c r="B171" s="33"/>
      <c r="C171" s="73">
        <f t="shared" si="5"/>
        <v>4</v>
      </c>
      <c r="D171" s="4"/>
      <c r="E171" s="5"/>
      <c r="F171" s="5"/>
      <c r="G171" s="4"/>
      <c r="H171" s="105" t="s">
        <v>121</v>
      </c>
      <c r="I171" s="36"/>
      <c r="J171" s="56" t="s">
        <v>46</v>
      </c>
      <c r="K171" s="56">
        <v>1</v>
      </c>
      <c r="L171" s="100">
        <v>1</v>
      </c>
      <c r="M171" s="100">
        <v>0</v>
      </c>
      <c r="N171" s="100">
        <v>0</v>
      </c>
      <c r="O171" s="100">
        <v>0</v>
      </c>
      <c r="P171" s="100">
        <v>0</v>
      </c>
      <c r="Q171" s="100">
        <v>0</v>
      </c>
      <c r="R171" s="100">
        <v>0</v>
      </c>
      <c r="S171" s="100">
        <v>0</v>
      </c>
      <c r="T171" s="100">
        <v>0</v>
      </c>
      <c r="U171" s="100">
        <v>0</v>
      </c>
      <c r="V171" s="100">
        <v>0</v>
      </c>
      <c r="W171" s="55"/>
      <c r="X171" s="4"/>
      <c r="Y171" s="16"/>
      <c r="Z171" s="1"/>
      <c r="AA171" s="1"/>
      <c r="AB171" s="1"/>
    </row>
    <row r="172" spans="1:28" outlineLevel="3" x14ac:dyDescent="0.25">
      <c r="A172" s="1"/>
      <c r="B172" s="33"/>
      <c r="C172" s="73">
        <f t="shared" si="5"/>
        <v>4</v>
      </c>
      <c r="D172" s="4"/>
      <c r="E172" s="5"/>
      <c r="F172" s="5"/>
      <c r="G172" s="4"/>
      <c r="H172" s="105" t="s">
        <v>122</v>
      </c>
      <c r="I172" s="36"/>
      <c r="J172" s="56"/>
      <c r="K172" s="56">
        <v>2</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25">
      <c r="A173" s="1"/>
      <c r="B173" s="33"/>
      <c r="C173" s="73">
        <f t="shared" si="5"/>
        <v>4</v>
      </c>
      <c r="D173" s="4"/>
      <c r="E173" s="5"/>
      <c r="F173" s="5"/>
      <c r="G173" s="4"/>
      <c r="H173" s="64"/>
      <c r="I173" s="36"/>
      <c r="J173" s="56"/>
      <c r="K173" s="56">
        <v>3</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25">
      <c r="A174" s="1"/>
      <c r="B174" s="33"/>
      <c r="C174" s="73">
        <f t="shared" si="5"/>
        <v>4</v>
      </c>
      <c r="D174" s="4"/>
      <c r="E174" s="5"/>
      <c r="F174" s="5"/>
      <c r="G174" s="4"/>
      <c r="H174" s="64" t="s">
        <v>278</v>
      </c>
      <c r="I174" s="36"/>
      <c r="J174" s="63"/>
      <c r="K174" s="63">
        <v>4</v>
      </c>
      <c r="L174" s="101">
        <v>1</v>
      </c>
      <c r="M174" s="101">
        <v>0</v>
      </c>
      <c r="N174" s="101">
        <v>0</v>
      </c>
      <c r="O174" s="101">
        <v>0</v>
      </c>
      <c r="P174" s="101">
        <v>0</v>
      </c>
      <c r="Q174" s="101">
        <v>0</v>
      </c>
      <c r="R174" s="101">
        <v>0</v>
      </c>
      <c r="S174" s="101">
        <v>0</v>
      </c>
      <c r="T174" s="101">
        <v>0</v>
      </c>
      <c r="U174" s="101">
        <v>0</v>
      </c>
      <c r="V174" s="101">
        <v>0</v>
      </c>
      <c r="W174" s="55"/>
      <c r="X174" s="4"/>
      <c r="Y174" s="16"/>
      <c r="Z174" s="1"/>
      <c r="AA174" s="1"/>
      <c r="AB174" s="1"/>
    </row>
    <row r="175" spans="1:28" outlineLevel="3" x14ac:dyDescent="0.25">
      <c r="A175" s="1"/>
      <c r="B175" s="33"/>
      <c r="C175" s="73">
        <f t="shared" si="5"/>
        <v>4</v>
      </c>
      <c r="D175" s="4"/>
      <c r="E175" s="5"/>
      <c r="F175" s="5"/>
      <c r="G175" s="4"/>
      <c r="H175" s="105" t="s">
        <v>280</v>
      </c>
      <c r="I175" s="2"/>
      <c r="J175" s="61">
        <v>3</v>
      </c>
      <c r="K175" s="61">
        <v>0</v>
      </c>
      <c r="L175" s="99">
        <v>1</v>
      </c>
      <c r="M175" s="99">
        <v>0</v>
      </c>
      <c r="N175" s="99">
        <v>0</v>
      </c>
      <c r="O175" s="99">
        <v>0</v>
      </c>
      <c r="P175" s="99">
        <v>0</v>
      </c>
      <c r="Q175" s="99">
        <v>0</v>
      </c>
      <c r="R175" s="99">
        <v>0</v>
      </c>
      <c r="S175" s="99">
        <v>0</v>
      </c>
      <c r="T175" s="99">
        <v>0</v>
      </c>
      <c r="U175" s="99">
        <v>0</v>
      </c>
      <c r="V175" s="99">
        <v>0</v>
      </c>
      <c r="W175" s="2"/>
      <c r="X175" s="4"/>
      <c r="Y175" s="16"/>
      <c r="Z175" s="1"/>
      <c r="AA175" s="1"/>
      <c r="AB175" s="1"/>
    </row>
    <row r="176" spans="1:28" outlineLevel="3" x14ac:dyDescent="0.25">
      <c r="A176" s="1"/>
      <c r="B176" s="33"/>
      <c r="C176" s="73">
        <f t="shared" si="5"/>
        <v>4</v>
      </c>
      <c r="D176" s="4"/>
      <c r="E176" s="5"/>
      <c r="F176" s="5"/>
      <c r="G176" s="4"/>
      <c r="H176" s="105" t="s">
        <v>279</v>
      </c>
      <c r="I176" s="2"/>
      <c r="J176" s="56" t="s">
        <v>162</v>
      </c>
      <c r="K176" s="56">
        <v>1</v>
      </c>
      <c r="L176" s="100">
        <v>1</v>
      </c>
      <c r="M176" s="100">
        <v>0</v>
      </c>
      <c r="N176" s="100">
        <v>0</v>
      </c>
      <c r="O176" s="100">
        <v>0</v>
      </c>
      <c r="P176" s="100">
        <v>0</v>
      </c>
      <c r="Q176" s="100">
        <v>0</v>
      </c>
      <c r="R176" s="100">
        <v>0</v>
      </c>
      <c r="S176" s="100">
        <v>0</v>
      </c>
      <c r="T176" s="100">
        <v>0</v>
      </c>
      <c r="U176" s="100">
        <v>0</v>
      </c>
      <c r="V176" s="100">
        <v>0</v>
      </c>
      <c r="W176" s="2"/>
      <c r="X176" s="4"/>
      <c r="Y176" s="16"/>
      <c r="Z176" s="1"/>
      <c r="AA176" s="1"/>
      <c r="AB176" s="1"/>
    </row>
    <row r="177" spans="1:28" outlineLevel="3" x14ac:dyDescent="0.25">
      <c r="A177" s="1"/>
      <c r="B177" s="33"/>
      <c r="C177" s="73">
        <f t="shared" si="5"/>
        <v>4</v>
      </c>
      <c r="D177" s="4"/>
      <c r="E177" s="5"/>
      <c r="F177" s="5"/>
      <c r="G177" s="4"/>
      <c r="H177" s="105" t="s">
        <v>281</v>
      </c>
      <c r="I177" s="2"/>
      <c r="J177" s="56"/>
      <c r="K177" s="56">
        <v>2</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25">
      <c r="A178" s="1"/>
      <c r="B178" s="33"/>
      <c r="C178" s="73">
        <f t="shared" si="5"/>
        <v>4</v>
      </c>
      <c r="D178" s="4"/>
      <c r="E178" s="5"/>
      <c r="F178" s="5"/>
      <c r="G178" s="4"/>
      <c r="H178" s="105" t="s">
        <v>282</v>
      </c>
      <c r="I178" s="2"/>
      <c r="J178" s="56"/>
      <c r="K178" s="56">
        <v>3</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25">
      <c r="A179" s="1"/>
      <c r="B179" s="33"/>
      <c r="C179" s="73">
        <f t="shared" si="5"/>
        <v>4</v>
      </c>
      <c r="D179" s="4"/>
      <c r="E179" s="5"/>
      <c r="F179" s="5"/>
      <c r="G179" s="4"/>
      <c r="H179" s="105" t="s">
        <v>283</v>
      </c>
      <c r="I179" s="62"/>
      <c r="J179" s="63"/>
      <c r="K179" s="63">
        <v>4</v>
      </c>
      <c r="L179" s="101">
        <v>1</v>
      </c>
      <c r="M179" s="101">
        <v>0</v>
      </c>
      <c r="N179" s="101">
        <v>0</v>
      </c>
      <c r="O179" s="101">
        <v>0</v>
      </c>
      <c r="P179" s="101">
        <v>0</v>
      </c>
      <c r="Q179" s="101">
        <v>0</v>
      </c>
      <c r="R179" s="101">
        <v>0</v>
      </c>
      <c r="S179" s="101">
        <v>0</v>
      </c>
      <c r="T179" s="101">
        <v>0</v>
      </c>
      <c r="U179" s="101">
        <v>0</v>
      </c>
      <c r="V179" s="101">
        <v>0</v>
      </c>
      <c r="W179" s="2"/>
      <c r="X179" s="4"/>
      <c r="Y179" s="16"/>
      <c r="Z179" s="1"/>
      <c r="AA179" s="1"/>
      <c r="AB179" s="1"/>
    </row>
    <row r="180" spans="1:28" outlineLevel="3" x14ac:dyDescent="0.25">
      <c r="A180" s="1"/>
      <c r="B180" s="33"/>
      <c r="C180" s="73">
        <f t="shared" si="5"/>
        <v>4</v>
      </c>
      <c r="D180" s="4"/>
      <c r="E180" s="5"/>
      <c r="F180" s="5"/>
      <c r="G180" s="4"/>
      <c r="H180" s="105" t="s">
        <v>284</v>
      </c>
      <c r="I180" s="104">
        <v>1</v>
      </c>
      <c r="J180" s="57">
        <v>0</v>
      </c>
      <c r="K180" s="61">
        <v>0</v>
      </c>
      <c r="L180" s="99">
        <v>1</v>
      </c>
      <c r="M180" s="99">
        <v>0</v>
      </c>
      <c r="N180" s="99">
        <v>0</v>
      </c>
      <c r="O180" s="99">
        <v>0</v>
      </c>
      <c r="P180" s="99">
        <v>0</v>
      </c>
      <c r="Q180" s="99">
        <v>0</v>
      </c>
      <c r="R180" s="99">
        <v>0</v>
      </c>
      <c r="S180" s="99">
        <v>0</v>
      </c>
      <c r="T180" s="99">
        <v>0</v>
      </c>
      <c r="U180" s="99">
        <v>0</v>
      </c>
      <c r="V180" s="99">
        <v>0</v>
      </c>
      <c r="W180" s="55"/>
      <c r="X180" s="4"/>
      <c r="Y180" s="16"/>
      <c r="Z180" s="1"/>
      <c r="AA180" s="1"/>
      <c r="AB180" s="1"/>
    </row>
    <row r="181" spans="1:28" outlineLevel="3" x14ac:dyDescent="0.25">
      <c r="A181" s="1"/>
      <c r="B181" s="33"/>
      <c r="C181" s="73">
        <f t="shared" si="5"/>
        <v>4</v>
      </c>
      <c r="D181" s="4"/>
      <c r="E181" s="5"/>
      <c r="F181" s="5"/>
      <c r="G181" s="4"/>
      <c r="H181" s="105" t="s">
        <v>285</v>
      </c>
      <c r="I181" s="36"/>
      <c r="J181" s="36"/>
      <c r="K181" s="56">
        <v>1</v>
      </c>
      <c r="L181" s="100">
        <v>1</v>
      </c>
      <c r="M181" s="100">
        <v>0</v>
      </c>
      <c r="N181" s="100">
        <v>0</v>
      </c>
      <c r="O181" s="100">
        <v>0</v>
      </c>
      <c r="P181" s="100">
        <v>0</v>
      </c>
      <c r="Q181" s="100">
        <v>0</v>
      </c>
      <c r="R181" s="100">
        <v>0</v>
      </c>
      <c r="S181" s="100">
        <v>0</v>
      </c>
      <c r="T181" s="100">
        <v>0</v>
      </c>
      <c r="U181" s="100">
        <v>0</v>
      </c>
      <c r="V181" s="100">
        <v>0</v>
      </c>
      <c r="W181" s="55"/>
      <c r="X181" s="4"/>
      <c r="Y181" s="16"/>
      <c r="Z181" s="1"/>
      <c r="AA181" s="1"/>
      <c r="AB181" s="1"/>
    </row>
    <row r="182" spans="1:28" outlineLevel="3" x14ac:dyDescent="0.25">
      <c r="A182" s="1"/>
      <c r="B182" s="33"/>
      <c r="C182" s="73">
        <f t="shared" si="5"/>
        <v>4</v>
      </c>
      <c r="D182" s="4"/>
      <c r="E182" s="5"/>
      <c r="F182" s="5"/>
      <c r="G182" s="4"/>
      <c r="H182" s="105" t="s">
        <v>286</v>
      </c>
      <c r="I182" s="36"/>
      <c r="J182" s="36"/>
      <c r="K182" s="56">
        <v>2</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25">
      <c r="A183" s="1"/>
      <c r="B183" s="33"/>
      <c r="C183" s="73">
        <f t="shared" si="5"/>
        <v>4</v>
      </c>
      <c r="D183" s="4"/>
      <c r="E183" s="5"/>
      <c r="F183" s="5"/>
      <c r="G183" s="4"/>
      <c r="H183" s="26"/>
      <c r="I183" s="36"/>
      <c r="J183" s="36"/>
      <c r="K183" s="56">
        <v>3</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25">
      <c r="A184" s="1"/>
      <c r="B184" s="33"/>
      <c r="C184" s="73">
        <f t="shared" si="5"/>
        <v>4</v>
      </c>
      <c r="D184" s="4"/>
      <c r="E184" s="5"/>
      <c r="F184" s="5"/>
      <c r="G184" s="4"/>
      <c r="H184" s="26"/>
      <c r="I184" s="36"/>
      <c r="J184" s="36"/>
      <c r="K184" s="63">
        <v>4</v>
      </c>
      <c r="L184" s="101">
        <v>1</v>
      </c>
      <c r="M184" s="101">
        <v>0</v>
      </c>
      <c r="N184" s="101">
        <v>0</v>
      </c>
      <c r="O184" s="101">
        <v>0</v>
      </c>
      <c r="P184" s="101">
        <v>0</v>
      </c>
      <c r="Q184" s="101">
        <v>0</v>
      </c>
      <c r="R184" s="101">
        <v>0</v>
      </c>
      <c r="S184" s="101">
        <v>0</v>
      </c>
      <c r="T184" s="101">
        <v>0</v>
      </c>
      <c r="U184" s="101">
        <v>0</v>
      </c>
      <c r="V184" s="101">
        <v>0</v>
      </c>
      <c r="W184" s="55"/>
      <c r="X184" s="4"/>
      <c r="Y184" s="16"/>
      <c r="Z184" s="1"/>
      <c r="AA184" s="1"/>
      <c r="AB184" s="1"/>
    </row>
    <row r="185" spans="1:28" outlineLevel="3" x14ac:dyDescent="0.25">
      <c r="A185" s="1"/>
      <c r="B185" s="33"/>
      <c r="C185" s="73">
        <f t="shared" si="5"/>
        <v>4</v>
      </c>
      <c r="D185" s="4"/>
      <c r="E185" s="5"/>
      <c r="F185" s="5"/>
      <c r="G185" s="4"/>
      <c r="H185" s="26"/>
      <c r="I185" s="2"/>
      <c r="J185" s="103">
        <v>1</v>
      </c>
      <c r="K185" s="103">
        <v>0</v>
      </c>
      <c r="L185" s="99">
        <v>1</v>
      </c>
      <c r="M185" s="99">
        <v>0</v>
      </c>
      <c r="N185" s="99">
        <v>0</v>
      </c>
      <c r="O185" s="99">
        <v>0</v>
      </c>
      <c r="P185" s="99">
        <v>0</v>
      </c>
      <c r="Q185" s="99">
        <v>0</v>
      </c>
      <c r="R185" s="99">
        <v>0</v>
      </c>
      <c r="S185" s="99">
        <v>0</v>
      </c>
      <c r="T185" s="99">
        <v>0</v>
      </c>
      <c r="U185" s="99">
        <v>0</v>
      </c>
      <c r="V185" s="99">
        <v>0</v>
      </c>
      <c r="W185" s="2"/>
      <c r="X185" s="4"/>
      <c r="Y185" s="16"/>
      <c r="Z185" s="1"/>
      <c r="AA185" s="1"/>
      <c r="AB185" s="1"/>
    </row>
    <row r="186" spans="1:28" outlineLevel="3" x14ac:dyDescent="0.25">
      <c r="A186" s="1"/>
      <c r="B186" s="33"/>
      <c r="C186" s="73">
        <f t="shared" si="5"/>
        <v>4</v>
      </c>
      <c r="D186" s="4"/>
      <c r="E186" s="5"/>
      <c r="F186" s="5"/>
      <c r="G186" s="4"/>
      <c r="H186" s="26"/>
      <c r="I186" s="2"/>
      <c r="J186" s="56"/>
      <c r="K186" s="56">
        <v>1</v>
      </c>
      <c r="L186" s="100">
        <v>1</v>
      </c>
      <c r="M186" s="100">
        <v>2</v>
      </c>
      <c r="N186" s="100">
        <v>3</v>
      </c>
      <c r="O186" s="100">
        <v>3</v>
      </c>
      <c r="P186" s="100">
        <v>3</v>
      </c>
      <c r="Q186" s="100">
        <v>3</v>
      </c>
      <c r="R186" s="100">
        <v>3</v>
      </c>
      <c r="S186" s="100">
        <v>3</v>
      </c>
      <c r="T186" s="100">
        <v>3</v>
      </c>
      <c r="U186" s="100">
        <v>3</v>
      </c>
      <c r="V186" s="100">
        <v>3</v>
      </c>
      <c r="W186" s="2"/>
      <c r="X186" s="4"/>
      <c r="Y186" s="16"/>
      <c r="Z186" s="1"/>
      <c r="AA186" s="1"/>
      <c r="AB186" s="1"/>
    </row>
    <row r="187" spans="1:28" outlineLevel="3" x14ac:dyDescent="0.25">
      <c r="A187" s="1"/>
      <c r="B187" s="33"/>
      <c r="C187" s="73">
        <f t="shared" si="5"/>
        <v>4</v>
      </c>
      <c r="D187" s="4"/>
      <c r="E187" s="5"/>
      <c r="F187" s="5"/>
      <c r="G187" s="4"/>
      <c r="H187" s="26"/>
      <c r="I187" s="2"/>
      <c r="J187" s="56"/>
      <c r="K187" s="56">
        <v>2</v>
      </c>
      <c r="L187" s="100">
        <v>1</v>
      </c>
      <c r="M187" s="100">
        <v>2</v>
      </c>
      <c r="N187" s="100">
        <v>4</v>
      </c>
      <c r="O187" s="100">
        <v>5</v>
      </c>
      <c r="P187" s="100">
        <v>5</v>
      </c>
      <c r="Q187" s="100">
        <v>5</v>
      </c>
      <c r="R187" s="100">
        <v>5</v>
      </c>
      <c r="S187" s="100">
        <v>5</v>
      </c>
      <c r="T187" s="100">
        <v>4</v>
      </c>
      <c r="U187" s="100">
        <v>5</v>
      </c>
      <c r="V187" s="100">
        <v>5</v>
      </c>
      <c r="W187" s="2"/>
      <c r="X187" s="4"/>
      <c r="Y187" s="16"/>
      <c r="Z187" s="1"/>
      <c r="AA187" s="1"/>
      <c r="AB187" s="1"/>
    </row>
    <row r="188" spans="1:28" outlineLevel="3" x14ac:dyDescent="0.25">
      <c r="A188" s="1"/>
      <c r="B188" s="33"/>
      <c r="C188" s="73">
        <f t="shared" si="5"/>
        <v>4</v>
      </c>
      <c r="D188" s="4"/>
      <c r="E188" s="5"/>
      <c r="F188" s="5"/>
      <c r="G188" s="4"/>
      <c r="H188" s="26"/>
      <c r="I188" s="2"/>
      <c r="J188" s="56"/>
      <c r="K188" s="56">
        <v>3</v>
      </c>
      <c r="L188" s="100">
        <v>1</v>
      </c>
      <c r="M188" s="100">
        <v>2</v>
      </c>
      <c r="N188" s="100">
        <v>4</v>
      </c>
      <c r="O188" s="100">
        <v>6</v>
      </c>
      <c r="P188" s="100">
        <v>7</v>
      </c>
      <c r="Q188" s="100">
        <v>6</v>
      </c>
      <c r="R188" s="100">
        <v>7</v>
      </c>
      <c r="S188" s="100">
        <v>7</v>
      </c>
      <c r="T188" s="100">
        <v>4</v>
      </c>
      <c r="U188" s="100">
        <v>6</v>
      </c>
      <c r="V188" s="100">
        <v>7</v>
      </c>
      <c r="W188" s="2"/>
      <c r="X188" s="4"/>
      <c r="Y188" s="16"/>
      <c r="Z188" s="1"/>
      <c r="AA188" s="1"/>
      <c r="AB188" s="1"/>
    </row>
    <row r="189" spans="1:28" outlineLevel="3" x14ac:dyDescent="0.25">
      <c r="A189" s="1"/>
      <c r="B189" s="33"/>
      <c r="C189" s="73">
        <f t="shared" si="5"/>
        <v>4</v>
      </c>
      <c r="D189" s="4"/>
      <c r="E189" s="5"/>
      <c r="F189" s="5"/>
      <c r="G189" s="4"/>
      <c r="H189" s="26"/>
      <c r="I189" s="2"/>
      <c r="J189" s="63"/>
      <c r="K189" s="63">
        <v>4</v>
      </c>
      <c r="L189" s="101">
        <v>1</v>
      </c>
      <c r="M189" s="101">
        <v>2</v>
      </c>
      <c r="N189" s="101">
        <v>4</v>
      </c>
      <c r="O189" s="101">
        <v>6</v>
      </c>
      <c r="P189" s="101">
        <v>7</v>
      </c>
      <c r="Q189" s="101">
        <v>6</v>
      </c>
      <c r="R189" s="101">
        <v>7</v>
      </c>
      <c r="S189" s="101">
        <v>7</v>
      </c>
      <c r="T189" s="101">
        <v>4</v>
      </c>
      <c r="U189" s="101">
        <v>6</v>
      </c>
      <c r="V189" s="101">
        <v>7</v>
      </c>
      <c r="W189" s="2"/>
      <c r="X189" s="4"/>
      <c r="Y189" s="16"/>
      <c r="Z189" s="1"/>
      <c r="AA189" s="1"/>
      <c r="AB189" s="1"/>
    </row>
    <row r="190" spans="1:28" outlineLevel="3" x14ac:dyDescent="0.25">
      <c r="A190" s="1"/>
      <c r="B190" s="33"/>
      <c r="C190" s="73">
        <f t="shared" si="5"/>
        <v>4</v>
      </c>
      <c r="D190" s="4"/>
      <c r="E190" s="5"/>
      <c r="F190" s="5"/>
      <c r="G190" s="4"/>
      <c r="H190" s="26"/>
      <c r="I190" s="36"/>
      <c r="J190" s="61">
        <v>2</v>
      </c>
      <c r="K190" s="61">
        <v>0</v>
      </c>
      <c r="L190" s="99">
        <v>1</v>
      </c>
      <c r="M190" s="99">
        <v>0</v>
      </c>
      <c r="N190" s="99">
        <v>0</v>
      </c>
      <c r="O190" s="99">
        <v>0</v>
      </c>
      <c r="P190" s="99">
        <v>0</v>
      </c>
      <c r="Q190" s="99">
        <v>0</v>
      </c>
      <c r="R190" s="99">
        <v>0</v>
      </c>
      <c r="S190" s="99">
        <v>0</v>
      </c>
      <c r="T190" s="99">
        <v>0</v>
      </c>
      <c r="U190" s="99">
        <v>0</v>
      </c>
      <c r="V190" s="99">
        <v>0</v>
      </c>
      <c r="W190" s="55"/>
      <c r="X190" s="4"/>
      <c r="Y190" s="16"/>
      <c r="Z190" s="1"/>
      <c r="AA190" s="1"/>
      <c r="AB190" s="1"/>
    </row>
    <row r="191" spans="1:28" outlineLevel="3" x14ac:dyDescent="0.25">
      <c r="A191" s="1"/>
      <c r="B191" s="33"/>
      <c r="C191" s="73">
        <f t="shared" si="5"/>
        <v>4</v>
      </c>
      <c r="D191" s="4"/>
      <c r="E191" s="5"/>
      <c r="F191" s="5"/>
      <c r="G191" s="4"/>
      <c r="H191" s="26"/>
      <c r="I191" s="36"/>
      <c r="J191" s="56"/>
      <c r="K191" s="56">
        <v>1</v>
      </c>
      <c r="L191" s="100">
        <v>1</v>
      </c>
      <c r="M191" s="100">
        <v>2</v>
      </c>
      <c r="N191" s="100">
        <v>3</v>
      </c>
      <c r="O191" s="100">
        <v>3</v>
      </c>
      <c r="P191" s="100">
        <v>3</v>
      </c>
      <c r="Q191" s="100">
        <v>3</v>
      </c>
      <c r="R191" s="100">
        <v>3</v>
      </c>
      <c r="S191" s="100">
        <v>3</v>
      </c>
      <c r="T191" s="100">
        <v>2</v>
      </c>
      <c r="U191" s="100">
        <v>2</v>
      </c>
      <c r="V191" s="100">
        <v>2</v>
      </c>
      <c r="W191" s="55"/>
      <c r="X191" s="4"/>
      <c r="Y191" s="16"/>
      <c r="Z191" s="1"/>
      <c r="AA191" s="1"/>
      <c r="AB191" s="1"/>
    </row>
    <row r="192" spans="1:28" outlineLevel="3" x14ac:dyDescent="0.25">
      <c r="A192" s="1"/>
      <c r="B192" s="33"/>
      <c r="C192" s="73">
        <f t="shared" si="5"/>
        <v>4</v>
      </c>
      <c r="D192" s="4"/>
      <c r="E192" s="5"/>
      <c r="F192" s="5"/>
      <c r="G192" s="4"/>
      <c r="H192" s="26"/>
      <c r="I192" s="36"/>
      <c r="J192" s="56"/>
      <c r="K192" s="56">
        <v>2</v>
      </c>
      <c r="L192" s="100">
        <v>1</v>
      </c>
      <c r="M192" s="100">
        <v>2</v>
      </c>
      <c r="N192" s="100">
        <v>4</v>
      </c>
      <c r="O192" s="100">
        <v>5</v>
      </c>
      <c r="P192" s="100">
        <v>5</v>
      </c>
      <c r="Q192" s="100">
        <v>5</v>
      </c>
      <c r="R192" s="100">
        <v>5</v>
      </c>
      <c r="S192" s="100">
        <v>5</v>
      </c>
      <c r="T192" s="100">
        <v>2</v>
      </c>
      <c r="U192" s="100">
        <v>2</v>
      </c>
      <c r="V192" s="100">
        <v>2</v>
      </c>
      <c r="W192" s="55"/>
      <c r="X192" s="4"/>
      <c r="Y192" s="16"/>
      <c r="Z192" s="1"/>
      <c r="AA192" s="1"/>
      <c r="AB192" s="1"/>
    </row>
    <row r="193" spans="1:28" outlineLevel="3" x14ac:dyDescent="0.25">
      <c r="A193" s="1"/>
      <c r="B193" s="33"/>
      <c r="C193" s="73">
        <f t="shared" si="5"/>
        <v>4</v>
      </c>
      <c r="D193" s="4"/>
      <c r="E193" s="5"/>
      <c r="F193" s="5"/>
      <c r="G193" s="4"/>
      <c r="H193" s="26"/>
      <c r="I193" s="36"/>
      <c r="J193" s="56"/>
      <c r="K193" s="56">
        <v>3</v>
      </c>
      <c r="L193" s="100">
        <v>1</v>
      </c>
      <c r="M193" s="100">
        <v>2</v>
      </c>
      <c r="N193" s="100">
        <v>4</v>
      </c>
      <c r="O193" s="100">
        <v>6</v>
      </c>
      <c r="P193" s="100">
        <v>7</v>
      </c>
      <c r="Q193" s="100">
        <v>6</v>
      </c>
      <c r="R193" s="100">
        <v>7</v>
      </c>
      <c r="S193" s="100">
        <v>7</v>
      </c>
      <c r="T193" s="100">
        <v>2</v>
      </c>
      <c r="U193" s="100">
        <v>2</v>
      </c>
      <c r="V193" s="100">
        <v>2</v>
      </c>
      <c r="W193" s="55"/>
      <c r="X193" s="4"/>
      <c r="Y193" s="16"/>
      <c r="Z193" s="1"/>
      <c r="AA193" s="1"/>
      <c r="AB193" s="1"/>
    </row>
    <row r="194" spans="1:28" outlineLevel="3" x14ac:dyDescent="0.25">
      <c r="A194" s="1"/>
      <c r="B194" s="33"/>
      <c r="C194" s="73">
        <f t="shared" si="5"/>
        <v>4</v>
      </c>
      <c r="D194" s="4"/>
      <c r="E194" s="5"/>
      <c r="F194" s="5"/>
      <c r="G194" s="4"/>
      <c r="H194" s="26"/>
      <c r="I194" s="36"/>
      <c r="J194" s="63"/>
      <c r="K194" s="63">
        <v>4</v>
      </c>
      <c r="L194" s="101">
        <v>1</v>
      </c>
      <c r="M194" s="101">
        <v>2</v>
      </c>
      <c r="N194" s="101">
        <v>4</v>
      </c>
      <c r="O194" s="101">
        <v>6</v>
      </c>
      <c r="P194" s="101">
        <v>7</v>
      </c>
      <c r="Q194" s="101">
        <v>6</v>
      </c>
      <c r="R194" s="101">
        <v>7</v>
      </c>
      <c r="S194" s="101">
        <v>7</v>
      </c>
      <c r="T194" s="101">
        <v>2</v>
      </c>
      <c r="U194" s="101">
        <v>2</v>
      </c>
      <c r="V194" s="101">
        <v>2</v>
      </c>
      <c r="W194" s="55"/>
      <c r="X194" s="4"/>
      <c r="Y194" s="16"/>
      <c r="Z194" s="1"/>
      <c r="AA194" s="1"/>
      <c r="AB194" s="1"/>
    </row>
    <row r="195" spans="1:28" outlineLevel="3" x14ac:dyDescent="0.25">
      <c r="A195" s="1"/>
      <c r="B195" s="33"/>
      <c r="C195" s="73">
        <f t="shared" si="5"/>
        <v>4</v>
      </c>
      <c r="D195" s="4"/>
      <c r="E195" s="5"/>
      <c r="F195" s="5"/>
      <c r="G195" s="4"/>
      <c r="H195" s="26"/>
      <c r="I195" s="2"/>
      <c r="J195" s="61">
        <v>3</v>
      </c>
      <c r="K195" s="61">
        <v>0</v>
      </c>
      <c r="L195" s="99">
        <v>1</v>
      </c>
      <c r="M195" s="99">
        <v>0</v>
      </c>
      <c r="N195" s="99">
        <v>0</v>
      </c>
      <c r="O195" s="99">
        <v>0</v>
      </c>
      <c r="P195" s="99">
        <v>0</v>
      </c>
      <c r="Q195" s="99">
        <v>0</v>
      </c>
      <c r="R195" s="99">
        <v>0</v>
      </c>
      <c r="S195" s="99">
        <v>0</v>
      </c>
      <c r="T195" s="99">
        <v>0</v>
      </c>
      <c r="U195" s="99">
        <v>0</v>
      </c>
      <c r="V195" s="99">
        <v>0</v>
      </c>
      <c r="W195" s="2"/>
      <c r="X195" s="4"/>
      <c r="Y195" s="16"/>
      <c r="Z195" s="1"/>
      <c r="AA195" s="1"/>
      <c r="AB195" s="1"/>
    </row>
    <row r="196" spans="1:28" outlineLevel="3" x14ac:dyDescent="0.25">
      <c r="A196" s="1"/>
      <c r="B196" s="33"/>
      <c r="C196" s="73">
        <f t="shared" si="5"/>
        <v>4</v>
      </c>
      <c r="D196" s="4"/>
      <c r="E196" s="5"/>
      <c r="F196" s="5"/>
      <c r="G196" s="4"/>
      <c r="H196" s="26"/>
      <c r="I196" s="2"/>
      <c r="J196" s="56"/>
      <c r="K196" s="56">
        <v>1</v>
      </c>
      <c r="L196" s="100">
        <v>1</v>
      </c>
      <c r="M196" s="100">
        <v>2</v>
      </c>
      <c r="N196" s="100">
        <v>3</v>
      </c>
      <c r="O196" s="100">
        <v>3</v>
      </c>
      <c r="P196" s="100">
        <v>3</v>
      </c>
      <c r="Q196" s="100">
        <v>3</v>
      </c>
      <c r="R196" s="100">
        <v>3</v>
      </c>
      <c r="S196" s="100">
        <v>3</v>
      </c>
      <c r="T196" s="100">
        <v>2</v>
      </c>
      <c r="U196" s="100">
        <v>2</v>
      </c>
      <c r="V196" s="100">
        <v>2</v>
      </c>
      <c r="W196" s="2"/>
      <c r="X196" s="4"/>
      <c r="Y196" s="16"/>
      <c r="Z196" s="1"/>
      <c r="AA196" s="1"/>
      <c r="AB196" s="1"/>
    </row>
    <row r="197" spans="1:28" outlineLevel="3" x14ac:dyDescent="0.25">
      <c r="A197" s="1"/>
      <c r="B197" s="33"/>
      <c r="C197" s="73">
        <f t="shared" si="5"/>
        <v>4</v>
      </c>
      <c r="D197" s="4"/>
      <c r="E197" s="5"/>
      <c r="F197" s="5"/>
      <c r="G197" s="4"/>
      <c r="H197" s="26"/>
      <c r="I197" s="2"/>
      <c r="J197" s="56"/>
      <c r="K197" s="56">
        <v>2</v>
      </c>
      <c r="L197" s="100">
        <v>1</v>
      </c>
      <c r="M197" s="100">
        <v>2</v>
      </c>
      <c r="N197" s="100">
        <v>4</v>
      </c>
      <c r="O197" s="100">
        <v>5</v>
      </c>
      <c r="P197" s="100">
        <v>5</v>
      </c>
      <c r="Q197" s="100">
        <v>4</v>
      </c>
      <c r="R197" s="100">
        <v>5</v>
      </c>
      <c r="S197" s="100">
        <v>4</v>
      </c>
      <c r="T197" s="100">
        <v>2</v>
      </c>
      <c r="U197" s="100">
        <v>2</v>
      </c>
      <c r="V197" s="100">
        <v>2</v>
      </c>
      <c r="W197" s="2"/>
      <c r="X197" s="4"/>
      <c r="Y197" s="16"/>
      <c r="Z197" s="1"/>
      <c r="AA197" s="1"/>
      <c r="AB197" s="1"/>
    </row>
    <row r="198" spans="1:28" outlineLevel="3" x14ac:dyDescent="0.25">
      <c r="A198" s="1"/>
      <c r="B198" s="33"/>
      <c r="C198" s="73">
        <f t="shared" si="5"/>
        <v>4</v>
      </c>
      <c r="D198" s="4"/>
      <c r="E198" s="5"/>
      <c r="F198" s="5"/>
      <c r="G198" s="4"/>
      <c r="H198" s="26"/>
      <c r="I198" s="2"/>
      <c r="J198" s="56"/>
      <c r="K198" s="56">
        <v>3</v>
      </c>
      <c r="L198" s="100">
        <v>1</v>
      </c>
      <c r="M198" s="100">
        <v>2</v>
      </c>
      <c r="N198" s="100">
        <v>4</v>
      </c>
      <c r="O198" s="100">
        <v>6</v>
      </c>
      <c r="P198" s="100">
        <v>7</v>
      </c>
      <c r="Q198" s="100">
        <v>4</v>
      </c>
      <c r="R198" s="100">
        <v>6</v>
      </c>
      <c r="S198" s="100">
        <v>4</v>
      </c>
      <c r="T198" s="100">
        <v>2</v>
      </c>
      <c r="U198" s="100">
        <v>2</v>
      </c>
      <c r="V198" s="100">
        <v>2</v>
      </c>
      <c r="W198" s="2"/>
      <c r="X198" s="4"/>
      <c r="Y198" s="16"/>
      <c r="Z198" s="1"/>
      <c r="AA198" s="1"/>
      <c r="AB198" s="1"/>
    </row>
    <row r="199" spans="1:28" outlineLevel="3" x14ac:dyDescent="0.25">
      <c r="A199" s="1"/>
      <c r="B199" s="33"/>
      <c r="C199" s="73">
        <f t="shared" si="5"/>
        <v>4</v>
      </c>
      <c r="D199" s="4"/>
      <c r="E199" s="5"/>
      <c r="F199" s="5"/>
      <c r="G199" s="4"/>
      <c r="H199" s="26"/>
      <c r="I199" s="62"/>
      <c r="J199" s="63"/>
      <c r="K199" s="63">
        <v>4</v>
      </c>
      <c r="L199" s="101">
        <v>1</v>
      </c>
      <c r="M199" s="101">
        <v>2</v>
      </c>
      <c r="N199" s="101">
        <v>4</v>
      </c>
      <c r="O199" s="101">
        <v>6</v>
      </c>
      <c r="P199" s="101">
        <v>7</v>
      </c>
      <c r="Q199" s="101">
        <v>4</v>
      </c>
      <c r="R199" s="101">
        <v>6</v>
      </c>
      <c r="S199" s="101">
        <v>4</v>
      </c>
      <c r="T199" s="101">
        <v>2</v>
      </c>
      <c r="U199" s="101">
        <v>2</v>
      </c>
      <c r="V199" s="101">
        <v>2</v>
      </c>
      <c r="W199" s="2"/>
      <c r="X199" s="4"/>
      <c r="Y199" s="16"/>
      <c r="Z199" s="1"/>
      <c r="AA199" s="1"/>
      <c r="AB199" s="1"/>
    </row>
    <row r="200" spans="1:28" ht="5.0999999999999996" customHeight="1" outlineLevel="2" x14ac:dyDescent="0.25">
      <c r="A200" s="1"/>
      <c r="B200" s="33"/>
      <c r="C200" s="73">
        <f>INT(C$132)+2.005</f>
        <v>3.0049999999999999</v>
      </c>
      <c r="D200" s="4"/>
      <c r="E200" s="4"/>
      <c r="F200" s="4"/>
      <c r="G200" s="4"/>
      <c r="H200" s="4"/>
      <c r="I200" s="4"/>
      <c r="J200" s="4"/>
      <c r="K200" s="4"/>
      <c r="L200" s="4"/>
      <c r="M200" s="4"/>
      <c r="N200" s="4"/>
      <c r="O200" s="4"/>
      <c r="P200" s="4"/>
      <c r="Q200" s="4"/>
      <c r="R200" s="4"/>
      <c r="S200" s="4"/>
      <c r="T200" s="4"/>
      <c r="U200" s="4"/>
      <c r="V200" s="4"/>
      <c r="W200" s="4"/>
      <c r="X200" s="4"/>
      <c r="Y200" s="16"/>
      <c r="Z200" s="1"/>
      <c r="AA200" s="1"/>
      <c r="AB200" s="1"/>
    </row>
    <row r="201" spans="1:28" outlineLevel="1" x14ac:dyDescent="0.25">
      <c r="A201" s="1"/>
      <c r="B201" s="33"/>
      <c r="C201" s="73">
        <f>INT(C$132)+1</f>
        <v>2</v>
      </c>
      <c r="D201" s="4"/>
      <c r="E201" s="5"/>
      <c r="F201" s="5"/>
      <c r="G201" s="4"/>
      <c r="H201" s="59" t="s">
        <v>277</v>
      </c>
      <c r="I201" s="60" t="str">
        <f>"("&amp;ROWS(ia_ppk2g1_rlsb1)-2&amp;","&amp;COLUMNS(ia_ppk2g1_rlsb1)-1&amp;"): ia_ppk2_vlsb1(pointers) = input"</f>
        <v>(58,10): ia_ppk2_vlsb1(pointers) = input</v>
      </c>
      <c r="J201" s="49"/>
      <c r="K201" s="49"/>
      <c r="L201" s="127" t="s">
        <v>225</v>
      </c>
      <c r="M201" s="128" t="s">
        <v>226</v>
      </c>
      <c r="N201" s="128" t="s">
        <v>227</v>
      </c>
      <c r="O201" s="128" t="s">
        <v>228</v>
      </c>
      <c r="P201" s="128" t="s">
        <v>229</v>
      </c>
      <c r="Q201" s="128" t="s">
        <v>230</v>
      </c>
      <c r="R201" s="128" t="s">
        <v>231</v>
      </c>
      <c r="S201" s="128" t="s">
        <v>232</v>
      </c>
      <c r="T201" s="128" t="s">
        <v>233</v>
      </c>
      <c r="U201" s="128" t="s">
        <v>234</v>
      </c>
      <c r="V201" s="129" t="s">
        <v>235</v>
      </c>
      <c r="W201" s="93"/>
      <c r="X201" s="4"/>
      <c r="Y201" s="16"/>
      <c r="Z201" s="1"/>
      <c r="AA201" s="1"/>
      <c r="AB201" s="1"/>
    </row>
    <row r="202" spans="1:28" outlineLevel="2" x14ac:dyDescent="0.25">
      <c r="A202" s="1"/>
      <c r="B202" s="33"/>
      <c r="C202" s="73">
        <f>INT($C$132)+2</f>
        <v>3</v>
      </c>
      <c r="D202" s="4"/>
      <c r="E202" s="5"/>
      <c r="F202" s="5"/>
      <c r="G202" s="4"/>
      <c r="H202" s="119"/>
      <c r="I202" s="60"/>
      <c r="J202" s="49"/>
      <c r="K202" s="49">
        <v>1</v>
      </c>
      <c r="L202" s="130" t="str">
        <f t="shared" ref="L202:V203" si="6">LEFT(L$201,LEN(L$201)-1)&amp;$K202</f>
        <v>NM-1</v>
      </c>
      <c r="M202" s="131" t="str">
        <f t="shared" si="6"/>
        <v>00-1</v>
      </c>
      <c r="N202" s="93" t="str">
        <f t="shared" si="6"/>
        <v>11-1</v>
      </c>
      <c r="O202" s="93" t="str">
        <f t="shared" si="6"/>
        <v>22-1</v>
      </c>
      <c r="P202" s="93" t="str">
        <f t="shared" si="6"/>
        <v>33-1</v>
      </c>
      <c r="Q202" s="93" t="str">
        <f t="shared" si="6"/>
        <v>21-1</v>
      </c>
      <c r="R202" s="93" t="str">
        <f t="shared" si="6"/>
        <v>32-1</v>
      </c>
      <c r="S202" s="93" t="str">
        <f t="shared" si="6"/>
        <v>31-1</v>
      </c>
      <c r="T202" s="93" t="str">
        <f t="shared" si="6"/>
        <v>10-1</v>
      </c>
      <c r="U202" s="93" t="str">
        <f t="shared" si="6"/>
        <v>20-1</v>
      </c>
      <c r="V202" s="132" t="str">
        <f t="shared" si="6"/>
        <v>30-1</v>
      </c>
      <c r="W202" s="93"/>
      <c r="X202" s="4"/>
      <c r="Y202" s="16"/>
      <c r="Z202" s="1"/>
      <c r="AA202" s="1"/>
      <c r="AB202" s="1"/>
    </row>
    <row r="203" spans="1:28" outlineLevel="2" x14ac:dyDescent="0.25">
      <c r="A203" s="1"/>
      <c r="B203" s="33"/>
      <c r="C203" s="73">
        <f>INT($C$132)+2</f>
        <v>3</v>
      </c>
      <c r="D203" s="4"/>
      <c r="E203" s="5"/>
      <c r="F203" s="5"/>
      <c r="G203" s="4"/>
      <c r="H203" s="119"/>
      <c r="I203" s="60"/>
      <c r="J203" s="49"/>
      <c r="K203" s="49">
        <v>2</v>
      </c>
      <c r="L203" s="133" t="str">
        <f t="shared" si="6"/>
        <v>NM-2</v>
      </c>
      <c r="M203" s="134" t="str">
        <f t="shared" si="6"/>
        <v>00-2</v>
      </c>
      <c r="N203" s="135" t="str">
        <f t="shared" si="6"/>
        <v>11-2</v>
      </c>
      <c r="O203" s="135" t="str">
        <f t="shared" si="6"/>
        <v>22-2</v>
      </c>
      <c r="P203" s="135" t="str">
        <f t="shared" si="6"/>
        <v>33-2</v>
      </c>
      <c r="Q203" s="135" t="str">
        <f t="shared" si="6"/>
        <v>21-2</v>
      </c>
      <c r="R203" s="135" t="str">
        <f t="shared" si="6"/>
        <v>32-2</v>
      </c>
      <c r="S203" s="135" t="str">
        <f t="shared" si="6"/>
        <v>31-2</v>
      </c>
      <c r="T203" s="135" t="str">
        <f t="shared" si="6"/>
        <v>10-2</v>
      </c>
      <c r="U203" s="135" t="str">
        <f t="shared" si="6"/>
        <v>20-2</v>
      </c>
      <c r="V203" s="136" t="str">
        <f t="shared" si="6"/>
        <v>30-2</v>
      </c>
      <c r="W203" s="93"/>
      <c r="X203" s="4"/>
      <c r="Y203" s="16"/>
      <c r="Z203" s="1"/>
      <c r="AA203" s="1"/>
      <c r="AB203" s="1"/>
    </row>
    <row r="204" spans="1:28" ht="5.0999999999999996" customHeight="1" outlineLevel="3" x14ac:dyDescent="0.25">
      <c r="A204" s="1"/>
      <c r="B204" s="33"/>
      <c r="C204" s="73">
        <f>INT(C$132)+3.005</f>
        <v>4.0049999999999999</v>
      </c>
      <c r="D204" s="4" t="s">
        <v>2</v>
      </c>
      <c r="E204" s="4"/>
      <c r="F204" s="4"/>
      <c r="G204" s="4"/>
      <c r="H204" s="4"/>
      <c r="I204" s="4"/>
      <c r="J204" s="4"/>
      <c r="K204" s="4"/>
      <c r="L204" s="4"/>
      <c r="M204" s="4"/>
      <c r="N204" s="4"/>
      <c r="O204" s="4"/>
      <c r="P204" s="4"/>
      <c r="Q204" s="4"/>
      <c r="R204" s="4"/>
      <c r="S204" s="4"/>
      <c r="T204" s="4"/>
      <c r="U204" s="4"/>
      <c r="V204" s="4"/>
      <c r="W204" s="4"/>
      <c r="X204" s="4"/>
      <c r="Y204" s="16"/>
      <c r="Z204" s="1"/>
      <c r="AA204" s="1"/>
      <c r="AB204" s="1"/>
    </row>
    <row r="205" spans="1:28" outlineLevel="2" x14ac:dyDescent="0.25">
      <c r="A205" s="1"/>
      <c r="B205" s="33"/>
      <c r="C205" s="73">
        <f>INT($C$132)+2</f>
        <v>3</v>
      </c>
      <c r="D205" s="4"/>
      <c r="E205" s="5"/>
      <c r="F205" s="5"/>
      <c r="G205" s="4"/>
      <c r="H205" s="108" t="s">
        <v>117</v>
      </c>
      <c r="I205" s="54" t="s">
        <v>212</v>
      </c>
      <c r="J205" s="54" t="s">
        <v>108</v>
      </c>
      <c r="K205" s="54" t="s">
        <v>96</v>
      </c>
      <c r="L205" s="31">
        <v>3</v>
      </c>
      <c r="M205" s="31">
        <f>i_len_l</f>
        <v>4</v>
      </c>
      <c r="N205" s="137">
        <f>i_len_s</f>
        <v>5</v>
      </c>
      <c r="O205" s="98" t="s">
        <v>139</v>
      </c>
      <c r="P205" s="98"/>
      <c r="Q205" s="98"/>
      <c r="R205" s="98"/>
      <c r="S205" s="98"/>
      <c r="T205" s="98"/>
      <c r="U205" s="102"/>
      <c r="V205" s="102"/>
      <c r="W205" s="2"/>
      <c r="X205" s="4"/>
      <c r="Y205" s="16"/>
      <c r="Z205" s="1"/>
      <c r="AA205" s="1"/>
      <c r="AB205" s="1"/>
    </row>
    <row r="206" spans="1:28" outlineLevel="3" x14ac:dyDescent="0.25">
      <c r="A206" s="1"/>
      <c r="B206" s="33"/>
      <c r="C206" s="73">
        <f t="shared" ref="C206:C237" si="7">INT($C$132)+3</f>
        <v>4</v>
      </c>
      <c r="D206" s="4"/>
      <c r="E206" s="5"/>
      <c r="F206" s="5"/>
      <c r="G206" s="4"/>
      <c r="H206" s="64" t="s">
        <v>129</v>
      </c>
      <c r="I206" s="57">
        <v>0</v>
      </c>
      <c r="J206" s="57">
        <v>0</v>
      </c>
      <c r="K206" s="61">
        <v>0</v>
      </c>
      <c r="L206" s="61">
        <v>0</v>
      </c>
      <c r="M206" s="31">
        <v>2</v>
      </c>
      <c r="N206" s="139">
        <f t="shared" ref="N206:V206" si="8">M206</f>
        <v>2</v>
      </c>
      <c r="O206" s="139">
        <f t="shared" si="8"/>
        <v>2</v>
      </c>
      <c r="P206" s="139">
        <f t="shared" si="8"/>
        <v>2</v>
      </c>
      <c r="Q206" s="139">
        <f t="shared" si="8"/>
        <v>2</v>
      </c>
      <c r="R206" s="139">
        <f t="shared" si="8"/>
        <v>2</v>
      </c>
      <c r="S206" s="139">
        <f t="shared" si="8"/>
        <v>2</v>
      </c>
      <c r="T206" s="139">
        <f t="shared" si="8"/>
        <v>2</v>
      </c>
      <c r="U206" s="139">
        <f t="shared" si="8"/>
        <v>2</v>
      </c>
      <c r="V206" s="139">
        <f t="shared" si="8"/>
        <v>2</v>
      </c>
      <c r="W206" s="2"/>
      <c r="X206" s="4"/>
      <c r="Y206" s="16"/>
      <c r="Z206" s="1"/>
      <c r="AA206" s="1"/>
      <c r="AB206" s="1"/>
    </row>
    <row r="207" spans="1:28" outlineLevel="3" x14ac:dyDescent="0.25">
      <c r="A207" s="1"/>
      <c r="B207" s="33"/>
      <c r="C207" s="73">
        <f t="shared" si="7"/>
        <v>4</v>
      </c>
      <c r="D207" s="4"/>
      <c r="E207" s="5"/>
      <c r="F207" s="5"/>
      <c r="G207" s="4"/>
      <c r="H207" s="64" t="s">
        <v>130</v>
      </c>
      <c r="I207" s="36" t="s">
        <v>157</v>
      </c>
      <c r="J207" s="36" t="s">
        <v>160</v>
      </c>
      <c r="K207" s="56">
        <v>1</v>
      </c>
      <c r="L207" s="56">
        <v>0</v>
      </c>
      <c r="M207" s="142">
        <f t="shared" ref="M207:M225" si="9">M206</f>
        <v>2</v>
      </c>
      <c r="N207" s="140">
        <f t="shared" ref="N207:V207" si="10">M207</f>
        <v>2</v>
      </c>
      <c r="O207" s="140">
        <f t="shared" si="10"/>
        <v>2</v>
      </c>
      <c r="P207" s="140">
        <f t="shared" si="10"/>
        <v>2</v>
      </c>
      <c r="Q207" s="140">
        <f t="shared" si="10"/>
        <v>2</v>
      </c>
      <c r="R207" s="140">
        <f t="shared" si="10"/>
        <v>2</v>
      </c>
      <c r="S207" s="140">
        <f t="shared" si="10"/>
        <v>2</v>
      </c>
      <c r="T207" s="140">
        <f t="shared" si="10"/>
        <v>2</v>
      </c>
      <c r="U207" s="140">
        <f t="shared" si="10"/>
        <v>2</v>
      </c>
      <c r="V207" s="140">
        <f t="shared" si="10"/>
        <v>2</v>
      </c>
      <c r="W207" s="2"/>
      <c r="X207" s="4"/>
      <c r="Y207" s="16"/>
      <c r="Z207" s="1"/>
      <c r="AA207" s="1"/>
      <c r="AB207" s="1"/>
    </row>
    <row r="208" spans="1:28" outlineLevel="3" x14ac:dyDescent="0.25">
      <c r="A208" s="1"/>
      <c r="B208" s="33"/>
      <c r="C208" s="73">
        <f t="shared" si="7"/>
        <v>4</v>
      </c>
      <c r="D208" s="4"/>
      <c r="E208" s="5"/>
      <c r="F208" s="5"/>
      <c r="G208" s="4"/>
      <c r="H208" s="64"/>
      <c r="I208" s="36"/>
      <c r="J208" s="36"/>
      <c r="K208" s="56">
        <v>2</v>
      </c>
      <c r="L208" s="56">
        <v>0</v>
      </c>
      <c r="M208" s="142">
        <f t="shared" si="9"/>
        <v>2</v>
      </c>
      <c r="N208" s="140">
        <f t="shared" ref="N208:V208" si="11">M208</f>
        <v>2</v>
      </c>
      <c r="O208" s="140">
        <f t="shared" si="11"/>
        <v>2</v>
      </c>
      <c r="P208" s="140">
        <f t="shared" si="11"/>
        <v>2</v>
      </c>
      <c r="Q208" s="140">
        <f t="shared" si="11"/>
        <v>2</v>
      </c>
      <c r="R208" s="140">
        <f t="shared" si="11"/>
        <v>2</v>
      </c>
      <c r="S208" s="140">
        <f t="shared" si="11"/>
        <v>2</v>
      </c>
      <c r="T208" s="140">
        <f t="shared" si="11"/>
        <v>2</v>
      </c>
      <c r="U208" s="140">
        <f t="shared" si="11"/>
        <v>2</v>
      </c>
      <c r="V208" s="140">
        <f t="shared" si="11"/>
        <v>2</v>
      </c>
      <c r="W208" s="2"/>
      <c r="X208" s="4"/>
      <c r="Y208" s="16"/>
      <c r="Z208" s="1"/>
      <c r="AA208" s="1"/>
      <c r="AB208" s="1"/>
    </row>
    <row r="209" spans="1:28" outlineLevel="3" x14ac:dyDescent="0.25">
      <c r="A209" s="1"/>
      <c r="B209" s="33"/>
      <c r="C209" s="73">
        <f t="shared" si="7"/>
        <v>4</v>
      </c>
      <c r="D209" s="4"/>
      <c r="E209" s="5"/>
      <c r="F209" s="5"/>
      <c r="G209" s="4"/>
      <c r="H209" s="64" t="s">
        <v>135</v>
      </c>
      <c r="I209" s="36"/>
      <c r="J209" s="36"/>
      <c r="K209" s="56">
        <v>3</v>
      </c>
      <c r="L209" s="56">
        <v>0</v>
      </c>
      <c r="M209" s="142">
        <f t="shared" si="9"/>
        <v>2</v>
      </c>
      <c r="N209" s="140">
        <f t="shared" ref="N209:V209" si="12">M209</f>
        <v>2</v>
      </c>
      <c r="O209" s="140">
        <f t="shared" si="12"/>
        <v>2</v>
      </c>
      <c r="P209" s="140">
        <f t="shared" si="12"/>
        <v>2</v>
      </c>
      <c r="Q209" s="140">
        <f t="shared" si="12"/>
        <v>2</v>
      </c>
      <c r="R209" s="140">
        <f t="shared" si="12"/>
        <v>2</v>
      </c>
      <c r="S209" s="140">
        <f t="shared" si="12"/>
        <v>2</v>
      </c>
      <c r="T209" s="140">
        <f t="shared" si="12"/>
        <v>2</v>
      </c>
      <c r="U209" s="140">
        <f t="shared" si="12"/>
        <v>2</v>
      </c>
      <c r="V209" s="140">
        <f t="shared" si="12"/>
        <v>2</v>
      </c>
      <c r="W209" s="2"/>
      <c r="X209" s="4"/>
      <c r="Y209" s="16"/>
      <c r="Z209" s="1"/>
      <c r="AA209" s="1"/>
      <c r="AB209" s="1"/>
    </row>
    <row r="210" spans="1:28" outlineLevel="3" x14ac:dyDescent="0.25">
      <c r="A210" s="1"/>
      <c r="B210" s="33"/>
      <c r="C210" s="73">
        <f t="shared" si="7"/>
        <v>4</v>
      </c>
      <c r="D210" s="4"/>
      <c r="E210" s="5"/>
      <c r="F210" s="5"/>
      <c r="G210" s="4"/>
      <c r="H210" s="105" t="s">
        <v>137</v>
      </c>
      <c r="I210" s="36"/>
      <c r="J210" s="36"/>
      <c r="K210" s="63">
        <v>4</v>
      </c>
      <c r="L210" s="63">
        <v>0</v>
      </c>
      <c r="M210" s="143">
        <f t="shared" si="9"/>
        <v>2</v>
      </c>
      <c r="N210" s="141">
        <f t="shared" ref="N210:V210" si="13">M210</f>
        <v>2</v>
      </c>
      <c r="O210" s="141">
        <f t="shared" si="13"/>
        <v>2</v>
      </c>
      <c r="P210" s="141">
        <f t="shared" si="13"/>
        <v>2</v>
      </c>
      <c r="Q210" s="141">
        <f t="shared" si="13"/>
        <v>2</v>
      </c>
      <c r="R210" s="141">
        <f t="shared" si="13"/>
        <v>2</v>
      </c>
      <c r="S210" s="141">
        <f t="shared" si="13"/>
        <v>2</v>
      </c>
      <c r="T210" s="141">
        <f t="shared" si="13"/>
        <v>2</v>
      </c>
      <c r="U210" s="141">
        <f t="shared" si="13"/>
        <v>2</v>
      </c>
      <c r="V210" s="141">
        <f t="shared" si="13"/>
        <v>2</v>
      </c>
      <c r="W210" s="2"/>
      <c r="X210" s="4"/>
      <c r="Y210" s="16"/>
      <c r="Z210" s="1"/>
      <c r="AA210" s="1"/>
      <c r="AB210" s="1"/>
    </row>
    <row r="211" spans="1:28" outlineLevel="3" x14ac:dyDescent="0.25">
      <c r="A211" s="1"/>
      <c r="B211" s="33"/>
      <c r="C211" s="73">
        <f t="shared" si="7"/>
        <v>4</v>
      </c>
      <c r="D211" s="4"/>
      <c r="E211" s="5"/>
      <c r="F211" s="5"/>
      <c r="G211" s="4"/>
      <c r="H211" s="105" t="s">
        <v>136</v>
      </c>
      <c r="I211" s="2"/>
      <c r="J211" s="61">
        <v>1</v>
      </c>
      <c r="K211" s="61">
        <v>0</v>
      </c>
      <c r="L211" s="61">
        <v>0</v>
      </c>
      <c r="M211" s="144">
        <f t="shared" si="9"/>
        <v>2</v>
      </c>
      <c r="N211" s="139">
        <f t="shared" ref="N211:V211" si="14">M211</f>
        <v>2</v>
      </c>
      <c r="O211" s="139">
        <f t="shared" si="14"/>
        <v>2</v>
      </c>
      <c r="P211" s="139">
        <f t="shared" si="14"/>
        <v>2</v>
      </c>
      <c r="Q211" s="139">
        <f t="shared" si="14"/>
        <v>2</v>
      </c>
      <c r="R211" s="139">
        <f t="shared" si="14"/>
        <v>2</v>
      </c>
      <c r="S211" s="139">
        <f t="shared" si="14"/>
        <v>2</v>
      </c>
      <c r="T211" s="139">
        <f t="shared" si="14"/>
        <v>2</v>
      </c>
      <c r="U211" s="139">
        <f t="shared" si="14"/>
        <v>2</v>
      </c>
      <c r="V211" s="139">
        <f t="shared" si="14"/>
        <v>2</v>
      </c>
      <c r="W211" s="2"/>
      <c r="X211" s="4"/>
      <c r="Y211" s="16"/>
      <c r="Z211" s="1"/>
      <c r="AA211" s="1"/>
      <c r="AB211" s="1"/>
    </row>
    <row r="212" spans="1:28" outlineLevel="3" x14ac:dyDescent="0.25">
      <c r="A212" s="1"/>
      <c r="B212" s="33"/>
      <c r="C212" s="73">
        <f t="shared" si="7"/>
        <v>4</v>
      </c>
      <c r="D212" s="4"/>
      <c r="E212" s="5"/>
      <c r="F212" s="5"/>
      <c r="G212" s="4"/>
      <c r="H212" s="105" t="s">
        <v>138</v>
      </c>
      <c r="I212" s="2"/>
      <c r="J212" s="56" t="s">
        <v>161</v>
      </c>
      <c r="K212" s="56">
        <v>1</v>
      </c>
      <c r="L212" s="56">
        <v>0</v>
      </c>
      <c r="M212" s="142">
        <f t="shared" si="9"/>
        <v>2</v>
      </c>
      <c r="N212" s="140">
        <f t="shared" ref="N212:V212" si="15">M212</f>
        <v>2</v>
      </c>
      <c r="O212" s="140">
        <f t="shared" si="15"/>
        <v>2</v>
      </c>
      <c r="P212" s="140">
        <f t="shared" si="15"/>
        <v>2</v>
      </c>
      <c r="Q212" s="140">
        <f t="shared" si="15"/>
        <v>2</v>
      </c>
      <c r="R212" s="140">
        <f t="shared" si="15"/>
        <v>2</v>
      </c>
      <c r="S212" s="140">
        <f t="shared" si="15"/>
        <v>2</v>
      </c>
      <c r="T212" s="140">
        <f t="shared" si="15"/>
        <v>2</v>
      </c>
      <c r="U212" s="140">
        <f t="shared" si="15"/>
        <v>2</v>
      </c>
      <c r="V212" s="140">
        <f t="shared" si="15"/>
        <v>2</v>
      </c>
      <c r="W212" s="2"/>
      <c r="X212" s="4"/>
      <c r="Y212" s="16"/>
      <c r="Z212" s="1"/>
      <c r="AA212" s="1"/>
      <c r="AB212" s="1"/>
    </row>
    <row r="213" spans="1:28" outlineLevel="3" x14ac:dyDescent="0.25">
      <c r="A213" s="1"/>
      <c r="B213" s="33"/>
      <c r="C213" s="73">
        <f t="shared" si="7"/>
        <v>4</v>
      </c>
      <c r="D213" s="4"/>
      <c r="E213" s="5"/>
      <c r="F213" s="5"/>
      <c r="G213" s="4"/>
      <c r="H213" s="26"/>
      <c r="I213" s="2"/>
      <c r="J213" s="56"/>
      <c r="K213" s="56">
        <v>2</v>
      </c>
      <c r="L213" s="56">
        <v>0</v>
      </c>
      <c r="M213" s="142">
        <f t="shared" si="9"/>
        <v>2</v>
      </c>
      <c r="N213" s="140">
        <f t="shared" ref="N213:V213" si="16">M213</f>
        <v>2</v>
      </c>
      <c r="O213" s="140">
        <f t="shared" si="16"/>
        <v>2</v>
      </c>
      <c r="P213" s="140">
        <f t="shared" si="16"/>
        <v>2</v>
      </c>
      <c r="Q213" s="140">
        <f t="shared" si="16"/>
        <v>2</v>
      </c>
      <c r="R213" s="140">
        <f t="shared" si="16"/>
        <v>2</v>
      </c>
      <c r="S213" s="140">
        <f t="shared" si="16"/>
        <v>2</v>
      </c>
      <c r="T213" s="140">
        <f t="shared" si="16"/>
        <v>2</v>
      </c>
      <c r="U213" s="140">
        <f t="shared" si="16"/>
        <v>2</v>
      </c>
      <c r="V213" s="140">
        <f t="shared" si="16"/>
        <v>2</v>
      </c>
      <c r="W213" s="2"/>
      <c r="X213" s="4"/>
      <c r="Y213" s="16"/>
      <c r="Z213" s="1"/>
      <c r="AA213" s="1"/>
      <c r="AB213" s="1"/>
    </row>
    <row r="214" spans="1:28" outlineLevel="3" x14ac:dyDescent="0.25">
      <c r="A214" s="1"/>
      <c r="B214" s="33"/>
      <c r="C214" s="73">
        <f t="shared" si="7"/>
        <v>4</v>
      </c>
      <c r="D214" s="4"/>
      <c r="E214" s="5"/>
      <c r="F214" s="5"/>
      <c r="G214" s="4"/>
      <c r="H214" s="26"/>
      <c r="I214" s="2"/>
      <c r="J214" s="56"/>
      <c r="K214" s="56">
        <v>3</v>
      </c>
      <c r="L214" s="56">
        <v>0</v>
      </c>
      <c r="M214" s="142">
        <f t="shared" si="9"/>
        <v>2</v>
      </c>
      <c r="N214" s="140">
        <f t="shared" ref="N214:V214" si="17">M214</f>
        <v>2</v>
      </c>
      <c r="O214" s="140">
        <f t="shared" si="17"/>
        <v>2</v>
      </c>
      <c r="P214" s="140">
        <f t="shared" si="17"/>
        <v>2</v>
      </c>
      <c r="Q214" s="140">
        <f t="shared" si="17"/>
        <v>2</v>
      </c>
      <c r="R214" s="140">
        <f t="shared" si="17"/>
        <v>2</v>
      </c>
      <c r="S214" s="140">
        <f t="shared" si="17"/>
        <v>2</v>
      </c>
      <c r="T214" s="140">
        <f t="shared" si="17"/>
        <v>2</v>
      </c>
      <c r="U214" s="140">
        <f t="shared" si="17"/>
        <v>2</v>
      </c>
      <c r="V214" s="140">
        <f t="shared" si="17"/>
        <v>2</v>
      </c>
      <c r="W214" s="2"/>
      <c r="X214" s="4"/>
      <c r="Y214" s="16"/>
      <c r="Z214" s="1"/>
      <c r="AA214" s="1"/>
      <c r="AB214" s="1"/>
    </row>
    <row r="215" spans="1:28" outlineLevel="3" x14ac:dyDescent="0.25">
      <c r="A215" s="1"/>
      <c r="B215" s="33"/>
      <c r="C215" s="73">
        <f t="shared" si="7"/>
        <v>4</v>
      </c>
      <c r="D215" s="4"/>
      <c r="E215" s="5"/>
      <c r="F215" s="5"/>
      <c r="G215" s="4"/>
      <c r="H215" s="26"/>
      <c r="I215" s="2"/>
      <c r="J215" s="63"/>
      <c r="K215" s="63">
        <v>4</v>
      </c>
      <c r="L215" s="63">
        <v>0</v>
      </c>
      <c r="M215" s="143">
        <f t="shared" si="9"/>
        <v>2</v>
      </c>
      <c r="N215" s="141">
        <f t="shared" ref="N215:V215" si="18">M215</f>
        <v>2</v>
      </c>
      <c r="O215" s="141">
        <f t="shared" si="18"/>
        <v>2</v>
      </c>
      <c r="P215" s="141">
        <f t="shared" si="18"/>
        <v>2</v>
      </c>
      <c r="Q215" s="141">
        <f t="shared" si="18"/>
        <v>2</v>
      </c>
      <c r="R215" s="141">
        <f t="shared" si="18"/>
        <v>2</v>
      </c>
      <c r="S215" s="141">
        <f t="shared" si="18"/>
        <v>2</v>
      </c>
      <c r="T215" s="141">
        <f t="shared" si="18"/>
        <v>2</v>
      </c>
      <c r="U215" s="141">
        <f t="shared" si="18"/>
        <v>2</v>
      </c>
      <c r="V215" s="141">
        <f t="shared" si="18"/>
        <v>2</v>
      </c>
      <c r="W215" s="2"/>
      <c r="X215" s="4"/>
      <c r="Y215" s="16"/>
      <c r="Z215" s="1"/>
      <c r="AA215" s="1"/>
      <c r="AB215" s="1"/>
    </row>
    <row r="216" spans="1:28" outlineLevel="3" x14ac:dyDescent="0.25">
      <c r="A216" s="1"/>
      <c r="B216" s="33"/>
      <c r="C216" s="73">
        <f t="shared" si="7"/>
        <v>4</v>
      </c>
      <c r="D216" s="4"/>
      <c r="E216" s="5"/>
      <c r="F216" s="5"/>
      <c r="G216" s="4"/>
      <c r="H216" s="26"/>
      <c r="I216" s="36"/>
      <c r="J216" s="61">
        <v>2</v>
      </c>
      <c r="K216" s="61">
        <v>0</v>
      </c>
      <c r="L216" s="61">
        <v>0</v>
      </c>
      <c r="M216" s="144">
        <f t="shared" si="9"/>
        <v>2</v>
      </c>
      <c r="N216" s="139">
        <f t="shared" ref="N216:V216" si="19">M216</f>
        <v>2</v>
      </c>
      <c r="O216" s="139">
        <f t="shared" si="19"/>
        <v>2</v>
      </c>
      <c r="P216" s="139">
        <f t="shared" si="19"/>
        <v>2</v>
      </c>
      <c r="Q216" s="139">
        <f t="shared" si="19"/>
        <v>2</v>
      </c>
      <c r="R216" s="139">
        <f t="shared" si="19"/>
        <v>2</v>
      </c>
      <c r="S216" s="139">
        <f t="shared" si="19"/>
        <v>2</v>
      </c>
      <c r="T216" s="139">
        <f t="shared" si="19"/>
        <v>2</v>
      </c>
      <c r="U216" s="139">
        <f t="shared" si="19"/>
        <v>2</v>
      </c>
      <c r="V216" s="139">
        <f t="shared" si="19"/>
        <v>2</v>
      </c>
      <c r="W216" s="2"/>
      <c r="X216" s="4"/>
      <c r="Y216" s="16"/>
      <c r="Z216" s="1"/>
      <c r="AA216" s="1"/>
      <c r="AB216" s="1"/>
    </row>
    <row r="217" spans="1:28" outlineLevel="3" x14ac:dyDescent="0.25">
      <c r="A217" s="1"/>
      <c r="B217" s="33"/>
      <c r="C217" s="73">
        <f t="shared" si="7"/>
        <v>4</v>
      </c>
      <c r="D217" s="4"/>
      <c r="E217" s="5"/>
      <c r="F217" s="5"/>
      <c r="G217" s="4"/>
      <c r="H217" s="26"/>
      <c r="I217" s="36"/>
      <c r="J217" s="56" t="s">
        <v>46</v>
      </c>
      <c r="K217" s="56">
        <v>1</v>
      </c>
      <c r="L217" s="56">
        <v>0</v>
      </c>
      <c r="M217" s="142">
        <f t="shared" si="9"/>
        <v>2</v>
      </c>
      <c r="N217" s="140">
        <f t="shared" ref="N217:V217" si="20">M217</f>
        <v>2</v>
      </c>
      <c r="O217" s="140">
        <f t="shared" si="20"/>
        <v>2</v>
      </c>
      <c r="P217" s="140">
        <f t="shared" si="20"/>
        <v>2</v>
      </c>
      <c r="Q217" s="140">
        <f t="shared" si="20"/>
        <v>2</v>
      </c>
      <c r="R217" s="140">
        <f t="shared" si="20"/>
        <v>2</v>
      </c>
      <c r="S217" s="140">
        <f t="shared" si="20"/>
        <v>2</v>
      </c>
      <c r="T217" s="140">
        <f t="shared" si="20"/>
        <v>2</v>
      </c>
      <c r="U217" s="140">
        <f t="shared" si="20"/>
        <v>2</v>
      </c>
      <c r="V217" s="140">
        <f t="shared" si="20"/>
        <v>2</v>
      </c>
      <c r="W217" s="2"/>
      <c r="X217" s="4"/>
      <c r="Y217" s="16"/>
      <c r="Z217" s="1"/>
      <c r="AA217" s="1"/>
      <c r="AB217" s="1"/>
    </row>
    <row r="218" spans="1:28" outlineLevel="3" x14ac:dyDescent="0.25">
      <c r="A218" s="1"/>
      <c r="B218" s="33"/>
      <c r="C218" s="73">
        <f t="shared" si="7"/>
        <v>4</v>
      </c>
      <c r="D218" s="4"/>
      <c r="E218" s="5"/>
      <c r="F218" s="5"/>
      <c r="G218" s="4"/>
      <c r="H218" s="26"/>
      <c r="I218" s="36"/>
      <c r="J218" s="56"/>
      <c r="K218" s="56">
        <v>2</v>
      </c>
      <c r="L218" s="56">
        <v>0</v>
      </c>
      <c r="M218" s="142">
        <f t="shared" si="9"/>
        <v>2</v>
      </c>
      <c r="N218" s="140">
        <f t="shared" ref="N218:V218" si="21">M218</f>
        <v>2</v>
      </c>
      <c r="O218" s="140">
        <f t="shared" si="21"/>
        <v>2</v>
      </c>
      <c r="P218" s="140">
        <f t="shared" si="21"/>
        <v>2</v>
      </c>
      <c r="Q218" s="140">
        <f t="shared" si="21"/>
        <v>2</v>
      </c>
      <c r="R218" s="140">
        <f t="shared" si="21"/>
        <v>2</v>
      </c>
      <c r="S218" s="140">
        <f t="shared" si="21"/>
        <v>2</v>
      </c>
      <c r="T218" s="140">
        <f t="shared" si="21"/>
        <v>2</v>
      </c>
      <c r="U218" s="140">
        <f t="shared" si="21"/>
        <v>2</v>
      </c>
      <c r="V218" s="140">
        <f t="shared" si="21"/>
        <v>2</v>
      </c>
      <c r="W218" s="2"/>
      <c r="X218" s="4"/>
      <c r="Y218" s="16"/>
      <c r="Z218" s="1"/>
      <c r="AA218" s="1"/>
      <c r="AB218" s="1"/>
    </row>
    <row r="219" spans="1:28" outlineLevel="3" x14ac:dyDescent="0.25">
      <c r="A219" s="1"/>
      <c r="B219" s="33"/>
      <c r="C219" s="73">
        <f t="shared" si="7"/>
        <v>4</v>
      </c>
      <c r="D219" s="4"/>
      <c r="E219" s="5"/>
      <c r="F219" s="5"/>
      <c r="G219" s="4"/>
      <c r="H219" s="26"/>
      <c r="I219" s="36"/>
      <c r="J219" s="56"/>
      <c r="K219" s="56">
        <v>3</v>
      </c>
      <c r="L219" s="56">
        <v>0</v>
      </c>
      <c r="M219" s="142">
        <f t="shared" si="9"/>
        <v>2</v>
      </c>
      <c r="N219" s="140">
        <f t="shared" ref="N219:V219" si="22">M219</f>
        <v>2</v>
      </c>
      <c r="O219" s="140">
        <f t="shared" si="22"/>
        <v>2</v>
      </c>
      <c r="P219" s="140">
        <f t="shared" si="22"/>
        <v>2</v>
      </c>
      <c r="Q219" s="140">
        <f t="shared" si="22"/>
        <v>2</v>
      </c>
      <c r="R219" s="140">
        <f t="shared" si="22"/>
        <v>2</v>
      </c>
      <c r="S219" s="140">
        <f t="shared" si="22"/>
        <v>2</v>
      </c>
      <c r="T219" s="140">
        <f t="shared" si="22"/>
        <v>2</v>
      </c>
      <c r="U219" s="140">
        <f t="shared" si="22"/>
        <v>2</v>
      </c>
      <c r="V219" s="140">
        <f t="shared" si="22"/>
        <v>2</v>
      </c>
      <c r="W219" s="2"/>
      <c r="X219" s="4"/>
      <c r="Y219" s="16"/>
      <c r="Z219" s="1"/>
      <c r="AA219" s="1"/>
      <c r="AB219" s="1"/>
    </row>
    <row r="220" spans="1:28" outlineLevel="3" x14ac:dyDescent="0.25">
      <c r="A220" s="1"/>
      <c r="B220" s="33"/>
      <c r="C220" s="73">
        <f t="shared" si="7"/>
        <v>4</v>
      </c>
      <c r="D220" s="4"/>
      <c r="E220" s="5"/>
      <c r="F220" s="5"/>
      <c r="G220" s="4"/>
      <c r="H220" s="26"/>
      <c r="I220" s="36"/>
      <c r="J220" s="63"/>
      <c r="K220" s="63">
        <v>4</v>
      </c>
      <c r="L220" s="63">
        <v>0</v>
      </c>
      <c r="M220" s="143">
        <f t="shared" si="9"/>
        <v>2</v>
      </c>
      <c r="N220" s="141">
        <f t="shared" ref="N220:V220" si="23">M220</f>
        <v>2</v>
      </c>
      <c r="O220" s="141">
        <f t="shared" si="23"/>
        <v>2</v>
      </c>
      <c r="P220" s="141">
        <f t="shared" si="23"/>
        <v>2</v>
      </c>
      <c r="Q220" s="141">
        <f t="shared" si="23"/>
        <v>2</v>
      </c>
      <c r="R220" s="141">
        <f t="shared" si="23"/>
        <v>2</v>
      </c>
      <c r="S220" s="141">
        <f t="shared" si="23"/>
        <v>2</v>
      </c>
      <c r="T220" s="141">
        <f t="shared" si="23"/>
        <v>2</v>
      </c>
      <c r="U220" s="141">
        <f t="shared" si="23"/>
        <v>2</v>
      </c>
      <c r="V220" s="141">
        <f t="shared" si="23"/>
        <v>2</v>
      </c>
      <c r="W220" s="2"/>
      <c r="X220" s="4"/>
      <c r="Y220" s="16"/>
      <c r="Z220" s="1"/>
      <c r="AA220" s="1"/>
      <c r="AB220" s="1"/>
    </row>
    <row r="221" spans="1:28" outlineLevel="3" x14ac:dyDescent="0.25">
      <c r="A221" s="1"/>
      <c r="B221" s="33"/>
      <c r="C221" s="73">
        <f t="shared" si="7"/>
        <v>4</v>
      </c>
      <c r="D221" s="4"/>
      <c r="E221" s="5"/>
      <c r="F221" s="5"/>
      <c r="G221" s="4"/>
      <c r="H221" s="26"/>
      <c r="I221" s="2"/>
      <c r="J221" s="61">
        <v>3</v>
      </c>
      <c r="K221" s="61">
        <v>0</v>
      </c>
      <c r="L221" s="61">
        <v>0</v>
      </c>
      <c r="M221" s="144">
        <f t="shared" si="9"/>
        <v>2</v>
      </c>
      <c r="N221" s="139">
        <f t="shared" ref="N221:V221" si="24">M221</f>
        <v>2</v>
      </c>
      <c r="O221" s="139">
        <f t="shared" si="24"/>
        <v>2</v>
      </c>
      <c r="P221" s="139">
        <f t="shared" si="24"/>
        <v>2</v>
      </c>
      <c r="Q221" s="139">
        <f t="shared" si="24"/>
        <v>2</v>
      </c>
      <c r="R221" s="139">
        <f t="shared" si="24"/>
        <v>2</v>
      </c>
      <c r="S221" s="139">
        <f t="shared" si="24"/>
        <v>2</v>
      </c>
      <c r="T221" s="139">
        <f t="shared" si="24"/>
        <v>2</v>
      </c>
      <c r="U221" s="139">
        <f t="shared" si="24"/>
        <v>2</v>
      </c>
      <c r="V221" s="139">
        <f t="shared" si="24"/>
        <v>2</v>
      </c>
      <c r="W221" s="2"/>
      <c r="X221" s="4"/>
      <c r="Y221" s="16"/>
      <c r="Z221" s="1"/>
      <c r="AA221" s="1"/>
      <c r="AB221" s="1"/>
    </row>
    <row r="222" spans="1:28" outlineLevel="3" x14ac:dyDescent="0.25">
      <c r="A222" s="1"/>
      <c r="B222" s="33"/>
      <c r="C222" s="73">
        <f t="shared" si="7"/>
        <v>4</v>
      </c>
      <c r="D222" s="4"/>
      <c r="E222" s="5"/>
      <c r="F222" s="5"/>
      <c r="G222" s="4"/>
      <c r="H222" s="26"/>
      <c r="I222" s="2"/>
      <c r="J222" s="56" t="s">
        <v>162</v>
      </c>
      <c r="K222" s="56">
        <v>1</v>
      </c>
      <c r="L222" s="56">
        <v>0</v>
      </c>
      <c r="M222" s="142">
        <f t="shared" si="9"/>
        <v>2</v>
      </c>
      <c r="N222" s="140">
        <f t="shared" ref="N222:V222" si="25">M222</f>
        <v>2</v>
      </c>
      <c r="O222" s="140">
        <f t="shared" si="25"/>
        <v>2</v>
      </c>
      <c r="P222" s="140">
        <f t="shared" si="25"/>
        <v>2</v>
      </c>
      <c r="Q222" s="140">
        <f t="shared" si="25"/>
        <v>2</v>
      </c>
      <c r="R222" s="140">
        <f t="shared" si="25"/>
        <v>2</v>
      </c>
      <c r="S222" s="140">
        <f t="shared" si="25"/>
        <v>2</v>
      </c>
      <c r="T222" s="140">
        <f t="shared" si="25"/>
        <v>2</v>
      </c>
      <c r="U222" s="140">
        <f t="shared" si="25"/>
        <v>2</v>
      </c>
      <c r="V222" s="140">
        <f t="shared" si="25"/>
        <v>2</v>
      </c>
      <c r="W222" s="2"/>
      <c r="X222" s="4"/>
      <c r="Y222" s="16"/>
      <c r="Z222" s="1"/>
      <c r="AA222" s="1"/>
      <c r="AB222" s="1"/>
    </row>
    <row r="223" spans="1:28" outlineLevel="3" x14ac:dyDescent="0.25">
      <c r="A223" s="1"/>
      <c r="B223" s="33"/>
      <c r="C223" s="73">
        <f t="shared" si="7"/>
        <v>4</v>
      </c>
      <c r="D223" s="4"/>
      <c r="E223" s="5"/>
      <c r="F223" s="5"/>
      <c r="G223" s="4"/>
      <c r="H223" s="26"/>
      <c r="I223" s="2"/>
      <c r="J223" s="56"/>
      <c r="K223" s="56">
        <v>2</v>
      </c>
      <c r="L223" s="56">
        <v>0</v>
      </c>
      <c r="M223" s="142">
        <f t="shared" si="9"/>
        <v>2</v>
      </c>
      <c r="N223" s="140">
        <f t="shared" ref="N223:V223" si="26">M223</f>
        <v>2</v>
      </c>
      <c r="O223" s="140">
        <f t="shared" si="26"/>
        <v>2</v>
      </c>
      <c r="P223" s="140">
        <f t="shared" si="26"/>
        <v>2</v>
      </c>
      <c r="Q223" s="140">
        <f t="shared" si="26"/>
        <v>2</v>
      </c>
      <c r="R223" s="140">
        <f t="shared" si="26"/>
        <v>2</v>
      </c>
      <c r="S223" s="140">
        <f t="shared" si="26"/>
        <v>2</v>
      </c>
      <c r="T223" s="140">
        <f t="shared" si="26"/>
        <v>2</v>
      </c>
      <c r="U223" s="140">
        <f t="shared" si="26"/>
        <v>2</v>
      </c>
      <c r="V223" s="140">
        <f t="shared" si="26"/>
        <v>2</v>
      </c>
      <c r="W223" s="2"/>
      <c r="X223" s="4"/>
      <c r="Y223" s="16"/>
      <c r="Z223" s="1"/>
      <c r="AA223" s="1"/>
      <c r="AB223" s="1"/>
    </row>
    <row r="224" spans="1:28" outlineLevel="3" x14ac:dyDescent="0.25">
      <c r="A224" s="1"/>
      <c r="B224" s="33"/>
      <c r="C224" s="73">
        <f t="shared" si="7"/>
        <v>4</v>
      </c>
      <c r="D224" s="4"/>
      <c r="E224" s="5"/>
      <c r="F224" s="5"/>
      <c r="G224" s="4"/>
      <c r="H224" s="26"/>
      <c r="I224" s="2"/>
      <c r="J224" s="56"/>
      <c r="K224" s="56">
        <v>3</v>
      </c>
      <c r="L224" s="56">
        <v>0</v>
      </c>
      <c r="M224" s="142">
        <f t="shared" si="9"/>
        <v>2</v>
      </c>
      <c r="N224" s="140">
        <f t="shared" ref="N224:V224" si="27">M224</f>
        <v>2</v>
      </c>
      <c r="O224" s="140">
        <f t="shared" si="27"/>
        <v>2</v>
      </c>
      <c r="P224" s="140">
        <f t="shared" si="27"/>
        <v>2</v>
      </c>
      <c r="Q224" s="140">
        <f t="shared" si="27"/>
        <v>2</v>
      </c>
      <c r="R224" s="140">
        <f t="shared" si="27"/>
        <v>2</v>
      </c>
      <c r="S224" s="140">
        <f t="shared" si="27"/>
        <v>2</v>
      </c>
      <c r="T224" s="140">
        <f t="shared" si="27"/>
        <v>2</v>
      </c>
      <c r="U224" s="140">
        <f t="shared" si="27"/>
        <v>2</v>
      </c>
      <c r="V224" s="140">
        <f t="shared" si="27"/>
        <v>2</v>
      </c>
      <c r="W224" s="2"/>
      <c r="X224" s="4"/>
      <c r="Y224" s="16"/>
      <c r="Z224" s="1"/>
      <c r="AA224" s="1"/>
      <c r="AB224" s="1"/>
    </row>
    <row r="225" spans="1:28" outlineLevel="3" x14ac:dyDescent="0.25">
      <c r="A225" s="1"/>
      <c r="B225" s="33"/>
      <c r="C225" s="73">
        <f t="shared" si="7"/>
        <v>4</v>
      </c>
      <c r="D225" s="4"/>
      <c r="E225" s="5"/>
      <c r="F225" s="5"/>
      <c r="G225" s="4"/>
      <c r="H225" s="26"/>
      <c r="I225" s="62"/>
      <c r="J225" s="63"/>
      <c r="K225" s="63">
        <v>4</v>
      </c>
      <c r="L225" s="63">
        <v>0</v>
      </c>
      <c r="M225" s="143">
        <f t="shared" si="9"/>
        <v>2</v>
      </c>
      <c r="N225" s="141">
        <f t="shared" ref="N225:V225" si="28">M225</f>
        <v>2</v>
      </c>
      <c r="O225" s="141">
        <f t="shared" si="28"/>
        <v>2</v>
      </c>
      <c r="P225" s="141">
        <f t="shared" si="28"/>
        <v>2</v>
      </c>
      <c r="Q225" s="141">
        <f t="shared" si="28"/>
        <v>2</v>
      </c>
      <c r="R225" s="141">
        <f t="shared" si="28"/>
        <v>2</v>
      </c>
      <c r="S225" s="141">
        <f t="shared" si="28"/>
        <v>2</v>
      </c>
      <c r="T225" s="141">
        <f t="shared" si="28"/>
        <v>2</v>
      </c>
      <c r="U225" s="141">
        <f t="shared" si="28"/>
        <v>2</v>
      </c>
      <c r="V225" s="141">
        <f t="shared" si="28"/>
        <v>2</v>
      </c>
      <c r="W225" s="2"/>
      <c r="X225" s="4"/>
      <c r="Y225" s="16"/>
      <c r="Z225" s="1"/>
      <c r="AA225" s="1"/>
      <c r="AB225" s="1"/>
    </row>
    <row r="226" spans="1:28" outlineLevel="3" x14ac:dyDescent="0.25">
      <c r="A226" s="1"/>
      <c r="B226" s="33"/>
      <c r="C226" s="73">
        <f t="shared" si="7"/>
        <v>4</v>
      </c>
      <c r="D226" s="4"/>
      <c r="E226" s="5"/>
      <c r="F226" s="5"/>
      <c r="G226" s="4"/>
      <c r="H226" s="26"/>
      <c r="I226" s="104">
        <v>1</v>
      </c>
      <c r="J226" s="57">
        <v>0</v>
      </c>
      <c r="K226" s="61">
        <v>0</v>
      </c>
      <c r="L226" s="61">
        <v>0</v>
      </c>
      <c r="M226" s="31">
        <v>2</v>
      </c>
      <c r="N226" s="138">
        <f t="shared" ref="N226:V226" si="29">M226</f>
        <v>2</v>
      </c>
      <c r="O226" s="138">
        <f t="shared" si="29"/>
        <v>2</v>
      </c>
      <c r="P226" s="138">
        <f t="shared" si="29"/>
        <v>2</v>
      </c>
      <c r="Q226" s="138">
        <f t="shared" si="29"/>
        <v>2</v>
      </c>
      <c r="R226" s="138">
        <f t="shared" si="29"/>
        <v>2</v>
      </c>
      <c r="S226" s="138">
        <f t="shared" si="29"/>
        <v>2</v>
      </c>
      <c r="T226" s="138">
        <f t="shared" si="29"/>
        <v>2</v>
      </c>
      <c r="U226" s="138">
        <f t="shared" si="29"/>
        <v>2</v>
      </c>
      <c r="V226" s="138">
        <f t="shared" si="29"/>
        <v>2</v>
      </c>
      <c r="W226" s="2"/>
      <c r="X226" s="4"/>
      <c r="Y226" s="16"/>
      <c r="Z226" s="1"/>
      <c r="AA226" s="1"/>
      <c r="AB226" s="1"/>
    </row>
    <row r="227" spans="1:28" outlineLevel="3" x14ac:dyDescent="0.25">
      <c r="A227" s="1"/>
      <c r="B227" s="33"/>
      <c r="C227" s="73">
        <f t="shared" si="7"/>
        <v>4</v>
      </c>
      <c r="D227" s="4"/>
      <c r="E227" s="5"/>
      <c r="F227" s="5"/>
      <c r="G227" s="4"/>
      <c r="H227" s="26"/>
      <c r="I227" s="36" t="s">
        <v>158</v>
      </c>
      <c r="J227" s="36"/>
      <c r="K227" s="56">
        <v>1</v>
      </c>
      <c r="L227" s="56">
        <v>0</v>
      </c>
      <c r="M227" s="100">
        <v>1</v>
      </c>
      <c r="N227" s="100">
        <v>2</v>
      </c>
      <c r="O227" s="111">
        <f t="shared" ref="O227:V227" si="30">N227</f>
        <v>2</v>
      </c>
      <c r="P227" s="111">
        <f t="shared" si="30"/>
        <v>2</v>
      </c>
      <c r="Q227" s="111">
        <f t="shared" si="30"/>
        <v>2</v>
      </c>
      <c r="R227" s="111">
        <f t="shared" si="30"/>
        <v>2</v>
      </c>
      <c r="S227" s="111">
        <f t="shared" si="30"/>
        <v>2</v>
      </c>
      <c r="T227" s="111">
        <f t="shared" si="30"/>
        <v>2</v>
      </c>
      <c r="U227" s="111">
        <f t="shared" si="30"/>
        <v>2</v>
      </c>
      <c r="V227" s="111">
        <f t="shared" si="30"/>
        <v>2</v>
      </c>
      <c r="W227" s="2"/>
      <c r="X227" s="4"/>
      <c r="Y227" s="16"/>
      <c r="Z227" s="1"/>
      <c r="AA227" s="1"/>
      <c r="AB227" s="1"/>
    </row>
    <row r="228" spans="1:28" outlineLevel="3" x14ac:dyDescent="0.25">
      <c r="A228" s="1"/>
      <c r="B228" s="33"/>
      <c r="C228" s="73">
        <f t="shared" si="7"/>
        <v>4</v>
      </c>
      <c r="D228" s="4"/>
      <c r="E228" s="5"/>
      <c r="F228" s="5"/>
      <c r="G228" s="4"/>
      <c r="H228" s="26"/>
      <c r="I228" s="36"/>
      <c r="J228" s="36"/>
      <c r="K228" s="56">
        <v>2</v>
      </c>
      <c r="L228" s="56">
        <v>0</v>
      </c>
      <c r="M228" s="100">
        <v>1</v>
      </c>
      <c r="N228" s="100">
        <v>2</v>
      </c>
      <c r="O228" s="100">
        <v>3</v>
      </c>
      <c r="P228" s="100">
        <v>3</v>
      </c>
      <c r="Q228" s="112">
        <f>O228</f>
        <v>3</v>
      </c>
      <c r="R228" s="112">
        <f>P228</f>
        <v>3</v>
      </c>
      <c r="S228" s="113">
        <f>P228</f>
        <v>3</v>
      </c>
      <c r="T228" s="114">
        <f t="shared" ref="T228:V229" si="31">N228</f>
        <v>2</v>
      </c>
      <c r="U228" s="114">
        <f t="shared" si="31"/>
        <v>3</v>
      </c>
      <c r="V228" s="114">
        <f t="shared" si="31"/>
        <v>3</v>
      </c>
      <c r="W228" s="2"/>
      <c r="X228" s="4"/>
      <c r="Y228" s="16"/>
      <c r="Z228" s="1"/>
      <c r="AA228" s="1"/>
      <c r="AB228" s="1"/>
    </row>
    <row r="229" spans="1:28" outlineLevel="3" x14ac:dyDescent="0.25">
      <c r="A229" s="1"/>
      <c r="B229" s="33"/>
      <c r="C229" s="73">
        <f t="shared" si="7"/>
        <v>4</v>
      </c>
      <c r="D229" s="4"/>
      <c r="E229" s="5"/>
      <c r="F229" s="5"/>
      <c r="G229" s="4"/>
      <c r="H229" s="26"/>
      <c r="I229" s="36"/>
      <c r="J229" s="36"/>
      <c r="K229" s="56">
        <v>3</v>
      </c>
      <c r="L229" s="56">
        <v>0</v>
      </c>
      <c r="M229" s="100">
        <v>1</v>
      </c>
      <c r="N229" s="100">
        <v>2</v>
      </c>
      <c r="O229" s="100">
        <v>3</v>
      </c>
      <c r="P229" s="100">
        <v>4</v>
      </c>
      <c r="Q229" s="112">
        <f>O229</f>
        <v>3</v>
      </c>
      <c r="R229" s="112">
        <f>P229</f>
        <v>4</v>
      </c>
      <c r="S229" s="113">
        <f>P229</f>
        <v>4</v>
      </c>
      <c r="T229" s="114">
        <f t="shared" si="31"/>
        <v>2</v>
      </c>
      <c r="U229" s="114">
        <f t="shared" si="31"/>
        <v>3</v>
      </c>
      <c r="V229" s="114">
        <f t="shared" si="31"/>
        <v>4</v>
      </c>
      <c r="W229" s="2"/>
      <c r="X229" s="4"/>
      <c r="Y229" s="16"/>
      <c r="Z229" s="1"/>
      <c r="AA229" s="1"/>
      <c r="AB229" s="1"/>
    </row>
    <row r="230" spans="1:28" outlineLevel="3" x14ac:dyDescent="0.25">
      <c r="A230" s="1"/>
      <c r="B230" s="33"/>
      <c r="C230" s="73">
        <f t="shared" si="7"/>
        <v>4</v>
      </c>
      <c r="D230" s="4"/>
      <c r="E230" s="5"/>
      <c r="F230" s="5"/>
      <c r="G230" s="4"/>
      <c r="H230" s="26"/>
      <c r="I230" s="36"/>
      <c r="J230" s="36"/>
      <c r="K230" s="63">
        <v>4</v>
      </c>
      <c r="L230" s="63">
        <v>0</v>
      </c>
      <c r="M230" s="118">
        <f t="shared" ref="M230:V230" si="32">M229</f>
        <v>1</v>
      </c>
      <c r="N230" s="118">
        <f t="shared" si="32"/>
        <v>2</v>
      </c>
      <c r="O230" s="118">
        <f t="shared" si="32"/>
        <v>3</v>
      </c>
      <c r="P230" s="118">
        <f t="shared" si="32"/>
        <v>4</v>
      </c>
      <c r="Q230" s="118">
        <f t="shared" si="32"/>
        <v>3</v>
      </c>
      <c r="R230" s="118">
        <f t="shared" si="32"/>
        <v>4</v>
      </c>
      <c r="S230" s="118">
        <f t="shared" si="32"/>
        <v>4</v>
      </c>
      <c r="T230" s="118">
        <f t="shared" si="32"/>
        <v>2</v>
      </c>
      <c r="U230" s="118">
        <f t="shared" si="32"/>
        <v>3</v>
      </c>
      <c r="V230" s="118">
        <f t="shared" si="32"/>
        <v>4</v>
      </c>
      <c r="W230" s="2"/>
      <c r="X230" s="4"/>
      <c r="Y230" s="16"/>
      <c r="Z230" s="1"/>
      <c r="AA230" s="1"/>
      <c r="AB230" s="1"/>
    </row>
    <row r="231" spans="1:28" outlineLevel="3" x14ac:dyDescent="0.25">
      <c r="A231" s="1"/>
      <c r="B231" s="33"/>
      <c r="C231" s="73">
        <f t="shared" si="7"/>
        <v>4</v>
      </c>
      <c r="D231" s="4"/>
      <c r="E231" s="5"/>
      <c r="F231" s="5"/>
      <c r="G231" s="4"/>
      <c r="H231" s="26"/>
      <c r="I231" s="2"/>
      <c r="J231" s="103">
        <v>1</v>
      </c>
      <c r="K231" s="103">
        <v>0</v>
      </c>
      <c r="L231" s="103">
        <v>0</v>
      </c>
      <c r="M231" s="115">
        <f t="shared" ref="M231:V231" si="33">M226</f>
        <v>2</v>
      </c>
      <c r="N231" s="115">
        <f t="shared" si="33"/>
        <v>2</v>
      </c>
      <c r="O231" s="115">
        <f t="shared" si="33"/>
        <v>2</v>
      </c>
      <c r="P231" s="115">
        <f t="shared" si="33"/>
        <v>2</v>
      </c>
      <c r="Q231" s="115">
        <f t="shared" si="33"/>
        <v>2</v>
      </c>
      <c r="R231" s="115">
        <f t="shared" si="33"/>
        <v>2</v>
      </c>
      <c r="S231" s="115">
        <f t="shared" si="33"/>
        <v>2</v>
      </c>
      <c r="T231" s="115">
        <f t="shared" si="33"/>
        <v>2</v>
      </c>
      <c r="U231" s="115">
        <f t="shared" si="33"/>
        <v>2</v>
      </c>
      <c r="V231" s="115">
        <f t="shared" si="33"/>
        <v>2</v>
      </c>
      <c r="W231" s="2"/>
      <c r="X231" s="4"/>
      <c r="Y231" s="16"/>
      <c r="Z231" s="1"/>
      <c r="AA231" s="1"/>
      <c r="AB231" s="1"/>
    </row>
    <row r="232" spans="1:28" outlineLevel="3" x14ac:dyDescent="0.25">
      <c r="A232" s="1"/>
      <c r="B232" s="33"/>
      <c r="C232" s="73">
        <f t="shared" si="7"/>
        <v>4</v>
      </c>
      <c r="D232" s="4"/>
      <c r="E232" s="5"/>
      <c r="F232" s="5"/>
      <c r="G232" s="4"/>
      <c r="H232" s="26"/>
      <c r="I232" s="2"/>
      <c r="J232" s="56"/>
      <c r="K232" s="56">
        <v>1</v>
      </c>
      <c r="L232" s="56">
        <v>0</v>
      </c>
      <c r="M232" s="115">
        <f t="shared" ref="M232:V232" si="34">M227</f>
        <v>1</v>
      </c>
      <c r="N232" s="115">
        <f t="shared" si="34"/>
        <v>2</v>
      </c>
      <c r="O232" s="115">
        <f t="shared" si="34"/>
        <v>2</v>
      </c>
      <c r="P232" s="115">
        <f t="shared" si="34"/>
        <v>2</v>
      </c>
      <c r="Q232" s="115">
        <f t="shared" si="34"/>
        <v>2</v>
      </c>
      <c r="R232" s="115">
        <f t="shared" si="34"/>
        <v>2</v>
      </c>
      <c r="S232" s="115">
        <f t="shared" si="34"/>
        <v>2</v>
      </c>
      <c r="T232" s="115">
        <f t="shared" si="34"/>
        <v>2</v>
      </c>
      <c r="U232" s="115">
        <f t="shared" si="34"/>
        <v>2</v>
      </c>
      <c r="V232" s="115">
        <f t="shared" si="34"/>
        <v>2</v>
      </c>
      <c r="W232" s="2"/>
      <c r="X232" s="4"/>
      <c r="Y232" s="16"/>
      <c r="Z232" s="1"/>
      <c r="AA232" s="1"/>
      <c r="AB232" s="1"/>
    </row>
    <row r="233" spans="1:28" outlineLevel="3" x14ac:dyDescent="0.25">
      <c r="A233" s="1"/>
      <c r="B233" s="33"/>
      <c r="C233" s="73">
        <f t="shared" si="7"/>
        <v>4</v>
      </c>
      <c r="D233" s="4"/>
      <c r="E233" s="5"/>
      <c r="F233" s="5"/>
      <c r="G233" s="4"/>
      <c r="H233" s="26"/>
      <c r="I233" s="2"/>
      <c r="J233" s="56"/>
      <c r="K233" s="56">
        <v>2</v>
      </c>
      <c r="L233" s="56">
        <v>0</v>
      </c>
      <c r="M233" s="115">
        <f t="shared" ref="M233:V233" si="35">M228</f>
        <v>1</v>
      </c>
      <c r="N233" s="115">
        <f t="shared" si="35"/>
        <v>2</v>
      </c>
      <c r="O233" s="115">
        <f t="shared" si="35"/>
        <v>3</v>
      </c>
      <c r="P233" s="115">
        <f t="shared" si="35"/>
        <v>3</v>
      </c>
      <c r="Q233" s="115">
        <f t="shared" si="35"/>
        <v>3</v>
      </c>
      <c r="R233" s="115">
        <f t="shared" si="35"/>
        <v>3</v>
      </c>
      <c r="S233" s="115">
        <f t="shared" si="35"/>
        <v>3</v>
      </c>
      <c r="T233" s="115">
        <f t="shared" si="35"/>
        <v>2</v>
      </c>
      <c r="U233" s="115">
        <f t="shared" si="35"/>
        <v>3</v>
      </c>
      <c r="V233" s="115">
        <f t="shared" si="35"/>
        <v>3</v>
      </c>
      <c r="W233" s="2"/>
      <c r="X233" s="4"/>
      <c r="Y233" s="16"/>
      <c r="Z233" s="1"/>
      <c r="AA233" s="1"/>
      <c r="AB233" s="1"/>
    </row>
    <row r="234" spans="1:28" outlineLevel="3" x14ac:dyDescent="0.25">
      <c r="A234" s="1"/>
      <c r="B234" s="33"/>
      <c r="C234" s="73">
        <f t="shared" si="7"/>
        <v>4</v>
      </c>
      <c r="D234" s="4"/>
      <c r="E234" s="5"/>
      <c r="F234" s="5"/>
      <c r="G234" s="4"/>
      <c r="H234" s="26"/>
      <c r="I234" s="2"/>
      <c r="J234" s="56"/>
      <c r="K234" s="56">
        <v>3</v>
      </c>
      <c r="L234" s="56">
        <v>0</v>
      </c>
      <c r="M234" s="115">
        <f t="shared" ref="M234:V234" si="36">M229</f>
        <v>1</v>
      </c>
      <c r="N234" s="115">
        <f t="shared" si="36"/>
        <v>2</v>
      </c>
      <c r="O234" s="115">
        <f t="shared" si="36"/>
        <v>3</v>
      </c>
      <c r="P234" s="115">
        <f t="shared" si="36"/>
        <v>4</v>
      </c>
      <c r="Q234" s="115">
        <f t="shared" si="36"/>
        <v>3</v>
      </c>
      <c r="R234" s="115">
        <f t="shared" si="36"/>
        <v>4</v>
      </c>
      <c r="S234" s="115">
        <f t="shared" si="36"/>
        <v>4</v>
      </c>
      <c r="T234" s="115">
        <f t="shared" si="36"/>
        <v>2</v>
      </c>
      <c r="U234" s="115">
        <f t="shared" si="36"/>
        <v>3</v>
      </c>
      <c r="V234" s="115">
        <f t="shared" si="36"/>
        <v>4</v>
      </c>
      <c r="W234" s="2"/>
      <c r="X234" s="4"/>
      <c r="Y234" s="16"/>
      <c r="Z234" s="1"/>
      <c r="AA234" s="1"/>
      <c r="AB234" s="1"/>
    </row>
    <row r="235" spans="1:28" outlineLevel="3" x14ac:dyDescent="0.25">
      <c r="A235" s="1"/>
      <c r="B235" s="33"/>
      <c r="C235" s="73">
        <f t="shared" si="7"/>
        <v>4</v>
      </c>
      <c r="D235" s="4"/>
      <c r="E235" s="5"/>
      <c r="F235" s="5"/>
      <c r="G235" s="4"/>
      <c r="H235" s="26"/>
      <c r="I235" s="2"/>
      <c r="J235" s="63"/>
      <c r="K235" s="63">
        <v>4</v>
      </c>
      <c r="L235" s="63">
        <v>0</v>
      </c>
      <c r="M235" s="118">
        <f t="shared" ref="M235:V235" si="37">M234</f>
        <v>1</v>
      </c>
      <c r="N235" s="118">
        <f t="shared" si="37"/>
        <v>2</v>
      </c>
      <c r="O235" s="118">
        <f t="shared" si="37"/>
        <v>3</v>
      </c>
      <c r="P235" s="118">
        <f t="shared" si="37"/>
        <v>4</v>
      </c>
      <c r="Q235" s="118">
        <f t="shared" si="37"/>
        <v>3</v>
      </c>
      <c r="R235" s="118">
        <f t="shared" si="37"/>
        <v>4</v>
      </c>
      <c r="S235" s="118">
        <f t="shared" si="37"/>
        <v>4</v>
      </c>
      <c r="T235" s="118">
        <f t="shared" si="37"/>
        <v>2</v>
      </c>
      <c r="U235" s="118">
        <f t="shared" si="37"/>
        <v>3</v>
      </c>
      <c r="V235" s="118">
        <f t="shared" si="37"/>
        <v>4</v>
      </c>
      <c r="W235" s="2"/>
      <c r="X235" s="4"/>
      <c r="Y235" s="16"/>
      <c r="Z235" s="1"/>
      <c r="AA235" s="1"/>
      <c r="AB235" s="1"/>
    </row>
    <row r="236" spans="1:28" outlineLevel="3" x14ac:dyDescent="0.25">
      <c r="A236" s="1"/>
      <c r="B236" s="33"/>
      <c r="C236" s="73">
        <f t="shared" si="7"/>
        <v>4</v>
      </c>
      <c r="D236" s="4"/>
      <c r="E236" s="5"/>
      <c r="F236" s="5"/>
      <c r="G236" s="4"/>
      <c r="H236" s="26"/>
      <c r="I236" s="36"/>
      <c r="J236" s="61">
        <v>2</v>
      </c>
      <c r="K236" s="61">
        <v>0</v>
      </c>
      <c r="L236" s="61">
        <v>0</v>
      </c>
      <c r="M236" s="115">
        <f t="shared" ref="M236:V236" si="38">M231</f>
        <v>2</v>
      </c>
      <c r="N236" s="115">
        <f t="shared" si="38"/>
        <v>2</v>
      </c>
      <c r="O236" s="115">
        <f t="shared" si="38"/>
        <v>2</v>
      </c>
      <c r="P236" s="115">
        <f t="shared" si="38"/>
        <v>2</v>
      </c>
      <c r="Q236" s="115">
        <f t="shared" si="38"/>
        <v>2</v>
      </c>
      <c r="R236" s="115">
        <f t="shared" si="38"/>
        <v>2</v>
      </c>
      <c r="S236" s="115">
        <f t="shared" si="38"/>
        <v>2</v>
      </c>
      <c r="T236" s="115">
        <f t="shared" si="38"/>
        <v>2</v>
      </c>
      <c r="U236" s="115">
        <f t="shared" si="38"/>
        <v>2</v>
      </c>
      <c r="V236" s="115">
        <f t="shared" si="38"/>
        <v>2</v>
      </c>
      <c r="W236" s="2"/>
      <c r="X236" s="4"/>
      <c r="Y236" s="16"/>
      <c r="Z236" s="1"/>
      <c r="AA236" s="1"/>
      <c r="AB236" s="1"/>
    </row>
    <row r="237" spans="1:28" outlineLevel="3" x14ac:dyDescent="0.25">
      <c r="A237" s="1"/>
      <c r="B237" s="33"/>
      <c r="C237" s="73">
        <f t="shared" si="7"/>
        <v>4</v>
      </c>
      <c r="D237" s="4"/>
      <c r="E237" s="5"/>
      <c r="F237" s="5"/>
      <c r="G237" s="4"/>
      <c r="H237" s="26"/>
      <c r="I237" s="36"/>
      <c r="J237" s="56"/>
      <c r="K237" s="56">
        <v>1</v>
      </c>
      <c r="L237" s="56">
        <v>0</v>
      </c>
      <c r="M237" s="115">
        <f t="shared" ref="M237:V237" si="39">M232</f>
        <v>1</v>
      </c>
      <c r="N237" s="115">
        <f t="shared" si="39"/>
        <v>2</v>
      </c>
      <c r="O237" s="115">
        <f t="shared" si="39"/>
        <v>2</v>
      </c>
      <c r="P237" s="115">
        <f t="shared" si="39"/>
        <v>2</v>
      </c>
      <c r="Q237" s="115">
        <f t="shared" si="39"/>
        <v>2</v>
      </c>
      <c r="R237" s="115">
        <f t="shared" si="39"/>
        <v>2</v>
      </c>
      <c r="S237" s="115">
        <f t="shared" si="39"/>
        <v>2</v>
      </c>
      <c r="T237" s="115">
        <f t="shared" si="39"/>
        <v>2</v>
      </c>
      <c r="U237" s="115">
        <f t="shared" si="39"/>
        <v>2</v>
      </c>
      <c r="V237" s="115">
        <f t="shared" si="39"/>
        <v>2</v>
      </c>
      <c r="W237" s="2"/>
      <c r="X237" s="4"/>
      <c r="Y237" s="16"/>
      <c r="Z237" s="1"/>
      <c r="AA237" s="1"/>
      <c r="AB237" s="1"/>
    </row>
    <row r="238" spans="1:28" outlineLevel="3" x14ac:dyDescent="0.25">
      <c r="A238" s="1"/>
      <c r="B238" s="33"/>
      <c r="C238" s="73">
        <f t="shared" ref="C238:C265" si="40">INT($C$132)+3</f>
        <v>4</v>
      </c>
      <c r="D238" s="4"/>
      <c r="E238" s="5"/>
      <c r="F238" s="5"/>
      <c r="G238" s="4"/>
      <c r="H238" s="26"/>
      <c r="I238" s="36"/>
      <c r="J238" s="56"/>
      <c r="K238" s="56">
        <v>2</v>
      </c>
      <c r="L238" s="56">
        <v>0</v>
      </c>
      <c r="M238" s="115">
        <f t="shared" ref="M238:V238" si="41">M233</f>
        <v>1</v>
      </c>
      <c r="N238" s="115">
        <f t="shared" si="41"/>
        <v>2</v>
      </c>
      <c r="O238" s="115">
        <f t="shared" si="41"/>
        <v>3</v>
      </c>
      <c r="P238" s="115">
        <f t="shared" si="41"/>
        <v>3</v>
      </c>
      <c r="Q238" s="115">
        <f t="shared" si="41"/>
        <v>3</v>
      </c>
      <c r="R238" s="115">
        <f t="shared" si="41"/>
        <v>3</v>
      </c>
      <c r="S238" s="115">
        <f t="shared" si="41"/>
        <v>3</v>
      </c>
      <c r="T238" s="115">
        <f t="shared" si="41"/>
        <v>2</v>
      </c>
      <c r="U238" s="115">
        <f t="shared" si="41"/>
        <v>3</v>
      </c>
      <c r="V238" s="115">
        <f t="shared" si="41"/>
        <v>3</v>
      </c>
      <c r="W238" s="2"/>
      <c r="X238" s="4"/>
      <c r="Y238" s="16"/>
      <c r="Z238" s="1"/>
      <c r="AA238" s="1"/>
      <c r="AB238" s="1"/>
    </row>
    <row r="239" spans="1:28" outlineLevel="3" x14ac:dyDescent="0.25">
      <c r="A239" s="1"/>
      <c r="B239" s="33"/>
      <c r="C239" s="73">
        <f t="shared" si="40"/>
        <v>4</v>
      </c>
      <c r="D239" s="4"/>
      <c r="E239" s="5"/>
      <c r="F239" s="5"/>
      <c r="G239" s="4"/>
      <c r="H239" s="26"/>
      <c r="I239" s="36"/>
      <c r="J239" s="56"/>
      <c r="K239" s="56">
        <v>3</v>
      </c>
      <c r="L239" s="56">
        <v>0</v>
      </c>
      <c r="M239" s="115">
        <f t="shared" ref="M239:V239" si="42">M234</f>
        <v>1</v>
      </c>
      <c r="N239" s="115">
        <f t="shared" si="42"/>
        <v>2</v>
      </c>
      <c r="O239" s="115">
        <f t="shared" si="42"/>
        <v>3</v>
      </c>
      <c r="P239" s="115">
        <f t="shared" si="42"/>
        <v>4</v>
      </c>
      <c r="Q239" s="115">
        <f t="shared" si="42"/>
        <v>3</v>
      </c>
      <c r="R239" s="115">
        <f t="shared" si="42"/>
        <v>4</v>
      </c>
      <c r="S239" s="115">
        <f t="shared" si="42"/>
        <v>4</v>
      </c>
      <c r="T239" s="115">
        <f t="shared" si="42"/>
        <v>2</v>
      </c>
      <c r="U239" s="115">
        <f t="shared" si="42"/>
        <v>3</v>
      </c>
      <c r="V239" s="115">
        <f t="shared" si="42"/>
        <v>4</v>
      </c>
      <c r="W239" s="2"/>
      <c r="X239" s="4"/>
      <c r="Y239" s="16"/>
      <c r="Z239" s="1"/>
      <c r="AA239" s="1"/>
      <c r="AB239" s="1"/>
    </row>
    <row r="240" spans="1:28" outlineLevel="3" x14ac:dyDescent="0.25">
      <c r="A240" s="1"/>
      <c r="B240" s="33"/>
      <c r="C240" s="73">
        <f t="shared" si="40"/>
        <v>4</v>
      </c>
      <c r="D240" s="4"/>
      <c r="E240" s="5"/>
      <c r="F240" s="5"/>
      <c r="G240" s="4"/>
      <c r="H240" s="26"/>
      <c r="I240" s="36"/>
      <c r="J240" s="63"/>
      <c r="K240" s="63">
        <v>4</v>
      </c>
      <c r="L240" s="63">
        <v>0</v>
      </c>
      <c r="M240" s="118">
        <f t="shared" ref="M240:V240" si="43">M239</f>
        <v>1</v>
      </c>
      <c r="N240" s="118">
        <f t="shared" si="43"/>
        <v>2</v>
      </c>
      <c r="O240" s="118">
        <f t="shared" si="43"/>
        <v>3</v>
      </c>
      <c r="P240" s="118">
        <f t="shared" si="43"/>
        <v>4</v>
      </c>
      <c r="Q240" s="118">
        <f t="shared" si="43"/>
        <v>3</v>
      </c>
      <c r="R240" s="118">
        <f t="shared" si="43"/>
        <v>4</v>
      </c>
      <c r="S240" s="118">
        <f t="shared" si="43"/>
        <v>4</v>
      </c>
      <c r="T240" s="118">
        <f t="shared" si="43"/>
        <v>2</v>
      </c>
      <c r="U240" s="118">
        <f t="shared" si="43"/>
        <v>3</v>
      </c>
      <c r="V240" s="118">
        <f t="shared" si="43"/>
        <v>4</v>
      </c>
      <c r="W240" s="2"/>
      <c r="X240" s="4"/>
      <c r="Y240" s="16"/>
      <c r="Z240" s="1"/>
      <c r="AA240" s="1"/>
      <c r="AB240" s="1"/>
    </row>
    <row r="241" spans="1:28" outlineLevel="3" x14ac:dyDescent="0.25">
      <c r="A241" s="1"/>
      <c r="B241" s="33"/>
      <c r="C241" s="73">
        <f t="shared" si="40"/>
        <v>4</v>
      </c>
      <c r="D241" s="4"/>
      <c r="E241" s="5"/>
      <c r="F241" s="5"/>
      <c r="G241" s="4"/>
      <c r="H241" s="26"/>
      <c r="I241" s="2"/>
      <c r="J241" s="61">
        <v>3</v>
      </c>
      <c r="K241" s="61">
        <v>0</v>
      </c>
      <c r="L241" s="61">
        <v>0</v>
      </c>
      <c r="M241" s="115">
        <f t="shared" ref="M241:V241" si="44">M236</f>
        <v>2</v>
      </c>
      <c r="N241" s="115">
        <f t="shared" si="44"/>
        <v>2</v>
      </c>
      <c r="O241" s="115">
        <f t="shared" si="44"/>
        <v>2</v>
      </c>
      <c r="P241" s="115">
        <f t="shared" si="44"/>
        <v>2</v>
      </c>
      <c r="Q241" s="115">
        <f t="shared" si="44"/>
        <v>2</v>
      </c>
      <c r="R241" s="115">
        <f t="shared" si="44"/>
        <v>2</v>
      </c>
      <c r="S241" s="115">
        <f t="shared" si="44"/>
        <v>2</v>
      </c>
      <c r="T241" s="115">
        <f t="shared" si="44"/>
        <v>2</v>
      </c>
      <c r="U241" s="115">
        <f t="shared" si="44"/>
        <v>2</v>
      </c>
      <c r="V241" s="115">
        <f t="shared" si="44"/>
        <v>2</v>
      </c>
      <c r="W241" s="2"/>
      <c r="X241" s="4"/>
      <c r="Y241" s="16"/>
      <c r="Z241" s="1"/>
      <c r="AA241" s="1"/>
      <c r="AB241" s="1"/>
    </row>
    <row r="242" spans="1:28" outlineLevel="3" x14ac:dyDescent="0.25">
      <c r="A242" s="1"/>
      <c r="B242" s="33"/>
      <c r="C242" s="73">
        <f t="shared" si="40"/>
        <v>4</v>
      </c>
      <c r="D242" s="4"/>
      <c r="E242" s="5"/>
      <c r="F242" s="5"/>
      <c r="G242" s="4"/>
      <c r="H242" s="26"/>
      <c r="I242" s="2"/>
      <c r="J242" s="56"/>
      <c r="K242" s="56">
        <v>1</v>
      </c>
      <c r="L242" s="56">
        <v>0</v>
      </c>
      <c r="M242" s="115">
        <f t="shared" ref="M242:V242" si="45">M237</f>
        <v>1</v>
      </c>
      <c r="N242" s="115">
        <f t="shared" si="45"/>
        <v>2</v>
      </c>
      <c r="O242" s="115">
        <f t="shared" si="45"/>
        <v>2</v>
      </c>
      <c r="P242" s="115">
        <f t="shared" si="45"/>
        <v>2</v>
      </c>
      <c r="Q242" s="115">
        <f t="shared" si="45"/>
        <v>2</v>
      </c>
      <c r="R242" s="115">
        <f t="shared" si="45"/>
        <v>2</v>
      </c>
      <c r="S242" s="115">
        <f t="shared" si="45"/>
        <v>2</v>
      </c>
      <c r="T242" s="115">
        <f t="shared" si="45"/>
        <v>2</v>
      </c>
      <c r="U242" s="115">
        <f t="shared" si="45"/>
        <v>2</v>
      </c>
      <c r="V242" s="115">
        <f t="shared" si="45"/>
        <v>2</v>
      </c>
      <c r="W242" s="2"/>
      <c r="X242" s="4"/>
      <c r="Y242" s="16"/>
      <c r="Z242" s="1"/>
      <c r="AA242" s="1"/>
      <c r="AB242" s="1"/>
    </row>
    <row r="243" spans="1:28" outlineLevel="3" x14ac:dyDescent="0.25">
      <c r="A243" s="1"/>
      <c r="B243" s="33"/>
      <c r="C243" s="73">
        <f t="shared" si="40"/>
        <v>4</v>
      </c>
      <c r="D243" s="4"/>
      <c r="E243" s="5"/>
      <c r="F243" s="5"/>
      <c r="G243" s="4"/>
      <c r="H243" s="26"/>
      <c r="I243" s="2"/>
      <c r="J243" s="56"/>
      <c r="K243" s="56">
        <v>2</v>
      </c>
      <c r="L243" s="56">
        <v>0</v>
      </c>
      <c r="M243" s="115">
        <f t="shared" ref="M243:V243" si="46">M238</f>
        <v>1</v>
      </c>
      <c r="N243" s="115">
        <f t="shared" si="46"/>
        <v>2</v>
      </c>
      <c r="O243" s="115">
        <f t="shared" si="46"/>
        <v>3</v>
      </c>
      <c r="P243" s="115">
        <f t="shared" si="46"/>
        <v>3</v>
      </c>
      <c r="Q243" s="115">
        <f t="shared" si="46"/>
        <v>3</v>
      </c>
      <c r="R243" s="115">
        <f t="shared" si="46"/>
        <v>3</v>
      </c>
      <c r="S243" s="115">
        <f t="shared" si="46"/>
        <v>3</v>
      </c>
      <c r="T243" s="115">
        <f t="shared" si="46"/>
        <v>2</v>
      </c>
      <c r="U243" s="115">
        <f t="shared" si="46"/>
        <v>3</v>
      </c>
      <c r="V243" s="115">
        <f t="shared" si="46"/>
        <v>3</v>
      </c>
      <c r="W243" s="2"/>
      <c r="X243" s="4"/>
      <c r="Y243" s="16"/>
      <c r="Z243" s="1"/>
      <c r="AA243" s="1"/>
      <c r="AB243" s="1"/>
    </row>
    <row r="244" spans="1:28" outlineLevel="3" x14ac:dyDescent="0.25">
      <c r="A244" s="1"/>
      <c r="B244" s="33"/>
      <c r="C244" s="73">
        <f t="shared" si="40"/>
        <v>4</v>
      </c>
      <c r="D244" s="4"/>
      <c r="E244" s="5"/>
      <c r="F244" s="5"/>
      <c r="G244" s="4"/>
      <c r="H244" s="26"/>
      <c r="I244" s="2"/>
      <c r="J244" s="56"/>
      <c r="K244" s="56">
        <v>3</v>
      </c>
      <c r="L244" s="56">
        <v>0</v>
      </c>
      <c r="M244" s="115">
        <f t="shared" ref="M244:V244" si="47">M239</f>
        <v>1</v>
      </c>
      <c r="N244" s="115">
        <f t="shared" si="47"/>
        <v>2</v>
      </c>
      <c r="O244" s="115">
        <f t="shared" si="47"/>
        <v>3</v>
      </c>
      <c r="P244" s="115">
        <f t="shared" si="47"/>
        <v>4</v>
      </c>
      <c r="Q244" s="115">
        <f t="shared" si="47"/>
        <v>3</v>
      </c>
      <c r="R244" s="115">
        <f t="shared" si="47"/>
        <v>4</v>
      </c>
      <c r="S244" s="115">
        <f t="shared" si="47"/>
        <v>4</v>
      </c>
      <c r="T244" s="115">
        <f t="shared" si="47"/>
        <v>2</v>
      </c>
      <c r="U244" s="115">
        <f t="shared" si="47"/>
        <v>3</v>
      </c>
      <c r="V244" s="115">
        <f t="shared" si="47"/>
        <v>4</v>
      </c>
      <c r="W244" s="2"/>
      <c r="X244" s="4"/>
      <c r="Y244" s="16"/>
      <c r="Z244" s="1"/>
      <c r="AA244" s="1"/>
      <c r="AB244" s="1"/>
    </row>
    <row r="245" spans="1:28" outlineLevel="3" x14ac:dyDescent="0.25">
      <c r="A245" s="1"/>
      <c r="B245" s="33"/>
      <c r="C245" s="73">
        <f t="shared" si="40"/>
        <v>4</v>
      </c>
      <c r="D245" s="4"/>
      <c r="E245" s="5"/>
      <c r="F245" s="5"/>
      <c r="G245" s="4"/>
      <c r="H245" s="26"/>
      <c r="I245" s="62"/>
      <c r="J245" s="63"/>
      <c r="K245" s="63">
        <v>4</v>
      </c>
      <c r="L245" s="63">
        <v>0</v>
      </c>
      <c r="M245" s="118">
        <f t="shared" ref="M245:V245" si="48">M244</f>
        <v>1</v>
      </c>
      <c r="N245" s="118">
        <f t="shared" si="48"/>
        <v>2</v>
      </c>
      <c r="O245" s="118">
        <f t="shared" si="48"/>
        <v>3</v>
      </c>
      <c r="P245" s="118">
        <f t="shared" si="48"/>
        <v>4</v>
      </c>
      <c r="Q245" s="118">
        <f t="shared" si="48"/>
        <v>3</v>
      </c>
      <c r="R245" s="118">
        <f t="shared" si="48"/>
        <v>4</v>
      </c>
      <c r="S245" s="118">
        <f t="shared" si="48"/>
        <v>4</v>
      </c>
      <c r="T245" s="118">
        <f t="shared" si="48"/>
        <v>2</v>
      </c>
      <c r="U245" s="118">
        <f t="shared" si="48"/>
        <v>3</v>
      </c>
      <c r="V245" s="118">
        <f t="shared" si="48"/>
        <v>4</v>
      </c>
      <c r="W245" s="2"/>
      <c r="X245" s="4"/>
      <c r="Y245" s="16"/>
      <c r="Z245" s="1"/>
      <c r="AA245" s="1"/>
      <c r="AB245" s="1"/>
    </row>
    <row r="246" spans="1:28" outlineLevel="3" x14ac:dyDescent="0.25">
      <c r="A246" s="1"/>
      <c r="B246" s="33"/>
      <c r="C246" s="73">
        <f t="shared" si="40"/>
        <v>4</v>
      </c>
      <c r="D246" s="4"/>
      <c r="E246" s="5"/>
      <c r="F246" s="5"/>
      <c r="G246" s="4"/>
      <c r="H246" s="26"/>
      <c r="I246" s="110">
        <v>2</v>
      </c>
      <c r="J246" s="57">
        <v>0</v>
      </c>
      <c r="K246" s="61">
        <v>0</v>
      </c>
      <c r="L246" s="61">
        <v>0</v>
      </c>
      <c r="M246" s="115">
        <f t="shared" ref="M246:V246" si="49">M226</f>
        <v>2</v>
      </c>
      <c r="N246" s="115">
        <f t="shared" si="49"/>
        <v>2</v>
      </c>
      <c r="O246" s="115">
        <f t="shared" si="49"/>
        <v>2</v>
      </c>
      <c r="P246" s="115">
        <f t="shared" si="49"/>
        <v>2</v>
      </c>
      <c r="Q246" s="115">
        <f t="shared" si="49"/>
        <v>2</v>
      </c>
      <c r="R246" s="115">
        <f t="shared" si="49"/>
        <v>2</v>
      </c>
      <c r="S246" s="115">
        <f t="shared" si="49"/>
        <v>2</v>
      </c>
      <c r="T246" s="115">
        <f t="shared" si="49"/>
        <v>2</v>
      </c>
      <c r="U246" s="115">
        <f t="shared" si="49"/>
        <v>2</v>
      </c>
      <c r="V246" s="115">
        <f t="shared" si="49"/>
        <v>2</v>
      </c>
      <c r="W246" s="2"/>
      <c r="X246" s="4"/>
      <c r="Y246" s="16"/>
      <c r="Z246" s="1"/>
      <c r="AA246" s="1"/>
      <c r="AB246" s="1"/>
    </row>
    <row r="247" spans="1:28" outlineLevel="3" x14ac:dyDescent="0.25">
      <c r="A247" s="1"/>
      <c r="B247" s="33"/>
      <c r="C247" s="73">
        <f t="shared" si="40"/>
        <v>4</v>
      </c>
      <c r="D247" s="4"/>
      <c r="E247" s="5"/>
      <c r="F247" s="5"/>
      <c r="G247" s="4"/>
      <c r="H247" s="26"/>
      <c r="I247" s="36" t="s">
        <v>236</v>
      </c>
      <c r="J247" s="36"/>
      <c r="K247" s="56">
        <v>1</v>
      </c>
      <c r="L247" s="56">
        <v>0</v>
      </c>
      <c r="M247" s="115">
        <f t="shared" ref="M247:V247" si="50">M227</f>
        <v>1</v>
      </c>
      <c r="N247" s="115">
        <f t="shared" si="50"/>
        <v>2</v>
      </c>
      <c r="O247" s="115">
        <f t="shared" si="50"/>
        <v>2</v>
      </c>
      <c r="P247" s="115">
        <f t="shared" si="50"/>
        <v>2</v>
      </c>
      <c r="Q247" s="115">
        <f t="shared" si="50"/>
        <v>2</v>
      </c>
      <c r="R247" s="115">
        <f t="shared" si="50"/>
        <v>2</v>
      </c>
      <c r="S247" s="115">
        <f t="shared" si="50"/>
        <v>2</v>
      </c>
      <c r="T247" s="115">
        <f t="shared" si="50"/>
        <v>2</v>
      </c>
      <c r="U247" s="115">
        <f t="shared" si="50"/>
        <v>2</v>
      </c>
      <c r="V247" s="115">
        <f t="shared" si="50"/>
        <v>2</v>
      </c>
      <c r="W247" s="2"/>
      <c r="X247" s="4"/>
      <c r="Y247" s="16"/>
      <c r="Z247" s="1"/>
      <c r="AA247" s="1"/>
      <c r="AB247" s="1"/>
    </row>
    <row r="248" spans="1:28" outlineLevel="3" x14ac:dyDescent="0.25">
      <c r="A248" s="1"/>
      <c r="B248" s="33"/>
      <c r="C248" s="73">
        <f t="shared" si="40"/>
        <v>4</v>
      </c>
      <c r="D248" s="4"/>
      <c r="E248" s="5"/>
      <c r="F248" s="5"/>
      <c r="G248" s="4"/>
      <c r="H248" s="26"/>
      <c r="I248" s="36"/>
      <c r="J248" s="36"/>
      <c r="K248" s="56">
        <v>2</v>
      </c>
      <c r="L248" s="56">
        <v>0</v>
      </c>
      <c r="M248" s="115">
        <f t="shared" ref="M248:V248" si="51">M228</f>
        <v>1</v>
      </c>
      <c r="N248" s="115">
        <f t="shared" si="51"/>
        <v>2</v>
      </c>
      <c r="O248" s="115">
        <f t="shared" si="51"/>
        <v>3</v>
      </c>
      <c r="P248" s="115">
        <f t="shared" si="51"/>
        <v>3</v>
      </c>
      <c r="Q248" s="115">
        <f t="shared" si="51"/>
        <v>3</v>
      </c>
      <c r="R248" s="115">
        <f t="shared" si="51"/>
        <v>3</v>
      </c>
      <c r="S248" s="115">
        <f t="shared" si="51"/>
        <v>3</v>
      </c>
      <c r="T248" s="115">
        <f t="shared" si="51"/>
        <v>2</v>
      </c>
      <c r="U248" s="115">
        <f t="shared" si="51"/>
        <v>3</v>
      </c>
      <c r="V248" s="115">
        <f t="shared" si="51"/>
        <v>3</v>
      </c>
      <c r="W248" s="2"/>
      <c r="X248" s="4"/>
      <c r="Y248" s="16"/>
      <c r="Z248" s="1"/>
      <c r="AA248" s="1"/>
      <c r="AB248" s="1"/>
    </row>
    <row r="249" spans="1:28" outlineLevel="3" x14ac:dyDescent="0.25">
      <c r="A249" s="1"/>
      <c r="B249" s="33"/>
      <c r="C249" s="73">
        <f t="shared" si="40"/>
        <v>4</v>
      </c>
      <c r="D249" s="4"/>
      <c r="E249" s="5"/>
      <c r="F249" s="5"/>
      <c r="G249" s="4"/>
      <c r="H249" s="26"/>
      <c r="I249" s="36"/>
      <c r="J249" s="36"/>
      <c r="K249" s="56">
        <v>3</v>
      </c>
      <c r="L249" s="56">
        <v>0</v>
      </c>
      <c r="M249" s="115">
        <f t="shared" ref="M249:V249" si="52">M229</f>
        <v>1</v>
      </c>
      <c r="N249" s="115">
        <f t="shared" si="52"/>
        <v>2</v>
      </c>
      <c r="O249" s="115">
        <f t="shared" si="52"/>
        <v>3</v>
      </c>
      <c r="P249" s="115">
        <f t="shared" si="52"/>
        <v>4</v>
      </c>
      <c r="Q249" s="115">
        <f t="shared" si="52"/>
        <v>3</v>
      </c>
      <c r="R249" s="115">
        <f t="shared" si="52"/>
        <v>4</v>
      </c>
      <c r="S249" s="115">
        <f t="shared" si="52"/>
        <v>4</v>
      </c>
      <c r="T249" s="115">
        <f t="shared" si="52"/>
        <v>2</v>
      </c>
      <c r="U249" s="115">
        <f t="shared" si="52"/>
        <v>3</v>
      </c>
      <c r="V249" s="115">
        <f t="shared" si="52"/>
        <v>4</v>
      </c>
      <c r="W249" s="2"/>
      <c r="X249" s="4"/>
      <c r="Y249" s="16"/>
      <c r="Z249" s="1"/>
      <c r="AA249" s="1"/>
      <c r="AB249" s="1"/>
    </row>
    <row r="250" spans="1:28" outlineLevel="3" x14ac:dyDescent="0.25">
      <c r="A250" s="1"/>
      <c r="B250" s="33"/>
      <c r="C250" s="73">
        <f t="shared" si="40"/>
        <v>4</v>
      </c>
      <c r="D250" s="4"/>
      <c r="E250" s="5"/>
      <c r="F250" s="5"/>
      <c r="G250" s="4"/>
      <c r="H250" s="26"/>
      <c r="I250" s="36"/>
      <c r="J250" s="36"/>
      <c r="K250" s="63">
        <v>4</v>
      </c>
      <c r="L250" s="63">
        <v>0</v>
      </c>
      <c r="M250" s="118">
        <f t="shared" ref="M250:V250" si="53">M249</f>
        <v>1</v>
      </c>
      <c r="N250" s="118">
        <f t="shared" si="53"/>
        <v>2</v>
      </c>
      <c r="O250" s="118">
        <f t="shared" si="53"/>
        <v>3</v>
      </c>
      <c r="P250" s="118">
        <f t="shared" si="53"/>
        <v>4</v>
      </c>
      <c r="Q250" s="118">
        <f t="shared" si="53"/>
        <v>3</v>
      </c>
      <c r="R250" s="118">
        <f t="shared" si="53"/>
        <v>4</v>
      </c>
      <c r="S250" s="118">
        <f t="shared" si="53"/>
        <v>4</v>
      </c>
      <c r="T250" s="118">
        <f t="shared" si="53"/>
        <v>2</v>
      </c>
      <c r="U250" s="118">
        <f t="shared" si="53"/>
        <v>3</v>
      </c>
      <c r="V250" s="118">
        <f t="shared" si="53"/>
        <v>4</v>
      </c>
      <c r="W250" s="2"/>
      <c r="X250" s="4"/>
      <c r="Y250" s="16"/>
      <c r="Z250" s="1"/>
      <c r="AA250" s="1"/>
      <c r="AB250" s="1"/>
    </row>
    <row r="251" spans="1:28" outlineLevel="3" x14ac:dyDescent="0.25">
      <c r="A251" s="1"/>
      <c r="B251" s="33"/>
      <c r="C251" s="73">
        <f t="shared" si="40"/>
        <v>4</v>
      </c>
      <c r="D251" s="4"/>
      <c r="E251" s="5"/>
      <c r="F251" s="5"/>
      <c r="G251" s="4"/>
      <c r="H251" s="26"/>
      <c r="I251" s="2"/>
      <c r="J251" s="103">
        <v>1</v>
      </c>
      <c r="K251" s="103">
        <v>0</v>
      </c>
      <c r="L251" s="103">
        <v>0</v>
      </c>
      <c r="M251" s="115">
        <f t="shared" ref="M251:V251" si="54">M231</f>
        <v>2</v>
      </c>
      <c r="N251" s="115">
        <f t="shared" si="54"/>
        <v>2</v>
      </c>
      <c r="O251" s="115">
        <f t="shared" si="54"/>
        <v>2</v>
      </c>
      <c r="P251" s="115">
        <f t="shared" si="54"/>
        <v>2</v>
      </c>
      <c r="Q251" s="115">
        <f t="shared" si="54"/>
        <v>2</v>
      </c>
      <c r="R251" s="115">
        <f t="shared" si="54"/>
        <v>2</v>
      </c>
      <c r="S251" s="115">
        <f t="shared" si="54"/>
        <v>2</v>
      </c>
      <c r="T251" s="115">
        <f t="shared" si="54"/>
        <v>2</v>
      </c>
      <c r="U251" s="115">
        <f t="shared" si="54"/>
        <v>2</v>
      </c>
      <c r="V251" s="115">
        <f t="shared" si="54"/>
        <v>2</v>
      </c>
      <c r="W251" s="2"/>
      <c r="X251" s="4"/>
      <c r="Y251" s="16"/>
      <c r="Z251" s="1"/>
      <c r="AA251" s="1"/>
      <c r="AB251" s="1"/>
    </row>
    <row r="252" spans="1:28" outlineLevel="3" x14ac:dyDescent="0.25">
      <c r="A252" s="1"/>
      <c r="B252" s="33"/>
      <c r="C252" s="73">
        <f t="shared" si="40"/>
        <v>4</v>
      </c>
      <c r="D252" s="4"/>
      <c r="E252" s="5"/>
      <c r="F252" s="5"/>
      <c r="G252" s="4"/>
      <c r="H252" s="26"/>
      <c r="I252" s="2"/>
      <c r="J252" s="56"/>
      <c r="K252" s="56">
        <v>1</v>
      </c>
      <c r="L252" s="56">
        <v>0</v>
      </c>
      <c r="M252" s="115">
        <f t="shared" ref="M252:V252" si="55">M232</f>
        <v>1</v>
      </c>
      <c r="N252" s="115">
        <f t="shared" si="55"/>
        <v>2</v>
      </c>
      <c r="O252" s="115">
        <f t="shared" si="55"/>
        <v>2</v>
      </c>
      <c r="P252" s="115">
        <f t="shared" si="55"/>
        <v>2</v>
      </c>
      <c r="Q252" s="115">
        <f t="shared" si="55"/>
        <v>2</v>
      </c>
      <c r="R252" s="115">
        <f t="shared" si="55"/>
        <v>2</v>
      </c>
      <c r="S252" s="115">
        <f t="shared" si="55"/>
        <v>2</v>
      </c>
      <c r="T252" s="115">
        <f t="shared" si="55"/>
        <v>2</v>
      </c>
      <c r="U252" s="115">
        <f t="shared" si="55"/>
        <v>2</v>
      </c>
      <c r="V252" s="115">
        <f t="shared" si="55"/>
        <v>2</v>
      </c>
      <c r="W252" s="2"/>
      <c r="X252" s="4"/>
      <c r="Y252" s="16"/>
      <c r="Z252" s="1"/>
      <c r="AA252" s="1"/>
      <c r="AB252" s="1"/>
    </row>
    <row r="253" spans="1:28" outlineLevel="3" x14ac:dyDescent="0.25">
      <c r="A253" s="1"/>
      <c r="B253" s="33"/>
      <c r="C253" s="73">
        <f t="shared" si="40"/>
        <v>4</v>
      </c>
      <c r="D253" s="4"/>
      <c r="E253" s="5"/>
      <c r="F253" s="5"/>
      <c r="G253" s="4"/>
      <c r="H253" s="26"/>
      <c r="I253" s="2"/>
      <c r="J253" s="56"/>
      <c r="K253" s="56">
        <v>2</v>
      </c>
      <c r="L253" s="56">
        <v>0</v>
      </c>
      <c r="M253" s="115">
        <f t="shared" ref="M253:V253" si="56">M233</f>
        <v>1</v>
      </c>
      <c r="N253" s="115">
        <f t="shared" si="56"/>
        <v>2</v>
      </c>
      <c r="O253" s="115">
        <f t="shared" si="56"/>
        <v>3</v>
      </c>
      <c r="P253" s="115">
        <f t="shared" si="56"/>
        <v>3</v>
      </c>
      <c r="Q253" s="115">
        <f t="shared" si="56"/>
        <v>3</v>
      </c>
      <c r="R253" s="115">
        <f t="shared" si="56"/>
        <v>3</v>
      </c>
      <c r="S253" s="115">
        <f t="shared" si="56"/>
        <v>3</v>
      </c>
      <c r="T253" s="115">
        <f t="shared" si="56"/>
        <v>2</v>
      </c>
      <c r="U253" s="115">
        <f t="shared" si="56"/>
        <v>3</v>
      </c>
      <c r="V253" s="115">
        <f t="shared" si="56"/>
        <v>3</v>
      </c>
      <c r="W253" s="2"/>
      <c r="X253" s="4"/>
      <c r="Y253" s="16"/>
      <c r="Z253" s="1"/>
      <c r="AA253" s="1"/>
      <c r="AB253" s="1"/>
    </row>
    <row r="254" spans="1:28" outlineLevel="3" x14ac:dyDescent="0.25">
      <c r="A254" s="1"/>
      <c r="B254" s="33"/>
      <c r="C254" s="73">
        <f t="shared" si="40"/>
        <v>4</v>
      </c>
      <c r="D254" s="4"/>
      <c r="E254" s="5"/>
      <c r="F254" s="5"/>
      <c r="G254" s="4"/>
      <c r="H254" s="26"/>
      <c r="I254" s="2"/>
      <c r="J254" s="56"/>
      <c r="K254" s="56">
        <v>3</v>
      </c>
      <c r="L254" s="56">
        <v>0</v>
      </c>
      <c r="M254" s="115">
        <f t="shared" ref="M254:V254" si="57">M234</f>
        <v>1</v>
      </c>
      <c r="N254" s="115">
        <f t="shared" si="57"/>
        <v>2</v>
      </c>
      <c r="O254" s="115">
        <f t="shared" si="57"/>
        <v>3</v>
      </c>
      <c r="P254" s="115">
        <f t="shared" si="57"/>
        <v>4</v>
      </c>
      <c r="Q254" s="115">
        <f t="shared" si="57"/>
        <v>3</v>
      </c>
      <c r="R254" s="115">
        <f t="shared" si="57"/>
        <v>4</v>
      </c>
      <c r="S254" s="115">
        <f t="shared" si="57"/>
        <v>4</v>
      </c>
      <c r="T254" s="115">
        <f t="shared" si="57"/>
        <v>2</v>
      </c>
      <c r="U254" s="115">
        <f t="shared" si="57"/>
        <v>3</v>
      </c>
      <c r="V254" s="115">
        <f t="shared" si="57"/>
        <v>4</v>
      </c>
      <c r="W254" s="2"/>
      <c r="X254" s="4"/>
      <c r="Y254" s="16"/>
      <c r="Z254" s="1"/>
      <c r="AA254" s="1"/>
      <c r="AB254" s="1"/>
    </row>
    <row r="255" spans="1:28" outlineLevel="3" x14ac:dyDescent="0.25">
      <c r="A255" s="1"/>
      <c r="B255" s="33"/>
      <c r="C255" s="73">
        <f t="shared" si="40"/>
        <v>4</v>
      </c>
      <c r="D255" s="4"/>
      <c r="E255" s="5"/>
      <c r="F255" s="5"/>
      <c r="G255" s="4"/>
      <c r="H255" s="26"/>
      <c r="I255" s="2"/>
      <c r="J255" s="63"/>
      <c r="K255" s="63">
        <v>4</v>
      </c>
      <c r="L255" s="63">
        <v>0</v>
      </c>
      <c r="M255" s="118">
        <f t="shared" ref="M255:V255" si="58">M254</f>
        <v>1</v>
      </c>
      <c r="N255" s="118">
        <f t="shared" si="58"/>
        <v>2</v>
      </c>
      <c r="O255" s="118">
        <f t="shared" si="58"/>
        <v>3</v>
      </c>
      <c r="P255" s="118">
        <f t="shared" si="58"/>
        <v>4</v>
      </c>
      <c r="Q255" s="118">
        <f t="shared" si="58"/>
        <v>3</v>
      </c>
      <c r="R255" s="118">
        <f t="shared" si="58"/>
        <v>4</v>
      </c>
      <c r="S255" s="118">
        <f t="shared" si="58"/>
        <v>4</v>
      </c>
      <c r="T255" s="118">
        <f t="shared" si="58"/>
        <v>2</v>
      </c>
      <c r="U255" s="118">
        <f t="shared" si="58"/>
        <v>3</v>
      </c>
      <c r="V255" s="118">
        <f t="shared" si="58"/>
        <v>4</v>
      </c>
      <c r="W255" s="2"/>
      <c r="X255" s="4"/>
      <c r="Y255" s="16"/>
      <c r="Z255" s="1"/>
      <c r="AA255" s="1"/>
      <c r="AB255" s="1"/>
    </row>
    <row r="256" spans="1:28" outlineLevel="3" x14ac:dyDescent="0.25">
      <c r="A256" s="1"/>
      <c r="B256" s="33"/>
      <c r="C256" s="73">
        <f t="shared" si="40"/>
        <v>4</v>
      </c>
      <c r="D256" s="4"/>
      <c r="E256" s="5"/>
      <c r="F256" s="5"/>
      <c r="G256" s="4"/>
      <c r="H256" s="26"/>
      <c r="I256" s="36"/>
      <c r="J256" s="61">
        <v>2</v>
      </c>
      <c r="K256" s="61">
        <v>0</v>
      </c>
      <c r="L256" s="61">
        <v>0</v>
      </c>
      <c r="M256" s="99">
        <v>1</v>
      </c>
      <c r="N256" s="99">
        <v>2</v>
      </c>
      <c r="O256" s="99">
        <v>2</v>
      </c>
      <c r="P256" s="99">
        <v>2</v>
      </c>
      <c r="Q256" s="99">
        <v>2</v>
      </c>
      <c r="R256" s="99">
        <v>2</v>
      </c>
      <c r="S256" s="99">
        <v>2</v>
      </c>
      <c r="T256" s="99">
        <v>1</v>
      </c>
      <c r="U256" s="99">
        <v>1</v>
      </c>
      <c r="V256" s="99">
        <v>1</v>
      </c>
      <c r="W256" s="2"/>
      <c r="X256" s="4"/>
      <c r="Y256" s="16"/>
      <c r="Z256" s="1"/>
      <c r="AA256" s="1"/>
      <c r="AB256" s="1"/>
    </row>
    <row r="257" spans="1:28" outlineLevel="3" x14ac:dyDescent="0.25">
      <c r="A257" s="1"/>
      <c r="B257" s="33"/>
      <c r="C257" s="73">
        <f t="shared" si="40"/>
        <v>4</v>
      </c>
      <c r="D257" s="4"/>
      <c r="E257" s="5"/>
      <c r="F257" s="5"/>
      <c r="G257" s="4"/>
      <c r="H257" s="26"/>
      <c r="I257" s="36"/>
      <c r="J257" s="56"/>
      <c r="K257" s="56">
        <v>1</v>
      </c>
      <c r="L257" s="56">
        <v>0</v>
      </c>
      <c r="M257" s="100">
        <v>1</v>
      </c>
      <c r="N257" s="100">
        <v>2</v>
      </c>
      <c r="O257" s="111">
        <f>N257</f>
        <v>2</v>
      </c>
      <c r="P257" s="111">
        <f>O257</f>
        <v>2</v>
      </c>
      <c r="Q257" s="111">
        <f>P257</f>
        <v>2</v>
      </c>
      <c r="R257" s="111">
        <f>Q257</f>
        <v>2</v>
      </c>
      <c r="S257" s="111">
        <f>R257</f>
        <v>2</v>
      </c>
      <c r="T257" s="31">
        <v>8</v>
      </c>
      <c r="U257" s="31">
        <v>8</v>
      </c>
      <c r="V257" s="31">
        <v>8</v>
      </c>
      <c r="W257" s="2"/>
      <c r="X257" s="4"/>
      <c r="Y257" s="16"/>
      <c r="Z257" s="1"/>
      <c r="AA257" s="1"/>
      <c r="AB257" s="1"/>
    </row>
    <row r="258" spans="1:28" outlineLevel="3" x14ac:dyDescent="0.25">
      <c r="A258" s="1"/>
      <c r="B258" s="33"/>
      <c r="C258" s="73">
        <f t="shared" si="40"/>
        <v>4</v>
      </c>
      <c r="D258" s="4"/>
      <c r="E258" s="5"/>
      <c r="F258" s="5"/>
      <c r="G258" s="4"/>
      <c r="H258" s="26"/>
      <c r="I258" s="36"/>
      <c r="J258" s="56"/>
      <c r="K258" s="56">
        <v>2</v>
      </c>
      <c r="L258" s="56">
        <v>0</v>
      </c>
      <c r="M258" s="100">
        <v>1</v>
      </c>
      <c r="N258" s="100">
        <v>2</v>
      </c>
      <c r="O258" s="100">
        <v>3</v>
      </c>
      <c r="P258" s="100">
        <v>3</v>
      </c>
      <c r="Q258" s="112">
        <f>O258</f>
        <v>3</v>
      </c>
      <c r="R258" s="112">
        <f>P258</f>
        <v>3</v>
      </c>
      <c r="S258" s="113">
        <f>P258</f>
        <v>3</v>
      </c>
      <c r="T258" s="31">
        <v>8</v>
      </c>
      <c r="U258" s="31">
        <v>9</v>
      </c>
      <c r="V258" s="111">
        <f>U258</f>
        <v>9</v>
      </c>
      <c r="W258" s="2"/>
      <c r="X258" s="4"/>
      <c r="Y258" s="16"/>
      <c r="Z258" s="1"/>
      <c r="AA258" s="1"/>
      <c r="AB258" s="1"/>
    </row>
    <row r="259" spans="1:28" outlineLevel="3" x14ac:dyDescent="0.25">
      <c r="A259" s="1"/>
      <c r="B259" s="33"/>
      <c r="C259" s="73">
        <f t="shared" si="40"/>
        <v>4</v>
      </c>
      <c r="D259" s="4"/>
      <c r="E259" s="5"/>
      <c r="F259" s="5"/>
      <c r="G259" s="4"/>
      <c r="H259" s="26"/>
      <c r="I259" s="36"/>
      <c r="J259" s="56"/>
      <c r="K259" s="56">
        <v>3</v>
      </c>
      <c r="L259" s="56">
        <v>0</v>
      </c>
      <c r="M259" s="100">
        <v>1</v>
      </c>
      <c r="N259" s="100">
        <v>2</v>
      </c>
      <c r="O259" s="100">
        <v>3</v>
      </c>
      <c r="P259" s="100">
        <v>4</v>
      </c>
      <c r="Q259" s="112">
        <f>O259</f>
        <v>3</v>
      </c>
      <c r="R259" s="112">
        <f>P259</f>
        <v>4</v>
      </c>
      <c r="S259" s="113">
        <f>P259</f>
        <v>4</v>
      </c>
      <c r="T259" s="31">
        <v>8</v>
      </c>
      <c r="U259" s="31">
        <v>9</v>
      </c>
      <c r="V259" s="31">
        <v>10</v>
      </c>
      <c r="W259" s="2"/>
      <c r="X259" s="4"/>
      <c r="Y259" s="16"/>
      <c r="Z259" s="1"/>
      <c r="AA259" s="1"/>
      <c r="AB259" s="1"/>
    </row>
    <row r="260" spans="1:28" outlineLevel="3" x14ac:dyDescent="0.25">
      <c r="A260" s="1"/>
      <c r="B260" s="33"/>
      <c r="C260" s="73">
        <f t="shared" si="40"/>
        <v>4</v>
      </c>
      <c r="D260" s="4"/>
      <c r="E260" s="5"/>
      <c r="F260" s="5"/>
      <c r="G260" s="4"/>
      <c r="H260" s="26"/>
      <c r="I260" s="36"/>
      <c r="J260" s="63"/>
      <c r="K260" s="63">
        <v>4</v>
      </c>
      <c r="L260" s="63">
        <v>0</v>
      </c>
      <c r="M260" s="118">
        <f t="shared" ref="M260:V260" si="59">M259</f>
        <v>1</v>
      </c>
      <c r="N260" s="118">
        <f t="shared" si="59"/>
        <v>2</v>
      </c>
      <c r="O260" s="118">
        <f t="shared" si="59"/>
        <v>3</v>
      </c>
      <c r="P260" s="118">
        <f t="shared" si="59"/>
        <v>4</v>
      </c>
      <c r="Q260" s="118">
        <f t="shared" si="59"/>
        <v>3</v>
      </c>
      <c r="R260" s="118">
        <f t="shared" si="59"/>
        <v>4</v>
      </c>
      <c r="S260" s="118">
        <f t="shared" si="59"/>
        <v>4</v>
      </c>
      <c r="T260" s="118">
        <f t="shared" si="59"/>
        <v>8</v>
      </c>
      <c r="U260" s="118">
        <f t="shared" si="59"/>
        <v>9</v>
      </c>
      <c r="V260" s="118">
        <f t="shared" si="59"/>
        <v>10</v>
      </c>
      <c r="W260" s="2"/>
      <c r="X260" s="4"/>
      <c r="Y260" s="16"/>
      <c r="Z260" s="1"/>
      <c r="AA260" s="1"/>
      <c r="AB260" s="1"/>
    </row>
    <row r="261" spans="1:28" outlineLevel="3" x14ac:dyDescent="0.25">
      <c r="A261" s="1"/>
      <c r="B261" s="33"/>
      <c r="C261" s="73">
        <f t="shared" si="40"/>
        <v>4</v>
      </c>
      <c r="D261" s="4"/>
      <c r="E261" s="5"/>
      <c r="F261" s="5"/>
      <c r="G261" s="4"/>
      <c r="H261" s="26"/>
      <c r="I261" s="2"/>
      <c r="J261" s="61">
        <v>3</v>
      </c>
      <c r="K261" s="61">
        <v>0</v>
      </c>
      <c r="L261" s="61">
        <v>0</v>
      </c>
      <c r="M261" s="99">
        <v>1</v>
      </c>
      <c r="N261" s="31">
        <v>2</v>
      </c>
      <c r="O261" s="31">
        <v>3</v>
      </c>
      <c r="P261" s="31">
        <v>4</v>
      </c>
      <c r="Q261" s="113">
        <f>N261</f>
        <v>2</v>
      </c>
      <c r="R261" s="113">
        <f>O261</f>
        <v>3</v>
      </c>
      <c r="S261" s="116">
        <f>N261</f>
        <v>2</v>
      </c>
      <c r="T261" s="117">
        <f>M261</f>
        <v>1</v>
      </c>
      <c r="U261" s="111">
        <f>T261</f>
        <v>1</v>
      </c>
      <c r="V261" s="111">
        <f>U261</f>
        <v>1</v>
      </c>
      <c r="W261" s="2"/>
      <c r="X261" s="4"/>
      <c r="Y261" s="16"/>
      <c r="Z261" s="1"/>
      <c r="AA261" s="1"/>
      <c r="AB261" s="1"/>
    </row>
    <row r="262" spans="1:28" outlineLevel="3" x14ac:dyDescent="0.25">
      <c r="A262" s="1"/>
      <c r="B262" s="33"/>
      <c r="C262" s="73">
        <f t="shared" si="40"/>
        <v>4</v>
      </c>
      <c r="D262" s="4"/>
      <c r="E262" s="5"/>
      <c r="F262" s="5"/>
      <c r="G262" s="4"/>
      <c r="H262" s="26"/>
      <c r="I262" s="2"/>
      <c r="J262" s="56"/>
      <c r="K262" s="56">
        <v>1</v>
      </c>
      <c r="L262" s="56">
        <v>0</v>
      </c>
      <c r="M262" s="100">
        <v>1</v>
      </c>
      <c r="N262" s="100">
        <v>2</v>
      </c>
      <c r="O262" s="31">
        <v>3</v>
      </c>
      <c r="P262" s="31">
        <v>4</v>
      </c>
      <c r="Q262" s="113">
        <f>N262</f>
        <v>2</v>
      </c>
      <c r="R262" s="113">
        <f>O262</f>
        <v>3</v>
      </c>
      <c r="S262" s="116">
        <f>N262</f>
        <v>2</v>
      </c>
      <c r="T262" s="31">
        <v>8</v>
      </c>
      <c r="U262" s="111">
        <f>T262</f>
        <v>8</v>
      </c>
      <c r="V262" s="111">
        <f>U262</f>
        <v>8</v>
      </c>
      <c r="W262" s="2"/>
      <c r="X262" s="4"/>
      <c r="Y262" s="16"/>
      <c r="Z262" s="1"/>
      <c r="AA262" s="1"/>
      <c r="AB262" s="1"/>
    </row>
    <row r="263" spans="1:28" outlineLevel="3" x14ac:dyDescent="0.25">
      <c r="A263" s="1"/>
      <c r="B263" s="33"/>
      <c r="C263" s="73">
        <f t="shared" si="40"/>
        <v>4</v>
      </c>
      <c r="D263" s="4"/>
      <c r="E263" s="5"/>
      <c r="F263" s="5"/>
      <c r="G263" s="4"/>
      <c r="H263" s="26"/>
      <c r="I263" s="2"/>
      <c r="J263" s="56"/>
      <c r="K263" s="56">
        <v>2</v>
      </c>
      <c r="L263" s="56">
        <v>0</v>
      </c>
      <c r="M263" s="100">
        <v>1</v>
      </c>
      <c r="N263" s="100">
        <v>2</v>
      </c>
      <c r="O263" s="100">
        <v>3</v>
      </c>
      <c r="P263" s="100">
        <v>4</v>
      </c>
      <c r="Q263" s="31">
        <v>5</v>
      </c>
      <c r="R263" s="113">
        <f>O263</f>
        <v>3</v>
      </c>
      <c r="S263" s="112">
        <f>Q263</f>
        <v>5</v>
      </c>
      <c r="T263" s="31">
        <v>8</v>
      </c>
      <c r="U263" s="31">
        <v>9</v>
      </c>
      <c r="V263" s="111">
        <f>U263</f>
        <v>9</v>
      </c>
      <c r="W263" s="2"/>
      <c r="X263" s="4"/>
      <c r="Y263" s="16"/>
      <c r="Z263" s="1"/>
      <c r="AA263" s="1"/>
      <c r="AB263" s="1"/>
    </row>
    <row r="264" spans="1:28" outlineLevel="3" x14ac:dyDescent="0.25">
      <c r="A264" s="1"/>
      <c r="B264" s="33"/>
      <c r="C264" s="73">
        <f t="shared" si="40"/>
        <v>4</v>
      </c>
      <c r="D264" s="4"/>
      <c r="E264" s="5"/>
      <c r="F264" s="5"/>
      <c r="G264" s="4"/>
      <c r="H264" s="26"/>
      <c r="I264" s="2"/>
      <c r="J264" s="56"/>
      <c r="K264" s="56">
        <v>3</v>
      </c>
      <c r="L264" s="56">
        <v>0</v>
      </c>
      <c r="M264" s="100">
        <v>1</v>
      </c>
      <c r="N264" s="100">
        <v>2</v>
      </c>
      <c r="O264" s="100">
        <v>3</v>
      </c>
      <c r="P264" s="100">
        <v>4</v>
      </c>
      <c r="Q264" s="31">
        <v>5</v>
      </c>
      <c r="R264" s="31">
        <v>6</v>
      </c>
      <c r="S264" s="31">
        <v>7</v>
      </c>
      <c r="T264" s="31">
        <v>8</v>
      </c>
      <c r="U264" s="31">
        <v>9</v>
      </c>
      <c r="V264" s="31">
        <v>10</v>
      </c>
      <c r="W264" s="2"/>
      <c r="X264" s="4"/>
      <c r="Y264" s="16"/>
      <c r="Z264" s="1"/>
      <c r="AA264" s="1"/>
      <c r="AB264" s="1"/>
    </row>
    <row r="265" spans="1:28" outlineLevel="3" x14ac:dyDescent="0.25">
      <c r="A265" s="1"/>
      <c r="B265" s="33"/>
      <c r="C265" s="73">
        <f t="shared" si="40"/>
        <v>4</v>
      </c>
      <c r="D265" s="4"/>
      <c r="E265" s="5"/>
      <c r="F265" s="5"/>
      <c r="G265" s="4"/>
      <c r="H265" s="26"/>
      <c r="I265" s="62"/>
      <c r="J265" s="63"/>
      <c r="K265" s="63">
        <v>4</v>
      </c>
      <c r="L265" s="63">
        <v>0</v>
      </c>
      <c r="M265" s="118">
        <f t="shared" ref="M265:V265" si="60">M264</f>
        <v>1</v>
      </c>
      <c r="N265" s="118">
        <f t="shared" si="60"/>
        <v>2</v>
      </c>
      <c r="O265" s="118">
        <f t="shared" si="60"/>
        <v>3</v>
      </c>
      <c r="P265" s="118">
        <f t="shared" si="60"/>
        <v>4</v>
      </c>
      <c r="Q265" s="118">
        <f t="shared" si="60"/>
        <v>5</v>
      </c>
      <c r="R265" s="118">
        <f t="shared" si="60"/>
        <v>6</v>
      </c>
      <c r="S265" s="118">
        <f t="shared" si="60"/>
        <v>7</v>
      </c>
      <c r="T265" s="118">
        <f t="shared" si="60"/>
        <v>8</v>
      </c>
      <c r="U265" s="118">
        <f t="shared" si="60"/>
        <v>9</v>
      </c>
      <c r="V265" s="118">
        <f t="shared" si="60"/>
        <v>10</v>
      </c>
      <c r="W265" s="2"/>
      <c r="X265" s="4"/>
      <c r="Y265" s="16"/>
      <c r="Z265" s="1"/>
      <c r="AA265" s="1"/>
      <c r="AB265" s="1"/>
    </row>
    <row r="266" spans="1:28" ht="5.0999999999999996" customHeight="1" outlineLevel="2" x14ac:dyDescent="0.25">
      <c r="A266" s="1"/>
      <c r="B266" s="33"/>
      <c r="C266" s="73">
        <f>INT(C$132)+2.005</f>
        <v>3.0049999999999999</v>
      </c>
      <c r="D266" s="4"/>
      <c r="E266" s="4"/>
      <c r="F266" s="4"/>
      <c r="G266" s="4"/>
      <c r="H266" s="4"/>
      <c r="I266" s="4"/>
      <c r="J266" s="4"/>
      <c r="K266" s="4"/>
      <c r="L266" s="4"/>
      <c r="M266" s="4"/>
      <c r="N266" s="4"/>
      <c r="O266" s="4"/>
      <c r="P266" s="4"/>
      <c r="Q266" s="4"/>
      <c r="R266" s="4"/>
      <c r="S266" s="4"/>
      <c r="T266" s="4"/>
      <c r="U266" s="4"/>
      <c r="V266" s="4"/>
      <c r="W266" s="4"/>
      <c r="X266" s="4"/>
      <c r="Y266" s="16"/>
      <c r="Z266" s="1"/>
      <c r="AA266" s="1"/>
      <c r="AB266" s="1"/>
    </row>
    <row r="267" spans="1:28" outlineLevel="1" x14ac:dyDescent="0.25">
      <c r="A267" s="1"/>
      <c r="B267" s="33"/>
      <c r="C267" s="73">
        <f>INT(C$132)+1</f>
        <v>2</v>
      </c>
      <c r="D267" s="4"/>
      <c r="E267" s="5"/>
      <c r="F267" s="5"/>
      <c r="G267" s="4"/>
      <c r="H267" s="59" t="s">
        <v>133</v>
      </c>
      <c r="I267" s="60" t="str">
        <f>"("&amp;ROWS(ia_ppk5_lsb0)-2&amp;","&amp;COLUMNS(ia_ppk5_lsb0)-1&amp;"): ia_ppk5g3_lsb0(pointers) = input"</f>
        <v>(18,5): ia_ppk5g3_lsb0(pointers) = input</v>
      </c>
      <c r="J267" s="49"/>
      <c r="K267" s="49"/>
      <c r="L267" s="127" t="str">
        <f t="shared" ref="L267:Q269" si="61">N201</f>
        <v>11-0</v>
      </c>
      <c r="M267" s="128" t="str">
        <f t="shared" si="61"/>
        <v>22-0</v>
      </c>
      <c r="N267" s="128" t="str">
        <f t="shared" si="61"/>
        <v>33-0</v>
      </c>
      <c r="O267" s="128" t="str">
        <f t="shared" si="61"/>
        <v>21-0</v>
      </c>
      <c r="P267" s="128" t="str">
        <f t="shared" si="61"/>
        <v>32-0</v>
      </c>
      <c r="Q267" s="129" t="str">
        <f t="shared" si="61"/>
        <v>31-0</v>
      </c>
      <c r="R267" s="93"/>
      <c r="S267" s="93"/>
      <c r="T267" s="93"/>
      <c r="U267" s="93"/>
      <c r="V267" s="93"/>
      <c r="W267" s="49"/>
      <c r="X267" s="4"/>
      <c r="Y267" s="16"/>
      <c r="Z267" s="1"/>
      <c r="AA267" s="1"/>
      <c r="AB267" s="1"/>
    </row>
    <row r="268" spans="1:28" outlineLevel="2" x14ac:dyDescent="0.25">
      <c r="A268" s="1"/>
      <c r="B268" s="33"/>
      <c r="C268" s="73">
        <f>INT($C$132)+2</f>
        <v>3</v>
      </c>
      <c r="D268" s="4"/>
      <c r="E268" s="5"/>
      <c r="F268" s="5"/>
      <c r="G268" s="4"/>
      <c r="H268" s="59"/>
      <c r="I268" s="60"/>
      <c r="J268" s="49"/>
      <c r="K268" s="49">
        <v>1</v>
      </c>
      <c r="L268" s="145" t="str">
        <f t="shared" si="61"/>
        <v>11-1</v>
      </c>
      <c r="M268" s="93" t="str">
        <f t="shared" si="61"/>
        <v>22-1</v>
      </c>
      <c r="N268" s="93" t="str">
        <f t="shared" si="61"/>
        <v>33-1</v>
      </c>
      <c r="O268" s="93" t="str">
        <f t="shared" si="61"/>
        <v>21-1</v>
      </c>
      <c r="P268" s="93" t="str">
        <f t="shared" si="61"/>
        <v>32-1</v>
      </c>
      <c r="Q268" s="132" t="str">
        <f t="shared" si="61"/>
        <v>31-1</v>
      </c>
      <c r="R268" s="93"/>
      <c r="S268" s="93"/>
      <c r="T268" s="93"/>
      <c r="U268" s="93"/>
      <c r="V268" s="93"/>
      <c r="W268" s="49"/>
      <c r="X268" s="4"/>
      <c r="Y268" s="16"/>
      <c r="Z268" s="1"/>
      <c r="AA268" s="1"/>
      <c r="AB268" s="1"/>
    </row>
    <row r="269" spans="1:28" outlineLevel="2" x14ac:dyDescent="0.25">
      <c r="A269" s="1"/>
      <c r="B269" s="33"/>
      <c r="C269" s="73">
        <f>INT($C$132)+2</f>
        <v>3</v>
      </c>
      <c r="D269" s="4"/>
      <c r="E269" s="5"/>
      <c r="F269" s="5"/>
      <c r="G269" s="4"/>
      <c r="H269" s="59"/>
      <c r="I269" s="60"/>
      <c r="J269" s="49"/>
      <c r="K269" s="49">
        <v>2</v>
      </c>
      <c r="L269" s="146" t="str">
        <f t="shared" si="61"/>
        <v>11-2</v>
      </c>
      <c r="M269" s="135" t="str">
        <f t="shared" si="61"/>
        <v>22-2</v>
      </c>
      <c r="N269" s="135" t="str">
        <f t="shared" si="61"/>
        <v>33-2</v>
      </c>
      <c r="O269" s="135" t="str">
        <f t="shared" si="61"/>
        <v>21-2</v>
      </c>
      <c r="P269" s="135" t="str">
        <f t="shared" si="61"/>
        <v>32-2</v>
      </c>
      <c r="Q269" s="136" t="str">
        <f t="shared" si="61"/>
        <v>31-2</v>
      </c>
      <c r="R269" s="93"/>
      <c r="S269" s="93"/>
      <c r="T269" s="93"/>
      <c r="U269" s="93"/>
      <c r="V269" s="93"/>
      <c r="W269" s="49"/>
      <c r="X269" s="4"/>
      <c r="Y269" s="16"/>
      <c r="Z269" s="1"/>
      <c r="AA269" s="1"/>
      <c r="AB269" s="1"/>
    </row>
    <row r="270" spans="1:28" ht="5.0999999999999996" customHeight="1" outlineLevel="3" x14ac:dyDescent="0.25">
      <c r="A270" s="1"/>
      <c r="B270" s="33"/>
      <c r="C270" s="73">
        <f>INT(C$132)+3.005</f>
        <v>4.0049999999999999</v>
      </c>
      <c r="D270" s="4" t="s">
        <v>2</v>
      </c>
      <c r="E270" s="4"/>
      <c r="F270" s="4"/>
      <c r="G270" s="4"/>
      <c r="H270" s="4"/>
      <c r="I270" s="4"/>
      <c r="J270" s="4"/>
      <c r="K270" s="4"/>
      <c r="L270" s="4"/>
      <c r="M270" s="4"/>
      <c r="N270" s="4"/>
      <c r="O270" s="4"/>
      <c r="P270" s="4"/>
      <c r="Q270" s="4"/>
      <c r="R270" s="4"/>
      <c r="S270" s="4"/>
      <c r="T270" s="4"/>
      <c r="U270" s="4"/>
      <c r="V270" s="4"/>
      <c r="W270" s="4"/>
      <c r="X270" s="4"/>
      <c r="Y270" s="16"/>
      <c r="Z270" s="1"/>
      <c r="AA270" s="1"/>
      <c r="AB270" s="1"/>
    </row>
    <row r="271" spans="1:28" outlineLevel="2" x14ac:dyDescent="0.25">
      <c r="A271" s="1"/>
      <c r="B271" s="33"/>
      <c r="C271" s="73">
        <f>INT($C$132)+2</f>
        <v>3</v>
      </c>
      <c r="D271" s="4"/>
      <c r="E271" s="5"/>
      <c r="F271" s="5"/>
      <c r="G271" s="4"/>
      <c r="H271" s="108" t="s">
        <v>117</v>
      </c>
      <c r="I271" s="54"/>
      <c r="J271" s="54" t="s">
        <v>108</v>
      </c>
      <c r="K271" s="54" t="s">
        <v>96</v>
      </c>
      <c r="L271" s="31">
        <f>i_len_l</f>
        <v>4</v>
      </c>
      <c r="M271" s="31">
        <f>i_len_s</f>
        <v>5</v>
      </c>
      <c r="N271" s="31">
        <f>i_b0_pos</f>
        <v>-4</v>
      </c>
      <c r="O271" s="102" t="s">
        <v>134</v>
      </c>
      <c r="P271" s="98"/>
      <c r="Q271" s="98"/>
      <c r="R271" s="98"/>
      <c r="S271" s="98"/>
      <c r="T271" s="98"/>
      <c r="U271" s="102"/>
      <c r="V271" s="102"/>
      <c r="W271" s="2"/>
      <c r="X271" s="4"/>
      <c r="Y271" s="16"/>
      <c r="Z271" s="1"/>
      <c r="AA271" s="1"/>
      <c r="AB271" s="1"/>
    </row>
    <row r="272" spans="1:28" outlineLevel="3" x14ac:dyDescent="0.25">
      <c r="A272" s="1"/>
      <c r="B272" s="33"/>
      <c r="C272" s="73">
        <f t="shared" ref="C272:C291" si="62">INT($C$132)+3</f>
        <v>4</v>
      </c>
      <c r="D272" s="4"/>
      <c r="E272" s="5"/>
      <c r="F272" s="5"/>
      <c r="G272" s="4"/>
      <c r="H272" s="64" t="s">
        <v>131</v>
      </c>
      <c r="I272" s="110" t="s">
        <v>153</v>
      </c>
      <c r="J272" s="57">
        <v>0</v>
      </c>
      <c r="K272" s="61">
        <v>0</v>
      </c>
      <c r="L272" s="99">
        <v>0</v>
      </c>
      <c r="M272" s="111">
        <f>L272</f>
        <v>0</v>
      </c>
      <c r="N272" s="111">
        <f>M272</f>
        <v>0</v>
      </c>
      <c r="O272" s="112">
        <f>$M272</f>
        <v>0</v>
      </c>
      <c r="P272" s="113">
        <f t="shared" ref="P272:Q275" si="63">$N272</f>
        <v>0</v>
      </c>
      <c r="Q272" s="113">
        <f t="shared" si="63"/>
        <v>0</v>
      </c>
      <c r="R272" s="55"/>
      <c r="S272" s="55"/>
      <c r="T272" s="55"/>
      <c r="U272" s="55"/>
      <c r="V272" s="55"/>
      <c r="W272" s="55"/>
      <c r="X272" s="4"/>
      <c r="Y272" s="16"/>
      <c r="Z272" s="1"/>
      <c r="AA272" s="1"/>
      <c r="AB272" s="1"/>
    </row>
    <row r="273" spans="1:28" outlineLevel="3" x14ac:dyDescent="0.25">
      <c r="A273" s="1"/>
      <c r="B273" s="33"/>
      <c r="C273" s="73">
        <f t="shared" si="62"/>
        <v>4</v>
      </c>
      <c r="D273" s="4"/>
      <c r="E273" s="5"/>
      <c r="F273" s="5"/>
      <c r="G273" s="4"/>
      <c r="H273" s="64" t="s">
        <v>132</v>
      </c>
      <c r="I273" s="36" t="s">
        <v>154</v>
      </c>
      <c r="J273" s="36" t="s">
        <v>160</v>
      </c>
      <c r="K273" s="56">
        <v>1</v>
      </c>
      <c r="L273" s="100">
        <v>0</v>
      </c>
      <c r="M273" s="111">
        <f>L273</f>
        <v>0</v>
      </c>
      <c r="N273" s="111">
        <f>M273</f>
        <v>0</v>
      </c>
      <c r="O273" s="112">
        <f>$M273</f>
        <v>0</v>
      </c>
      <c r="P273" s="113">
        <f t="shared" si="63"/>
        <v>0</v>
      </c>
      <c r="Q273" s="113">
        <f t="shared" si="63"/>
        <v>0</v>
      </c>
      <c r="R273" s="55"/>
      <c r="S273" s="55"/>
      <c r="T273" s="55"/>
      <c r="U273" s="55"/>
      <c r="V273" s="55"/>
      <c r="W273" s="55"/>
      <c r="X273" s="4"/>
      <c r="Y273" s="16"/>
      <c r="Z273" s="1"/>
      <c r="AA273" s="1"/>
      <c r="AB273" s="1"/>
    </row>
    <row r="274" spans="1:28" outlineLevel="3" x14ac:dyDescent="0.25">
      <c r="A274" s="1"/>
      <c r="B274" s="33"/>
      <c r="C274" s="73">
        <f t="shared" si="62"/>
        <v>4</v>
      </c>
      <c r="D274" s="4"/>
      <c r="E274" s="5"/>
      <c r="F274" s="5"/>
      <c r="G274" s="4"/>
      <c r="H274" s="64"/>
      <c r="I274" s="36" t="s">
        <v>155</v>
      </c>
      <c r="J274" s="36"/>
      <c r="K274" s="56">
        <v>2</v>
      </c>
      <c r="L274" s="100">
        <v>0</v>
      </c>
      <c r="M274" s="100">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25">
      <c r="A275" s="1"/>
      <c r="B275" s="33"/>
      <c r="C275" s="73">
        <f t="shared" si="62"/>
        <v>4</v>
      </c>
      <c r="D275" s="4"/>
      <c r="E275" s="5"/>
      <c r="F275" s="5"/>
      <c r="G275" s="4"/>
      <c r="H275" s="64"/>
      <c r="I275" s="36" t="s">
        <v>156</v>
      </c>
      <c r="J275" s="36"/>
      <c r="K275" s="56">
        <v>3</v>
      </c>
      <c r="L275" s="100">
        <v>0</v>
      </c>
      <c r="M275" s="100">
        <v>0</v>
      </c>
      <c r="N275" s="100">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25">
      <c r="A276" s="1"/>
      <c r="B276" s="33"/>
      <c r="C276" s="73">
        <f t="shared" si="62"/>
        <v>4</v>
      </c>
      <c r="D276" s="4"/>
      <c r="E276" s="5"/>
      <c r="F276" s="5"/>
      <c r="G276" s="4"/>
      <c r="H276" s="64"/>
      <c r="I276" s="36" t="s">
        <v>159</v>
      </c>
      <c r="J276" s="36"/>
      <c r="K276" s="63">
        <v>4</v>
      </c>
      <c r="L276" s="118">
        <f t="shared" ref="L276:Q276" si="64">L275</f>
        <v>0</v>
      </c>
      <c r="M276" s="118">
        <f t="shared" si="64"/>
        <v>0</v>
      </c>
      <c r="N276" s="118">
        <f t="shared" si="64"/>
        <v>0</v>
      </c>
      <c r="O276" s="118">
        <f t="shared" si="64"/>
        <v>0</v>
      </c>
      <c r="P276" s="118">
        <f t="shared" si="64"/>
        <v>0</v>
      </c>
      <c r="Q276" s="118">
        <f t="shared" si="64"/>
        <v>0</v>
      </c>
      <c r="R276" s="55"/>
      <c r="S276" s="55"/>
      <c r="T276" s="55"/>
      <c r="U276" s="55"/>
      <c r="V276" s="55"/>
      <c r="W276" s="55"/>
      <c r="X276" s="4"/>
      <c r="Y276" s="16"/>
      <c r="Z276" s="1"/>
      <c r="AA276" s="1"/>
      <c r="AB276" s="1"/>
    </row>
    <row r="277" spans="1:28" outlineLevel="3" x14ac:dyDescent="0.25">
      <c r="A277" s="1"/>
      <c r="B277" s="33"/>
      <c r="C277" s="73">
        <f t="shared" si="62"/>
        <v>4</v>
      </c>
      <c r="D277" s="4"/>
      <c r="E277" s="5"/>
      <c r="F277" s="5"/>
      <c r="G277" s="4"/>
      <c r="H277" s="105"/>
      <c r="I277" s="2"/>
      <c r="J277" s="103">
        <v>1</v>
      </c>
      <c r="K277" s="103">
        <v>0</v>
      </c>
      <c r="L277" s="31">
        <v>0</v>
      </c>
      <c r="M277" s="111">
        <f>L277</f>
        <v>0</v>
      </c>
      <c r="N277" s="111">
        <f>M277</f>
        <v>0</v>
      </c>
      <c r="O277" s="112">
        <f>$M277</f>
        <v>0</v>
      </c>
      <c r="P277" s="113">
        <f t="shared" ref="P277:Q280" si="65">$N277</f>
        <v>0</v>
      </c>
      <c r="Q277" s="113">
        <f t="shared" si="65"/>
        <v>0</v>
      </c>
      <c r="R277" s="2"/>
      <c r="S277" s="2"/>
      <c r="T277" s="2"/>
      <c r="U277" s="2"/>
      <c r="V277" s="2"/>
      <c r="W277" s="2"/>
      <c r="X277" s="4"/>
      <c r="Y277" s="16"/>
      <c r="Z277" s="1"/>
      <c r="AA277" s="1"/>
      <c r="AB277" s="1"/>
    </row>
    <row r="278" spans="1:28" outlineLevel="3" x14ac:dyDescent="0.25">
      <c r="A278" s="1"/>
      <c r="B278" s="33"/>
      <c r="C278" s="73">
        <f t="shared" si="62"/>
        <v>4</v>
      </c>
      <c r="D278" s="4"/>
      <c r="E278" s="5"/>
      <c r="F278" s="5"/>
      <c r="G278" s="4"/>
      <c r="H278" s="105"/>
      <c r="I278" s="2"/>
      <c r="J278" s="56" t="s">
        <v>161</v>
      </c>
      <c r="K278" s="56">
        <v>1</v>
      </c>
      <c r="L278" s="100">
        <v>0</v>
      </c>
      <c r="M278" s="111">
        <f>L278</f>
        <v>0</v>
      </c>
      <c r="N278" s="111">
        <f>M278</f>
        <v>0</v>
      </c>
      <c r="O278" s="112">
        <f>$M278</f>
        <v>0</v>
      </c>
      <c r="P278" s="113">
        <f t="shared" si="65"/>
        <v>0</v>
      </c>
      <c r="Q278" s="113">
        <f t="shared" si="65"/>
        <v>0</v>
      </c>
      <c r="R278" s="2"/>
      <c r="S278" s="2"/>
      <c r="T278" s="2"/>
      <c r="U278" s="2"/>
      <c r="V278" s="2"/>
      <c r="W278" s="2"/>
      <c r="X278" s="4"/>
      <c r="Y278" s="16"/>
      <c r="Z278" s="1"/>
      <c r="AA278" s="1"/>
      <c r="AB278" s="1"/>
    </row>
    <row r="279" spans="1:28" outlineLevel="3" x14ac:dyDescent="0.25">
      <c r="A279" s="1"/>
      <c r="B279" s="33"/>
      <c r="C279" s="73">
        <f t="shared" si="62"/>
        <v>4</v>
      </c>
      <c r="D279" s="4"/>
      <c r="E279" s="5"/>
      <c r="F279" s="5"/>
      <c r="G279" s="4"/>
      <c r="H279" s="105"/>
      <c r="I279" s="2"/>
      <c r="J279" s="56"/>
      <c r="K279" s="56">
        <v>2</v>
      </c>
      <c r="L279" s="100">
        <v>0</v>
      </c>
      <c r="M279" s="100">
        <v>1</v>
      </c>
      <c r="N279" s="100">
        <v>1</v>
      </c>
      <c r="O279" s="112">
        <f>$M279</f>
        <v>1</v>
      </c>
      <c r="P279" s="113">
        <f t="shared" si="65"/>
        <v>1</v>
      </c>
      <c r="Q279" s="113">
        <f t="shared" si="65"/>
        <v>1</v>
      </c>
      <c r="R279" s="2"/>
      <c r="S279" s="2"/>
      <c r="T279" s="2"/>
      <c r="U279" s="2"/>
      <c r="V279" s="2"/>
      <c r="W279" s="2"/>
      <c r="X279" s="4"/>
      <c r="Y279" s="16"/>
      <c r="Z279" s="1"/>
      <c r="AA279" s="1"/>
      <c r="AB279" s="1"/>
    </row>
    <row r="280" spans="1:28" outlineLevel="3" x14ac:dyDescent="0.25">
      <c r="A280" s="1"/>
      <c r="B280" s="33"/>
      <c r="C280" s="73">
        <f t="shared" si="62"/>
        <v>4</v>
      </c>
      <c r="D280" s="4"/>
      <c r="E280" s="5"/>
      <c r="F280" s="5"/>
      <c r="G280" s="4"/>
      <c r="H280" s="64"/>
      <c r="I280" s="2"/>
      <c r="J280" s="56"/>
      <c r="K280" s="56">
        <v>3</v>
      </c>
      <c r="L280" s="100">
        <v>0</v>
      </c>
      <c r="M280" s="100">
        <v>1</v>
      </c>
      <c r="N280" s="100">
        <v>2</v>
      </c>
      <c r="O280" s="112">
        <f>$M280</f>
        <v>1</v>
      </c>
      <c r="P280" s="113">
        <f t="shared" si="65"/>
        <v>2</v>
      </c>
      <c r="Q280" s="113">
        <f t="shared" si="65"/>
        <v>2</v>
      </c>
      <c r="R280" s="2"/>
      <c r="S280" s="2"/>
      <c r="T280" s="2"/>
      <c r="U280" s="2"/>
      <c r="V280" s="2"/>
      <c r="W280" s="2"/>
      <c r="X280" s="4"/>
      <c r="Y280" s="16"/>
      <c r="Z280" s="1"/>
      <c r="AA280" s="1"/>
      <c r="AB280" s="1"/>
    </row>
    <row r="281" spans="1:28" outlineLevel="3" x14ac:dyDescent="0.25">
      <c r="A281" s="1"/>
      <c r="B281" s="33"/>
      <c r="C281" s="73">
        <f t="shared" si="62"/>
        <v>4</v>
      </c>
      <c r="D281" s="4"/>
      <c r="E281" s="5"/>
      <c r="F281" s="5"/>
      <c r="G281" s="4"/>
      <c r="H281" s="105"/>
      <c r="I281" s="2"/>
      <c r="J281" s="63"/>
      <c r="K281" s="63">
        <v>4</v>
      </c>
      <c r="L281" s="118">
        <f t="shared" ref="L281:Q281" si="66">L280</f>
        <v>0</v>
      </c>
      <c r="M281" s="118">
        <f t="shared" si="66"/>
        <v>1</v>
      </c>
      <c r="N281" s="118">
        <f t="shared" si="66"/>
        <v>2</v>
      </c>
      <c r="O281" s="118">
        <f t="shared" si="66"/>
        <v>1</v>
      </c>
      <c r="P281" s="118">
        <f t="shared" si="66"/>
        <v>2</v>
      </c>
      <c r="Q281" s="118">
        <f t="shared" si="66"/>
        <v>2</v>
      </c>
      <c r="R281" s="2"/>
      <c r="S281" s="2"/>
      <c r="T281" s="2"/>
      <c r="U281" s="2"/>
      <c r="V281" s="2"/>
      <c r="W281" s="2"/>
      <c r="X281" s="4"/>
      <c r="Y281" s="16"/>
      <c r="Z281" s="1"/>
      <c r="AA281" s="1"/>
      <c r="AB281" s="1"/>
    </row>
    <row r="282" spans="1:28" outlineLevel="3" x14ac:dyDescent="0.25">
      <c r="A282" s="1"/>
      <c r="B282" s="33"/>
      <c r="C282" s="73">
        <f t="shared" si="62"/>
        <v>4</v>
      </c>
      <c r="D282" s="4"/>
      <c r="E282" s="5"/>
      <c r="F282" s="5"/>
      <c r="G282" s="4"/>
      <c r="H282" s="105"/>
      <c r="I282" s="36"/>
      <c r="J282" s="61">
        <v>2</v>
      </c>
      <c r="K282" s="61">
        <v>0</v>
      </c>
      <c r="L282" s="99">
        <v>0</v>
      </c>
      <c r="M282" s="111">
        <f>L282</f>
        <v>0</v>
      </c>
      <c r="N282" s="111">
        <f>M282</f>
        <v>0</v>
      </c>
      <c r="O282" s="112">
        <f>$M282</f>
        <v>0</v>
      </c>
      <c r="P282" s="113">
        <f t="shared" ref="P282:Q285" si="67">$N282</f>
        <v>0</v>
      </c>
      <c r="Q282" s="113">
        <f t="shared" si="67"/>
        <v>0</v>
      </c>
      <c r="R282" s="55"/>
      <c r="S282" s="55"/>
      <c r="T282" s="55"/>
      <c r="U282" s="55"/>
      <c r="V282" s="55"/>
      <c r="W282" s="55"/>
      <c r="X282" s="4"/>
      <c r="Y282" s="16"/>
      <c r="Z282" s="1"/>
      <c r="AA282" s="1"/>
      <c r="AB282" s="1"/>
    </row>
    <row r="283" spans="1:28" outlineLevel="3" x14ac:dyDescent="0.25">
      <c r="A283" s="1"/>
      <c r="B283" s="33"/>
      <c r="C283" s="73">
        <f t="shared" si="62"/>
        <v>4</v>
      </c>
      <c r="D283" s="4"/>
      <c r="E283" s="5"/>
      <c r="F283" s="5"/>
      <c r="G283" s="4"/>
      <c r="H283" s="105"/>
      <c r="I283" s="36"/>
      <c r="J283" s="56" t="s">
        <v>46</v>
      </c>
      <c r="K283" s="56">
        <v>1</v>
      </c>
      <c r="L283" s="100">
        <v>0</v>
      </c>
      <c r="M283" s="111">
        <f>L283</f>
        <v>0</v>
      </c>
      <c r="N283" s="111">
        <f>M283</f>
        <v>0</v>
      </c>
      <c r="O283" s="112">
        <f>$M283</f>
        <v>0</v>
      </c>
      <c r="P283" s="113">
        <f t="shared" si="67"/>
        <v>0</v>
      </c>
      <c r="Q283" s="113">
        <f t="shared" si="67"/>
        <v>0</v>
      </c>
      <c r="R283" s="55"/>
      <c r="S283" s="55"/>
      <c r="T283" s="55"/>
      <c r="U283" s="55"/>
      <c r="V283" s="55"/>
      <c r="W283" s="55"/>
      <c r="X283" s="4"/>
      <c r="Y283" s="16"/>
      <c r="Z283" s="1"/>
      <c r="AA283" s="1"/>
      <c r="AB283" s="1"/>
    </row>
    <row r="284" spans="1:28" outlineLevel="3" x14ac:dyDescent="0.25">
      <c r="A284" s="1"/>
      <c r="B284" s="33"/>
      <c r="C284" s="73">
        <f t="shared" si="62"/>
        <v>4</v>
      </c>
      <c r="D284" s="4"/>
      <c r="E284" s="5"/>
      <c r="F284" s="5"/>
      <c r="G284" s="4"/>
      <c r="H284" s="105"/>
      <c r="I284" s="36"/>
      <c r="J284" s="56"/>
      <c r="K284" s="56">
        <v>2</v>
      </c>
      <c r="L284" s="100">
        <v>0</v>
      </c>
      <c r="M284" s="100">
        <v>1</v>
      </c>
      <c r="N284" s="100">
        <v>1</v>
      </c>
      <c r="O284" s="112">
        <f>$M284</f>
        <v>1</v>
      </c>
      <c r="P284" s="113">
        <f t="shared" si="67"/>
        <v>1</v>
      </c>
      <c r="Q284" s="113">
        <f t="shared" si="67"/>
        <v>1</v>
      </c>
      <c r="R284" s="55"/>
      <c r="S284" s="55"/>
      <c r="T284" s="55"/>
      <c r="U284" s="55"/>
      <c r="V284" s="55"/>
      <c r="W284" s="55"/>
      <c r="X284" s="4"/>
      <c r="Y284" s="16"/>
      <c r="Z284" s="1"/>
      <c r="AA284" s="1"/>
      <c r="AB284" s="1"/>
    </row>
    <row r="285" spans="1:28" outlineLevel="3" x14ac:dyDescent="0.25">
      <c r="A285" s="1"/>
      <c r="B285" s="33"/>
      <c r="C285" s="73">
        <f t="shared" si="62"/>
        <v>4</v>
      </c>
      <c r="D285" s="4"/>
      <c r="E285" s="5"/>
      <c r="F285" s="5"/>
      <c r="G285" s="4"/>
      <c r="H285" s="64"/>
      <c r="I285" s="36"/>
      <c r="J285" s="56"/>
      <c r="K285" s="56">
        <v>3</v>
      </c>
      <c r="L285" s="100">
        <v>0</v>
      </c>
      <c r="M285" s="100">
        <v>1</v>
      </c>
      <c r="N285" s="100">
        <v>2</v>
      </c>
      <c r="O285" s="112">
        <f>$M285</f>
        <v>1</v>
      </c>
      <c r="P285" s="113">
        <f t="shared" si="67"/>
        <v>2</v>
      </c>
      <c r="Q285" s="113">
        <f t="shared" si="67"/>
        <v>2</v>
      </c>
      <c r="R285" s="55"/>
      <c r="S285" s="55"/>
      <c r="T285" s="55"/>
      <c r="U285" s="55"/>
      <c r="V285" s="55"/>
      <c r="W285" s="55"/>
      <c r="X285" s="4"/>
      <c r="Y285" s="16"/>
      <c r="Z285" s="1"/>
      <c r="AA285" s="1"/>
      <c r="AB285" s="1"/>
    </row>
    <row r="286" spans="1:28" outlineLevel="3" x14ac:dyDescent="0.25">
      <c r="A286" s="1"/>
      <c r="B286" s="33"/>
      <c r="C286" s="73">
        <f t="shared" si="62"/>
        <v>4</v>
      </c>
      <c r="D286" s="4"/>
      <c r="E286" s="5"/>
      <c r="F286" s="5"/>
      <c r="G286" s="4"/>
      <c r="H286" s="64"/>
      <c r="I286" s="36"/>
      <c r="J286" s="63"/>
      <c r="K286" s="63">
        <v>4</v>
      </c>
      <c r="L286" s="118">
        <f t="shared" ref="L286:Q286" si="68">L285</f>
        <v>0</v>
      </c>
      <c r="M286" s="118">
        <f t="shared" si="68"/>
        <v>1</v>
      </c>
      <c r="N286" s="118">
        <f t="shared" si="68"/>
        <v>2</v>
      </c>
      <c r="O286" s="118">
        <f t="shared" si="68"/>
        <v>1</v>
      </c>
      <c r="P286" s="118">
        <f t="shared" si="68"/>
        <v>2</v>
      </c>
      <c r="Q286" s="118">
        <f t="shared" si="68"/>
        <v>2</v>
      </c>
      <c r="R286" s="55"/>
      <c r="S286" s="55"/>
      <c r="T286" s="55"/>
      <c r="U286" s="55"/>
      <c r="V286" s="55"/>
      <c r="W286" s="55"/>
      <c r="X286" s="4"/>
      <c r="Y286" s="16"/>
      <c r="Z286" s="1"/>
      <c r="AA286" s="1"/>
      <c r="AB286" s="1"/>
    </row>
    <row r="287" spans="1:28" outlineLevel="3" x14ac:dyDescent="0.25">
      <c r="A287" s="1"/>
      <c r="B287" s="33"/>
      <c r="C287" s="73">
        <f t="shared" si="62"/>
        <v>4</v>
      </c>
      <c r="D287" s="4"/>
      <c r="E287" s="5"/>
      <c r="F287" s="5"/>
      <c r="G287" s="4"/>
      <c r="H287" s="105"/>
      <c r="I287" s="2"/>
      <c r="J287" s="61">
        <v>3</v>
      </c>
      <c r="K287" s="61">
        <v>0</v>
      </c>
      <c r="L287" s="31">
        <v>0</v>
      </c>
      <c r="M287" s="31">
        <v>1</v>
      </c>
      <c r="N287" s="31">
        <v>2</v>
      </c>
      <c r="O287" s="116">
        <f>$L287</f>
        <v>0</v>
      </c>
      <c r="P287" s="112">
        <f>$M287</f>
        <v>1</v>
      </c>
      <c r="Q287" s="116">
        <f>$L287</f>
        <v>0</v>
      </c>
      <c r="R287" s="2"/>
      <c r="S287" s="2"/>
      <c r="T287" s="2"/>
      <c r="U287" s="2"/>
      <c r="V287" s="2"/>
      <c r="W287" s="2"/>
      <c r="X287" s="4"/>
      <c r="Y287" s="16"/>
      <c r="Z287" s="1"/>
      <c r="AA287" s="1"/>
      <c r="AB287" s="1"/>
    </row>
    <row r="288" spans="1:28" outlineLevel="3" x14ac:dyDescent="0.25">
      <c r="A288" s="1"/>
      <c r="B288" s="33"/>
      <c r="C288" s="73">
        <f t="shared" si="62"/>
        <v>4</v>
      </c>
      <c r="D288" s="4"/>
      <c r="E288" s="5"/>
      <c r="F288" s="5"/>
      <c r="G288" s="4"/>
      <c r="H288" s="105"/>
      <c r="I288" s="2"/>
      <c r="J288" s="56" t="s">
        <v>162</v>
      </c>
      <c r="K288" s="56">
        <v>1</v>
      </c>
      <c r="L288" s="100">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25">
      <c r="A289" s="1"/>
      <c r="B289" s="33"/>
      <c r="C289" s="73">
        <f t="shared" si="62"/>
        <v>4</v>
      </c>
      <c r="D289" s="4"/>
      <c r="E289" s="5"/>
      <c r="F289" s="5"/>
      <c r="G289" s="4"/>
      <c r="H289" s="105"/>
      <c r="I289" s="2"/>
      <c r="J289" s="56"/>
      <c r="K289" s="56">
        <v>2</v>
      </c>
      <c r="L289" s="100">
        <v>0</v>
      </c>
      <c r="M289" s="100">
        <v>1</v>
      </c>
      <c r="N289" s="100">
        <v>2</v>
      </c>
      <c r="O289" s="31">
        <v>3</v>
      </c>
      <c r="P289" s="113">
        <f>M289</f>
        <v>1</v>
      </c>
      <c r="Q289" s="112">
        <f>O289</f>
        <v>3</v>
      </c>
      <c r="R289" s="2"/>
      <c r="S289" s="2"/>
      <c r="T289" s="2"/>
      <c r="U289" s="2"/>
      <c r="V289" s="2"/>
      <c r="W289" s="2"/>
      <c r="X289" s="4"/>
      <c r="Y289" s="16"/>
      <c r="Z289" s="1"/>
      <c r="AA289" s="1"/>
      <c r="AB289" s="1"/>
    </row>
    <row r="290" spans="1:28" outlineLevel="3" x14ac:dyDescent="0.25">
      <c r="A290" s="1"/>
      <c r="B290" s="33"/>
      <c r="C290" s="73">
        <f t="shared" si="62"/>
        <v>4</v>
      </c>
      <c r="D290" s="4"/>
      <c r="E290" s="5"/>
      <c r="F290" s="5"/>
      <c r="G290" s="4"/>
      <c r="H290" s="105"/>
      <c r="I290" s="2"/>
      <c r="J290" s="56"/>
      <c r="K290" s="56">
        <v>3</v>
      </c>
      <c r="L290" s="100">
        <v>0</v>
      </c>
      <c r="M290" s="100">
        <v>1</v>
      </c>
      <c r="N290" s="100">
        <v>2</v>
      </c>
      <c r="O290" s="31">
        <v>3</v>
      </c>
      <c r="P290" s="31">
        <v>4</v>
      </c>
      <c r="Q290" s="31">
        <v>5</v>
      </c>
      <c r="R290" s="2"/>
      <c r="S290" s="2"/>
      <c r="T290" s="2"/>
      <c r="U290" s="2"/>
      <c r="V290" s="2"/>
      <c r="W290" s="2"/>
      <c r="X290" s="4"/>
      <c r="Y290" s="16"/>
      <c r="Z290" s="1"/>
      <c r="AA290" s="1"/>
      <c r="AB290" s="1"/>
    </row>
    <row r="291" spans="1:28" outlineLevel="3" x14ac:dyDescent="0.25">
      <c r="A291" s="1"/>
      <c r="B291" s="33"/>
      <c r="C291" s="73">
        <f t="shared" si="62"/>
        <v>4</v>
      </c>
      <c r="D291" s="4"/>
      <c r="E291" s="5"/>
      <c r="F291" s="5"/>
      <c r="G291" s="4"/>
      <c r="H291" s="105"/>
      <c r="I291" s="62"/>
      <c r="J291" s="63"/>
      <c r="K291" s="63">
        <v>4</v>
      </c>
      <c r="L291" s="118">
        <f t="shared" ref="L291:Q291" si="69">L290</f>
        <v>0</v>
      </c>
      <c r="M291" s="118">
        <f t="shared" si="69"/>
        <v>1</v>
      </c>
      <c r="N291" s="118">
        <f t="shared" si="69"/>
        <v>2</v>
      </c>
      <c r="O291" s="118">
        <f t="shared" si="69"/>
        <v>3</v>
      </c>
      <c r="P291" s="118">
        <f t="shared" si="69"/>
        <v>4</v>
      </c>
      <c r="Q291" s="118">
        <f t="shared" si="69"/>
        <v>5</v>
      </c>
      <c r="R291" s="2"/>
      <c r="S291" s="2"/>
      <c r="T291" s="2"/>
      <c r="U291" s="2"/>
      <c r="V291" s="2"/>
      <c r="W291" s="2"/>
      <c r="X291" s="4"/>
      <c r="Y291" s="16"/>
      <c r="Z291" s="1"/>
      <c r="AA291" s="1"/>
      <c r="AB291" s="1"/>
    </row>
    <row r="292" spans="1:28" ht="5.0999999999999996" customHeight="1" outlineLevel="2" x14ac:dyDescent="0.25">
      <c r="A292" s="1"/>
      <c r="B292" s="33"/>
      <c r="C292" s="73">
        <f>INT(C$132)+2.005</f>
        <v>3.0049999999999999</v>
      </c>
      <c r="D292" s="4"/>
      <c r="E292" s="4"/>
      <c r="F292" s="4"/>
      <c r="G292" s="4"/>
      <c r="H292" s="4"/>
      <c r="I292" s="4"/>
      <c r="J292" s="4"/>
      <c r="K292" s="4"/>
      <c r="L292" s="4"/>
      <c r="M292" s="4"/>
      <c r="N292" s="4"/>
      <c r="O292" s="4"/>
      <c r="P292" s="4"/>
      <c r="Q292" s="4"/>
      <c r="R292" s="4"/>
      <c r="S292" s="4"/>
      <c r="T292" s="4"/>
      <c r="U292" s="4"/>
      <c r="V292" s="4"/>
      <c r="W292" s="4"/>
      <c r="X292" s="4"/>
      <c r="Y292" s="16"/>
      <c r="Z292" s="1"/>
      <c r="AA292" s="1"/>
      <c r="AB292" s="1"/>
    </row>
    <row r="293" spans="1:28" ht="5.0999999999999996" customHeight="1" outlineLevel="2" x14ac:dyDescent="0.2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0999999999999996" customHeight="1" outlineLevel="1" x14ac:dyDescent="0.25">
      <c r="A294" s="1"/>
      <c r="B294" s="35"/>
      <c r="C294" s="76">
        <f>INT($C$132)+1.005</f>
        <v>2.0049999999999999</v>
      </c>
      <c r="D294" s="17"/>
      <c r="E294" s="17"/>
      <c r="F294" s="17"/>
      <c r="G294" s="17"/>
      <c r="H294" s="17"/>
      <c r="I294" s="17"/>
      <c r="J294" s="17"/>
      <c r="K294" s="17"/>
      <c r="L294" s="17"/>
      <c r="M294" s="17"/>
      <c r="N294" s="17"/>
      <c r="O294" s="17"/>
      <c r="P294" s="17"/>
      <c r="Q294" s="17"/>
      <c r="R294" s="17"/>
      <c r="S294" s="17"/>
      <c r="T294" s="17"/>
      <c r="U294" s="17"/>
      <c r="V294" s="17"/>
      <c r="W294" s="17"/>
      <c r="X294" s="17"/>
      <c r="Y294" s="18" t="s">
        <v>1</v>
      </c>
      <c r="Z294" s="1"/>
      <c r="AA294" s="1"/>
      <c r="AB294" s="1"/>
    </row>
    <row r="295" spans="1:28" ht="5.0999999999999996" customHeight="1" x14ac:dyDescent="0.25">
      <c r="A295" s="1"/>
      <c r="B295" s="19"/>
      <c r="C295" s="77">
        <f>INT($C$132)+0.005</f>
        <v>1.0049999999999999</v>
      </c>
      <c r="D295" s="19"/>
      <c r="E295" s="19"/>
      <c r="F295" s="19"/>
      <c r="G295" s="19"/>
      <c r="H295" s="19"/>
      <c r="I295" s="19"/>
      <c r="J295" s="19"/>
      <c r="K295" s="19"/>
      <c r="L295" s="19"/>
      <c r="M295" s="19"/>
      <c r="N295" s="19"/>
      <c r="O295" s="19"/>
      <c r="P295" s="19"/>
      <c r="Q295" s="19"/>
      <c r="R295" s="19"/>
      <c r="S295" s="19"/>
      <c r="T295" s="19"/>
      <c r="U295" s="19"/>
      <c r="V295" s="19"/>
      <c r="W295" s="19"/>
      <c r="X295" s="19"/>
      <c r="Y295" s="19"/>
      <c r="Z295" s="1"/>
      <c r="AA295" s="1"/>
      <c r="AB295" s="1"/>
    </row>
    <row r="296" spans="1:28" ht="5.0999999999999996" customHeight="1" thickBot="1" x14ac:dyDescent="0.3">
      <c r="A296" s="1"/>
      <c r="B296" s="20"/>
      <c r="C296" s="74">
        <f>INT($C$31)+0.005</f>
        <v>1.0049999999999999</v>
      </c>
      <c r="D296" s="20"/>
      <c r="E296" s="20"/>
      <c r="F296" s="20"/>
      <c r="G296" s="20"/>
      <c r="H296" s="20"/>
      <c r="I296" s="20"/>
      <c r="J296" s="20"/>
      <c r="K296" s="20"/>
      <c r="L296" s="20"/>
      <c r="M296" s="20"/>
      <c r="N296" s="20"/>
      <c r="O296" s="20"/>
      <c r="P296" s="20"/>
      <c r="Q296" s="20"/>
      <c r="R296" s="20"/>
      <c r="S296" s="20"/>
      <c r="T296" s="20"/>
      <c r="U296" s="20"/>
      <c r="V296" s="20"/>
      <c r="W296" s="20"/>
      <c r="X296" s="20"/>
      <c r="Y296" s="20"/>
      <c r="Z296" s="1"/>
      <c r="AA296" s="1"/>
      <c r="AB296" s="1"/>
    </row>
    <row r="297" spans="1:28" ht="5.0999999999999996" customHeight="1" outlineLevel="1" x14ac:dyDescent="0.25">
      <c r="A297" s="1"/>
      <c r="B297" s="34" t="s">
        <v>21</v>
      </c>
      <c r="C297" s="75">
        <f>INT($C$31)+1.005</f>
        <v>2.0049999999999999</v>
      </c>
      <c r="D297" s="14"/>
      <c r="E297" s="14"/>
      <c r="F297" s="14"/>
      <c r="G297" s="14"/>
      <c r="H297" s="14"/>
      <c r="I297" s="14"/>
      <c r="J297" s="14"/>
      <c r="K297" s="14"/>
      <c r="L297" s="14"/>
      <c r="M297" s="14"/>
      <c r="N297" s="14"/>
      <c r="O297" s="14"/>
      <c r="P297" s="14"/>
      <c r="Q297" s="14"/>
      <c r="R297" s="14"/>
      <c r="S297" s="14"/>
      <c r="T297" s="14"/>
      <c r="U297" s="14"/>
      <c r="V297" s="14"/>
      <c r="W297" s="14"/>
      <c r="X297" s="14"/>
      <c r="Y297" s="15"/>
      <c r="Z297" s="1"/>
      <c r="AA297" s="1"/>
      <c r="AB297" s="1"/>
    </row>
    <row r="298" spans="1:28" outlineLevel="4" x14ac:dyDescent="0.25">
      <c r="A298" s="1"/>
      <c r="B298" s="33"/>
      <c r="C298" s="73">
        <f>INT(MAX($C$41:$C$61))+1</f>
        <v>5</v>
      </c>
      <c r="D298" s="3"/>
      <c r="E298" s="3"/>
      <c r="F298" s="3"/>
      <c r="G298" s="3"/>
      <c r="H298" s="27"/>
      <c r="I298" s="27"/>
      <c r="J298" s="27"/>
      <c r="K298" s="27"/>
      <c r="L298" s="27"/>
      <c r="M298" s="27"/>
      <c r="N298" s="27"/>
      <c r="O298" s="27"/>
      <c r="P298" s="27"/>
      <c r="Q298" s="27"/>
      <c r="R298" s="27"/>
      <c r="S298" s="27"/>
      <c r="T298" s="27"/>
      <c r="U298" s="27"/>
      <c r="V298" s="27"/>
      <c r="W298" s="27"/>
      <c r="X298" s="3"/>
      <c r="Y298" s="16"/>
      <c r="Z298" s="1"/>
      <c r="AA298" s="1"/>
      <c r="AB298" s="1"/>
    </row>
    <row r="299" spans="1:28" ht="20.100000000000001" customHeight="1" x14ac:dyDescent="0.25">
      <c r="A299" s="1"/>
      <c r="B299" s="33"/>
      <c r="C299" s="73">
        <v>1.02</v>
      </c>
      <c r="D299" s="21"/>
      <c r="E299" s="24" t="s">
        <v>6</v>
      </c>
      <c r="F299" s="25"/>
      <c r="G299" s="12"/>
      <c r="H299" s="44" t="str">
        <f>COUNTIFS($B$1:$B299, "«")&amp;" Structural: Fixed Feed variation periods"</f>
        <v>5 Structural: Fixed Feed variation periods</v>
      </c>
      <c r="I299" s="6"/>
      <c r="J299" s="6"/>
      <c r="K299" s="6"/>
      <c r="L299" s="6"/>
      <c r="M299" s="6"/>
      <c r="N299" s="6"/>
      <c r="O299" s="6"/>
      <c r="P299" s="6"/>
      <c r="Q299" s="6"/>
      <c r="R299" s="6"/>
      <c r="S299" s="6"/>
      <c r="T299" s="6"/>
      <c r="U299" s="6"/>
      <c r="V299" s="6"/>
      <c r="W299" s="6"/>
      <c r="X299" s="10"/>
      <c r="Y299" s="16"/>
      <c r="Z299" s="1"/>
      <c r="AA299" s="1"/>
      <c r="AB299" s="1"/>
    </row>
    <row r="300" spans="1:28" ht="20.100000000000001" customHeight="1" outlineLevel="1" x14ac:dyDescent="0.25">
      <c r="A300" s="1"/>
      <c r="B300" s="33"/>
      <c r="C300" s="73">
        <f>INT($C$31)+1.02</f>
        <v>2.02</v>
      </c>
      <c r="D300" s="21"/>
      <c r="E300" s="24" t="s">
        <v>10</v>
      </c>
      <c r="F300" s="28">
        <v>1</v>
      </c>
      <c r="G300" s="13"/>
      <c r="H300" s="8"/>
      <c r="I300" s="7"/>
      <c r="J300" s="7"/>
      <c r="K300" s="7"/>
      <c r="L300" s="7"/>
      <c r="M300" s="7"/>
      <c r="N300" s="7"/>
      <c r="O300" s="7"/>
      <c r="P300" s="7"/>
      <c r="Q300" s="7"/>
      <c r="R300" s="7"/>
      <c r="S300" s="7"/>
      <c r="T300" s="7"/>
      <c r="U300" s="7"/>
      <c r="V300" s="7"/>
      <c r="W300" s="7"/>
      <c r="X300" s="11"/>
      <c r="Y300" s="16"/>
      <c r="Z300" s="1"/>
      <c r="AA300" s="1"/>
      <c r="AB300" s="1"/>
    </row>
    <row r="301" spans="1:28" ht="5.0999999999999996" customHeight="1" outlineLevel="2" x14ac:dyDescent="0.25">
      <c r="A301" s="1"/>
      <c r="B301" s="33"/>
      <c r="C301" s="73">
        <f>INT($C$31)+2.005</f>
        <v>3.0049999999999999</v>
      </c>
      <c r="D301" s="3"/>
      <c r="E301" s="3"/>
      <c r="F301" s="3"/>
      <c r="G301" s="3"/>
      <c r="H301" s="3"/>
      <c r="I301" s="3"/>
      <c r="J301" s="3"/>
      <c r="K301" s="3"/>
      <c r="L301" s="3"/>
      <c r="M301" s="3"/>
      <c r="N301" s="3"/>
      <c r="O301" s="3"/>
      <c r="P301" s="3"/>
      <c r="Q301" s="3"/>
      <c r="R301" s="3"/>
      <c r="S301" s="3"/>
      <c r="T301" s="3"/>
      <c r="U301" s="3"/>
      <c r="V301" s="3"/>
      <c r="W301" s="3"/>
      <c r="X301" s="3"/>
      <c r="Y301" s="16"/>
      <c r="Z301" s="1"/>
      <c r="AA301" s="1"/>
      <c r="AB301" s="1"/>
    </row>
    <row r="302" spans="1:28" outlineLevel="3" x14ac:dyDescent="0.25">
      <c r="A302" s="1"/>
      <c r="B302" s="33"/>
      <c r="C302" s="73">
        <f>INT($C$31)+3</f>
        <v>4</v>
      </c>
      <c r="D302" s="3"/>
      <c r="E302" s="5"/>
      <c r="F302" s="5"/>
      <c r="G302" s="3"/>
      <c r="H302" s="30"/>
      <c r="I302" s="30"/>
      <c r="J302" s="30"/>
      <c r="K302" s="30"/>
      <c r="L302" s="30"/>
      <c r="M302" s="30"/>
      <c r="N302" s="30"/>
      <c r="O302" s="30"/>
      <c r="P302" s="30"/>
      <c r="Q302" s="30"/>
      <c r="R302" s="30"/>
      <c r="S302" s="30"/>
      <c r="T302" s="30"/>
      <c r="U302" s="30"/>
      <c r="V302" s="30"/>
      <c r="W302" s="30"/>
      <c r="X302" s="3"/>
      <c r="Y302" s="16"/>
      <c r="Z302" s="1"/>
      <c r="AA302" s="1"/>
      <c r="AB302" s="1"/>
    </row>
    <row r="303" spans="1:28" outlineLevel="3" x14ac:dyDescent="0.25">
      <c r="A303" s="1"/>
      <c r="B303" s="33"/>
      <c r="C303" s="73">
        <f t="shared" ref="C303" si="70">INT($C$31)+3</f>
        <v>4</v>
      </c>
      <c r="D303" s="3"/>
      <c r="E303" s="5"/>
      <c r="F303" s="5"/>
      <c r="G303" s="3"/>
      <c r="H303" s="29"/>
      <c r="I303" s="29"/>
      <c r="J303" s="124" t="s">
        <v>44</v>
      </c>
      <c r="K303" s="124"/>
      <c r="L303" s="124" t="s">
        <v>44</v>
      </c>
      <c r="M303" s="124" t="s">
        <v>44</v>
      </c>
      <c r="N303" s="124" t="s">
        <v>44</v>
      </c>
      <c r="O303" s="124" t="s">
        <v>44</v>
      </c>
      <c r="P303" s="124" t="s">
        <v>44</v>
      </c>
      <c r="Q303" s="124"/>
      <c r="R303" s="29"/>
      <c r="S303" s="29"/>
      <c r="T303" s="29"/>
      <c r="U303" s="29"/>
      <c r="V303" s="29"/>
      <c r="W303" s="29"/>
      <c r="X303" s="3"/>
      <c r="Y303" s="16"/>
      <c r="Z303" s="1"/>
      <c r="AA303" s="1"/>
      <c r="AB303" s="1"/>
    </row>
    <row r="304" spans="1:28" outlineLevel="2" x14ac:dyDescent="0.25">
      <c r="A304" s="1"/>
      <c r="B304" s="33"/>
      <c r="C304" s="73">
        <f>INT($C$31)+2</f>
        <v>3</v>
      </c>
      <c r="D304" s="3"/>
      <c r="E304" s="5"/>
      <c r="F304" s="5"/>
      <c r="G304" s="3"/>
      <c r="H304" s="29"/>
      <c r="I304" s="29"/>
      <c r="J304" s="156" t="s">
        <v>209</v>
      </c>
      <c r="K304" s="156" t="s">
        <v>96</v>
      </c>
      <c r="L304" s="156" t="s">
        <v>210</v>
      </c>
      <c r="M304" s="156"/>
      <c r="N304" s="156"/>
      <c r="O304" s="156"/>
      <c r="P304" s="156"/>
      <c r="Q304" s="156"/>
      <c r="R304" s="29"/>
      <c r="S304" s="29"/>
      <c r="T304" s="29"/>
      <c r="U304" s="29"/>
      <c r="V304" s="29"/>
      <c r="W304" s="29"/>
      <c r="X304" s="3"/>
      <c r="Y304" s="16"/>
      <c r="Z304" s="1"/>
      <c r="AA304" s="1"/>
      <c r="AB304" s="1"/>
    </row>
    <row r="305" spans="1:28" outlineLevel="2" x14ac:dyDescent="0.25">
      <c r="A305" s="1"/>
      <c r="B305" s="33"/>
      <c r="C305" s="73">
        <f>INT($C$31)+2</f>
        <v>3</v>
      </c>
      <c r="D305" s="3"/>
      <c r="E305" s="5"/>
      <c r="F305" s="5"/>
      <c r="G305" s="3"/>
      <c r="H305" s="29"/>
      <c r="I305" s="29"/>
      <c r="J305" s="156" t="s">
        <v>202</v>
      </c>
      <c r="K305" s="156" t="s">
        <v>203</v>
      </c>
      <c r="L305" s="156" t="s">
        <v>204</v>
      </c>
      <c r="M305" s="156"/>
      <c r="N305" s="156"/>
      <c r="O305" s="156"/>
      <c r="P305" s="156"/>
      <c r="Q305" s="156"/>
      <c r="R305" s="29"/>
      <c r="S305" s="29"/>
      <c r="T305" s="29"/>
      <c r="U305" s="29"/>
      <c r="V305" s="29"/>
      <c r="W305" s="29"/>
      <c r="X305" s="3"/>
      <c r="Y305" s="16"/>
      <c r="Z305" s="1"/>
      <c r="AA305" s="1"/>
      <c r="AB305" s="1"/>
    </row>
    <row r="306" spans="1:28" ht="11.45" customHeight="1" outlineLevel="2" x14ac:dyDescent="0.25">
      <c r="A306" s="1"/>
      <c r="B306" s="33" t="s">
        <v>20</v>
      </c>
      <c r="C306" s="73">
        <f>INT($C$31)+2.01</f>
        <v>3.01</v>
      </c>
      <c r="D306" s="3"/>
      <c r="E306" s="3"/>
      <c r="F306" s="3"/>
      <c r="G306" s="3"/>
      <c r="H306" s="29"/>
      <c r="I306" s="29"/>
      <c r="J306" s="124" t="s">
        <v>44</v>
      </c>
      <c r="K306" s="124"/>
      <c r="L306" s="124" t="s">
        <v>44</v>
      </c>
      <c r="M306" s="124" t="s">
        <v>44</v>
      </c>
      <c r="N306" s="124" t="s">
        <v>44</v>
      </c>
      <c r="O306" s="124" t="s">
        <v>44</v>
      </c>
      <c r="P306" s="124" t="s">
        <v>44</v>
      </c>
      <c r="Q306" s="124" t="s">
        <v>44</v>
      </c>
      <c r="R306" s="29"/>
      <c r="S306" s="29"/>
      <c r="T306" s="29"/>
      <c r="U306" s="29"/>
      <c r="V306" s="29"/>
      <c r="W306" s="29"/>
      <c r="X306" s="3"/>
      <c r="Y306" s="16"/>
      <c r="Z306" s="1"/>
      <c r="AA306" s="1"/>
      <c r="AB306" s="1"/>
    </row>
    <row r="307" spans="1:28" ht="12.95" customHeight="1" outlineLevel="4" x14ac:dyDescent="0.25">
      <c r="A307" s="1"/>
      <c r="B307" s="33"/>
      <c r="C307" s="73">
        <f>C$30</f>
        <v>5</v>
      </c>
      <c r="D307" s="4"/>
      <c r="E307" s="5"/>
      <c r="F307" s="5"/>
      <c r="G307" s="4"/>
      <c r="H307" s="5"/>
      <c r="I307" s="5"/>
      <c r="J307" s="5"/>
      <c r="K307" s="5"/>
      <c r="L307" s="5"/>
      <c r="M307" s="5"/>
      <c r="N307" s="5"/>
      <c r="O307" s="5"/>
      <c r="P307" s="5"/>
      <c r="Q307" s="5"/>
      <c r="R307" s="5"/>
      <c r="S307" s="5"/>
      <c r="T307" s="5"/>
      <c r="U307" s="5"/>
      <c r="V307" s="5"/>
      <c r="W307" s="5"/>
      <c r="X307" s="4"/>
      <c r="Y307" s="16"/>
      <c r="Z307" s="1"/>
      <c r="AA307" s="1"/>
      <c r="AB307" s="1"/>
    </row>
    <row r="308" spans="1:28" ht="8.4499999999999993" customHeight="1" outlineLevel="4" x14ac:dyDescent="0.25">
      <c r="A308" s="1"/>
      <c r="B308" s="33" t="s">
        <v>19</v>
      </c>
      <c r="C308" s="73">
        <f>C$30</f>
        <v>5</v>
      </c>
      <c r="D308" s="4" t="s">
        <v>44</v>
      </c>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5.0999999999999996" customHeight="1" outlineLevel="2" x14ac:dyDescent="0.25">
      <c r="A309" s="1"/>
      <c r="B309" s="33"/>
      <c r="C309" s="73">
        <f>INT($C$31)+2.005</f>
        <v>3.0049999999999999</v>
      </c>
      <c r="D309" s="4" t="s">
        <v>2</v>
      </c>
      <c r="E309" s="4"/>
      <c r="F309" s="4"/>
      <c r="G309" s="4"/>
      <c r="H309" s="58"/>
      <c r="I309" s="58"/>
      <c r="J309" s="58"/>
      <c r="K309" s="58"/>
      <c r="L309" s="58"/>
      <c r="M309" s="58"/>
      <c r="N309" s="58"/>
      <c r="O309" s="58"/>
      <c r="P309" s="58"/>
      <c r="Q309" s="58"/>
      <c r="R309" s="58"/>
      <c r="S309" s="58"/>
      <c r="T309" s="58"/>
      <c r="U309" s="58"/>
      <c r="V309" s="58"/>
      <c r="W309" s="58"/>
      <c r="X309" s="4"/>
      <c r="Y309" s="16"/>
      <c r="Z309" s="1"/>
      <c r="AA309" s="1"/>
      <c r="AB309" s="1"/>
    </row>
    <row r="310" spans="1:28" outlineLevel="2" x14ac:dyDescent="0.25">
      <c r="A310" s="1"/>
      <c r="B310" s="33"/>
      <c r="C310" s="73">
        <f>INT($C$31)+2</f>
        <v>3</v>
      </c>
      <c r="D310" s="4"/>
      <c r="E310" s="5"/>
      <c r="F310" s="5"/>
      <c r="G310" s="4"/>
      <c r="H310" s="96" t="s">
        <v>213</v>
      </c>
      <c r="I310" s="2"/>
      <c r="J310" s="2"/>
      <c r="K310" s="2"/>
      <c r="L310" s="2"/>
      <c r="M310" s="2"/>
      <c r="N310" s="2"/>
      <c r="O310" s="2"/>
      <c r="P310" s="2"/>
      <c r="Q310" s="2"/>
      <c r="R310" s="2"/>
      <c r="S310" s="2"/>
      <c r="T310" s="2"/>
      <c r="U310" s="2"/>
      <c r="V310" s="2"/>
      <c r="W310" s="2"/>
      <c r="X310" s="4"/>
      <c r="Y310" s="16"/>
      <c r="Z310" s="1"/>
      <c r="AA310" s="1"/>
      <c r="AB310" s="1"/>
    </row>
    <row r="311" spans="1:28" outlineLevel="3" x14ac:dyDescent="0.25">
      <c r="A311" s="1"/>
      <c r="B311" s="33"/>
      <c r="C311" s="73">
        <f t="shared" ref="C311:C318" si="71">INT($C$31)+3</f>
        <v>4</v>
      </c>
      <c r="D311" s="4"/>
      <c r="E311" s="5"/>
      <c r="F311" s="5"/>
      <c r="G311" s="4"/>
      <c r="H311" s="2" t="s">
        <v>270</v>
      </c>
      <c r="I311" s="2"/>
      <c r="J311" s="109">
        <v>0</v>
      </c>
      <c r="K311" s="109">
        <v>1</v>
      </c>
      <c r="L311" s="109">
        <v>2</v>
      </c>
      <c r="M311" s="2"/>
      <c r="N311" s="2"/>
      <c r="O311" s="2"/>
      <c r="P311" s="2"/>
      <c r="Q311" s="2"/>
      <c r="R311" s="2"/>
      <c r="S311" s="2"/>
      <c r="T311" s="2"/>
      <c r="U311" s="2"/>
      <c r="V311" s="2"/>
      <c r="W311" s="2"/>
      <c r="X311" s="4"/>
      <c r="Y311" s="16"/>
      <c r="Z311" s="1"/>
      <c r="AA311" s="1"/>
      <c r="AB311" s="1"/>
    </row>
    <row r="312" spans="1:28" outlineLevel="3" x14ac:dyDescent="0.25">
      <c r="A312" s="1"/>
      <c r="B312" s="33"/>
      <c r="C312" s="73">
        <f t="shared" si="71"/>
        <v>4</v>
      </c>
      <c r="D312" s="4"/>
      <c r="E312" s="5"/>
      <c r="F312" s="5"/>
      <c r="G312" s="4"/>
      <c r="H312" s="2" t="s">
        <v>296</v>
      </c>
      <c r="I312" s="2"/>
      <c r="J312" s="31" t="b">
        <v>1</v>
      </c>
      <c r="K312" s="31" t="b">
        <v>1</v>
      </c>
      <c r="L312" s="31" t="b">
        <v>1</v>
      </c>
      <c r="M312" s="2"/>
      <c r="N312" s="2"/>
      <c r="O312" s="2"/>
      <c r="P312" s="2"/>
      <c r="Q312" s="2"/>
      <c r="R312" s="2"/>
      <c r="S312" s="2"/>
      <c r="T312" s="2"/>
      <c r="U312" s="2"/>
      <c r="V312" s="2"/>
      <c r="W312" s="2"/>
      <c r="X312" s="4"/>
      <c r="Y312" s="16"/>
      <c r="Z312" s="1"/>
      <c r="AA312" s="1"/>
      <c r="AB312" s="1"/>
    </row>
    <row r="313" spans="1:28" outlineLevel="3" x14ac:dyDescent="0.25">
      <c r="A313" s="1"/>
      <c r="B313" s="33"/>
      <c r="C313" s="73">
        <f t="shared" si="71"/>
        <v>4</v>
      </c>
      <c r="D313" s="4"/>
      <c r="E313" s="5"/>
      <c r="F313" s="5"/>
      <c r="G313" s="4"/>
      <c r="H313" s="2"/>
      <c r="I313" s="2"/>
      <c r="J313" s="2"/>
      <c r="K313" s="2"/>
      <c r="L313" s="2"/>
      <c r="M313" s="2"/>
      <c r="N313" s="2"/>
      <c r="O313" s="2"/>
      <c r="P313" s="2"/>
      <c r="Q313" s="2"/>
      <c r="R313" s="2"/>
      <c r="S313" s="2"/>
      <c r="T313" s="2"/>
      <c r="U313" s="2"/>
      <c r="V313" s="2"/>
      <c r="W313" s="2"/>
      <c r="X313" s="4"/>
      <c r="Y313" s="16"/>
      <c r="Z313" s="1"/>
      <c r="AA313" s="1"/>
      <c r="AB313" s="1"/>
    </row>
    <row r="314" spans="1:28" outlineLevel="3" x14ac:dyDescent="0.2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25">
      <c r="A315" s="1"/>
      <c r="B315" s="33"/>
      <c r="C315" s="73">
        <f t="shared" si="71"/>
        <v>4</v>
      </c>
      <c r="D315" s="4"/>
      <c r="E315" s="5"/>
      <c r="F315" s="5"/>
      <c r="G315" s="4"/>
      <c r="H315" s="2"/>
      <c r="I315" s="122"/>
      <c r="J315" s="123" t="s">
        <v>219</v>
      </c>
      <c r="K315" s="123" t="s">
        <v>220</v>
      </c>
      <c r="L315" s="123" t="s">
        <v>221</v>
      </c>
      <c r="M315" s="2"/>
      <c r="N315" s="2"/>
      <c r="O315" s="2"/>
      <c r="P315" s="2"/>
      <c r="Q315" s="2"/>
      <c r="R315" s="2"/>
      <c r="S315" s="2"/>
      <c r="T315" s="2"/>
      <c r="U315" s="2"/>
      <c r="V315" s="2"/>
      <c r="W315" s="2"/>
      <c r="X315" s="4"/>
      <c r="Y315" s="16"/>
      <c r="Z315" s="1"/>
      <c r="AA315" s="1"/>
      <c r="AB315" s="1"/>
    </row>
    <row r="316" spans="1:28" outlineLevel="3" x14ac:dyDescent="0.25">
      <c r="A316" s="1"/>
      <c r="B316" s="33"/>
      <c r="C316" s="73">
        <f t="shared" si="71"/>
        <v>4</v>
      </c>
      <c r="D316" s="4"/>
      <c r="E316" s="5"/>
      <c r="F316" s="5"/>
      <c r="G316" s="4"/>
      <c r="H316" s="2" t="s">
        <v>218</v>
      </c>
      <c r="I316" s="122"/>
      <c r="J316" s="31">
        <f>J311</f>
        <v>0</v>
      </c>
      <c r="K316" s="31">
        <f>K311</f>
        <v>1</v>
      </c>
      <c r="L316" s="31">
        <f>L311</f>
        <v>2</v>
      </c>
      <c r="M316" s="2"/>
      <c r="N316" s="2"/>
      <c r="O316" s="2"/>
      <c r="P316" s="2"/>
      <c r="Q316" s="2"/>
      <c r="R316" s="2"/>
      <c r="S316" s="2"/>
      <c r="T316" s="2"/>
      <c r="U316" s="2"/>
      <c r="V316" s="2"/>
      <c r="W316" s="2"/>
      <c r="X316" s="4"/>
      <c r="Y316" s="16"/>
      <c r="Z316" s="1"/>
      <c r="AA316" s="1"/>
      <c r="AB316" s="1"/>
    </row>
    <row r="317" spans="1:28" outlineLevel="3" x14ac:dyDescent="0.25">
      <c r="A317" s="1"/>
      <c r="B317" s="33"/>
      <c r="C317" s="73">
        <f t="shared" si="71"/>
        <v>4</v>
      </c>
      <c r="D317" s="4"/>
      <c r="E317" s="5"/>
      <c r="F317" s="5"/>
      <c r="G317" s="4"/>
      <c r="H317" s="2"/>
      <c r="I317" s="122"/>
      <c r="J317" s="123"/>
      <c r="K317" s="123"/>
      <c r="L317" s="123"/>
      <c r="M317" s="2"/>
      <c r="N317" s="2"/>
      <c r="O317" s="2"/>
      <c r="P317" s="2"/>
      <c r="Q317" s="2"/>
      <c r="R317" s="2"/>
      <c r="S317" s="2"/>
      <c r="T317" s="2"/>
      <c r="U317" s="2"/>
      <c r="V317" s="2"/>
      <c r="W317" s="2"/>
      <c r="X317" s="4"/>
      <c r="Y317" s="16"/>
      <c r="Z317" s="1"/>
      <c r="AA317" s="1"/>
      <c r="AB317" s="1"/>
    </row>
    <row r="318" spans="1:28" outlineLevel="3" x14ac:dyDescent="0.2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25">
      <c r="A319" s="1"/>
      <c r="B319" s="33"/>
      <c r="C319" s="73">
        <f>INT($C$31)+3</f>
        <v>4</v>
      </c>
      <c r="D319" s="4"/>
      <c r="E319" s="5"/>
      <c r="F319" s="5"/>
      <c r="G319" s="4"/>
      <c r="H319" s="2"/>
      <c r="I319" s="2"/>
      <c r="J319" s="2"/>
      <c r="K319" s="2"/>
      <c r="L319" s="2"/>
      <c r="M319" s="2"/>
      <c r="N319" s="2"/>
      <c r="O319" s="2"/>
      <c r="P319" s="2"/>
      <c r="Q319" s="2"/>
      <c r="R319" s="2"/>
      <c r="S319" s="2"/>
      <c r="T319" s="2"/>
      <c r="U319" s="2"/>
      <c r="V319" s="2"/>
      <c r="W319" s="2"/>
      <c r="X319" s="4"/>
      <c r="Y319" s="16"/>
      <c r="Z319" s="1"/>
      <c r="AA319" s="1"/>
      <c r="AB319" s="1"/>
    </row>
    <row r="320" spans="1:28" ht="5.0999999999999996" customHeight="1" outlineLevel="3" x14ac:dyDescent="0.25">
      <c r="A320" s="1"/>
      <c r="B320" s="33"/>
      <c r="C320" s="73">
        <f>INT($C$31)+3.005</f>
        <v>4.0049999999999999</v>
      </c>
      <c r="D320" s="4"/>
      <c r="E320" s="4"/>
      <c r="F320" s="4"/>
      <c r="G320" s="4"/>
      <c r="H320" s="82"/>
      <c r="I320" s="82"/>
      <c r="J320" s="82"/>
      <c r="K320" s="82"/>
      <c r="L320" s="82"/>
      <c r="M320" s="82"/>
      <c r="N320" s="82"/>
      <c r="O320" s="82"/>
      <c r="P320" s="82"/>
      <c r="Q320" s="82"/>
      <c r="R320" s="82"/>
      <c r="S320" s="82"/>
      <c r="T320" s="82"/>
      <c r="U320" s="82"/>
      <c r="V320" s="82"/>
      <c r="W320" s="82"/>
      <c r="X320" s="4" t="s">
        <v>3</v>
      </c>
      <c r="Y320" s="16"/>
      <c r="Z320" s="1"/>
      <c r="AA320" s="1"/>
      <c r="AB320" s="1"/>
    </row>
    <row r="321" spans="1:28" ht="5.0999999999999996" customHeight="1" outlineLevel="2" x14ac:dyDescent="0.25">
      <c r="A321" s="1"/>
      <c r="B321" s="33"/>
      <c r="C321" s="73">
        <f>INT($C$31)+2.005</f>
        <v>3.0049999999999999</v>
      </c>
      <c r="D321" s="4"/>
      <c r="E321" s="4"/>
      <c r="F321" s="4"/>
      <c r="G321" s="4"/>
      <c r="H321" s="4"/>
      <c r="I321" s="4"/>
      <c r="J321" s="4"/>
      <c r="K321" s="4"/>
      <c r="L321" s="4"/>
      <c r="M321" s="4"/>
      <c r="N321" s="4"/>
      <c r="O321" s="4"/>
      <c r="P321" s="4"/>
      <c r="Q321" s="4"/>
      <c r="R321" s="4"/>
      <c r="S321" s="4"/>
      <c r="T321" s="4"/>
      <c r="U321" s="4"/>
      <c r="V321" s="4"/>
      <c r="W321" s="4"/>
      <c r="X321" s="4"/>
      <c r="Y321" s="16"/>
      <c r="Z321" s="1"/>
      <c r="AA321" s="1"/>
      <c r="AB321" s="1"/>
    </row>
    <row r="322" spans="1:28" ht="5.0999999999999996" customHeight="1" outlineLevel="1" x14ac:dyDescent="0.25">
      <c r="A322" s="1"/>
      <c r="B322" s="35"/>
      <c r="C322" s="76">
        <f>INT($C$31)+1.005</f>
        <v>2.0049999999999999</v>
      </c>
      <c r="D322" s="17"/>
      <c r="E322" s="17"/>
      <c r="F322" s="17"/>
      <c r="G322" s="17"/>
      <c r="H322" s="17"/>
      <c r="I322" s="17"/>
      <c r="J322" s="17"/>
      <c r="K322" s="17"/>
      <c r="L322" s="17"/>
      <c r="M322" s="17"/>
      <c r="N322" s="17"/>
      <c r="O322" s="17"/>
      <c r="P322" s="17"/>
      <c r="Q322" s="17"/>
      <c r="R322" s="17"/>
      <c r="S322" s="17"/>
      <c r="T322" s="17"/>
      <c r="U322" s="17"/>
      <c r="V322" s="17"/>
      <c r="W322" s="17"/>
      <c r="X322" s="17"/>
      <c r="Y322" s="18" t="s">
        <v>1</v>
      </c>
      <c r="Z322" s="1"/>
      <c r="AA322" s="1"/>
      <c r="AB322" s="1"/>
    </row>
    <row r="323" spans="1:28" ht="5.0999999999999996" customHeight="1" x14ac:dyDescent="0.25">
      <c r="A323" s="1"/>
      <c r="B323" s="19"/>
      <c r="C323" s="77">
        <f>INT($C$31)+0.005</f>
        <v>1.0049999999999999</v>
      </c>
      <c r="D323" s="19"/>
      <c r="E323" s="19"/>
      <c r="F323" s="19"/>
      <c r="G323" s="19"/>
      <c r="H323" s="19"/>
      <c r="I323" s="19"/>
      <c r="J323" s="19"/>
      <c r="K323" s="19"/>
      <c r="L323" s="19"/>
      <c r="M323" s="19"/>
      <c r="N323" s="19"/>
      <c r="O323" s="19"/>
      <c r="P323" s="19"/>
      <c r="Q323" s="19"/>
      <c r="R323" s="19"/>
      <c r="S323" s="19"/>
      <c r="T323" s="19"/>
      <c r="U323" s="19"/>
      <c r="V323" s="19"/>
      <c r="W323" s="19"/>
      <c r="X323" s="19"/>
      <c r="Y323" s="19"/>
      <c r="Z323" s="1"/>
      <c r="AA323" s="1"/>
      <c r="AB323" s="1"/>
    </row>
    <row r="324" spans="1:28" outlineLevel="2" x14ac:dyDescent="0.25">
      <c r="A324" s="1"/>
      <c r="B324" s="1"/>
      <c r="C324" s="73">
        <f>INT($C$31)+2</f>
        <v>3</v>
      </c>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outlineLevel="2" x14ac:dyDescent="0.25">
      <c r="A325" s="1"/>
      <c r="B325" s="1"/>
      <c r="C325" s="73">
        <f>INT($C$132)+2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x14ac:dyDescent="0.25">
      <c r="A326" s="1"/>
      <c r="B326" s="1"/>
      <c r="C326" s="66"/>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2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2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2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2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2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25">
      <c r="C332"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4"/>
  <sheetViews>
    <sheetView topLeftCell="A6" zoomScale="80" zoomScaleNormal="80" workbookViewId="0">
      <pane xSplit="9" ySplit="10" topLeftCell="J182" activePane="bottomRight" state="frozen"/>
      <selection activeCell="A6" sqref="A6"/>
      <selection pane="topRight" activeCell="J6" sqref="J6"/>
      <selection pane="bottomLeft" activeCell="A16" sqref="A16"/>
      <selection pane="bottomRight" activeCell="M109" sqref="M109"/>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1.42578125" customWidth="1"/>
    <col min="10" max="12" width="10.85546875" customWidth="1"/>
    <col min="13" max="14" width="11.28515625" customWidth="1"/>
    <col min="15" max="15" width="12.140625" bestFit="1" customWidth="1"/>
    <col min="16" max="16" width="11.5703125" customWidth="1"/>
    <col min="17" max="17" width="11.7109375" customWidth="1"/>
    <col min="18" max="26" width="10.85546875" customWidth="1"/>
    <col min="27" max="27" width="1.7109375" customWidth="1"/>
    <col min="28" max="29" width="4.7109375" customWidth="1"/>
    <col min="31" max="31" width="46.140625" customWidth="1"/>
  </cols>
  <sheetData>
    <row r="1" spans="1:31"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25">
      <c r="A13" s="1"/>
      <c r="B13" s="33"/>
      <c r="C13" s="67">
        <f>INT($C$6)+1.045</f>
        <v>2.0449999999999999</v>
      </c>
      <c r="D13" s="4"/>
      <c r="E13" s="5"/>
      <c r="F13" s="5"/>
      <c r="G13" s="4"/>
      <c r="H13" s="2" t="s">
        <v>16</v>
      </c>
      <c r="I13" s="126">
        <v>46053.6384755787</v>
      </c>
      <c r="J13" s="221" t="s">
        <v>445</v>
      </c>
      <c r="K13" s="222"/>
      <c r="L13" s="222"/>
      <c r="M13" s="222"/>
      <c r="N13" s="222"/>
      <c r="O13" s="222"/>
      <c r="P13" s="222"/>
      <c r="Q13" s="222"/>
      <c r="R13" s="222"/>
      <c r="S13" s="222"/>
      <c r="T13" s="223"/>
      <c r="U13" s="2"/>
      <c r="V13" s="2"/>
      <c r="W13" s="2"/>
      <c r="X13" s="2"/>
      <c r="Y13" s="2"/>
      <c r="Z13" s="2"/>
      <c r="AA13" s="4"/>
      <c r="AB13" s="16"/>
      <c r="AC13" s="1"/>
      <c r="AD13" s="1"/>
      <c r="AE13" s="1"/>
    </row>
    <row r="14" spans="1:31" ht="45" customHeight="1" outlineLevel="1" x14ac:dyDescent="0.25">
      <c r="A14" s="1"/>
      <c r="B14" s="33"/>
      <c r="C14" s="67">
        <f>INT($C$6)+1.045</f>
        <v>2.0449999999999999</v>
      </c>
      <c r="D14" s="4"/>
      <c r="E14" s="5"/>
      <c r="F14" s="5"/>
      <c r="G14" s="4"/>
      <c r="H14" s="2" t="s">
        <v>17</v>
      </c>
      <c r="I14" s="125">
        <v>45593.407781134301</v>
      </c>
      <c r="J14" s="224" t="s">
        <v>441</v>
      </c>
      <c r="K14" s="225"/>
      <c r="L14" s="225"/>
      <c r="M14" s="225"/>
      <c r="N14" s="225"/>
      <c r="O14" s="225"/>
      <c r="P14" s="225"/>
      <c r="Q14" s="225"/>
      <c r="R14" s="225"/>
      <c r="S14" s="225"/>
      <c r="T14" s="225"/>
      <c r="U14" s="2"/>
      <c r="V14" s="2"/>
      <c r="W14" s="2"/>
      <c r="X14" s="2"/>
      <c r="Y14" s="2"/>
      <c r="Z14" s="2"/>
      <c r="AA14" s="4"/>
      <c r="AB14" s="16"/>
      <c r="AC14" s="1"/>
      <c r="AD14" s="1"/>
      <c r="AE14" s="1"/>
    </row>
    <row r="15" spans="1:31" ht="5.0999999999999996"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0999999999999996"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0999999999999996"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0999999999999996"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2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0999999999999996" customHeight="1" thickBot="1" x14ac:dyDescent="0.3">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0999999999999996" customHeight="1" outlineLevel="1" x14ac:dyDescent="0.2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2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00000000000001" customHeight="1" x14ac:dyDescent="0.2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00000000000001" customHeight="1" outlineLevel="1" x14ac:dyDescent="0.2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0999999999999996" customHeight="1" outlineLevel="2" x14ac:dyDescent="0.2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2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2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2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30" outlineLevel="2" x14ac:dyDescent="0.25">
      <c r="A37" s="1"/>
      <c r="B37" s="33"/>
      <c r="C37" s="73">
        <f>INT($C$59)+2</f>
        <v>3</v>
      </c>
      <c r="D37" s="3"/>
      <c r="E37" s="5"/>
      <c r="F37" s="5"/>
      <c r="G37" s="3"/>
      <c r="H37" s="29"/>
      <c r="I37" s="29" t="s">
        <v>387</v>
      </c>
      <c r="J37" s="29"/>
      <c r="K37" s="29"/>
      <c r="L37" s="29"/>
      <c r="M37" s="29" t="s">
        <v>386</v>
      </c>
      <c r="N37" s="29"/>
      <c r="O37" s="29"/>
      <c r="P37" s="29"/>
      <c r="Q37" s="29"/>
      <c r="R37" s="29" t="s">
        <v>388</v>
      </c>
      <c r="S37" s="29"/>
      <c r="T37" s="29"/>
      <c r="U37" s="29"/>
      <c r="V37" s="29"/>
      <c r="W37" s="29"/>
      <c r="X37" s="29"/>
      <c r="Y37" s="29"/>
      <c r="Z37" s="29"/>
      <c r="AA37" s="3"/>
      <c r="AB37" s="16"/>
      <c r="AC37" s="1"/>
      <c r="AD37" s="1"/>
      <c r="AE37" s="1"/>
    </row>
    <row r="38" spans="1:31" ht="11.45" customHeight="1" outlineLevel="2" x14ac:dyDescent="0.2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2.95" customHeight="1" outlineLevel="4" x14ac:dyDescent="0.2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4499999999999993" customHeight="1" outlineLevel="4" x14ac:dyDescent="0.2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0999999999999996" customHeight="1" outlineLevel="2" x14ac:dyDescent="0.2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25">
      <c r="A42" s="1"/>
      <c r="B42" s="33"/>
      <c r="C42" s="73">
        <f>INT($C$59)+2</f>
        <v>3</v>
      </c>
      <c r="D42" s="4"/>
      <c r="E42" s="5"/>
      <c r="F42" s="5"/>
      <c r="G42" s="4"/>
      <c r="H42" s="36" t="s">
        <v>378</v>
      </c>
      <c r="I42" s="211" t="b">
        <v>1</v>
      </c>
      <c r="J42" s="96"/>
      <c r="K42" s="96"/>
      <c r="L42" s="26" t="s">
        <v>383</v>
      </c>
      <c r="M42" s="212" t="b">
        <v>1</v>
      </c>
      <c r="N42" s="96"/>
      <c r="O42" s="96"/>
      <c r="P42" s="96"/>
      <c r="Q42" s="26" t="s">
        <v>380</v>
      </c>
      <c r="R42" s="203">
        <v>1</v>
      </c>
      <c r="S42" s="96"/>
      <c r="T42" s="96"/>
      <c r="U42" s="96"/>
      <c r="V42" s="96"/>
      <c r="W42" s="2"/>
      <c r="X42" s="2"/>
      <c r="Y42" s="2"/>
      <c r="Z42" s="2"/>
      <c r="AA42" s="4"/>
      <c r="AB42" s="16"/>
      <c r="AC42" s="1"/>
      <c r="AD42" s="1"/>
      <c r="AE42" s="1"/>
    </row>
    <row r="43" spans="1:31" outlineLevel="3" x14ac:dyDescent="0.25">
      <c r="A43" s="1"/>
      <c r="B43" s="33"/>
      <c r="C43" s="73">
        <f>INT($C$59)+3</f>
        <v>4</v>
      </c>
      <c r="D43" s="4"/>
      <c r="E43" s="5"/>
      <c r="F43" s="5"/>
      <c r="G43" s="4"/>
      <c r="H43" s="2"/>
      <c r="I43" s="2"/>
      <c r="J43" s="2"/>
      <c r="K43" s="2"/>
      <c r="L43" s="26" t="s">
        <v>384</v>
      </c>
      <c r="M43" s="212" t="b">
        <v>0</v>
      </c>
      <c r="N43" s="2"/>
      <c r="O43" s="2"/>
      <c r="P43" s="2"/>
      <c r="Q43" s="26" t="s">
        <v>379</v>
      </c>
      <c r="R43" s="203">
        <v>4</v>
      </c>
      <c r="S43" s="2"/>
      <c r="T43" s="2"/>
      <c r="U43" s="2"/>
      <c r="V43" s="2"/>
      <c r="W43" s="2"/>
      <c r="X43" s="2"/>
      <c r="Y43" s="2"/>
      <c r="Z43" s="2"/>
      <c r="AA43" s="4"/>
      <c r="AB43" s="16"/>
      <c r="AC43" s="1"/>
      <c r="AD43" s="1"/>
      <c r="AE43" s="1"/>
    </row>
    <row r="44" spans="1:31" outlineLevel="3" x14ac:dyDescent="0.25">
      <c r="A44" s="1"/>
      <c r="B44" s="33"/>
      <c r="C44" s="73">
        <f t="shared" ref="C44:C49" si="1">INT($C$59)+3</f>
        <v>4</v>
      </c>
      <c r="D44" s="4"/>
      <c r="E44" s="5"/>
      <c r="F44" s="5"/>
      <c r="G44" s="4"/>
      <c r="H44" s="2"/>
      <c r="I44" s="2"/>
      <c r="J44" s="2"/>
      <c r="K44" s="2"/>
      <c r="L44" s="26" t="s">
        <v>385</v>
      </c>
      <c r="M44" s="213">
        <v>1</v>
      </c>
      <c r="N44" s="2"/>
      <c r="O44" s="2"/>
      <c r="P44" s="2"/>
      <c r="Q44" s="2"/>
      <c r="R44" s="2"/>
      <c r="S44" s="2"/>
      <c r="T44" s="2"/>
      <c r="U44" s="2"/>
      <c r="V44" s="2"/>
      <c r="W44" s="2"/>
      <c r="X44" s="2"/>
      <c r="Y44" s="2"/>
      <c r="Z44" s="2"/>
      <c r="AA44" s="4"/>
      <c r="AB44" s="16"/>
      <c r="AC44" s="1"/>
      <c r="AD44" s="1"/>
      <c r="AE44" s="1"/>
    </row>
    <row r="45" spans="1:31" outlineLevel="3" x14ac:dyDescent="0.25">
      <c r="A45" s="1"/>
      <c r="B45" s="33"/>
      <c r="C45" s="73">
        <f t="shared" si="1"/>
        <v>4</v>
      </c>
      <c r="D45" s="4"/>
      <c r="E45" s="5"/>
      <c r="F45" s="5"/>
      <c r="G45" s="4"/>
      <c r="H45" s="2"/>
      <c r="I45" s="2"/>
      <c r="J45" s="2"/>
      <c r="K45" s="2"/>
      <c r="L45" s="26" t="s">
        <v>389</v>
      </c>
      <c r="M45" s="212" t="b">
        <v>0</v>
      </c>
      <c r="N45" s="2"/>
      <c r="O45" s="2"/>
      <c r="P45" s="2"/>
      <c r="Q45" s="2"/>
      <c r="R45" s="2"/>
      <c r="S45" s="2"/>
      <c r="T45" s="2"/>
      <c r="U45" s="2"/>
      <c r="V45" s="2"/>
      <c r="W45" s="2"/>
      <c r="X45" s="2"/>
      <c r="Y45" s="2"/>
      <c r="Z45" s="2"/>
      <c r="AA45" s="4"/>
      <c r="AB45" s="16"/>
      <c r="AC45" s="1"/>
      <c r="AD45" s="1"/>
      <c r="AE45" s="1"/>
    </row>
    <row r="46" spans="1:31" outlineLevel="3" x14ac:dyDescent="0.25">
      <c r="A46" s="1"/>
      <c r="B46" s="33"/>
      <c r="C46" s="73">
        <f t="shared" si="1"/>
        <v>4</v>
      </c>
      <c r="D46" s="4"/>
      <c r="E46" s="5"/>
      <c r="F46" s="5"/>
      <c r="G46" s="4"/>
      <c r="H46" s="2"/>
      <c r="I46" s="2"/>
      <c r="J46" s="2"/>
      <c r="K46" s="2"/>
      <c r="L46" s="26" t="s">
        <v>439</v>
      </c>
      <c r="M46" s="220">
        <v>100</v>
      </c>
      <c r="N46" s="2" t="s">
        <v>86</v>
      </c>
      <c r="O46" s="2"/>
      <c r="P46" s="2"/>
      <c r="Q46" s="2"/>
      <c r="R46" s="2"/>
      <c r="S46" s="2"/>
      <c r="T46" s="2"/>
      <c r="U46" s="2"/>
      <c r="V46" s="2"/>
      <c r="W46" s="2"/>
      <c r="X46" s="2"/>
      <c r="Y46" s="2"/>
      <c r="Z46" s="2"/>
      <c r="AA46" s="4"/>
      <c r="AB46" s="16"/>
      <c r="AC46" s="1"/>
      <c r="AD46" s="1"/>
      <c r="AE46" s="1"/>
    </row>
    <row r="47" spans="1:31" outlineLevel="3" x14ac:dyDescent="0.25">
      <c r="A47" s="1"/>
      <c r="B47" s="33"/>
      <c r="C47" s="73">
        <f t="shared" si="1"/>
        <v>4</v>
      </c>
      <c r="D47" s="4"/>
      <c r="E47" s="5"/>
      <c r="F47" s="5"/>
      <c r="G47" s="4"/>
      <c r="H47" s="2"/>
      <c r="I47" s="2"/>
      <c r="J47" s="2"/>
      <c r="K47" s="2"/>
      <c r="L47" s="26" t="s">
        <v>440</v>
      </c>
      <c r="M47" s="212" t="b">
        <v>0</v>
      </c>
      <c r="N47" s="2"/>
      <c r="O47" s="2"/>
      <c r="P47" s="2"/>
      <c r="Q47" s="2"/>
      <c r="R47" s="2"/>
      <c r="S47" s="2"/>
      <c r="T47" s="2"/>
      <c r="U47" s="2"/>
      <c r="V47" s="2"/>
      <c r="W47" s="2"/>
      <c r="X47" s="2"/>
      <c r="Y47" s="2"/>
      <c r="Z47" s="2"/>
      <c r="AA47" s="4"/>
      <c r="AB47" s="16"/>
      <c r="AC47" s="1"/>
      <c r="AD47" s="1"/>
      <c r="AE47" s="1"/>
    </row>
    <row r="48" spans="1:31" outlineLevel="3" x14ac:dyDescent="0.2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2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0999999999999996" customHeight="1" outlineLevel="3" x14ac:dyDescent="0.2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0999999999999996" customHeight="1" outlineLevel="2" x14ac:dyDescent="0.2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0999999999999996" customHeight="1" outlineLevel="1" x14ac:dyDescent="0.2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0999999999999996" customHeight="1" x14ac:dyDescent="0.2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2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2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0999999999999996" customHeight="1" thickBot="1" x14ac:dyDescent="0.3">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0999999999999996" customHeight="1" outlineLevel="1" x14ac:dyDescent="0.2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2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00000000000001" customHeight="1" x14ac:dyDescent="0.2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00000000000001" customHeight="1" outlineLevel="1" x14ac:dyDescent="0.2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0999999999999996" customHeight="1" outlineLevel="2" x14ac:dyDescent="0.2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2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2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2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25">
      <c r="A65" s="1"/>
      <c r="B65" s="33"/>
      <c r="C65" s="73">
        <f>INT($C$59)+2</f>
        <v>3</v>
      </c>
      <c r="D65" s="3"/>
      <c r="E65" s="5"/>
      <c r="F65" s="5"/>
      <c r="G65" s="3"/>
      <c r="H65" s="29"/>
      <c r="I65" s="29"/>
      <c r="J65" s="29" t="s">
        <v>361</v>
      </c>
      <c r="K65" s="156" t="s">
        <v>202</v>
      </c>
      <c r="L65" s="156" t="s">
        <v>203</v>
      </c>
      <c r="M65" s="156" t="s">
        <v>204</v>
      </c>
      <c r="N65" s="156" t="s">
        <v>394</v>
      </c>
      <c r="O65" s="156" t="s">
        <v>390</v>
      </c>
      <c r="P65" s="156" t="s">
        <v>391</v>
      </c>
      <c r="Q65" s="156" t="s">
        <v>392</v>
      </c>
      <c r="R65" s="156" t="s">
        <v>393</v>
      </c>
      <c r="S65" s="29"/>
      <c r="T65" s="29"/>
      <c r="U65" s="29"/>
      <c r="V65" s="29"/>
      <c r="W65" s="29"/>
      <c r="X65" s="29"/>
      <c r="Y65" s="29"/>
      <c r="Z65" s="29"/>
      <c r="AA65" s="3"/>
      <c r="AB65" s="16"/>
      <c r="AC65" s="1"/>
      <c r="AD65" s="1"/>
      <c r="AE65" s="1"/>
    </row>
    <row r="66" spans="1:31" ht="11.45" customHeight="1" outlineLevel="2" x14ac:dyDescent="0.2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2.95" customHeight="1" outlineLevel="4" x14ac:dyDescent="0.2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4499999999999993" customHeight="1" outlineLevel="4" x14ac:dyDescent="0.2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0999999999999996" customHeight="1" outlineLevel="2" x14ac:dyDescent="0.2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2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2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2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2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2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2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2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2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2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2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2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2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2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2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2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2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2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0999999999999996" customHeight="1" outlineLevel="3" x14ac:dyDescent="0.2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0999999999999996" customHeight="1" outlineLevel="2" x14ac:dyDescent="0.2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0999999999999996" customHeight="1" outlineLevel="1" x14ac:dyDescent="0.2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0999999999999996" customHeight="1" x14ac:dyDescent="0.2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2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2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0999999999999996" customHeight="1" thickBot="1" x14ac:dyDescent="0.3">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0999999999999996" customHeight="1" outlineLevel="1" x14ac:dyDescent="0.2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2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8.75" x14ac:dyDescent="0.2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75" outlineLevel="1" x14ac:dyDescent="0.2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0999999999999996" customHeight="1" outlineLevel="2" x14ac:dyDescent="0.2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2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2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2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30" outlineLevel="2" x14ac:dyDescent="0.2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2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2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2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0999999999999996" customHeight="1" outlineLevel="2" x14ac:dyDescent="0.2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2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2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2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45" customHeight="1" outlineLevel="3" x14ac:dyDescent="0.2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2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0999999999999996" customHeight="1" outlineLevel="3" x14ac:dyDescent="0.2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0999999999999996" customHeight="1" outlineLevel="2" x14ac:dyDescent="0.2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2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2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2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2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2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2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2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2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2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0999999999999996" customHeight="1" outlineLevel="3" x14ac:dyDescent="0.2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0999999999999996" customHeight="1" outlineLevel="2" x14ac:dyDescent="0.2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2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2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2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2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2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2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0999999999999996" customHeight="1" outlineLevel="3" x14ac:dyDescent="0.2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0999999999999996" customHeight="1" outlineLevel="2" x14ac:dyDescent="0.2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0999999999999996" customHeight="1" outlineLevel="1" x14ac:dyDescent="0.2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0999999999999996" customHeight="1" x14ac:dyDescent="0.2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2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2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0999999999999996" customHeight="1" thickBot="1" x14ac:dyDescent="0.3">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0999999999999996" customHeight="1" outlineLevel="1" x14ac:dyDescent="0.2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2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8.75" x14ac:dyDescent="0.2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75" outlineLevel="1" x14ac:dyDescent="0.2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0999999999999996" customHeight="1" outlineLevel="2" x14ac:dyDescent="0.2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2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2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2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2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0999999999999996" customHeight="1" outlineLevel="2" x14ac:dyDescent="0.2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25">
      <c r="A148" s="1"/>
      <c r="B148" s="33"/>
      <c r="C148" s="73">
        <f>INT($C$140)+2</f>
        <v>3</v>
      </c>
      <c r="D148" s="4"/>
      <c r="E148" s="5"/>
      <c r="F148" s="5"/>
      <c r="G148" s="4"/>
      <c r="H148" s="26" t="s">
        <v>369</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2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2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2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2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25">
      <c r="A153" s="1"/>
      <c r="B153" s="33"/>
      <c r="C153" s="73"/>
      <c r="D153" s="4"/>
      <c r="E153" s="5"/>
      <c r="F153" s="5"/>
      <c r="G153" s="4"/>
      <c r="H153" s="2"/>
      <c r="I153" s="2"/>
      <c r="J153" s="2"/>
      <c r="K153" s="2"/>
      <c r="L153" s="26" t="s">
        <v>356</v>
      </c>
      <c r="M153" s="31" t="b">
        <v>0</v>
      </c>
      <c r="N153" s="2"/>
      <c r="O153" s="2"/>
      <c r="P153" s="2"/>
      <c r="Q153" s="2"/>
      <c r="R153" s="2"/>
      <c r="S153" s="2"/>
      <c r="T153" s="2"/>
      <c r="U153" s="2"/>
      <c r="V153" s="2"/>
      <c r="W153" s="2"/>
      <c r="X153" s="2"/>
      <c r="Y153" s="2"/>
      <c r="Z153" s="2"/>
      <c r="AA153" s="4"/>
      <c r="AB153" s="16"/>
      <c r="AC153" s="1"/>
      <c r="AD153" s="1"/>
      <c r="AE153" s="1"/>
    </row>
    <row r="154" spans="1:31" ht="5.0999999999999996" customHeight="1" outlineLevel="3" x14ac:dyDescent="0.2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0999999999999996" customHeight="1" outlineLevel="2" x14ac:dyDescent="0.2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25">
      <c r="A156" s="1"/>
      <c r="B156" s="33"/>
      <c r="C156" s="73">
        <f>INT(C$140+3)</f>
        <v>4</v>
      </c>
      <c r="D156" s="4"/>
      <c r="E156" s="5"/>
      <c r="F156" s="5"/>
      <c r="G156" s="4"/>
      <c r="H156" s="148"/>
      <c r="I156" s="148"/>
      <c r="J156" s="148"/>
      <c r="K156" s="148"/>
      <c r="L156" s="148"/>
      <c r="M156" s="148" t="s">
        <v>398</v>
      </c>
      <c r="N156" s="36" t="s">
        <v>426</v>
      </c>
      <c r="O156" s="56" t="s">
        <v>401</v>
      </c>
      <c r="P156" s="56" t="s">
        <v>411</v>
      </c>
      <c r="Q156" s="56" t="s">
        <v>412</v>
      </c>
      <c r="R156" s="56" t="s">
        <v>413</v>
      </c>
      <c r="S156" s="56" t="s">
        <v>414</v>
      </c>
      <c r="T156" s="36" t="s">
        <v>417</v>
      </c>
      <c r="U156" s="36" t="s">
        <v>418</v>
      </c>
      <c r="V156" s="36" t="s">
        <v>419</v>
      </c>
      <c r="W156" s="36" t="s">
        <v>420</v>
      </c>
      <c r="X156" s="36" t="s">
        <v>421</v>
      </c>
      <c r="Y156" s="36" t="s">
        <v>415</v>
      </c>
      <c r="Z156" s="36"/>
      <c r="AA156" s="4"/>
      <c r="AB156" s="16"/>
      <c r="AC156" s="1"/>
      <c r="AD156" s="1"/>
      <c r="AE156" s="1"/>
    </row>
    <row r="157" spans="1:31" outlineLevel="3" x14ac:dyDescent="0.25">
      <c r="A157" s="1"/>
      <c r="B157" s="33"/>
      <c r="C157" s="73">
        <f>INT(C$140+3)</f>
        <v>4</v>
      </c>
      <c r="D157" s="4"/>
      <c r="E157" s="5"/>
      <c r="F157" s="5"/>
      <c r="G157" s="4"/>
      <c r="H157" s="148"/>
      <c r="I157" s="148"/>
      <c r="J157" s="148"/>
      <c r="K157" s="148"/>
      <c r="L157" s="148"/>
      <c r="M157" s="148"/>
      <c r="N157" s="36">
        <v>0</v>
      </c>
      <c r="O157" s="56" t="s">
        <v>427</v>
      </c>
      <c r="P157" s="56" t="s">
        <v>428</v>
      </c>
      <c r="Q157" s="56" t="s">
        <v>429</v>
      </c>
      <c r="R157" s="56" t="s">
        <v>430</v>
      </c>
      <c r="S157" s="56" t="s">
        <v>431</v>
      </c>
      <c r="T157" s="36" t="s">
        <v>432</v>
      </c>
      <c r="U157" s="36" t="s">
        <v>433</v>
      </c>
      <c r="V157" s="36" t="s">
        <v>434</v>
      </c>
      <c r="W157" s="36" t="s">
        <v>435</v>
      </c>
      <c r="X157" s="36" t="s">
        <v>436</v>
      </c>
      <c r="Y157" s="36" t="s">
        <v>437</v>
      </c>
      <c r="Z157" s="36">
        <v>12</v>
      </c>
      <c r="AA157" s="4"/>
      <c r="AB157" s="16"/>
      <c r="AC157" s="1"/>
      <c r="AD157" s="1"/>
      <c r="AE157" s="1"/>
    </row>
    <row r="158" spans="1:31" outlineLevel="3" x14ac:dyDescent="0.25">
      <c r="A158" s="1"/>
      <c r="B158" s="33"/>
      <c r="C158" s="73">
        <f t="shared" ref="C158:C160" si="11">INT(C$140+3)</f>
        <v>4</v>
      </c>
      <c r="D158" s="4"/>
      <c r="E158" s="5"/>
      <c r="F158" s="5"/>
      <c r="G158" s="4"/>
      <c r="H158" s="148"/>
      <c r="I158" s="148"/>
      <c r="J158" s="148"/>
      <c r="K158" s="148"/>
      <c r="L158" s="26" t="s">
        <v>424</v>
      </c>
      <c r="M158" s="52"/>
      <c r="N158" s="36"/>
      <c r="O158" s="56" t="s">
        <v>401</v>
      </c>
      <c r="P158" s="56" t="s">
        <v>402</v>
      </c>
      <c r="Q158" s="56" t="s">
        <v>403</v>
      </c>
      <c r="R158" s="56" t="s">
        <v>405</v>
      </c>
      <c r="S158" s="56" t="s">
        <v>404</v>
      </c>
      <c r="T158" s="36" t="s">
        <v>406</v>
      </c>
      <c r="U158" s="36" t="s">
        <v>407</v>
      </c>
      <c r="V158" s="36" t="s">
        <v>408</v>
      </c>
      <c r="W158" s="36" t="s">
        <v>409</v>
      </c>
      <c r="X158" s="36" t="s">
        <v>410</v>
      </c>
      <c r="Y158" s="36" t="s">
        <v>416</v>
      </c>
      <c r="Z158" s="36"/>
      <c r="AA158" s="4"/>
      <c r="AB158" s="16"/>
      <c r="AC158" s="1"/>
      <c r="AD158" s="1"/>
      <c r="AE158" s="1"/>
    </row>
    <row r="159" spans="1:31" outlineLevel="3" x14ac:dyDescent="0.25">
      <c r="A159" s="1"/>
      <c r="B159" s="33"/>
      <c r="C159" s="73">
        <f t="shared" si="11"/>
        <v>4</v>
      </c>
      <c r="D159" s="4"/>
      <c r="E159" s="5"/>
      <c r="F159" s="5"/>
      <c r="G159" s="4"/>
      <c r="H159" s="148"/>
      <c r="I159" s="148"/>
      <c r="J159" s="148"/>
      <c r="K159" s="148"/>
      <c r="L159" s="151" t="s">
        <v>425</v>
      </c>
      <c r="M159" s="151" t="s">
        <v>399</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25">
      <c r="A160" s="1"/>
      <c r="B160" s="33"/>
      <c r="C160" s="73">
        <f t="shared" si="11"/>
        <v>4</v>
      </c>
      <c r="D160" s="4"/>
      <c r="E160" s="5"/>
      <c r="F160" s="5"/>
      <c r="G160" s="4"/>
      <c r="H160" s="148"/>
      <c r="I160" s="148"/>
      <c r="J160" s="148"/>
      <c r="K160" s="148"/>
      <c r="L160" s="148"/>
      <c r="M160" s="151" t="s">
        <v>400</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25">
      <c r="A161" s="1"/>
      <c r="B161" s="33"/>
      <c r="C161" s="73">
        <f>INT($C$140)+2</f>
        <v>3</v>
      </c>
      <c r="D161" s="4"/>
      <c r="E161" s="5"/>
      <c r="F161" s="5"/>
      <c r="G161" s="4"/>
      <c r="H161" s="64" t="s">
        <v>257</v>
      </c>
      <c r="I161" s="64" t="s">
        <v>370</v>
      </c>
      <c r="J161" s="2"/>
      <c r="K161" s="2"/>
      <c r="L161" s="148"/>
      <c r="M161" s="148"/>
      <c r="N161" s="214"/>
      <c r="O161" s="214"/>
      <c r="P161" s="214"/>
      <c r="Q161" s="160"/>
      <c r="R161" s="160"/>
      <c r="S161" s="160"/>
      <c r="T161" s="160"/>
      <c r="U161" s="160"/>
      <c r="V161" s="160"/>
      <c r="W161" s="160"/>
      <c r="X161" s="160"/>
      <c r="Y161" s="160"/>
      <c r="Z161" s="160"/>
      <c r="AA161" s="4"/>
      <c r="AB161" s="16"/>
      <c r="AC161" s="1"/>
      <c r="AD161" s="1"/>
      <c r="AE161" s="1"/>
    </row>
    <row r="162" spans="1:31" outlineLevel="3" collapsed="1" x14ac:dyDescent="0.25">
      <c r="A162" s="1"/>
      <c r="B162" s="33"/>
      <c r="C162" s="73">
        <f>INT($C$140)+3</f>
        <v>4</v>
      </c>
      <c r="D162" s="4"/>
      <c r="E162" s="5">
        <v>0</v>
      </c>
      <c r="F162" s="5"/>
      <c r="G162" s="4"/>
      <c r="H162" s="31" t="s">
        <v>266</v>
      </c>
      <c r="I162" s="31">
        <v>0</v>
      </c>
      <c r="J162" s="148"/>
      <c r="K162" s="148"/>
      <c r="L162" s="148"/>
      <c r="M162" s="148"/>
      <c r="N162" s="218" t="s">
        <v>423</v>
      </c>
      <c r="O162" s="218"/>
      <c r="P162" s="218"/>
      <c r="Q162" s="218"/>
      <c r="R162" s="218"/>
      <c r="S162" s="219"/>
      <c r="T162" s="219"/>
      <c r="U162" s="219"/>
      <c r="V162" s="219"/>
      <c r="W162" s="219"/>
      <c r="X162" s="219"/>
      <c r="Y162" s="219"/>
      <c r="Z162" s="219"/>
      <c r="AA162" s="4"/>
      <c r="AB162" s="16"/>
      <c r="AC162" s="1"/>
      <c r="AD162" s="1"/>
      <c r="AE162" s="1"/>
    </row>
    <row r="163" spans="1:31" outlineLevel="3" x14ac:dyDescent="0.25">
      <c r="A163" s="1"/>
      <c r="B163" s="33"/>
      <c r="C163" s="73">
        <f t="shared" ref="C163:C179" si="18">INT(C$140+3)</f>
        <v>4</v>
      </c>
      <c r="D163" s="4"/>
      <c r="E163" s="5">
        <v>1</v>
      </c>
      <c r="F163" s="5"/>
      <c r="G163" s="4"/>
      <c r="H163" s="31" t="s">
        <v>265</v>
      </c>
      <c r="I163" s="31">
        <v>0</v>
      </c>
      <c r="J163" s="148"/>
      <c r="K163" s="148"/>
      <c r="L163" s="148"/>
      <c r="M163" s="148"/>
      <c r="N163" s="217" t="s">
        <v>422</v>
      </c>
      <c r="O163" s="217" t="s">
        <v>422</v>
      </c>
      <c r="P163" s="217" t="s">
        <v>422</v>
      </c>
      <c r="Q163" s="217" t="s">
        <v>422</v>
      </c>
      <c r="R163" s="217" t="s">
        <v>422</v>
      </c>
      <c r="S163" s="217" t="s">
        <v>422</v>
      </c>
      <c r="T163" s="217" t="s">
        <v>422</v>
      </c>
      <c r="U163" s="217" t="s">
        <v>422</v>
      </c>
      <c r="V163" s="217" t="s">
        <v>422</v>
      </c>
      <c r="W163" s="217" t="s">
        <v>422</v>
      </c>
      <c r="X163" s="217" t="s">
        <v>422</v>
      </c>
      <c r="Y163" s="217" t="s">
        <v>422</v>
      </c>
      <c r="Z163" s="217"/>
      <c r="AA163" s="4"/>
      <c r="AB163" s="16"/>
      <c r="AC163" s="1"/>
      <c r="AD163" s="1"/>
      <c r="AE163" s="1"/>
    </row>
    <row r="164" spans="1:31" outlineLevel="3" x14ac:dyDescent="0.25">
      <c r="A164" s="1"/>
      <c r="B164" s="33"/>
      <c r="C164" s="73">
        <f>INT($C$140)+3</f>
        <v>4</v>
      </c>
      <c r="D164" s="4"/>
      <c r="E164" s="5">
        <v>2</v>
      </c>
      <c r="F164" s="5"/>
      <c r="G164" s="4"/>
      <c r="H164" s="31" t="s">
        <v>372</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25">
      <c r="A165" s="1"/>
      <c r="B165" s="33"/>
      <c r="C165" s="73">
        <f>INT($C$140)+3</f>
        <v>4</v>
      </c>
      <c r="D165" s="4"/>
      <c r="E165" s="5">
        <v>3</v>
      </c>
      <c r="F165" s="5"/>
      <c r="G165" s="4"/>
      <c r="H165" s="31" t="s">
        <v>373</v>
      </c>
      <c r="I165" s="31">
        <v>0</v>
      </c>
      <c r="J165" s="148"/>
      <c r="K165" s="148"/>
      <c r="L165" s="148"/>
      <c r="M165" s="148"/>
      <c r="N165" s="56" t="s">
        <v>422</v>
      </c>
      <c r="O165" s="148"/>
      <c r="P165" s="148"/>
      <c r="Q165" s="148"/>
      <c r="R165" s="148"/>
      <c r="S165" s="148"/>
      <c r="T165" s="2"/>
      <c r="U165" s="2"/>
      <c r="V165" s="2"/>
      <c r="W165" s="2"/>
      <c r="X165" s="2"/>
      <c r="Y165" s="2"/>
      <c r="Z165" s="2"/>
      <c r="AA165" s="4"/>
      <c r="AB165" s="16"/>
      <c r="AC165" s="1"/>
      <c r="AD165" s="1"/>
      <c r="AE165" s="1"/>
    </row>
    <row r="166" spans="1:31" outlineLevel="3" x14ac:dyDescent="0.25">
      <c r="A166" s="1"/>
      <c r="B166" s="33"/>
      <c r="C166" s="73">
        <f>INT(C$140+3)</f>
        <v>4</v>
      </c>
      <c r="D166" s="4"/>
      <c r="E166" s="5">
        <v>4</v>
      </c>
      <c r="F166" s="5"/>
      <c r="G166" s="4"/>
      <c r="H166" s="31" t="s">
        <v>374</v>
      </c>
      <c r="I166" s="31">
        <v>0</v>
      </c>
      <c r="J166" s="148"/>
      <c r="K166" s="148"/>
      <c r="L166" s="148"/>
      <c r="M166" s="148"/>
      <c r="N166" s="56" t="s">
        <v>422</v>
      </c>
      <c r="O166" s="148"/>
      <c r="P166" s="148"/>
      <c r="Q166" s="148"/>
      <c r="R166" s="148"/>
      <c r="S166" s="148"/>
      <c r="T166" s="2"/>
      <c r="U166" s="2"/>
      <c r="V166" s="2"/>
      <c r="W166" s="2"/>
      <c r="X166" s="2"/>
      <c r="Y166" s="2"/>
      <c r="Z166" s="2"/>
      <c r="AA166" s="4"/>
      <c r="AB166" s="16"/>
      <c r="AC166" s="1"/>
      <c r="AD166" s="1"/>
      <c r="AE166" s="1"/>
    </row>
    <row r="167" spans="1:31" outlineLevel="3" x14ac:dyDescent="0.25">
      <c r="A167" s="1"/>
      <c r="B167" s="33"/>
      <c r="C167" s="73">
        <f>INT(C$140+3)</f>
        <v>4</v>
      </c>
      <c r="D167" s="4"/>
      <c r="E167" s="5">
        <v>5</v>
      </c>
      <c r="F167" s="5"/>
      <c r="G167" s="4"/>
      <c r="H167" s="31" t="s">
        <v>375</v>
      </c>
      <c r="I167" s="31">
        <v>0</v>
      </c>
      <c r="J167" s="148"/>
      <c r="K167" s="148"/>
      <c r="L167" s="148"/>
      <c r="M167" s="148"/>
      <c r="N167" s="56" t="s">
        <v>422</v>
      </c>
      <c r="O167" s="148"/>
      <c r="P167" s="148"/>
      <c r="Q167" s="148"/>
      <c r="R167" s="148"/>
      <c r="S167" s="148"/>
      <c r="T167" s="2"/>
      <c r="U167" s="2"/>
      <c r="V167" s="2"/>
      <c r="W167" s="2"/>
      <c r="X167" s="2"/>
      <c r="Y167" s="2"/>
      <c r="Z167" s="2"/>
      <c r="AA167" s="4"/>
      <c r="AB167" s="16"/>
      <c r="AC167" s="1"/>
      <c r="AD167" s="1"/>
      <c r="AE167" s="1"/>
    </row>
    <row r="168" spans="1:31" outlineLevel="3" x14ac:dyDescent="0.25">
      <c r="A168" s="1"/>
      <c r="B168" s="33"/>
      <c r="C168" s="73">
        <f t="shared" si="18"/>
        <v>4</v>
      </c>
      <c r="D168" s="4"/>
      <c r="E168" s="5">
        <v>6</v>
      </c>
      <c r="F168" s="5"/>
      <c r="G168" s="4"/>
      <c r="H168" s="31" t="s">
        <v>381</v>
      </c>
      <c r="I168" s="31">
        <v>0</v>
      </c>
      <c r="J168" s="148"/>
      <c r="K168" s="148"/>
      <c r="L168" s="148"/>
      <c r="M168" s="148"/>
      <c r="N168" s="56" t="s">
        <v>422</v>
      </c>
      <c r="O168" s="148"/>
      <c r="P168" s="148"/>
      <c r="Q168" s="148"/>
      <c r="R168" s="148"/>
      <c r="S168" s="148"/>
      <c r="T168" s="2"/>
      <c r="U168" s="2"/>
      <c r="V168" s="2"/>
      <c r="W168" s="2"/>
      <c r="X168" s="2"/>
      <c r="Y168" s="2"/>
      <c r="Z168" s="2"/>
      <c r="AA168" s="4"/>
      <c r="AB168" s="16"/>
      <c r="AC168" s="1"/>
      <c r="AD168" s="1"/>
      <c r="AE168" s="1"/>
    </row>
    <row r="169" spans="1:31" outlineLevel="3" x14ac:dyDescent="0.25">
      <c r="A169" s="1"/>
      <c r="B169" s="33"/>
      <c r="C169" s="73">
        <f t="shared" si="18"/>
        <v>4</v>
      </c>
      <c r="D169" s="4"/>
      <c r="E169" s="5">
        <v>7</v>
      </c>
      <c r="F169" s="5"/>
      <c r="G169" s="4"/>
      <c r="H169" s="31" t="s">
        <v>397</v>
      </c>
      <c r="I169" s="31">
        <v>0</v>
      </c>
      <c r="J169" s="148"/>
      <c r="K169" s="148"/>
      <c r="L169" s="148"/>
      <c r="M169" s="148"/>
      <c r="N169" s="56" t="s">
        <v>422</v>
      </c>
      <c r="O169" s="148"/>
      <c r="P169" s="148"/>
      <c r="Q169" s="148"/>
      <c r="R169" s="148"/>
      <c r="S169" s="148"/>
      <c r="T169" s="2"/>
      <c r="U169" s="2"/>
      <c r="V169" s="2"/>
      <c r="W169" s="2"/>
      <c r="X169" s="2"/>
      <c r="Y169" s="2"/>
      <c r="Z169" s="2"/>
      <c r="AA169" s="4"/>
      <c r="AB169" s="16"/>
      <c r="AC169" s="1"/>
      <c r="AD169" s="1"/>
      <c r="AE169" s="1"/>
    </row>
    <row r="170" spans="1:31" outlineLevel="3" x14ac:dyDescent="0.25">
      <c r="A170" s="1"/>
      <c r="B170" s="33"/>
      <c r="C170" s="73">
        <f t="shared" si="18"/>
        <v>4</v>
      </c>
      <c r="D170" s="4"/>
      <c r="E170" s="5">
        <v>8</v>
      </c>
      <c r="F170" s="5"/>
      <c r="G170" s="4"/>
      <c r="H170" s="31" t="s">
        <v>376</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25">
      <c r="A171" s="1"/>
      <c r="B171" s="33"/>
      <c r="C171" s="73">
        <f t="shared" si="18"/>
        <v>4</v>
      </c>
      <c r="D171" s="4"/>
      <c r="E171" s="5">
        <v>9</v>
      </c>
      <c r="F171" s="5"/>
      <c r="G171" s="4"/>
      <c r="H171" s="31" t="s">
        <v>377</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25">
      <c r="A172" s="1"/>
      <c r="B172" s="33"/>
      <c r="C172" s="73">
        <f t="shared" si="18"/>
        <v>4</v>
      </c>
      <c r="D172" s="4"/>
      <c r="E172" s="5">
        <v>10</v>
      </c>
      <c r="F172" s="5"/>
      <c r="G172" s="4"/>
      <c r="H172" s="31" t="s">
        <v>260</v>
      </c>
      <c r="I172" s="31">
        <v>0</v>
      </c>
      <c r="J172" s="148"/>
      <c r="K172" s="148"/>
      <c r="L172" s="148"/>
      <c r="M172" s="148"/>
      <c r="N172" s="56" t="s">
        <v>422</v>
      </c>
      <c r="O172" s="148"/>
      <c r="P172" s="148"/>
      <c r="Q172" s="148"/>
      <c r="R172" s="56" t="s">
        <v>422</v>
      </c>
      <c r="S172" s="148"/>
      <c r="T172" s="2"/>
      <c r="U172" s="2"/>
      <c r="V172" s="2"/>
      <c r="W172" s="2"/>
      <c r="X172" s="2"/>
      <c r="Y172" s="56" t="s">
        <v>422</v>
      </c>
      <c r="Z172" s="2"/>
      <c r="AA172" s="4"/>
      <c r="AB172" s="16"/>
      <c r="AC172" s="1"/>
      <c r="AD172" s="1"/>
      <c r="AE172" s="1"/>
    </row>
    <row r="173" spans="1:31" outlineLevel="3" x14ac:dyDescent="0.25">
      <c r="A173" s="1"/>
      <c r="B173" s="33"/>
      <c r="C173" s="73">
        <f t="shared" si="18"/>
        <v>4</v>
      </c>
      <c r="D173" s="4"/>
      <c r="E173" s="5">
        <v>11</v>
      </c>
      <c r="F173" s="5"/>
      <c r="G173" s="4"/>
      <c r="H173" s="31" t="s">
        <v>261</v>
      </c>
      <c r="I173" s="31">
        <v>0</v>
      </c>
      <c r="J173" s="148"/>
      <c r="K173" s="148"/>
      <c r="L173" s="148"/>
      <c r="M173" s="148"/>
      <c r="N173" s="56" t="s">
        <v>422</v>
      </c>
      <c r="O173" s="148"/>
      <c r="P173" s="148"/>
      <c r="Q173" s="148"/>
      <c r="R173" s="56" t="s">
        <v>422</v>
      </c>
      <c r="S173" s="148"/>
      <c r="T173" s="2"/>
      <c r="U173" s="2"/>
      <c r="V173" s="2"/>
      <c r="W173" s="2"/>
      <c r="X173" s="2"/>
      <c r="Y173" s="56" t="s">
        <v>422</v>
      </c>
      <c r="Z173" s="2"/>
      <c r="AA173" s="4"/>
      <c r="AB173" s="16"/>
      <c r="AC173" s="1"/>
      <c r="AD173" s="1"/>
      <c r="AE173" s="1"/>
    </row>
    <row r="174" spans="1:31" outlineLevel="3" x14ac:dyDescent="0.25">
      <c r="A174" s="1"/>
      <c r="B174" s="33"/>
      <c r="C174" s="73">
        <f t="shared" si="18"/>
        <v>4</v>
      </c>
      <c r="D174" s="4"/>
      <c r="E174" s="5">
        <v>12</v>
      </c>
      <c r="F174" s="5"/>
      <c r="G174" s="4"/>
      <c r="H174" s="31" t="s">
        <v>262</v>
      </c>
      <c r="I174" s="31">
        <v>0</v>
      </c>
      <c r="J174" s="148"/>
      <c r="K174" s="148"/>
      <c r="L174" s="148"/>
      <c r="M174" s="148"/>
      <c r="N174" s="56" t="s">
        <v>422</v>
      </c>
      <c r="O174" s="148"/>
      <c r="P174" s="148"/>
      <c r="Q174" s="148"/>
      <c r="R174" s="56" t="s">
        <v>422</v>
      </c>
      <c r="S174" s="148"/>
      <c r="T174" s="56" t="s">
        <v>422</v>
      </c>
      <c r="U174" s="56" t="s">
        <v>422</v>
      </c>
      <c r="V174" s="56" t="s">
        <v>422</v>
      </c>
      <c r="W174" s="56" t="s">
        <v>422</v>
      </c>
      <c r="X174" s="56" t="s">
        <v>422</v>
      </c>
      <c r="Y174" s="56" t="s">
        <v>422</v>
      </c>
      <c r="Z174" s="2"/>
      <c r="AA174" s="4"/>
      <c r="AB174" s="16"/>
      <c r="AC174" s="1"/>
      <c r="AD174" s="1"/>
      <c r="AE174" s="1"/>
    </row>
    <row r="175" spans="1:31" outlineLevel="3" x14ac:dyDescent="0.2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25">
      <c r="A176" s="1"/>
      <c r="B176" s="33"/>
      <c r="C176" s="73">
        <f t="shared" si="18"/>
        <v>4</v>
      </c>
      <c r="D176" s="4"/>
      <c r="E176" s="5">
        <v>14</v>
      </c>
      <c r="F176" s="5"/>
      <c r="G176" s="4"/>
      <c r="H176" s="31" t="s">
        <v>258</v>
      </c>
      <c r="I176" s="31">
        <v>0</v>
      </c>
      <c r="J176" s="148"/>
      <c r="K176" s="148"/>
      <c r="L176" s="148"/>
      <c r="M176" s="148"/>
      <c r="N176" s="56" t="s">
        <v>422</v>
      </c>
      <c r="O176" s="148"/>
      <c r="P176" s="148"/>
      <c r="Q176" s="56" t="s">
        <v>422</v>
      </c>
      <c r="R176" s="56" t="s">
        <v>422</v>
      </c>
      <c r="S176" s="56" t="s">
        <v>422</v>
      </c>
      <c r="T176" s="56" t="s">
        <v>422</v>
      </c>
      <c r="U176" s="56" t="s">
        <v>422</v>
      </c>
      <c r="V176" s="56" t="s">
        <v>422</v>
      </c>
      <c r="W176" s="56" t="s">
        <v>422</v>
      </c>
      <c r="X176" s="56" t="s">
        <v>422</v>
      </c>
      <c r="Y176" s="56" t="s">
        <v>422</v>
      </c>
      <c r="Z176" s="56"/>
      <c r="AA176" s="4"/>
      <c r="AB176" s="16"/>
      <c r="AC176" s="1"/>
      <c r="AD176" s="1"/>
      <c r="AE176" s="1"/>
    </row>
    <row r="177" spans="1:31" outlineLevel="3" x14ac:dyDescent="0.25">
      <c r="A177" s="1"/>
      <c r="B177" s="33"/>
      <c r="C177" s="73">
        <f t="shared" si="18"/>
        <v>4</v>
      </c>
      <c r="D177" s="4"/>
      <c r="E177" s="5">
        <v>15</v>
      </c>
      <c r="F177" s="5"/>
      <c r="G177" s="4"/>
      <c r="H177" s="31" t="s">
        <v>259</v>
      </c>
      <c r="I177" s="31">
        <v>0</v>
      </c>
      <c r="J177" s="148"/>
      <c r="K177" s="148"/>
      <c r="L177" s="148"/>
      <c r="M177" s="148"/>
      <c r="N177" s="56" t="s">
        <v>422</v>
      </c>
      <c r="O177" s="148"/>
      <c r="P177" s="148"/>
      <c r="Q177" s="56" t="s">
        <v>422</v>
      </c>
      <c r="R177" s="56" t="s">
        <v>422</v>
      </c>
      <c r="S177" s="56" t="s">
        <v>422</v>
      </c>
      <c r="T177" s="56" t="s">
        <v>422</v>
      </c>
      <c r="U177" s="56" t="s">
        <v>422</v>
      </c>
      <c r="V177" s="56" t="s">
        <v>422</v>
      </c>
      <c r="W177" s="56" t="s">
        <v>422</v>
      </c>
      <c r="X177" s="56" t="s">
        <v>422</v>
      </c>
      <c r="Y177" s="56" t="s">
        <v>422</v>
      </c>
      <c r="Z177" s="56"/>
      <c r="AA177" s="4"/>
      <c r="AB177" s="16"/>
      <c r="AC177" s="1"/>
      <c r="AD177" s="1"/>
      <c r="AE177" s="1"/>
    </row>
    <row r="178" spans="1:31" outlineLevel="3" x14ac:dyDescent="0.25">
      <c r="A178" s="1"/>
      <c r="B178" s="33"/>
      <c r="C178" s="73">
        <f t="shared" si="18"/>
        <v>4</v>
      </c>
      <c r="D178" s="4"/>
      <c r="E178" s="5">
        <v>16</v>
      </c>
      <c r="F178" s="5"/>
      <c r="G178" s="4"/>
      <c r="H178" s="31" t="s">
        <v>371</v>
      </c>
      <c r="I178" s="31">
        <v>0</v>
      </c>
      <c r="J178" s="148"/>
      <c r="K178" s="148"/>
      <c r="L178" s="148"/>
      <c r="M178" s="148"/>
      <c r="N178" s="56" t="s">
        <v>422</v>
      </c>
      <c r="O178" s="148"/>
      <c r="P178" s="148"/>
      <c r="Q178" s="56" t="s">
        <v>422</v>
      </c>
      <c r="R178" s="56" t="s">
        <v>422</v>
      </c>
      <c r="S178" s="56" t="s">
        <v>422</v>
      </c>
      <c r="T178" s="56" t="s">
        <v>422</v>
      </c>
      <c r="U178" s="56" t="s">
        <v>422</v>
      </c>
      <c r="V178" s="56" t="s">
        <v>422</v>
      </c>
      <c r="W178" s="56" t="s">
        <v>422</v>
      </c>
      <c r="X178" s="56" t="s">
        <v>422</v>
      </c>
      <c r="Y178" s="56" t="s">
        <v>422</v>
      </c>
      <c r="Z178" s="56"/>
      <c r="AA178" s="4"/>
      <c r="AB178" s="16"/>
      <c r="AC178" s="1"/>
      <c r="AD178" s="1"/>
      <c r="AE178" s="1"/>
    </row>
    <row r="179" spans="1:31" outlineLevel="3" x14ac:dyDescent="0.25">
      <c r="A179" s="1"/>
      <c r="B179" s="33"/>
      <c r="C179" s="73">
        <f t="shared" si="18"/>
        <v>4</v>
      </c>
      <c r="D179" s="4"/>
      <c r="E179" s="5">
        <v>17</v>
      </c>
      <c r="F179" s="5"/>
      <c r="G179" s="4"/>
      <c r="H179" s="31" t="s">
        <v>438</v>
      </c>
      <c r="I179" s="31">
        <v>0</v>
      </c>
      <c r="J179" s="148"/>
      <c r="K179" s="148"/>
      <c r="L179" s="148"/>
      <c r="M179" s="148"/>
      <c r="N179" s="56" t="s">
        <v>422</v>
      </c>
      <c r="O179" s="148"/>
      <c r="P179" s="148"/>
      <c r="Q179" s="56" t="s">
        <v>422</v>
      </c>
      <c r="R179" s="56" t="s">
        <v>422</v>
      </c>
      <c r="S179" s="56" t="s">
        <v>422</v>
      </c>
      <c r="T179" s="56" t="s">
        <v>422</v>
      </c>
      <c r="U179" s="56" t="s">
        <v>422</v>
      </c>
      <c r="V179" s="56" t="s">
        <v>422</v>
      </c>
      <c r="W179" s="56" t="s">
        <v>422</v>
      </c>
      <c r="X179" s="56" t="s">
        <v>422</v>
      </c>
      <c r="Y179" s="56" t="s">
        <v>422</v>
      </c>
      <c r="Z179" s="56"/>
      <c r="AA179" s="4"/>
      <c r="AB179" s="16"/>
      <c r="AC179" s="1"/>
      <c r="AD179" s="1"/>
      <c r="AE179" s="1"/>
    </row>
    <row r="180" spans="1:31" outlineLevel="3" x14ac:dyDescent="0.25">
      <c r="A180" s="1"/>
      <c r="B180" s="33"/>
      <c r="C180" s="73">
        <f>INT(C$140+3)</f>
        <v>4</v>
      </c>
      <c r="D180" s="4"/>
      <c r="E180" s="5">
        <v>18</v>
      </c>
      <c r="F180" s="5"/>
      <c r="G180" s="4"/>
      <c r="H180" s="31" t="s">
        <v>443</v>
      </c>
      <c r="I180" s="31">
        <v>0</v>
      </c>
      <c r="J180" s="148"/>
      <c r="K180" s="148"/>
      <c r="L180" s="148"/>
      <c r="M180" s="148"/>
      <c r="N180" s="56" t="s">
        <v>422</v>
      </c>
      <c r="O180" s="148"/>
      <c r="P180" s="148"/>
      <c r="Q180" s="56" t="s">
        <v>422</v>
      </c>
      <c r="R180" s="56" t="s">
        <v>422</v>
      </c>
      <c r="S180" s="56" t="s">
        <v>422</v>
      </c>
      <c r="T180" s="56" t="s">
        <v>422</v>
      </c>
      <c r="U180" s="56" t="s">
        <v>422</v>
      </c>
      <c r="V180" s="56" t="s">
        <v>422</v>
      </c>
      <c r="W180" s="56" t="s">
        <v>422</v>
      </c>
      <c r="X180" s="56" t="s">
        <v>422</v>
      </c>
      <c r="Y180" s="56" t="s">
        <v>422</v>
      </c>
      <c r="Z180" s="56"/>
      <c r="AA180" s="4"/>
      <c r="AB180" s="16"/>
      <c r="AC180" s="1"/>
      <c r="AD180" s="1"/>
      <c r="AE180" s="1"/>
    </row>
    <row r="181" spans="1:31" outlineLevel="3" x14ac:dyDescent="0.25">
      <c r="A181" s="1"/>
      <c r="B181" s="33"/>
      <c r="C181" s="73">
        <f>INT(C$140+3)</f>
        <v>4</v>
      </c>
      <c r="D181" s="4"/>
      <c r="E181" s="5">
        <v>19</v>
      </c>
      <c r="F181" s="5"/>
      <c r="G181" s="4"/>
      <c r="H181" s="31" t="s">
        <v>444</v>
      </c>
      <c r="I181" s="31">
        <v>0</v>
      </c>
      <c r="J181" s="148"/>
      <c r="K181" s="148"/>
      <c r="L181" s="148"/>
      <c r="M181" s="148"/>
      <c r="N181" s="216" t="s">
        <v>422</v>
      </c>
      <c r="O181" s="215"/>
      <c r="P181" s="215"/>
      <c r="Q181" s="215"/>
      <c r="R181" s="216" t="s">
        <v>422</v>
      </c>
      <c r="S181" s="215"/>
      <c r="T181" s="216" t="s">
        <v>422</v>
      </c>
      <c r="U181" s="216" t="s">
        <v>422</v>
      </c>
      <c r="V181" s="216" t="s">
        <v>422</v>
      </c>
      <c r="W181" s="216" t="s">
        <v>422</v>
      </c>
      <c r="X181" s="216" t="s">
        <v>422</v>
      </c>
      <c r="Y181" s="216" t="s">
        <v>422</v>
      </c>
      <c r="Z181" s="216"/>
      <c r="AA181" s="4"/>
      <c r="AB181" s="16"/>
      <c r="AC181" s="1"/>
      <c r="AD181" s="1"/>
      <c r="AE181" s="1"/>
    </row>
    <row r="182" spans="1:31" ht="5.0999999999999996" customHeight="1" outlineLevel="3" x14ac:dyDescent="0.2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0999999999999996" customHeight="1" outlineLevel="2" x14ac:dyDescent="0.2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0999999999999996" customHeight="1" outlineLevel="1" x14ac:dyDescent="0.2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0999999999999996" customHeight="1" x14ac:dyDescent="0.2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2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2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0999999999999996" customHeight="1" thickBot="1" x14ac:dyDescent="0.3">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0999999999999996" customHeight="1" outlineLevel="1" x14ac:dyDescent="0.2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25">
      <c r="A190" s="1"/>
      <c r="B190" s="33"/>
      <c r="C190" s="73">
        <f>INT(MAX($C$199:$C$203))+1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8.75" x14ac:dyDescent="0.2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75" outlineLevel="1" x14ac:dyDescent="0.25">
      <c r="A192" s="1"/>
      <c r="B192" s="33"/>
      <c r="C192" s="73">
        <f>INT($C$191)+1.02</f>
        <v>2.02</v>
      </c>
      <c r="D192" s="21"/>
      <c r="E192" s="24" t="s">
        <v>10</v>
      </c>
      <c r="F192" s="28">
        <v>1</v>
      </c>
      <c r="G192" s="13"/>
      <c r="H192" s="8" t="s">
        <v>292</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0999999999999996" customHeight="1" outlineLevel="2" x14ac:dyDescent="0.2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25">
      <c r="A194" s="1"/>
      <c r="B194" s="33"/>
      <c r="C194" s="73">
        <f>INT($C$191)+2</f>
        <v>3</v>
      </c>
      <c r="D194" s="3"/>
      <c r="E194" s="5"/>
      <c r="F194" s="5"/>
      <c r="G194" s="3"/>
      <c r="H194" s="29"/>
      <c r="I194" s="29"/>
      <c r="J194" s="29"/>
      <c r="K194" s="29"/>
      <c r="L194" s="29"/>
      <c r="M194" s="29"/>
      <c r="N194" s="29"/>
      <c r="O194" s="29"/>
      <c r="P194" s="29"/>
      <c r="Q194" s="29"/>
      <c r="R194" s="29"/>
      <c r="S194" s="29"/>
      <c r="T194" s="29"/>
      <c r="U194" s="29"/>
      <c r="V194" s="29"/>
      <c r="W194" s="29"/>
      <c r="X194" s="29"/>
      <c r="Y194" s="29"/>
      <c r="Z194" s="29"/>
      <c r="AA194" s="3"/>
      <c r="AB194" s="16"/>
      <c r="AC194" s="1"/>
      <c r="AD194" s="1"/>
      <c r="AE194" s="1"/>
    </row>
    <row r="195" spans="1:31" outlineLevel="2" x14ac:dyDescent="0.25">
      <c r="A195" s="1"/>
      <c r="B195" s="33"/>
      <c r="C195" s="73">
        <f>INT($C$191)+2</f>
        <v>3</v>
      </c>
      <c r="D195" s="3"/>
      <c r="E195" s="5"/>
      <c r="F195" s="5"/>
      <c r="G195" s="3"/>
      <c r="H195" s="29"/>
      <c r="I195" s="29"/>
      <c r="J195" s="29"/>
      <c r="K195" s="29"/>
      <c r="L195" s="29"/>
      <c r="M195" s="29"/>
      <c r="N195" s="29"/>
      <c r="O195" s="29"/>
      <c r="P195" s="29"/>
      <c r="Q195" s="29"/>
      <c r="R195" s="29"/>
      <c r="S195" s="29"/>
      <c r="T195" s="29"/>
      <c r="U195" s="29"/>
      <c r="V195" s="29"/>
      <c r="W195" s="29"/>
      <c r="X195" s="29"/>
      <c r="Y195" s="29"/>
      <c r="Z195" s="29"/>
      <c r="AA195" s="3"/>
      <c r="AB195" s="16"/>
      <c r="AC195" s="1"/>
      <c r="AD195" s="1"/>
      <c r="AE195" s="1"/>
    </row>
    <row r="196" spans="1:31" ht="9.75" customHeight="1" outlineLevel="2" x14ac:dyDescent="0.2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2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2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0999999999999996" customHeight="1" outlineLevel="2" x14ac:dyDescent="0.2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2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2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3" x14ac:dyDescent="0.25">
      <c r="A202" s="1"/>
      <c r="B202" s="33"/>
      <c r="C202" s="73">
        <f>INT(C$191+3)</f>
        <v>4</v>
      </c>
      <c r="D202" s="4"/>
      <c r="E202" s="5"/>
      <c r="F202" s="5"/>
      <c r="G202" s="4"/>
      <c r="H202" s="148"/>
      <c r="I202" s="148"/>
      <c r="J202" s="148"/>
      <c r="K202" s="148"/>
      <c r="L202" s="148"/>
      <c r="M202" s="148"/>
      <c r="N202" s="148"/>
      <c r="O202" s="148"/>
      <c r="P202" s="148"/>
      <c r="Q202" s="148"/>
      <c r="R202" s="148"/>
      <c r="S202" s="2"/>
      <c r="T202" s="2"/>
      <c r="U202" s="2"/>
      <c r="V202" s="2"/>
      <c r="W202" s="2"/>
      <c r="X202" s="2"/>
      <c r="Y202" s="2"/>
      <c r="Z202" s="2"/>
      <c r="AA202" s="4"/>
      <c r="AB202" s="16"/>
      <c r="AC202" s="1"/>
      <c r="AD202" s="1"/>
      <c r="AE202" s="1"/>
    </row>
    <row r="203" spans="1:31" ht="5.0999999999999996" customHeight="1" outlineLevel="3" x14ac:dyDescent="0.25">
      <c r="A203" s="1"/>
      <c r="B203" s="33"/>
      <c r="C203" s="73">
        <f>INT($C$191)+3.005</f>
        <v>4.0049999999999999</v>
      </c>
      <c r="D203" s="4"/>
      <c r="E203" s="4"/>
      <c r="F203" s="4"/>
      <c r="G203" s="4"/>
      <c r="H203" s="4"/>
      <c r="I203" s="4"/>
      <c r="J203" s="4"/>
      <c r="K203" s="4"/>
      <c r="L203" s="4"/>
      <c r="M203" s="4"/>
      <c r="N203" s="4"/>
      <c r="O203" s="4"/>
      <c r="P203" s="4"/>
      <c r="Q203" s="4"/>
      <c r="R203" s="4"/>
      <c r="S203" s="4"/>
      <c r="T203" s="4"/>
      <c r="U203" s="4"/>
      <c r="V203" s="4"/>
      <c r="W203" s="4"/>
      <c r="X203" s="4"/>
      <c r="Y203" s="4"/>
      <c r="Z203" s="4"/>
      <c r="AA203" s="4" t="s">
        <v>3</v>
      </c>
      <c r="AB203" s="16"/>
      <c r="AC203" s="1"/>
      <c r="AD203" s="1"/>
      <c r="AE203" s="1"/>
    </row>
    <row r="204" spans="1:31" ht="5.0999999999999996" customHeight="1" outlineLevel="2" x14ac:dyDescent="0.25">
      <c r="A204" s="1"/>
      <c r="B204" s="33"/>
      <c r="C204" s="73">
        <f>INT($C$191)+2.005</f>
        <v>3.0049999999999999</v>
      </c>
      <c r="D204" s="4"/>
      <c r="E204" s="4"/>
      <c r="F204" s="4"/>
      <c r="G204" s="4"/>
      <c r="H204" s="4"/>
      <c r="I204" s="4"/>
      <c r="J204" s="4"/>
      <c r="K204" s="4"/>
      <c r="L204" s="4"/>
      <c r="M204" s="4"/>
      <c r="N204" s="4"/>
      <c r="O204" s="4"/>
      <c r="P204" s="4"/>
      <c r="Q204" s="4"/>
      <c r="R204" s="4"/>
      <c r="S204" s="4"/>
      <c r="T204" s="4"/>
      <c r="U204" s="4"/>
      <c r="V204" s="4"/>
      <c r="W204" s="4"/>
      <c r="X204" s="4"/>
      <c r="Y204" s="4"/>
      <c r="Z204" s="4"/>
      <c r="AA204" s="4"/>
      <c r="AB204" s="16"/>
      <c r="AC204" s="1"/>
      <c r="AD204" s="1"/>
      <c r="AE204" s="1"/>
    </row>
    <row r="205" spans="1:31" ht="5.0999999999999996" customHeight="1" outlineLevel="1" x14ac:dyDescent="0.25">
      <c r="A205" s="1"/>
      <c r="B205" s="35"/>
      <c r="C205" s="76">
        <f>INT($C$191)+1.005</f>
        <v>2.0049999999999999</v>
      </c>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t="s">
        <v>1</v>
      </c>
      <c r="AC205" s="1"/>
      <c r="AD205" s="1"/>
      <c r="AE205" s="1"/>
    </row>
    <row r="206" spans="1:31" ht="5.0999999999999996" customHeight="1" x14ac:dyDescent="0.25">
      <c r="A206" s="1"/>
      <c r="B206" s="19"/>
      <c r="C206" s="77">
        <f>INT($C$191)+0.005</f>
        <v>1.0049999999999999</v>
      </c>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
      <c r="AD206" s="1"/>
      <c r="AE206" s="1"/>
    </row>
    <row r="207" spans="1:31" outlineLevel="2" x14ac:dyDescent="0.25">
      <c r="A207" s="1"/>
      <c r="B207" s="1"/>
      <c r="C207" s="73">
        <f>INT($C$191)+2</f>
        <v>3</v>
      </c>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spans="1:31" x14ac:dyDescent="0.25">
      <c r="A208" s="1"/>
      <c r="B208" s="1"/>
      <c r="C208" s="66"/>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spans="1:31" x14ac:dyDescent="0.25">
      <c r="A209" s="1"/>
      <c r="B209" s="1"/>
      <c r="C209" s="66"/>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spans="1:31" x14ac:dyDescent="0.25">
      <c r="A210" s="1"/>
      <c r="B210" s="1"/>
      <c r="C210" s="66"/>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2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2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2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25">
      <c r="C214"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M18" sqref="M18"/>
    </sheetView>
  </sheetViews>
  <sheetFormatPr defaultColWidth="9.140625" defaultRowHeight="15" outlineLevelRow="1" x14ac:dyDescent="0.25"/>
  <cols>
    <col min="1" max="1" width="2.7109375" customWidth="1"/>
    <col min="2" max="2" width="4.28515625" customWidth="1"/>
    <col min="3" max="3" width="6.42578125" customWidth="1"/>
    <col min="4" max="4" width="3.28515625" customWidth="1"/>
    <col min="5" max="5" width="3.7109375" customWidth="1"/>
    <col min="6" max="6" width="2.7109375" customWidth="1"/>
  </cols>
  <sheetData>
    <row r="1" spans="1:26" ht="12" customHeight="1" outlineLevel="1" x14ac:dyDescent="0.2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2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0999999999999996" customHeight="1" outlineLevel="1" thickBot="1" x14ac:dyDescent="0.3">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0999999999999996" customHeight="1" outlineLevel="1" x14ac:dyDescent="0.2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2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2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25">
      <c r="A7" s="165"/>
      <c r="B7" s="166"/>
      <c r="C7" s="176"/>
      <c r="D7" s="171"/>
      <c r="E7" s="176"/>
      <c r="F7" s="172"/>
      <c r="G7" s="178" t="s">
        <v>446</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2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2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2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2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2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0999999999999996" customHeight="1" outlineLevel="1" x14ac:dyDescent="0.2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0999999999999996" customHeight="1" outlineLevel="1" x14ac:dyDescent="0.2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2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25">
      <c r="A16" s="165"/>
      <c r="B16" s="166"/>
      <c r="C16" s="176"/>
      <c r="D16" s="176"/>
      <c r="E16" s="176"/>
      <c r="F16" s="184"/>
      <c r="G16" s="192" t="s">
        <v>367</v>
      </c>
      <c r="H16" s="190"/>
      <c r="I16" s="192" t="s">
        <v>249</v>
      </c>
      <c r="K16" s="192" t="s">
        <v>362</v>
      </c>
      <c r="L16" s="191"/>
      <c r="M16" s="192" t="s">
        <v>363</v>
      </c>
      <c r="O16" s="192" t="s">
        <v>341</v>
      </c>
      <c r="P16" s="190"/>
      <c r="Q16" s="192" t="s">
        <v>342</v>
      </c>
      <c r="R16" s="190"/>
      <c r="S16" s="192" t="s">
        <v>343</v>
      </c>
      <c r="T16" s="191"/>
      <c r="U16" s="192" t="s">
        <v>348</v>
      </c>
      <c r="V16" s="189"/>
      <c r="W16" s="175"/>
      <c r="X16" s="167"/>
      <c r="Y16" s="167"/>
      <c r="Z16" s="167"/>
    </row>
    <row r="17" spans="1:26" ht="12" customHeight="1" outlineLevel="1" x14ac:dyDescent="0.25">
      <c r="A17" s="165"/>
      <c r="B17" s="166"/>
      <c r="C17" s="176"/>
      <c r="D17" s="176"/>
      <c r="E17" s="176"/>
      <c r="F17" s="184"/>
      <c r="G17" s="190" t="s">
        <v>368</v>
      </c>
      <c r="H17" s="190"/>
      <c r="I17" s="190" t="s">
        <v>344</v>
      </c>
      <c r="J17" s="193"/>
      <c r="K17" s="190" t="s">
        <v>365</v>
      </c>
      <c r="L17" s="191"/>
      <c r="M17" s="190" t="s">
        <v>364</v>
      </c>
      <c r="O17" s="190" t="s">
        <v>345</v>
      </c>
      <c r="P17" s="190"/>
      <c r="Q17" s="190" t="s">
        <v>346</v>
      </c>
      <c r="R17" s="190"/>
      <c r="S17" s="190" t="s">
        <v>347</v>
      </c>
      <c r="T17" s="191"/>
      <c r="U17" s="190" t="s">
        <v>349</v>
      </c>
      <c r="V17" s="189"/>
      <c r="W17" s="175"/>
      <c r="X17" s="167"/>
      <c r="Y17" s="167"/>
      <c r="Z17" s="167"/>
    </row>
    <row r="18" spans="1:26" ht="12" customHeight="1" outlineLevel="1" x14ac:dyDescent="0.2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2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2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25">
      <c r="A21" s="165"/>
      <c r="B21" s="166"/>
      <c r="C21" s="176"/>
      <c r="D21" s="176"/>
      <c r="E21" s="176"/>
      <c r="F21" s="184"/>
      <c r="G21" s="192" t="s">
        <v>395</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25">
      <c r="A22" s="165"/>
      <c r="B22" s="166"/>
      <c r="C22" s="176"/>
      <c r="D22" s="176"/>
      <c r="E22" s="176"/>
      <c r="F22" s="184"/>
      <c r="G22" s="190" t="s">
        <v>396</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2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2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2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2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2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0999999999999996" customHeight="1" outlineLevel="1" x14ac:dyDescent="0.2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2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2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2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15.7109375" customWidth="1"/>
    <col min="12" max="12" width="9.140625" customWidth="1"/>
    <col min="26" max="26" width="1.7109375" customWidth="1"/>
    <col min="27" max="28" width="4.7109375" customWidth="1"/>
    <col min="30" max="30" width="46.140625" customWidth="1"/>
  </cols>
  <sheetData>
    <row r="1" spans="1:30"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2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00000000000001" customHeight="1" x14ac:dyDescent="0.2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2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2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2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30" outlineLevel="3" x14ac:dyDescent="0.2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45" customHeight="1" outlineLevel="3" x14ac:dyDescent="0.2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2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2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0999999999999996" customHeight="1" outlineLevel="1" x14ac:dyDescent="0.2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2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25">
      <c r="A18" s="1"/>
      <c r="B18" s="33"/>
      <c r="C18" s="67">
        <f>INT($C$6)+1.045</f>
        <v>2.0449999999999999</v>
      </c>
      <c r="D18" s="4"/>
      <c r="E18" s="5"/>
      <c r="F18" s="5"/>
      <c r="G18" s="4"/>
      <c r="H18" s="2" t="s">
        <v>16</v>
      </c>
      <c r="I18" s="31">
        <v>1</v>
      </c>
      <c r="J18" s="226" t="s">
        <v>22</v>
      </c>
      <c r="K18" s="226"/>
      <c r="L18" s="226"/>
      <c r="M18" s="226"/>
      <c r="N18" s="226"/>
      <c r="O18" s="226"/>
      <c r="P18" s="226"/>
      <c r="Q18" s="226"/>
      <c r="R18" s="226"/>
      <c r="S18" s="226"/>
      <c r="T18" s="226"/>
      <c r="U18" s="226"/>
      <c r="V18" s="226"/>
      <c r="W18" s="226"/>
      <c r="X18" s="226"/>
      <c r="Y18" s="2"/>
      <c r="Z18" s="4"/>
      <c r="AA18" s="16"/>
      <c r="AB18" s="1"/>
      <c r="AC18" s="1"/>
      <c r="AD18" s="1"/>
    </row>
    <row r="19" spans="1:30" outlineLevel="3" x14ac:dyDescent="0.2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2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25">
      <c r="A21" s="1"/>
      <c r="B21" s="33"/>
      <c r="C21" s="67">
        <f>INT($C$6)+1.045</f>
        <v>2.0449999999999999</v>
      </c>
      <c r="D21" s="4"/>
      <c r="E21" s="5"/>
      <c r="F21" s="5"/>
      <c r="G21" s="4"/>
      <c r="H21" s="2" t="s">
        <v>17</v>
      </c>
      <c r="I21" s="23">
        <v>1</v>
      </c>
      <c r="J21" s="224" t="s">
        <v>34</v>
      </c>
      <c r="K21" s="225"/>
      <c r="L21" s="225"/>
      <c r="M21" s="225"/>
      <c r="N21" s="225"/>
      <c r="O21" s="225"/>
      <c r="P21" s="225"/>
      <c r="Q21" s="225"/>
      <c r="R21" s="225"/>
      <c r="S21" s="225"/>
      <c r="T21" s="225"/>
      <c r="U21" s="225"/>
      <c r="V21" s="225"/>
      <c r="W21" s="225"/>
      <c r="X21" s="227"/>
      <c r="Y21" s="2"/>
      <c r="Z21" s="4"/>
      <c r="AA21" s="16"/>
      <c r="AB21" s="1"/>
      <c r="AC21" s="1"/>
      <c r="AD21" s="1"/>
    </row>
    <row r="22" spans="1:30" outlineLevel="3" x14ac:dyDescent="0.2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2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0999999999999996" customHeight="1" outlineLevel="3" x14ac:dyDescent="0.2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0999999999999996" customHeight="1" outlineLevel="3" x14ac:dyDescent="0.2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2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2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2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2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2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0999999999999996" customHeight="1" outlineLevel="3" x14ac:dyDescent="0.2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0999999999999996" customHeight="1" outlineLevel="3" x14ac:dyDescent="0.2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2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2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2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2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2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0999999999999996" customHeight="1" outlineLevel="3" x14ac:dyDescent="0.2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0999999999999996" customHeight="1" outlineLevel="2" x14ac:dyDescent="0.2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0999999999999996" customHeight="1" outlineLevel="1" x14ac:dyDescent="0.2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0999999999999996" customHeight="1" x14ac:dyDescent="0.2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2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2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156</vt:i4>
      </vt:variant>
    </vt:vector>
  </HeadingPairs>
  <TitlesOfParts>
    <vt:vector size="161"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John</cp:lastModifiedBy>
  <cp:lastPrinted>2019-04-18T13:00:29Z</cp:lastPrinted>
  <dcterms:created xsi:type="dcterms:W3CDTF">2019-03-31T08:49:27Z</dcterms:created>
  <dcterms:modified xsi:type="dcterms:W3CDTF">2026-02-23T03:14:00Z</dcterms:modified>
</cp:coreProperties>
</file>